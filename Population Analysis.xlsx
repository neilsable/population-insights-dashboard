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ilsable/Desktop/Population Insights Analysis UK/"/>
    </mc:Choice>
  </mc:AlternateContent>
  <xr:revisionPtr revIDLastSave="0" documentId="8_{93DDECEB-0B9D-5943-9B3C-8A5EA9662A23}" xr6:coauthVersionLast="47" xr6:coauthVersionMax="47" xr10:uidLastSave="{00000000-0000-0000-0000-000000000000}"/>
  <bookViews>
    <workbookView xWindow="340" yWindow="520" windowWidth="28040" windowHeight="16060" xr2:uid="{153850D6-2E61-3D41-8080-B72CCC3059FA}"/>
  </bookViews>
  <sheets>
    <sheet name="Raw Data" sheetId="1" r:id="rId1"/>
    <sheet name="Dashboard" sheetId="2" r:id="rId2"/>
  </sheets>
  <definedNames>
    <definedName name="_xlchart.v1.0" hidden="1">Dashboard!$D$59:$W$61</definedName>
    <definedName name="_xlchart.v1.1" hidden="1">Dashboard!$D$72:$W$72</definedName>
    <definedName name="_xlchart.v1.10" hidden="1">Dashboard!$D$81:$W$81</definedName>
    <definedName name="_xlchart.v1.11" hidden="1">Dashboard!$D$82:$W$82</definedName>
    <definedName name="_xlchart.v1.12" hidden="1">Dashboard!$D$83:$W$83</definedName>
    <definedName name="_xlchart.v1.13" hidden="1">Dashboard!$D$84:$W$84</definedName>
    <definedName name="_xlchart.v1.14" hidden="1">Dashboard!$D$85:$W$85</definedName>
    <definedName name="_xlchart.v1.15" hidden="1">Dashboard!$D$59:$W$61</definedName>
    <definedName name="_xlchart.v1.16" hidden="1">Dashboard!$D$62:$W$62</definedName>
    <definedName name="_xlchart.v1.17" hidden="1">Dashboard!$D$63:$W$63</definedName>
    <definedName name="_xlchart.v1.18" hidden="1">Dashboard!$D$64:$W$64</definedName>
    <definedName name="_xlchart.v1.19" hidden="1">Dashboard!$D$65:$W$65</definedName>
    <definedName name="_xlchart.v1.2" hidden="1">Dashboard!$D$73:$W$73</definedName>
    <definedName name="_xlchart.v1.20" hidden="1">Dashboard!$D$66:$W$66</definedName>
    <definedName name="_xlchart.v1.21" hidden="1">Dashboard!$D$67:$W$67</definedName>
    <definedName name="_xlchart.v1.22" hidden="1">Dashboard!$D$68:$W$68</definedName>
    <definedName name="_xlchart.v1.23" hidden="1">Dashboard!$D$69:$W$69</definedName>
    <definedName name="_xlchart.v1.24" hidden="1">Dashboard!$D$70:$W$70</definedName>
    <definedName name="_xlchart.v1.25" hidden="1">Dashboard!$D$71:$W$71</definedName>
    <definedName name="_xlchart.v1.26" hidden="1">Dashboard!$D$72:$W$72</definedName>
    <definedName name="_xlchart.v1.27" hidden="1">Dashboard!$D$73:$W$73</definedName>
    <definedName name="_xlchart.v1.28" hidden="1">Dashboard!$D$74:$W$74</definedName>
    <definedName name="_xlchart.v1.29" hidden="1">Dashboard!$D$75:$W$75</definedName>
    <definedName name="_xlchart.v1.3" hidden="1">Dashboard!$D$74:$W$74</definedName>
    <definedName name="_xlchart.v1.30" hidden="1">Dashboard!$D$76:$W$76</definedName>
    <definedName name="_xlchart.v1.31" hidden="1">Dashboard!$D$77:$W$77</definedName>
    <definedName name="_xlchart.v1.32" hidden="1">Dashboard!$D$78:$W$78</definedName>
    <definedName name="_xlchart.v1.33" hidden="1">Dashboard!$D$79:$W$79</definedName>
    <definedName name="_xlchart.v1.34" hidden="1">Dashboard!$D$80:$W$80</definedName>
    <definedName name="_xlchart.v1.35" hidden="1">Dashboard!$D$81:$W$81</definedName>
    <definedName name="_xlchart.v1.36" hidden="1">Dashboard!$D$82:$W$82</definedName>
    <definedName name="_xlchart.v1.37" hidden="1">Dashboard!$D$83:$W$83</definedName>
    <definedName name="_xlchart.v1.38" hidden="1">Dashboard!$D$84:$W$84</definedName>
    <definedName name="_xlchart.v1.39" hidden="1">Dashboard!$D$85:$W$85</definedName>
    <definedName name="_xlchart.v1.4" hidden="1">Dashboard!$D$75:$W$75</definedName>
    <definedName name="_xlchart.v1.40" hidden="1">Dashboard!$D$59</definedName>
    <definedName name="_xlchart.v1.41" hidden="1">Dashboard!$D$60</definedName>
    <definedName name="_xlchart.v1.42" hidden="1">Dashboard!$D$61</definedName>
    <definedName name="_xlchart.v1.43" hidden="1">Dashboard!$D$62</definedName>
    <definedName name="_xlchart.v1.44" hidden="1">Dashboard!$D$63</definedName>
    <definedName name="_xlchart.v1.45" hidden="1">Dashboard!$D$64</definedName>
    <definedName name="_xlchart.v1.46" hidden="1">Dashboard!$D$65</definedName>
    <definedName name="_xlchart.v1.47" hidden="1">Dashboard!$D$66</definedName>
    <definedName name="_xlchart.v1.48" hidden="1">Dashboard!$D$67</definedName>
    <definedName name="_xlchart.v1.49" hidden="1">Dashboard!$D$68</definedName>
    <definedName name="_xlchart.v1.5" hidden="1">Dashboard!$D$76:$W$76</definedName>
    <definedName name="_xlchart.v1.50" hidden="1">Dashboard!$D$69</definedName>
    <definedName name="_xlchart.v1.51" hidden="1">Dashboard!$D$70</definedName>
    <definedName name="_xlchart.v1.52" hidden="1">Dashboard!$D$71</definedName>
    <definedName name="_xlchart.v1.53" hidden="1">Dashboard!$D$72</definedName>
    <definedName name="_xlchart.v1.54" hidden="1">Dashboard!$D$73</definedName>
    <definedName name="_xlchart.v1.55" hidden="1">Dashboard!$D$74</definedName>
    <definedName name="_xlchart.v1.56" hidden="1">Dashboard!$D$75</definedName>
    <definedName name="_xlchart.v1.57" hidden="1">Dashboard!$D$76</definedName>
    <definedName name="_xlchart.v1.58" hidden="1">Dashboard!$D$77</definedName>
    <definedName name="_xlchart.v1.59" hidden="1">Dashboard!$D$78</definedName>
    <definedName name="_xlchart.v1.6" hidden="1">Dashboard!$D$77:$W$77</definedName>
    <definedName name="_xlchart.v1.60" hidden="1">Dashboard!$D$79</definedName>
    <definedName name="_xlchart.v1.61" hidden="1">Dashboard!$D$80</definedName>
    <definedName name="_xlchart.v1.62" hidden="1">Dashboard!$E$59:$W$59</definedName>
    <definedName name="_xlchart.v1.63" hidden="1">Dashboard!$E$60:$W$60</definedName>
    <definedName name="_xlchart.v1.64" hidden="1">Dashboard!$E$61:$W$61</definedName>
    <definedName name="_xlchart.v1.65" hidden="1">Dashboard!$E$62:$W$62</definedName>
    <definedName name="_xlchart.v1.66" hidden="1">Dashboard!$E$63:$W$63</definedName>
    <definedName name="_xlchart.v1.67" hidden="1">Dashboard!$E$64:$W$64</definedName>
    <definedName name="_xlchart.v1.68" hidden="1">Dashboard!$E$65:$W$65</definedName>
    <definedName name="_xlchart.v1.69" hidden="1">Dashboard!$E$66:$W$66</definedName>
    <definedName name="_xlchart.v1.7" hidden="1">Dashboard!$D$78:$W$78</definedName>
    <definedName name="_xlchart.v1.70" hidden="1">Dashboard!$E$67:$W$67</definedName>
    <definedName name="_xlchart.v1.71" hidden="1">Dashboard!$E$68:$W$68</definedName>
    <definedName name="_xlchart.v1.72" hidden="1">Dashboard!$E$69:$W$69</definedName>
    <definedName name="_xlchart.v1.73" hidden="1">Dashboard!$E$70:$W$70</definedName>
    <definedName name="_xlchart.v1.74" hidden="1">Dashboard!$E$71:$W$71</definedName>
    <definedName name="_xlchart.v1.75" hidden="1">Dashboard!$E$72:$W$72</definedName>
    <definedName name="_xlchart.v1.76" hidden="1">Dashboard!$E$73:$W$73</definedName>
    <definedName name="_xlchart.v1.77" hidden="1">Dashboard!$E$74:$W$74</definedName>
    <definedName name="_xlchart.v1.78" hidden="1">Dashboard!$E$75:$W$75</definedName>
    <definedName name="_xlchart.v1.79" hidden="1">Dashboard!$E$76:$W$76</definedName>
    <definedName name="_xlchart.v1.8" hidden="1">Dashboard!$D$79:$W$79</definedName>
    <definedName name="_xlchart.v1.80" hidden="1">Dashboard!$E$77:$W$77</definedName>
    <definedName name="_xlchart.v1.81" hidden="1">Dashboard!$E$78:$W$78</definedName>
    <definedName name="_xlchart.v1.82" hidden="1">Dashboard!$E$79:$W$79</definedName>
    <definedName name="_xlchart.v1.83" hidden="1">Dashboard!$E$80:$W$80</definedName>
    <definedName name="_xlchart.v1.84" hidden="1">Dashboard!$F$81</definedName>
    <definedName name="_xlchart.v1.85" hidden="1">Dashboard!$F$82</definedName>
    <definedName name="_xlchart.v1.86" hidden="1">Dashboard!$F$83</definedName>
    <definedName name="_xlchart.v1.87" hidden="1">Dashboard!$F$84</definedName>
    <definedName name="_xlchart.v1.88" hidden="1">Dashboard!$F$85</definedName>
    <definedName name="_xlchart.v1.89" hidden="1">Dashboard!$G$81:$U$81</definedName>
    <definedName name="_xlchart.v1.9" hidden="1">Dashboard!$D$80:$W$80</definedName>
    <definedName name="_xlchart.v1.90" hidden="1">Dashboard!$G$82:$U$82</definedName>
    <definedName name="_xlchart.v1.91" hidden="1">Dashboard!$G$83:$U$83</definedName>
    <definedName name="_xlchart.v1.92" hidden="1">Dashboard!$G$84:$U$84</definedName>
    <definedName name="_xlchart.v1.93" hidden="1">Dashboard!$G$85:$U$85</definedName>
    <definedName name="_xlchart.v1.94" hidden="1">Dashboard!$Y$87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2" l="1"/>
  <c r="J54" i="2"/>
  <c r="D54" i="2"/>
  <c r="I75" i="1"/>
  <c r="I231" i="1"/>
  <c r="I48" i="1"/>
  <c r="I302" i="1"/>
  <c r="I248" i="1"/>
  <c r="I49" i="1"/>
  <c r="I457" i="1"/>
  <c r="I329" i="1"/>
  <c r="I323" i="1"/>
  <c r="I425" i="1"/>
  <c r="I264" i="1"/>
  <c r="I94" i="1"/>
  <c r="I138" i="1"/>
  <c r="I317" i="1"/>
  <c r="I351" i="1"/>
  <c r="I299" i="1"/>
  <c r="I13" i="1"/>
  <c r="I326" i="1"/>
  <c r="I301" i="1"/>
  <c r="I16" i="1"/>
  <c r="I8" i="1"/>
  <c r="I342" i="1"/>
  <c r="I114" i="1"/>
  <c r="I489" i="1"/>
  <c r="I221" i="1"/>
  <c r="I308" i="1"/>
  <c r="I470" i="1"/>
  <c r="I404" i="1"/>
  <c r="I205" i="1"/>
  <c r="I30" i="1"/>
  <c r="I56" i="1"/>
  <c r="I349" i="1"/>
  <c r="I352" i="1"/>
  <c r="I109" i="1"/>
  <c r="I225" i="1"/>
  <c r="I103" i="1"/>
  <c r="I25" i="1"/>
  <c r="I250" i="1"/>
  <c r="I409" i="1"/>
  <c r="I246" i="1"/>
  <c r="I423" i="1"/>
  <c r="I259" i="1"/>
  <c r="I439" i="1"/>
  <c r="I194" i="1"/>
  <c r="I435" i="1"/>
  <c r="I23" i="1"/>
  <c r="I491" i="1"/>
  <c r="I236" i="1"/>
  <c r="I337" i="1"/>
  <c r="I73" i="1"/>
  <c r="I343" i="1"/>
  <c r="I419" i="1"/>
  <c r="I362" i="1"/>
  <c r="I212" i="1"/>
  <c r="I327" i="1"/>
  <c r="I86" i="1"/>
  <c r="I19" i="1"/>
  <c r="I123" i="1"/>
  <c r="I72" i="1"/>
  <c r="I224" i="1"/>
  <c r="I144" i="1"/>
  <c r="I376" i="1"/>
  <c r="I251" i="1"/>
  <c r="I395" i="1"/>
  <c r="I168" i="1"/>
  <c r="I334" i="1"/>
  <c r="I445" i="1"/>
  <c r="I279" i="1"/>
  <c r="I7" i="1"/>
  <c r="I332" i="1"/>
  <c r="I313" i="1"/>
  <c r="I394" i="1"/>
  <c r="I223" i="1"/>
  <c r="I427" i="1"/>
  <c r="I294" i="1"/>
  <c r="I452" i="1"/>
  <c r="I153" i="1"/>
  <c r="I27" i="1"/>
  <c r="I500" i="1"/>
  <c r="I386" i="1"/>
  <c r="I391" i="1"/>
  <c r="I283" i="1"/>
  <c r="I239" i="1"/>
  <c r="I346" i="1"/>
  <c r="I455" i="1"/>
  <c r="I416" i="1"/>
  <c r="I410" i="1"/>
  <c r="I468" i="1"/>
  <c r="I451" i="1"/>
  <c r="I432" i="1"/>
  <c r="I232" i="1"/>
  <c r="I126" i="1"/>
  <c r="I284" i="1"/>
  <c r="I340" i="1"/>
  <c r="I137" i="1"/>
  <c r="I84" i="1"/>
  <c r="I117" i="1"/>
  <c r="I475" i="1"/>
  <c r="I115" i="1"/>
  <c r="I171" i="1"/>
  <c r="I441" i="1"/>
  <c r="I297" i="1"/>
  <c r="I177" i="1"/>
  <c r="I335" i="1"/>
  <c r="I118" i="1"/>
  <c r="I318" i="1"/>
  <c r="I424" i="1"/>
  <c r="I414" i="1"/>
  <c r="I32" i="1"/>
  <c r="I411" i="1"/>
  <c r="I292" i="1"/>
  <c r="I344" i="1"/>
  <c r="I9" i="1"/>
  <c r="I295" i="1"/>
  <c r="I173" i="1"/>
  <c r="I182" i="1"/>
  <c r="I505" i="1"/>
  <c r="I87" i="1"/>
  <c r="I64" i="1"/>
  <c r="I304" i="1"/>
  <c r="I260" i="1"/>
  <c r="I257" i="1"/>
  <c r="I197" i="1"/>
  <c r="I91" i="1"/>
  <c r="I415" i="1"/>
  <c r="I214" i="1"/>
  <c r="I193" i="1"/>
  <c r="I407" i="1"/>
  <c r="I268" i="1"/>
  <c r="I145" i="1"/>
  <c r="I178" i="1"/>
  <c r="I57" i="1"/>
  <c r="I434" i="1"/>
  <c r="I377" i="1"/>
  <c r="I375" i="1"/>
  <c r="I383" i="1"/>
  <c r="I490" i="1"/>
  <c r="I88" i="1"/>
  <c r="I219" i="1"/>
  <c r="I10" i="1"/>
  <c r="I456" i="1"/>
  <c r="I206" i="1"/>
  <c r="I28" i="1"/>
  <c r="I11" i="1"/>
  <c r="I354" i="1"/>
  <c r="I124" i="1"/>
  <c r="I476" i="1"/>
  <c r="I90" i="1"/>
  <c r="I155" i="1"/>
  <c r="I12" i="1"/>
  <c r="I387" i="1"/>
  <c r="I242" i="1"/>
  <c r="I484" i="1"/>
  <c r="I350" i="1"/>
  <c r="I463" i="1"/>
  <c r="I37" i="1"/>
  <c r="I286" i="1"/>
  <c r="I51" i="1"/>
  <c r="I80" i="1"/>
  <c r="I41" i="1"/>
  <c r="I196" i="1"/>
  <c r="I498" i="1"/>
  <c r="I430" i="1"/>
  <c r="I245" i="1"/>
  <c r="I165" i="1"/>
  <c r="I254" i="1"/>
  <c r="I309" i="1"/>
  <c r="I102" i="1"/>
  <c r="I396" i="1"/>
  <c r="I229" i="1"/>
  <c r="I263" i="1"/>
  <c r="I163" i="1"/>
  <c r="I293" i="1"/>
  <c r="I364" i="1"/>
  <c r="I314" i="1"/>
  <c r="I24" i="1"/>
  <c r="I215" i="1"/>
  <c r="I366" i="1"/>
  <c r="I234" i="1"/>
  <c r="I277" i="1"/>
  <c r="I22" i="1"/>
  <c r="I44" i="1"/>
  <c r="I319" i="1"/>
  <c r="I371" i="1"/>
  <c r="I499" i="1"/>
  <c r="I127" i="1"/>
  <c r="I172" i="1"/>
  <c r="I61" i="1"/>
  <c r="I158" i="1"/>
  <c r="I249" i="1"/>
  <c r="I378" i="1"/>
  <c r="I446" i="1"/>
  <c r="I433" i="1"/>
  <c r="I485" i="1"/>
  <c r="I392" i="1"/>
  <c r="I478" i="1"/>
  <c r="I121" i="1"/>
  <c r="I442" i="1"/>
  <c r="I436" i="1"/>
  <c r="I111" i="1"/>
  <c r="I400" i="1"/>
  <c r="I487" i="1"/>
  <c r="I504" i="1"/>
  <c r="I108" i="1"/>
  <c r="I401" i="1"/>
  <c r="I256" i="1"/>
  <c r="I461" i="1"/>
  <c r="I162" i="1"/>
  <c r="I218" i="1"/>
  <c r="I202" i="1"/>
  <c r="I228" i="1"/>
  <c r="I146" i="1"/>
  <c r="I300" i="1"/>
  <c r="I420" i="1"/>
  <c r="I458" i="1"/>
  <c r="I486" i="1"/>
  <c r="I467" i="1"/>
  <c r="I479" i="1"/>
  <c r="I459" i="1"/>
  <c r="I140" i="1"/>
  <c r="I230" i="1"/>
  <c r="I310" i="1"/>
  <c r="I97" i="1"/>
  <c r="I17" i="1"/>
  <c r="I98" i="1"/>
  <c r="I198" i="1"/>
  <c r="I287" i="1"/>
  <c r="I99" i="1"/>
  <c r="I20" i="1"/>
  <c r="I175" i="1"/>
  <c r="I368" i="1"/>
  <c r="I408" i="1"/>
  <c r="I68" i="1"/>
  <c r="I77" i="1"/>
  <c r="I482" i="1"/>
  <c r="I450" i="1"/>
  <c r="I477" i="1"/>
  <c r="I367" i="1"/>
  <c r="I190" i="1"/>
  <c r="I460" i="1"/>
  <c r="I373" i="1"/>
  <c r="I183" i="1"/>
  <c r="I429" i="1"/>
  <c r="I53" i="1"/>
  <c r="I67" i="1"/>
  <c r="I83" i="1"/>
  <c r="I66" i="1"/>
  <c r="I233" i="1"/>
  <c r="I122" i="1"/>
  <c r="I258" i="1"/>
  <c r="I93" i="1"/>
  <c r="I501" i="1"/>
  <c r="I365" i="1"/>
  <c r="I203" i="1"/>
  <c r="I189" i="1"/>
  <c r="I270" i="1"/>
  <c r="I143" i="1"/>
  <c r="I42" i="1"/>
  <c r="I443" i="1"/>
  <c r="I265" i="1"/>
  <c r="I370" i="1"/>
  <c r="I402" i="1"/>
  <c r="I21" i="1"/>
  <c r="I164" i="1"/>
  <c r="I47" i="1"/>
  <c r="I360" i="1"/>
  <c r="I128" i="1"/>
  <c r="I207" i="1"/>
  <c r="I95" i="1"/>
  <c r="I359" i="1"/>
  <c r="I29" i="1"/>
  <c r="I465" i="1"/>
  <c r="I291" i="1"/>
  <c r="I495" i="1"/>
  <c r="I125" i="1"/>
  <c r="I324" i="1"/>
  <c r="I134" i="1"/>
  <c r="I315" i="1"/>
  <c r="I311" i="1"/>
  <c r="I152" i="1"/>
  <c r="I18" i="1"/>
  <c r="I494" i="1"/>
  <c r="I438" i="1"/>
  <c r="I480" i="1"/>
  <c r="I43" i="1"/>
  <c r="I104" i="1"/>
  <c r="I96" i="1"/>
  <c r="I60" i="1"/>
  <c r="I79" i="1"/>
  <c r="I449" i="1"/>
  <c r="I390" i="1"/>
  <c r="I336" i="1"/>
  <c r="I235" i="1"/>
  <c r="I65" i="1"/>
  <c r="I406" i="1"/>
  <c r="I493" i="1"/>
  <c r="I388" i="1"/>
  <c r="I413" i="1"/>
  <c r="I156" i="1"/>
  <c r="I55" i="1"/>
  <c r="I274" i="1"/>
  <c r="I417" i="1"/>
  <c r="I280" i="1"/>
  <c r="I40" i="1"/>
  <c r="I405" i="1"/>
  <c r="I62" i="1"/>
  <c r="I275" i="1"/>
  <c r="I39" i="1"/>
  <c r="I129" i="1"/>
  <c r="I14" i="1"/>
  <c r="I440" i="1"/>
  <c r="I46" i="1"/>
  <c r="I356" i="1"/>
  <c r="I305" i="1"/>
  <c r="I469" i="1"/>
  <c r="I481" i="1"/>
  <c r="I238" i="1"/>
  <c r="I361" i="1"/>
  <c r="I216" i="1"/>
  <c r="I322" i="1"/>
  <c r="I273" i="1"/>
  <c r="I78" i="1"/>
  <c r="I243" i="1"/>
  <c r="I217" i="1"/>
  <c r="I464" i="1"/>
  <c r="I320" i="1"/>
  <c r="I389" i="1"/>
  <c r="I70" i="1"/>
  <c r="I33" i="1"/>
  <c r="I253" i="1"/>
  <c r="I26" i="1"/>
  <c r="I330" i="1"/>
  <c r="I58" i="1"/>
  <c r="I241" i="1"/>
  <c r="I69" i="1"/>
  <c r="I422" i="1"/>
  <c r="I345" i="1"/>
  <c r="I167" i="1"/>
  <c r="I160" i="1"/>
  <c r="I380" i="1"/>
  <c r="I50" i="1"/>
  <c r="I385" i="1"/>
  <c r="I325" i="1"/>
  <c r="I192" i="1"/>
  <c r="I181" i="1"/>
  <c r="I113" i="1"/>
  <c r="I421" i="1"/>
  <c r="I170" i="1"/>
  <c r="I106" i="1"/>
  <c r="I154" i="1"/>
  <c r="I89" i="1"/>
  <c r="I204" i="1"/>
  <c r="I208" i="1"/>
  <c r="I222" i="1"/>
  <c r="I81" i="1"/>
  <c r="I454" i="1"/>
  <c r="I63" i="1"/>
  <c r="I176" i="1"/>
  <c r="I488" i="1"/>
  <c r="I372" i="1"/>
  <c r="I282" i="1"/>
  <c r="I147" i="1"/>
  <c r="I472" i="1"/>
  <c r="I384" i="1"/>
  <c r="I348" i="1"/>
  <c r="I447" i="1"/>
  <c r="I179" i="1"/>
  <c r="I131" i="1"/>
  <c r="I357" i="1"/>
  <c r="I462" i="1"/>
  <c r="I473" i="1"/>
  <c r="I142" i="1"/>
  <c r="I186" i="1"/>
  <c r="I180" i="1"/>
  <c r="I272" i="1"/>
  <c r="I38" i="1"/>
  <c r="I426" i="1"/>
  <c r="I211" i="1"/>
  <c r="I502" i="1"/>
  <c r="I266" i="1"/>
  <c r="I398" i="1"/>
  <c r="I262" i="1"/>
  <c r="I31" i="1"/>
  <c r="I474" i="1"/>
  <c r="I418" i="1"/>
  <c r="I59" i="1"/>
  <c r="I116" i="1"/>
  <c r="I374" i="1"/>
  <c r="I120" i="1"/>
  <c r="I381" i="1"/>
  <c r="I149" i="1"/>
  <c r="I139" i="1"/>
  <c r="I159" i="1"/>
  <c r="I338" i="1"/>
  <c r="I187" i="1"/>
  <c r="I220" i="1"/>
  <c r="I303" i="1"/>
  <c r="I288" i="1"/>
  <c r="I339" i="1"/>
  <c r="I141" i="1"/>
  <c r="I85" i="1"/>
  <c r="I363" i="1"/>
  <c r="I112" i="1"/>
  <c r="I110" i="1"/>
  <c r="I148" i="1"/>
  <c r="I289" i="1"/>
  <c r="I184" i="1"/>
  <c r="I133" i="1"/>
  <c r="I379" i="1"/>
  <c r="I307" i="1"/>
  <c r="I210" i="1"/>
  <c r="I132" i="1"/>
  <c r="I226" i="1"/>
  <c r="I151" i="1"/>
  <c r="I136" i="1"/>
  <c r="I247" i="1"/>
  <c r="I437" i="1"/>
  <c r="I191" i="1"/>
  <c r="I397" i="1"/>
  <c r="I341" i="1"/>
  <c r="I15" i="1"/>
  <c r="I483" i="1"/>
  <c r="I5" i="1"/>
  <c r="I150" i="1"/>
  <c r="I412" i="1"/>
  <c r="I281" i="1"/>
  <c r="I252" i="1"/>
  <c r="I261" i="1"/>
  <c r="I166" i="1"/>
  <c r="I328" i="1"/>
  <c r="I358" i="1"/>
  <c r="I271" i="1"/>
  <c r="I285" i="1"/>
  <c r="I448" i="1"/>
  <c r="I466" i="1"/>
  <c r="I276" i="1"/>
  <c r="I369" i="1"/>
  <c r="I135" i="1"/>
  <c r="I82" i="1"/>
  <c r="I188" i="1"/>
  <c r="I52" i="1"/>
  <c r="I290" i="1"/>
  <c r="I492" i="1"/>
  <c r="I107" i="1"/>
  <c r="I269" i="1"/>
  <c r="I453" i="1"/>
  <c r="I161" i="1"/>
  <c r="I403" i="1"/>
  <c r="I347" i="1"/>
  <c r="I54" i="1"/>
  <c r="I306" i="1"/>
  <c r="I36" i="1"/>
  <c r="I174" i="1"/>
  <c r="I298" i="1"/>
  <c r="I428" i="1"/>
  <c r="I45" i="1"/>
  <c r="I393" i="1"/>
  <c r="I240" i="1"/>
  <c r="I101" i="1"/>
  <c r="I105" i="1"/>
  <c r="I185" i="1"/>
  <c r="I333" i="1"/>
  <c r="I444" i="1"/>
  <c r="I503" i="1"/>
  <c r="I130" i="1"/>
  <c r="I195" i="1"/>
  <c r="I199" i="1"/>
  <c r="I312" i="1"/>
  <c r="I92" i="1"/>
  <c r="I200" i="1"/>
  <c r="I227" i="1"/>
  <c r="I157" i="1"/>
  <c r="I209" i="1"/>
  <c r="I71" i="1"/>
  <c r="I497" i="1"/>
  <c r="I244" i="1"/>
  <c r="I74" i="1"/>
  <c r="I34" i="1"/>
  <c r="I331" i="1"/>
  <c r="I355" i="1"/>
  <c r="I6" i="1"/>
  <c r="I267" i="1"/>
  <c r="I119" i="1"/>
  <c r="I76" i="1"/>
  <c r="I496" i="1"/>
  <c r="I353" i="1"/>
  <c r="I237" i="1"/>
  <c r="I316" i="1"/>
  <c r="I213" i="1"/>
  <c r="I382" i="1"/>
  <c r="I321" i="1"/>
  <c r="I35" i="1"/>
  <c r="I169" i="1"/>
  <c r="I100" i="1"/>
  <c r="I201" i="1"/>
  <c r="I431" i="1"/>
  <c r="I471" i="1"/>
  <c r="I255" i="1"/>
  <c r="I296" i="1"/>
  <c r="I278" i="1"/>
  <c r="I399" i="1"/>
  <c r="A17" i="1"/>
  <c r="C138" i="1"/>
  <c r="D138" i="1"/>
  <c r="E138" i="1" s="1"/>
  <c r="F138" i="1"/>
  <c r="G138" i="1" s="1"/>
  <c r="H138" i="1"/>
  <c r="J138" i="1"/>
  <c r="M138" i="1" s="1"/>
  <c r="K138" i="1"/>
  <c r="L138" i="1" s="1"/>
  <c r="A18" i="1"/>
  <c r="C317" i="1"/>
  <c r="D317" i="1"/>
  <c r="E317" i="1" s="1"/>
  <c r="F317" i="1"/>
  <c r="G317" i="1" s="1"/>
  <c r="H317" i="1"/>
  <c r="J317" i="1"/>
  <c r="R317" i="1" s="1"/>
  <c r="K317" i="1"/>
  <c r="L317" i="1" s="1"/>
  <c r="A19" i="1"/>
  <c r="C351" i="1"/>
  <c r="D351" i="1"/>
  <c r="E351" i="1" s="1"/>
  <c r="F351" i="1"/>
  <c r="G351" i="1" s="1"/>
  <c r="H351" i="1"/>
  <c r="J351" i="1"/>
  <c r="R351" i="1" s="1"/>
  <c r="K351" i="1"/>
  <c r="L351" i="1" s="1"/>
  <c r="A20" i="1"/>
  <c r="C299" i="1"/>
  <c r="D299" i="1"/>
  <c r="E299" i="1" s="1"/>
  <c r="F299" i="1"/>
  <c r="G299" i="1" s="1"/>
  <c r="H299" i="1"/>
  <c r="J299" i="1"/>
  <c r="K299" i="1"/>
  <c r="L299" i="1" s="1"/>
  <c r="A21" i="1"/>
  <c r="C13" i="1"/>
  <c r="D13" i="1"/>
  <c r="E13" i="1" s="1"/>
  <c r="F13" i="1"/>
  <c r="G13" i="1" s="1"/>
  <c r="H13" i="1"/>
  <c r="J13" i="1"/>
  <c r="M13" i="1" s="1"/>
  <c r="K13" i="1"/>
  <c r="L13" i="1" s="1"/>
  <c r="A22" i="1"/>
  <c r="C326" i="1"/>
  <c r="D326" i="1"/>
  <c r="E326" i="1" s="1"/>
  <c r="F326" i="1"/>
  <c r="G326" i="1" s="1"/>
  <c r="H326" i="1"/>
  <c r="J326" i="1"/>
  <c r="R326" i="1" s="1"/>
  <c r="K326" i="1"/>
  <c r="L326" i="1" s="1"/>
  <c r="A23" i="1"/>
  <c r="C301" i="1"/>
  <c r="D301" i="1"/>
  <c r="E301" i="1" s="1"/>
  <c r="F301" i="1"/>
  <c r="G301" i="1" s="1"/>
  <c r="H301" i="1"/>
  <c r="J301" i="1"/>
  <c r="Q301" i="1" s="1"/>
  <c r="K301" i="1"/>
  <c r="L301" i="1" s="1"/>
  <c r="A24" i="1"/>
  <c r="C16" i="1"/>
  <c r="D16" i="1"/>
  <c r="E16" i="1" s="1"/>
  <c r="F16" i="1"/>
  <c r="G16" i="1" s="1"/>
  <c r="H16" i="1"/>
  <c r="J16" i="1"/>
  <c r="K16" i="1"/>
  <c r="L16" i="1" s="1"/>
  <c r="A25" i="1"/>
  <c r="C8" i="1"/>
  <c r="D8" i="1"/>
  <c r="E8" i="1" s="1"/>
  <c r="F8" i="1"/>
  <c r="G8" i="1" s="1"/>
  <c r="H8" i="1"/>
  <c r="J8" i="1"/>
  <c r="K8" i="1"/>
  <c r="L8" i="1" s="1"/>
  <c r="A26" i="1"/>
  <c r="C342" i="1"/>
  <c r="D342" i="1"/>
  <c r="E342" i="1" s="1"/>
  <c r="F342" i="1"/>
  <c r="G342" i="1" s="1"/>
  <c r="H342" i="1"/>
  <c r="J342" i="1"/>
  <c r="K342" i="1"/>
  <c r="L342" i="1" s="1"/>
  <c r="A27" i="1"/>
  <c r="C114" i="1"/>
  <c r="D114" i="1"/>
  <c r="E114" i="1" s="1"/>
  <c r="F114" i="1"/>
  <c r="G114" i="1" s="1"/>
  <c r="H114" i="1"/>
  <c r="J114" i="1"/>
  <c r="Q114" i="1" s="1"/>
  <c r="K114" i="1"/>
  <c r="L114" i="1" s="1"/>
  <c r="A28" i="1"/>
  <c r="C489" i="1"/>
  <c r="D489" i="1"/>
  <c r="E489" i="1" s="1"/>
  <c r="F489" i="1"/>
  <c r="G489" i="1" s="1"/>
  <c r="H489" i="1"/>
  <c r="J489" i="1"/>
  <c r="Q489" i="1" s="1"/>
  <c r="K489" i="1"/>
  <c r="L489" i="1" s="1"/>
  <c r="A29" i="1"/>
  <c r="C221" i="1"/>
  <c r="D221" i="1"/>
  <c r="E221" i="1" s="1"/>
  <c r="F221" i="1"/>
  <c r="G221" i="1" s="1"/>
  <c r="H221" i="1"/>
  <c r="J221" i="1"/>
  <c r="M221" i="1" s="1"/>
  <c r="K221" i="1"/>
  <c r="L221" i="1" s="1"/>
  <c r="A30" i="1"/>
  <c r="C308" i="1"/>
  <c r="D308" i="1"/>
  <c r="E308" i="1" s="1"/>
  <c r="F308" i="1"/>
  <c r="G308" i="1" s="1"/>
  <c r="H308" i="1"/>
  <c r="J308" i="1"/>
  <c r="M308" i="1" s="1"/>
  <c r="K308" i="1"/>
  <c r="L308" i="1" s="1"/>
  <c r="A31" i="1"/>
  <c r="C470" i="1"/>
  <c r="D470" i="1"/>
  <c r="E470" i="1" s="1"/>
  <c r="F470" i="1"/>
  <c r="G470" i="1" s="1"/>
  <c r="H470" i="1"/>
  <c r="J470" i="1"/>
  <c r="K470" i="1"/>
  <c r="L470" i="1" s="1"/>
  <c r="A32" i="1"/>
  <c r="C404" i="1"/>
  <c r="D404" i="1"/>
  <c r="E404" i="1" s="1"/>
  <c r="F404" i="1"/>
  <c r="G404" i="1" s="1"/>
  <c r="H404" i="1"/>
  <c r="J404" i="1"/>
  <c r="Q404" i="1" s="1"/>
  <c r="K404" i="1"/>
  <c r="L404" i="1" s="1"/>
  <c r="A33" i="1"/>
  <c r="C205" i="1"/>
  <c r="D205" i="1"/>
  <c r="E205" i="1" s="1"/>
  <c r="F205" i="1"/>
  <c r="G205" i="1" s="1"/>
  <c r="H205" i="1"/>
  <c r="J205" i="1"/>
  <c r="K205" i="1"/>
  <c r="L205" i="1" s="1"/>
  <c r="A34" i="1"/>
  <c r="C30" i="1"/>
  <c r="D30" i="1"/>
  <c r="E30" i="1" s="1"/>
  <c r="F30" i="1"/>
  <c r="G30" i="1" s="1"/>
  <c r="H30" i="1"/>
  <c r="J30" i="1"/>
  <c r="K30" i="1"/>
  <c r="L30" i="1" s="1"/>
  <c r="A35" i="1"/>
  <c r="C56" i="1"/>
  <c r="D56" i="1"/>
  <c r="E56" i="1" s="1"/>
  <c r="F56" i="1"/>
  <c r="G56" i="1" s="1"/>
  <c r="H56" i="1"/>
  <c r="J56" i="1"/>
  <c r="M56" i="1" s="1"/>
  <c r="K56" i="1"/>
  <c r="L56" i="1" s="1"/>
  <c r="A36" i="1"/>
  <c r="C349" i="1"/>
  <c r="D349" i="1"/>
  <c r="E349" i="1" s="1"/>
  <c r="F349" i="1"/>
  <c r="G349" i="1" s="1"/>
  <c r="H349" i="1"/>
  <c r="J349" i="1"/>
  <c r="R349" i="1" s="1"/>
  <c r="K349" i="1"/>
  <c r="L349" i="1" s="1"/>
  <c r="A37" i="1"/>
  <c r="C352" i="1"/>
  <c r="D352" i="1"/>
  <c r="E352" i="1" s="1"/>
  <c r="F352" i="1"/>
  <c r="G352" i="1" s="1"/>
  <c r="H352" i="1"/>
  <c r="J352" i="1"/>
  <c r="M352" i="1" s="1"/>
  <c r="K352" i="1"/>
  <c r="L352" i="1" s="1"/>
  <c r="A38" i="1"/>
  <c r="C109" i="1"/>
  <c r="D109" i="1"/>
  <c r="E109" i="1" s="1"/>
  <c r="F109" i="1"/>
  <c r="G109" i="1" s="1"/>
  <c r="H109" i="1"/>
  <c r="J109" i="1"/>
  <c r="M109" i="1" s="1"/>
  <c r="K109" i="1"/>
  <c r="L109" i="1" s="1"/>
  <c r="A39" i="1"/>
  <c r="C225" i="1"/>
  <c r="D225" i="1"/>
  <c r="E225" i="1" s="1"/>
  <c r="F225" i="1"/>
  <c r="G225" i="1" s="1"/>
  <c r="H225" i="1"/>
  <c r="J225" i="1"/>
  <c r="R225" i="1" s="1"/>
  <c r="K225" i="1"/>
  <c r="L225" i="1" s="1"/>
  <c r="A40" i="1"/>
  <c r="C103" i="1"/>
  <c r="D103" i="1"/>
  <c r="E103" i="1" s="1"/>
  <c r="F103" i="1"/>
  <c r="G103" i="1" s="1"/>
  <c r="H103" i="1"/>
  <c r="J103" i="1"/>
  <c r="R103" i="1" s="1"/>
  <c r="K103" i="1"/>
  <c r="L103" i="1" s="1"/>
  <c r="A41" i="1"/>
  <c r="B25" i="1" s="1"/>
  <c r="C25" i="1"/>
  <c r="D25" i="1"/>
  <c r="E25" i="1" s="1"/>
  <c r="F25" i="1"/>
  <c r="G25" i="1" s="1"/>
  <c r="H25" i="1"/>
  <c r="J25" i="1"/>
  <c r="R25" i="1" s="1"/>
  <c r="K25" i="1"/>
  <c r="L25" i="1" s="1"/>
  <c r="A42" i="1"/>
  <c r="C250" i="1"/>
  <c r="D250" i="1"/>
  <c r="E250" i="1" s="1"/>
  <c r="F250" i="1"/>
  <c r="G250" i="1" s="1"/>
  <c r="H250" i="1"/>
  <c r="J250" i="1"/>
  <c r="K250" i="1"/>
  <c r="L250" i="1" s="1"/>
  <c r="A43" i="1"/>
  <c r="C409" i="1"/>
  <c r="D409" i="1"/>
  <c r="E409" i="1" s="1"/>
  <c r="F409" i="1"/>
  <c r="G409" i="1" s="1"/>
  <c r="H409" i="1"/>
  <c r="J409" i="1"/>
  <c r="M409" i="1" s="1"/>
  <c r="K409" i="1"/>
  <c r="L409" i="1" s="1"/>
  <c r="A44" i="1"/>
  <c r="C246" i="1"/>
  <c r="D246" i="1"/>
  <c r="E246" i="1" s="1"/>
  <c r="F246" i="1"/>
  <c r="G246" i="1" s="1"/>
  <c r="H246" i="1"/>
  <c r="J246" i="1"/>
  <c r="Q246" i="1" s="1"/>
  <c r="K246" i="1"/>
  <c r="L246" i="1" s="1"/>
  <c r="A45" i="1"/>
  <c r="C423" i="1"/>
  <c r="D423" i="1"/>
  <c r="E423" i="1" s="1"/>
  <c r="F423" i="1"/>
  <c r="G423" i="1" s="1"/>
  <c r="H423" i="1"/>
  <c r="J423" i="1"/>
  <c r="K423" i="1"/>
  <c r="L423" i="1" s="1"/>
  <c r="A46" i="1"/>
  <c r="C259" i="1"/>
  <c r="D259" i="1"/>
  <c r="E259" i="1" s="1"/>
  <c r="F259" i="1"/>
  <c r="G259" i="1" s="1"/>
  <c r="H259" i="1"/>
  <c r="J259" i="1"/>
  <c r="K259" i="1"/>
  <c r="L259" i="1" s="1"/>
  <c r="A47" i="1"/>
  <c r="C439" i="1"/>
  <c r="D439" i="1"/>
  <c r="E439" i="1" s="1"/>
  <c r="F439" i="1"/>
  <c r="G439" i="1" s="1"/>
  <c r="H439" i="1"/>
  <c r="J439" i="1"/>
  <c r="Q439" i="1" s="1"/>
  <c r="K439" i="1"/>
  <c r="L439" i="1" s="1"/>
  <c r="A48" i="1"/>
  <c r="C194" i="1"/>
  <c r="D194" i="1"/>
  <c r="E194" i="1" s="1"/>
  <c r="F194" i="1"/>
  <c r="G194" i="1" s="1"/>
  <c r="H194" i="1"/>
  <c r="J194" i="1"/>
  <c r="K194" i="1"/>
  <c r="L194" i="1" s="1"/>
  <c r="A49" i="1"/>
  <c r="C435" i="1"/>
  <c r="D435" i="1"/>
  <c r="E435" i="1" s="1"/>
  <c r="F435" i="1"/>
  <c r="G435" i="1" s="1"/>
  <c r="H435" i="1"/>
  <c r="J435" i="1"/>
  <c r="R435" i="1" s="1"/>
  <c r="K435" i="1"/>
  <c r="L435" i="1" s="1"/>
  <c r="A50" i="1"/>
  <c r="C23" i="1"/>
  <c r="D23" i="1"/>
  <c r="E23" i="1" s="1"/>
  <c r="F23" i="1"/>
  <c r="G23" i="1" s="1"/>
  <c r="H23" i="1"/>
  <c r="J23" i="1"/>
  <c r="R23" i="1" s="1"/>
  <c r="K23" i="1"/>
  <c r="L23" i="1" s="1"/>
  <c r="A51" i="1"/>
  <c r="C491" i="1"/>
  <c r="D491" i="1"/>
  <c r="E491" i="1" s="1"/>
  <c r="F491" i="1"/>
  <c r="G491" i="1" s="1"/>
  <c r="H491" i="1"/>
  <c r="J491" i="1"/>
  <c r="Q491" i="1" s="1"/>
  <c r="K491" i="1"/>
  <c r="L491" i="1" s="1"/>
  <c r="A52" i="1"/>
  <c r="C236" i="1"/>
  <c r="D236" i="1"/>
  <c r="E236" i="1" s="1"/>
  <c r="F236" i="1"/>
  <c r="G236" i="1" s="1"/>
  <c r="H236" i="1"/>
  <c r="J236" i="1"/>
  <c r="K236" i="1"/>
  <c r="L236" i="1" s="1"/>
  <c r="A53" i="1"/>
  <c r="C337" i="1"/>
  <c r="D337" i="1"/>
  <c r="E337" i="1" s="1"/>
  <c r="F337" i="1"/>
  <c r="G337" i="1" s="1"/>
  <c r="H337" i="1"/>
  <c r="J337" i="1"/>
  <c r="K337" i="1"/>
  <c r="L337" i="1" s="1"/>
  <c r="A54" i="1"/>
  <c r="C73" i="1"/>
  <c r="D73" i="1"/>
  <c r="E73" i="1" s="1"/>
  <c r="F73" i="1"/>
  <c r="G73" i="1" s="1"/>
  <c r="H73" i="1"/>
  <c r="J73" i="1"/>
  <c r="R73" i="1" s="1"/>
  <c r="K73" i="1"/>
  <c r="L73" i="1" s="1"/>
  <c r="A55" i="1"/>
  <c r="C343" i="1"/>
  <c r="D343" i="1"/>
  <c r="E343" i="1" s="1"/>
  <c r="F343" i="1"/>
  <c r="G343" i="1" s="1"/>
  <c r="H343" i="1"/>
  <c r="J343" i="1"/>
  <c r="K343" i="1"/>
  <c r="L343" i="1" s="1"/>
  <c r="A56" i="1"/>
  <c r="C419" i="1"/>
  <c r="D419" i="1"/>
  <c r="E419" i="1" s="1"/>
  <c r="F419" i="1"/>
  <c r="G419" i="1" s="1"/>
  <c r="H419" i="1"/>
  <c r="J419" i="1"/>
  <c r="Q419" i="1" s="1"/>
  <c r="K419" i="1"/>
  <c r="L419" i="1" s="1"/>
  <c r="A57" i="1"/>
  <c r="C362" i="1"/>
  <c r="D362" i="1"/>
  <c r="E362" i="1" s="1"/>
  <c r="F362" i="1"/>
  <c r="G362" i="1" s="1"/>
  <c r="H362" i="1"/>
  <c r="J362" i="1"/>
  <c r="R362" i="1" s="1"/>
  <c r="K362" i="1"/>
  <c r="L362" i="1" s="1"/>
  <c r="A58" i="1"/>
  <c r="C212" i="1"/>
  <c r="D212" i="1"/>
  <c r="E212" i="1" s="1"/>
  <c r="F212" i="1"/>
  <c r="G212" i="1" s="1"/>
  <c r="H212" i="1"/>
  <c r="J212" i="1"/>
  <c r="K212" i="1"/>
  <c r="L212" i="1" s="1"/>
  <c r="A59" i="1"/>
  <c r="C327" i="1"/>
  <c r="D327" i="1"/>
  <c r="E327" i="1" s="1"/>
  <c r="F327" i="1"/>
  <c r="G327" i="1" s="1"/>
  <c r="H327" i="1"/>
  <c r="J327" i="1"/>
  <c r="M327" i="1" s="1"/>
  <c r="K327" i="1"/>
  <c r="L327" i="1" s="1"/>
  <c r="A60" i="1"/>
  <c r="C86" i="1"/>
  <c r="D86" i="1"/>
  <c r="E86" i="1" s="1"/>
  <c r="F86" i="1"/>
  <c r="G86" i="1" s="1"/>
  <c r="H86" i="1"/>
  <c r="J86" i="1"/>
  <c r="K86" i="1"/>
  <c r="L86" i="1" s="1"/>
  <c r="A61" i="1"/>
  <c r="C19" i="1"/>
  <c r="D19" i="1"/>
  <c r="E19" i="1" s="1"/>
  <c r="F19" i="1"/>
  <c r="G19" i="1" s="1"/>
  <c r="H19" i="1"/>
  <c r="J19" i="1"/>
  <c r="Q19" i="1" s="1"/>
  <c r="K19" i="1"/>
  <c r="L19" i="1" s="1"/>
  <c r="A62" i="1"/>
  <c r="C123" i="1"/>
  <c r="D123" i="1"/>
  <c r="E123" i="1" s="1"/>
  <c r="F123" i="1"/>
  <c r="G123" i="1" s="1"/>
  <c r="H123" i="1"/>
  <c r="J123" i="1"/>
  <c r="M123" i="1" s="1"/>
  <c r="K123" i="1"/>
  <c r="L123" i="1" s="1"/>
  <c r="A63" i="1"/>
  <c r="C72" i="1"/>
  <c r="D72" i="1"/>
  <c r="E72" i="1" s="1"/>
  <c r="F72" i="1"/>
  <c r="G72" i="1" s="1"/>
  <c r="H72" i="1"/>
  <c r="J72" i="1"/>
  <c r="K72" i="1"/>
  <c r="L72" i="1" s="1"/>
  <c r="A64" i="1"/>
  <c r="C224" i="1"/>
  <c r="D224" i="1"/>
  <c r="E224" i="1" s="1"/>
  <c r="F224" i="1"/>
  <c r="G224" i="1" s="1"/>
  <c r="H224" i="1"/>
  <c r="J224" i="1"/>
  <c r="Q224" i="1" s="1"/>
  <c r="K224" i="1"/>
  <c r="L224" i="1" s="1"/>
  <c r="A65" i="1"/>
  <c r="C144" i="1"/>
  <c r="D144" i="1"/>
  <c r="E144" i="1" s="1"/>
  <c r="F144" i="1"/>
  <c r="G144" i="1" s="1"/>
  <c r="H144" i="1"/>
  <c r="J144" i="1"/>
  <c r="R144" i="1" s="1"/>
  <c r="K144" i="1"/>
  <c r="L144" i="1" s="1"/>
  <c r="A66" i="1"/>
  <c r="C376" i="1"/>
  <c r="D376" i="1"/>
  <c r="E376" i="1" s="1"/>
  <c r="F376" i="1"/>
  <c r="G376" i="1" s="1"/>
  <c r="H376" i="1"/>
  <c r="J376" i="1"/>
  <c r="R376" i="1" s="1"/>
  <c r="K376" i="1"/>
  <c r="L376" i="1" s="1"/>
  <c r="A67" i="1"/>
  <c r="C251" i="1"/>
  <c r="D251" i="1"/>
  <c r="E251" i="1" s="1"/>
  <c r="F251" i="1"/>
  <c r="G251" i="1" s="1"/>
  <c r="H251" i="1"/>
  <c r="J251" i="1"/>
  <c r="Q251" i="1" s="1"/>
  <c r="K251" i="1"/>
  <c r="L251" i="1" s="1"/>
  <c r="A68" i="1"/>
  <c r="C395" i="1"/>
  <c r="D395" i="1"/>
  <c r="E395" i="1" s="1"/>
  <c r="F395" i="1"/>
  <c r="G395" i="1" s="1"/>
  <c r="H395" i="1"/>
  <c r="J395" i="1"/>
  <c r="K395" i="1"/>
  <c r="L395" i="1" s="1"/>
  <c r="A69" i="1"/>
  <c r="C168" i="1"/>
  <c r="D168" i="1"/>
  <c r="E168" i="1" s="1"/>
  <c r="F168" i="1"/>
  <c r="G168" i="1" s="1"/>
  <c r="H168" i="1"/>
  <c r="J168" i="1"/>
  <c r="K168" i="1"/>
  <c r="L168" i="1" s="1"/>
  <c r="A70" i="1"/>
  <c r="C334" i="1"/>
  <c r="D334" i="1"/>
  <c r="E334" i="1" s="1"/>
  <c r="F334" i="1"/>
  <c r="G334" i="1" s="1"/>
  <c r="H334" i="1"/>
  <c r="J334" i="1"/>
  <c r="K334" i="1"/>
  <c r="L334" i="1" s="1"/>
  <c r="A71" i="1"/>
  <c r="C445" i="1"/>
  <c r="D445" i="1"/>
  <c r="E445" i="1" s="1"/>
  <c r="F445" i="1"/>
  <c r="G445" i="1" s="1"/>
  <c r="H445" i="1"/>
  <c r="J445" i="1"/>
  <c r="K445" i="1"/>
  <c r="L445" i="1" s="1"/>
  <c r="A72" i="1"/>
  <c r="C279" i="1"/>
  <c r="D279" i="1"/>
  <c r="E279" i="1" s="1"/>
  <c r="F279" i="1"/>
  <c r="G279" i="1" s="1"/>
  <c r="H279" i="1"/>
  <c r="J279" i="1"/>
  <c r="R279" i="1" s="1"/>
  <c r="K279" i="1"/>
  <c r="L279" i="1" s="1"/>
  <c r="A73" i="1"/>
  <c r="C7" i="1"/>
  <c r="D7" i="1"/>
  <c r="E7" i="1" s="1"/>
  <c r="F7" i="1"/>
  <c r="G7" i="1" s="1"/>
  <c r="H7" i="1"/>
  <c r="J7" i="1"/>
  <c r="K7" i="1"/>
  <c r="L7" i="1" s="1"/>
  <c r="A74" i="1"/>
  <c r="C332" i="1"/>
  <c r="D332" i="1"/>
  <c r="E332" i="1" s="1"/>
  <c r="F332" i="1"/>
  <c r="G332" i="1" s="1"/>
  <c r="H332" i="1"/>
  <c r="J332" i="1"/>
  <c r="R332" i="1" s="1"/>
  <c r="K332" i="1"/>
  <c r="L332" i="1" s="1"/>
  <c r="A75" i="1"/>
  <c r="C313" i="1"/>
  <c r="D313" i="1"/>
  <c r="E313" i="1" s="1"/>
  <c r="F313" i="1"/>
  <c r="G313" i="1" s="1"/>
  <c r="H313" i="1"/>
  <c r="J313" i="1"/>
  <c r="R313" i="1" s="1"/>
  <c r="K313" i="1"/>
  <c r="L313" i="1" s="1"/>
  <c r="A76" i="1"/>
  <c r="C394" i="1"/>
  <c r="D394" i="1"/>
  <c r="E394" i="1" s="1"/>
  <c r="F394" i="1"/>
  <c r="G394" i="1" s="1"/>
  <c r="H394" i="1"/>
  <c r="J394" i="1"/>
  <c r="K394" i="1"/>
  <c r="L394" i="1" s="1"/>
  <c r="A77" i="1"/>
  <c r="C223" i="1"/>
  <c r="D223" i="1"/>
  <c r="E223" i="1" s="1"/>
  <c r="F223" i="1"/>
  <c r="G223" i="1" s="1"/>
  <c r="H223" i="1"/>
  <c r="J223" i="1"/>
  <c r="K223" i="1"/>
  <c r="L223" i="1" s="1"/>
  <c r="A78" i="1"/>
  <c r="C427" i="1"/>
  <c r="D427" i="1"/>
  <c r="E427" i="1" s="1"/>
  <c r="F427" i="1"/>
  <c r="G427" i="1" s="1"/>
  <c r="H427" i="1"/>
  <c r="J427" i="1"/>
  <c r="K427" i="1"/>
  <c r="L427" i="1" s="1"/>
  <c r="A79" i="1"/>
  <c r="C294" i="1"/>
  <c r="D294" i="1"/>
  <c r="E294" i="1" s="1"/>
  <c r="F294" i="1"/>
  <c r="G294" i="1" s="1"/>
  <c r="H294" i="1"/>
  <c r="J294" i="1"/>
  <c r="Q294" i="1" s="1"/>
  <c r="K294" i="1"/>
  <c r="L294" i="1" s="1"/>
  <c r="A80" i="1"/>
  <c r="C452" i="1"/>
  <c r="D452" i="1"/>
  <c r="E452" i="1" s="1"/>
  <c r="F452" i="1"/>
  <c r="G452" i="1" s="1"/>
  <c r="H452" i="1"/>
  <c r="J452" i="1"/>
  <c r="Q452" i="1" s="1"/>
  <c r="K452" i="1"/>
  <c r="L452" i="1" s="1"/>
  <c r="A81" i="1"/>
  <c r="C153" i="1"/>
  <c r="D153" i="1"/>
  <c r="E153" i="1" s="1"/>
  <c r="F153" i="1"/>
  <c r="G153" i="1" s="1"/>
  <c r="H153" i="1"/>
  <c r="J153" i="1"/>
  <c r="K153" i="1"/>
  <c r="L153" i="1" s="1"/>
  <c r="A82" i="1"/>
  <c r="C27" i="1"/>
  <c r="D27" i="1"/>
  <c r="E27" i="1" s="1"/>
  <c r="F27" i="1"/>
  <c r="G27" i="1" s="1"/>
  <c r="H27" i="1"/>
  <c r="J27" i="1"/>
  <c r="R27" i="1" s="1"/>
  <c r="K27" i="1"/>
  <c r="L27" i="1" s="1"/>
  <c r="A83" i="1"/>
  <c r="C500" i="1"/>
  <c r="D500" i="1"/>
  <c r="E500" i="1" s="1"/>
  <c r="F500" i="1"/>
  <c r="G500" i="1" s="1"/>
  <c r="H500" i="1"/>
  <c r="J500" i="1"/>
  <c r="R500" i="1" s="1"/>
  <c r="K500" i="1"/>
  <c r="L500" i="1" s="1"/>
  <c r="A84" i="1"/>
  <c r="C386" i="1"/>
  <c r="D386" i="1"/>
  <c r="E386" i="1" s="1"/>
  <c r="F386" i="1"/>
  <c r="G386" i="1" s="1"/>
  <c r="H386" i="1"/>
  <c r="J386" i="1"/>
  <c r="R386" i="1" s="1"/>
  <c r="K386" i="1"/>
  <c r="L386" i="1" s="1"/>
  <c r="A85" i="1"/>
  <c r="C391" i="1"/>
  <c r="D391" i="1"/>
  <c r="E391" i="1" s="1"/>
  <c r="F391" i="1"/>
  <c r="G391" i="1" s="1"/>
  <c r="H391" i="1"/>
  <c r="J391" i="1"/>
  <c r="K391" i="1"/>
  <c r="L391" i="1" s="1"/>
  <c r="A86" i="1"/>
  <c r="C283" i="1"/>
  <c r="D283" i="1"/>
  <c r="E283" i="1" s="1"/>
  <c r="F283" i="1"/>
  <c r="G283" i="1" s="1"/>
  <c r="H283" i="1"/>
  <c r="J283" i="1"/>
  <c r="K283" i="1"/>
  <c r="L283" i="1" s="1"/>
  <c r="A87" i="1"/>
  <c r="C239" i="1"/>
  <c r="D239" i="1"/>
  <c r="E239" i="1" s="1"/>
  <c r="F239" i="1"/>
  <c r="G239" i="1" s="1"/>
  <c r="H239" i="1"/>
  <c r="J239" i="1"/>
  <c r="K239" i="1"/>
  <c r="L239" i="1" s="1"/>
  <c r="A88" i="1"/>
  <c r="C346" i="1"/>
  <c r="D346" i="1"/>
  <c r="E346" i="1" s="1"/>
  <c r="F346" i="1"/>
  <c r="G346" i="1" s="1"/>
  <c r="H346" i="1"/>
  <c r="J346" i="1"/>
  <c r="M346" i="1" s="1"/>
  <c r="K346" i="1"/>
  <c r="L346" i="1" s="1"/>
  <c r="A89" i="1"/>
  <c r="C455" i="1"/>
  <c r="D455" i="1"/>
  <c r="E455" i="1" s="1"/>
  <c r="F455" i="1"/>
  <c r="G455" i="1" s="1"/>
  <c r="H455" i="1"/>
  <c r="J455" i="1"/>
  <c r="Q455" i="1" s="1"/>
  <c r="K455" i="1"/>
  <c r="L455" i="1" s="1"/>
  <c r="A90" i="1"/>
  <c r="C416" i="1"/>
  <c r="D416" i="1"/>
  <c r="E416" i="1" s="1"/>
  <c r="F416" i="1"/>
  <c r="G416" i="1" s="1"/>
  <c r="H416" i="1"/>
  <c r="J416" i="1"/>
  <c r="K416" i="1"/>
  <c r="L416" i="1" s="1"/>
  <c r="A91" i="1"/>
  <c r="C410" i="1"/>
  <c r="D410" i="1"/>
  <c r="E410" i="1" s="1"/>
  <c r="F410" i="1"/>
  <c r="G410" i="1" s="1"/>
  <c r="H410" i="1"/>
  <c r="J410" i="1"/>
  <c r="R410" i="1" s="1"/>
  <c r="K410" i="1"/>
  <c r="L410" i="1" s="1"/>
  <c r="A92" i="1"/>
  <c r="C468" i="1"/>
  <c r="D468" i="1"/>
  <c r="E468" i="1" s="1"/>
  <c r="F468" i="1"/>
  <c r="G468" i="1" s="1"/>
  <c r="H468" i="1"/>
  <c r="J468" i="1"/>
  <c r="K468" i="1"/>
  <c r="L468" i="1" s="1"/>
  <c r="A93" i="1"/>
  <c r="C451" i="1"/>
  <c r="D451" i="1"/>
  <c r="E451" i="1" s="1"/>
  <c r="F451" i="1"/>
  <c r="G451" i="1" s="1"/>
  <c r="H451" i="1"/>
  <c r="J451" i="1"/>
  <c r="M451" i="1" s="1"/>
  <c r="K451" i="1"/>
  <c r="L451" i="1" s="1"/>
  <c r="A94" i="1"/>
  <c r="C432" i="1"/>
  <c r="D432" i="1"/>
  <c r="E432" i="1" s="1"/>
  <c r="F432" i="1"/>
  <c r="G432" i="1" s="1"/>
  <c r="H432" i="1"/>
  <c r="J432" i="1"/>
  <c r="R432" i="1" s="1"/>
  <c r="K432" i="1"/>
  <c r="L432" i="1" s="1"/>
  <c r="A95" i="1"/>
  <c r="C232" i="1"/>
  <c r="D232" i="1"/>
  <c r="E232" i="1" s="1"/>
  <c r="F232" i="1"/>
  <c r="G232" i="1" s="1"/>
  <c r="H232" i="1"/>
  <c r="J232" i="1"/>
  <c r="K232" i="1"/>
  <c r="L232" i="1" s="1"/>
  <c r="A96" i="1"/>
  <c r="C126" i="1"/>
  <c r="D126" i="1"/>
  <c r="E126" i="1" s="1"/>
  <c r="F126" i="1"/>
  <c r="G126" i="1" s="1"/>
  <c r="H126" i="1"/>
  <c r="J126" i="1"/>
  <c r="R126" i="1" s="1"/>
  <c r="K126" i="1"/>
  <c r="L126" i="1" s="1"/>
  <c r="A97" i="1"/>
  <c r="C284" i="1"/>
  <c r="D284" i="1"/>
  <c r="E284" i="1" s="1"/>
  <c r="F284" i="1"/>
  <c r="G284" i="1" s="1"/>
  <c r="H284" i="1"/>
  <c r="J284" i="1"/>
  <c r="K284" i="1"/>
  <c r="L284" i="1" s="1"/>
  <c r="A98" i="1"/>
  <c r="C340" i="1"/>
  <c r="D340" i="1"/>
  <c r="E340" i="1" s="1"/>
  <c r="F340" i="1"/>
  <c r="G340" i="1" s="1"/>
  <c r="H340" i="1"/>
  <c r="J340" i="1"/>
  <c r="Q340" i="1" s="1"/>
  <c r="K340" i="1"/>
  <c r="L340" i="1" s="1"/>
  <c r="A99" i="1"/>
  <c r="C137" i="1"/>
  <c r="D137" i="1"/>
  <c r="E137" i="1" s="1"/>
  <c r="F137" i="1"/>
  <c r="G137" i="1" s="1"/>
  <c r="H137" i="1"/>
  <c r="J137" i="1"/>
  <c r="M137" i="1" s="1"/>
  <c r="K137" i="1"/>
  <c r="L137" i="1" s="1"/>
  <c r="A100" i="1"/>
  <c r="C84" i="1"/>
  <c r="D84" i="1"/>
  <c r="E84" i="1" s="1"/>
  <c r="F84" i="1"/>
  <c r="G84" i="1" s="1"/>
  <c r="H84" i="1"/>
  <c r="J84" i="1"/>
  <c r="Q84" i="1" s="1"/>
  <c r="K84" i="1"/>
  <c r="L84" i="1" s="1"/>
  <c r="A101" i="1"/>
  <c r="C117" i="1"/>
  <c r="D117" i="1"/>
  <c r="E117" i="1" s="1"/>
  <c r="F117" i="1"/>
  <c r="G117" i="1" s="1"/>
  <c r="H117" i="1"/>
  <c r="J117" i="1"/>
  <c r="R117" i="1" s="1"/>
  <c r="K117" i="1"/>
  <c r="L117" i="1" s="1"/>
  <c r="A102" i="1"/>
  <c r="C475" i="1"/>
  <c r="D475" i="1"/>
  <c r="E475" i="1" s="1"/>
  <c r="F475" i="1"/>
  <c r="G475" i="1" s="1"/>
  <c r="H475" i="1"/>
  <c r="J475" i="1"/>
  <c r="M475" i="1" s="1"/>
  <c r="K475" i="1"/>
  <c r="L475" i="1" s="1"/>
  <c r="A103" i="1"/>
  <c r="C115" i="1"/>
  <c r="D115" i="1"/>
  <c r="E115" i="1" s="1"/>
  <c r="F115" i="1"/>
  <c r="G115" i="1" s="1"/>
  <c r="H115" i="1"/>
  <c r="J115" i="1"/>
  <c r="M115" i="1" s="1"/>
  <c r="K115" i="1"/>
  <c r="L115" i="1" s="1"/>
  <c r="A104" i="1"/>
  <c r="C171" i="1"/>
  <c r="D171" i="1"/>
  <c r="E171" i="1" s="1"/>
  <c r="F171" i="1"/>
  <c r="G171" i="1" s="1"/>
  <c r="H171" i="1"/>
  <c r="J171" i="1"/>
  <c r="K171" i="1"/>
  <c r="L171" i="1" s="1"/>
  <c r="A105" i="1"/>
  <c r="C441" i="1"/>
  <c r="D441" i="1"/>
  <c r="E441" i="1" s="1"/>
  <c r="F441" i="1"/>
  <c r="G441" i="1" s="1"/>
  <c r="H441" i="1"/>
  <c r="J441" i="1"/>
  <c r="K441" i="1"/>
  <c r="L441" i="1" s="1"/>
  <c r="A106" i="1"/>
  <c r="C297" i="1"/>
  <c r="D297" i="1"/>
  <c r="E297" i="1" s="1"/>
  <c r="F297" i="1"/>
  <c r="G297" i="1" s="1"/>
  <c r="H297" i="1"/>
  <c r="J297" i="1"/>
  <c r="M297" i="1" s="1"/>
  <c r="K297" i="1"/>
  <c r="L297" i="1" s="1"/>
  <c r="A107" i="1"/>
  <c r="C177" i="1"/>
  <c r="D177" i="1"/>
  <c r="E177" i="1" s="1"/>
  <c r="F177" i="1"/>
  <c r="G177" i="1" s="1"/>
  <c r="H177" i="1"/>
  <c r="J177" i="1"/>
  <c r="R177" i="1" s="1"/>
  <c r="K177" i="1"/>
  <c r="L177" i="1" s="1"/>
  <c r="A108" i="1"/>
  <c r="C335" i="1"/>
  <c r="D335" i="1"/>
  <c r="E335" i="1" s="1"/>
  <c r="F335" i="1"/>
  <c r="G335" i="1" s="1"/>
  <c r="H335" i="1"/>
  <c r="J335" i="1"/>
  <c r="K335" i="1"/>
  <c r="L335" i="1" s="1"/>
  <c r="A109" i="1"/>
  <c r="C118" i="1"/>
  <c r="D118" i="1"/>
  <c r="E118" i="1" s="1"/>
  <c r="F118" i="1"/>
  <c r="G118" i="1" s="1"/>
  <c r="H118" i="1"/>
  <c r="J118" i="1"/>
  <c r="M118" i="1" s="1"/>
  <c r="N118" i="1" s="1"/>
  <c r="K118" i="1"/>
  <c r="L118" i="1" s="1"/>
  <c r="A110" i="1"/>
  <c r="C318" i="1"/>
  <c r="D318" i="1"/>
  <c r="E318" i="1" s="1"/>
  <c r="F318" i="1"/>
  <c r="G318" i="1" s="1"/>
  <c r="H318" i="1"/>
  <c r="J318" i="1"/>
  <c r="M318" i="1" s="1"/>
  <c r="K318" i="1"/>
  <c r="L318" i="1" s="1"/>
  <c r="A111" i="1"/>
  <c r="C424" i="1"/>
  <c r="D424" i="1"/>
  <c r="E424" i="1" s="1"/>
  <c r="F424" i="1"/>
  <c r="G424" i="1" s="1"/>
  <c r="H424" i="1"/>
  <c r="J424" i="1"/>
  <c r="K424" i="1"/>
  <c r="L424" i="1" s="1"/>
  <c r="A112" i="1"/>
  <c r="C414" i="1"/>
  <c r="D414" i="1"/>
  <c r="E414" i="1" s="1"/>
  <c r="F414" i="1"/>
  <c r="G414" i="1" s="1"/>
  <c r="H414" i="1"/>
  <c r="J414" i="1"/>
  <c r="K414" i="1"/>
  <c r="L414" i="1" s="1"/>
  <c r="A113" i="1"/>
  <c r="C32" i="1"/>
  <c r="D32" i="1"/>
  <c r="E32" i="1" s="1"/>
  <c r="F32" i="1"/>
  <c r="G32" i="1" s="1"/>
  <c r="H32" i="1"/>
  <c r="J32" i="1"/>
  <c r="M32" i="1" s="1"/>
  <c r="K32" i="1"/>
  <c r="L32" i="1" s="1"/>
  <c r="A114" i="1"/>
  <c r="C411" i="1"/>
  <c r="D411" i="1"/>
  <c r="E411" i="1" s="1"/>
  <c r="F411" i="1"/>
  <c r="G411" i="1" s="1"/>
  <c r="H411" i="1"/>
  <c r="J411" i="1"/>
  <c r="K411" i="1"/>
  <c r="L411" i="1" s="1"/>
  <c r="A115" i="1"/>
  <c r="C292" i="1"/>
  <c r="D292" i="1"/>
  <c r="E292" i="1" s="1"/>
  <c r="F292" i="1"/>
  <c r="G292" i="1" s="1"/>
  <c r="H292" i="1"/>
  <c r="J292" i="1"/>
  <c r="R292" i="1" s="1"/>
  <c r="K292" i="1"/>
  <c r="L292" i="1" s="1"/>
  <c r="A116" i="1"/>
  <c r="C344" i="1"/>
  <c r="D344" i="1"/>
  <c r="E344" i="1" s="1"/>
  <c r="F344" i="1"/>
  <c r="G344" i="1" s="1"/>
  <c r="H344" i="1"/>
  <c r="J344" i="1"/>
  <c r="M344" i="1" s="1"/>
  <c r="K344" i="1"/>
  <c r="L344" i="1" s="1"/>
  <c r="A117" i="1"/>
  <c r="C9" i="1"/>
  <c r="D9" i="1"/>
  <c r="E9" i="1" s="1"/>
  <c r="F9" i="1"/>
  <c r="G9" i="1" s="1"/>
  <c r="H9" i="1"/>
  <c r="J9" i="1"/>
  <c r="K9" i="1"/>
  <c r="L9" i="1" s="1"/>
  <c r="A118" i="1"/>
  <c r="C295" i="1"/>
  <c r="D295" i="1"/>
  <c r="E295" i="1" s="1"/>
  <c r="F295" i="1"/>
  <c r="G295" i="1" s="1"/>
  <c r="H295" i="1"/>
  <c r="J295" i="1"/>
  <c r="Q295" i="1" s="1"/>
  <c r="K295" i="1"/>
  <c r="L295" i="1" s="1"/>
  <c r="A119" i="1"/>
  <c r="C173" i="1"/>
  <c r="D173" i="1"/>
  <c r="E173" i="1" s="1"/>
  <c r="F173" i="1"/>
  <c r="G173" i="1" s="1"/>
  <c r="H173" i="1"/>
  <c r="J173" i="1"/>
  <c r="R173" i="1" s="1"/>
  <c r="K173" i="1"/>
  <c r="L173" i="1" s="1"/>
  <c r="A120" i="1"/>
  <c r="C182" i="1"/>
  <c r="D182" i="1"/>
  <c r="E182" i="1" s="1"/>
  <c r="F182" i="1"/>
  <c r="G182" i="1" s="1"/>
  <c r="H182" i="1"/>
  <c r="J182" i="1"/>
  <c r="M182" i="1" s="1"/>
  <c r="K182" i="1"/>
  <c r="L182" i="1" s="1"/>
  <c r="A121" i="1"/>
  <c r="C505" i="1"/>
  <c r="D505" i="1"/>
  <c r="E505" i="1" s="1"/>
  <c r="F505" i="1"/>
  <c r="G505" i="1" s="1"/>
  <c r="H505" i="1"/>
  <c r="J505" i="1"/>
  <c r="M505" i="1" s="1"/>
  <c r="K505" i="1"/>
  <c r="L505" i="1" s="1"/>
  <c r="A122" i="1"/>
  <c r="C87" i="1"/>
  <c r="D87" i="1"/>
  <c r="E87" i="1" s="1"/>
  <c r="F87" i="1"/>
  <c r="G87" i="1" s="1"/>
  <c r="H87" i="1"/>
  <c r="J87" i="1"/>
  <c r="R87" i="1" s="1"/>
  <c r="K87" i="1"/>
  <c r="L87" i="1" s="1"/>
  <c r="A123" i="1"/>
  <c r="C64" i="1"/>
  <c r="D64" i="1"/>
  <c r="E64" i="1" s="1"/>
  <c r="F64" i="1"/>
  <c r="G64" i="1" s="1"/>
  <c r="H64" i="1"/>
  <c r="J64" i="1"/>
  <c r="K64" i="1"/>
  <c r="L64" i="1" s="1"/>
  <c r="A124" i="1"/>
  <c r="C304" i="1"/>
  <c r="D304" i="1"/>
  <c r="E304" i="1" s="1"/>
  <c r="F304" i="1"/>
  <c r="G304" i="1" s="1"/>
  <c r="H304" i="1"/>
  <c r="J304" i="1"/>
  <c r="K304" i="1"/>
  <c r="L304" i="1" s="1"/>
  <c r="A125" i="1"/>
  <c r="C260" i="1"/>
  <c r="D260" i="1"/>
  <c r="E260" i="1" s="1"/>
  <c r="F260" i="1"/>
  <c r="G260" i="1" s="1"/>
  <c r="H260" i="1"/>
  <c r="J260" i="1"/>
  <c r="M260" i="1" s="1"/>
  <c r="K260" i="1"/>
  <c r="L260" i="1" s="1"/>
  <c r="A126" i="1"/>
  <c r="C257" i="1"/>
  <c r="D257" i="1"/>
  <c r="E257" i="1" s="1"/>
  <c r="F257" i="1"/>
  <c r="G257" i="1" s="1"/>
  <c r="H257" i="1"/>
  <c r="J257" i="1"/>
  <c r="M257" i="1" s="1"/>
  <c r="K257" i="1"/>
  <c r="L257" i="1" s="1"/>
  <c r="A127" i="1"/>
  <c r="C197" i="1"/>
  <c r="D197" i="1"/>
  <c r="E197" i="1" s="1"/>
  <c r="F197" i="1"/>
  <c r="G197" i="1" s="1"/>
  <c r="H197" i="1"/>
  <c r="J197" i="1"/>
  <c r="K197" i="1"/>
  <c r="L197" i="1" s="1"/>
  <c r="A128" i="1"/>
  <c r="C91" i="1"/>
  <c r="D91" i="1"/>
  <c r="E91" i="1" s="1"/>
  <c r="F91" i="1"/>
  <c r="G91" i="1" s="1"/>
  <c r="H91" i="1"/>
  <c r="J91" i="1"/>
  <c r="Q91" i="1" s="1"/>
  <c r="K91" i="1"/>
  <c r="L91" i="1" s="1"/>
  <c r="A129" i="1"/>
  <c r="C415" i="1"/>
  <c r="D415" i="1"/>
  <c r="E415" i="1" s="1"/>
  <c r="F415" i="1"/>
  <c r="G415" i="1" s="1"/>
  <c r="H415" i="1"/>
  <c r="J415" i="1"/>
  <c r="K415" i="1"/>
  <c r="L415" i="1" s="1"/>
  <c r="A130" i="1"/>
  <c r="C214" i="1"/>
  <c r="D214" i="1"/>
  <c r="E214" i="1" s="1"/>
  <c r="F214" i="1"/>
  <c r="G214" i="1" s="1"/>
  <c r="H214" i="1"/>
  <c r="J214" i="1"/>
  <c r="K214" i="1"/>
  <c r="L214" i="1" s="1"/>
  <c r="A131" i="1"/>
  <c r="C193" i="1"/>
  <c r="D193" i="1"/>
  <c r="E193" i="1" s="1"/>
  <c r="F193" i="1"/>
  <c r="G193" i="1" s="1"/>
  <c r="H193" i="1"/>
  <c r="J193" i="1"/>
  <c r="R193" i="1" s="1"/>
  <c r="K193" i="1"/>
  <c r="L193" i="1" s="1"/>
  <c r="A132" i="1"/>
  <c r="C407" i="1"/>
  <c r="D407" i="1"/>
  <c r="E407" i="1" s="1"/>
  <c r="F407" i="1"/>
  <c r="G407" i="1" s="1"/>
  <c r="H407" i="1"/>
  <c r="J407" i="1"/>
  <c r="K407" i="1"/>
  <c r="L407" i="1" s="1"/>
  <c r="A133" i="1"/>
  <c r="C268" i="1"/>
  <c r="D268" i="1"/>
  <c r="E268" i="1" s="1"/>
  <c r="F268" i="1"/>
  <c r="G268" i="1" s="1"/>
  <c r="H268" i="1"/>
  <c r="J268" i="1"/>
  <c r="R268" i="1" s="1"/>
  <c r="K268" i="1"/>
  <c r="L268" i="1" s="1"/>
  <c r="A134" i="1"/>
  <c r="C145" i="1"/>
  <c r="D145" i="1"/>
  <c r="E145" i="1" s="1"/>
  <c r="F145" i="1"/>
  <c r="G145" i="1" s="1"/>
  <c r="H145" i="1"/>
  <c r="J145" i="1"/>
  <c r="K145" i="1"/>
  <c r="L145" i="1" s="1"/>
  <c r="A135" i="1"/>
  <c r="C178" i="1"/>
  <c r="D178" i="1"/>
  <c r="E178" i="1" s="1"/>
  <c r="F178" i="1"/>
  <c r="G178" i="1" s="1"/>
  <c r="H178" i="1"/>
  <c r="J178" i="1"/>
  <c r="K178" i="1"/>
  <c r="L178" i="1" s="1"/>
  <c r="A136" i="1"/>
  <c r="C57" i="1"/>
  <c r="D57" i="1"/>
  <c r="E57" i="1" s="1"/>
  <c r="F57" i="1"/>
  <c r="G57" i="1" s="1"/>
  <c r="H57" i="1"/>
  <c r="J57" i="1"/>
  <c r="M57" i="1" s="1"/>
  <c r="K57" i="1"/>
  <c r="L57" i="1" s="1"/>
  <c r="A137" i="1"/>
  <c r="C434" i="1"/>
  <c r="D434" i="1"/>
  <c r="E434" i="1" s="1"/>
  <c r="F434" i="1"/>
  <c r="G434" i="1" s="1"/>
  <c r="H434" i="1"/>
  <c r="J434" i="1"/>
  <c r="K434" i="1"/>
  <c r="L434" i="1" s="1"/>
  <c r="A138" i="1"/>
  <c r="C377" i="1"/>
  <c r="D377" i="1"/>
  <c r="E377" i="1" s="1"/>
  <c r="F377" i="1"/>
  <c r="G377" i="1" s="1"/>
  <c r="H377" i="1"/>
  <c r="J377" i="1"/>
  <c r="K377" i="1"/>
  <c r="L377" i="1" s="1"/>
  <c r="A139" i="1"/>
  <c r="C375" i="1"/>
  <c r="D375" i="1"/>
  <c r="E375" i="1" s="1"/>
  <c r="F375" i="1"/>
  <c r="G375" i="1" s="1"/>
  <c r="H375" i="1"/>
  <c r="J375" i="1"/>
  <c r="K375" i="1"/>
  <c r="L375" i="1" s="1"/>
  <c r="A140" i="1"/>
  <c r="C383" i="1"/>
  <c r="D383" i="1"/>
  <c r="E383" i="1" s="1"/>
  <c r="F383" i="1"/>
  <c r="G383" i="1" s="1"/>
  <c r="H383" i="1"/>
  <c r="J383" i="1"/>
  <c r="K383" i="1"/>
  <c r="L383" i="1" s="1"/>
  <c r="A141" i="1"/>
  <c r="C490" i="1"/>
  <c r="D490" i="1"/>
  <c r="E490" i="1" s="1"/>
  <c r="F490" i="1"/>
  <c r="G490" i="1" s="1"/>
  <c r="H490" i="1"/>
  <c r="J490" i="1"/>
  <c r="R490" i="1" s="1"/>
  <c r="K490" i="1"/>
  <c r="L490" i="1" s="1"/>
  <c r="A142" i="1"/>
  <c r="C88" i="1"/>
  <c r="D88" i="1"/>
  <c r="E88" i="1" s="1"/>
  <c r="F88" i="1"/>
  <c r="G88" i="1" s="1"/>
  <c r="H88" i="1"/>
  <c r="J88" i="1"/>
  <c r="R88" i="1" s="1"/>
  <c r="K88" i="1"/>
  <c r="L88" i="1" s="1"/>
  <c r="A143" i="1"/>
  <c r="C219" i="1"/>
  <c r="D219" i="1"/>
  <c r="E219" i="1" s="1"/>
  <c r="F219" i="1"/>
  <c r="G219" i="1" s="1"/>
  <c r="H219" i="1"/>
  <c r="J219" i="1"/>
  <c r="K219" i="1"/>
  <c r="L219" i="1" s="1"/>
  <c r="A144" i="1"/>
  <c r="C10" i="1"/>
  <c r="D10" i="1"/>
  <c r="E10" i="1" s="1"/>
  <c r="F10" i="1"/>
  <c r="G10" i="1" s="1"/>
  <c r="H10" i="1"/>
  <c r="J10" i="1"/>
  <c r="Q10" i="1" s="1"/>
  <c r="K10" i="1"/>
  <c r="L10" i="1" s="1"/>
  <c r="A145" i="1"/>
  <c r="C456" i="1"/>
  <c r="D456" i="1"/>
  <c r="E456" i="1" s="1"/>
  <c r="F456" i="1"/>
  <c r="G456" i="1" s="1"/>
  <c r="H456" i="1"/>
  <c r="J456" i="1"/>
  <c r="Q456" i="1" s="1"/>
  <c r="K456" i="1"/>
  <c r="L456" i="1" s="1"/>
  <c r="A146" i="1"/>
  <c r="C206" i="1"/>
  <c r="D206" i="1"/>
  <c r="E206" i="1" s="1"/>
  <c r="F206" i="1"/>
  <c r="G206" i="1" s="1"/>
  <c r="H206" i="1"/>
  <c r="J206" i="1"/>
  <c r="K206" i="1"/>
  <c r="L206" i="1" s="1"/>
  <c r="A147" i="1"/>
  <c r="C28" i="1"/>
  <c r="D28" i="1"/>
  <c r="E28" i="1" s="1"/>
  <c r="F28" i="1"/>
  <c r="G28" i="1" s="1"/>
  <c r="H28" i="1"/>
  <c r="J28" i="1"/>
  <c r="K28" i="1"/>
  <c r="L28" i="1" s="1"/>
  <c r="A148" i="1"/>
  <c r="C11" i="1"/>
  <c r="D11" i="1"/>
  <c r="E11" i="1" s="1"/>
  <c r="F11" i="1"/>
  <c r="G11" i="1" s="1"/>
  <c r="H11" i="1"/>
  <c r="J11" i="1"/>
  <c r="M11" i="1" s="1"/>
  <c r="K11" i="1"/>
  <c r="L11" i="1" s="1"/>
  <c r="A149" i="1"/>
  <c r="C354" i="1"/>
  <c r="D354" i="1"/>
  <c r="E354" i="1" s="1"/>
  <c r="F354" i="1"/>
  <c r="G354" i="1" s="1"/>
  <c r="H354" i="1"/>
  <c r="J354" i="1"/>
  <c r="M354" i="1" s="1"/>
  <c r="N354" i="1" s="1"/>
  <c r="K354" i="1"/>
  <c r="L354" i="1" s="1"/>
  <c r="A150" i="1"/>
  <c r="C124" i="1"/>
  <c r="D124" i="1"/>
  <c r="E124" i="1" s="1"/>
  <c r="F124" i="1"/>
  <c r="G124" i="1" s="1"/>
  <c r="H124" i="1"/>
  <c r="J124" i="1"/>
  <c r="R124" i="1" s="1"/>
  <c r="K124" i="1"/>
  <c r="L124" i="1" s="1"/>
  <c r="A151" i="1"/>
  <c r="C476" i="1"/>
  <c r="D476" i="1"/>
  <c r="E476" i="1" s="1"/>
  <c r="F476" i="1"/>
  <c r="G476" i="1" s="1"/>
  <c r="H476" i="1"/>
  <c r="J476" i="1"/>
  <c r="K476" i="1"/>
  <c r="L476" i="1" s="1"/>
  <c r="A152" i="1"/>
  <c r="C90" i="1"/>
  <c r="D90" i="1"/>
  <c r="E90" i="1" s="1"/>
  <c r="F90" i="1"/>
  <c r="G90" i="1" s="1"/>
  <c r="H90" i="1"/>
  <c r="J90" i="1"/>
  <c r="Q90" i="1" s="1"/>
  <c r="K90" i="1"/>
  <c r="L90" i="1" s="1"/>
  <c r="A153" i="1"/>
  <c r="C155" i="1"/>
  <c r="D155" i="1"/>
  <c r="E155" i="1" s="1"/>
  <c r="AK153" i="1" s="1"/>
  <c r="F155" i="1"/>
  <c r="G155" i="1" s="1"/>
  <c r="H155" i="1"/>
  <c r="J155" i="1"/>
  <c r="K155" i="1"/>
  <c r="L155" i="1" s="1"/>
  <c r="A154" i="1"/>
  <c r="C12" i="1"/>
  <c r="D12" i="1"/>
  <c r="E12" i="1" s="1"/>
  <c r="F12" i="1"/>
  <c r="G12" i="1" s="1"/>
  <c r="H12" i="1"/>
  <c r="J12" i="1"/>
  <c r="K12" i="1"/>
  <c r="L12" i="1" s="1"/>
  <c r="A155" i="1"/>
  <c r="C387" i="1"/>
  <c r="D387" i="1"/>
  <c r="E387" i="1" s="1"/>
  <c r="F387" i="1"/>
  <c r="G387" i="1" s="1"/>
  <c r="H387" i="1"/>
  <c r="J387" i="1"/>
  <c r="M387" i="1" s="1"/>
  <c r="K387" i="1"/>
  <c r="L387" i="1" s="1"/>
  <c r="A156" i="1"/>
  <c r="C242" i="1"/>
  <c r="D242" i="1"/>
  <c r="E242" i="1" s="1"/>
  <c r="F242" i="1"/>
  <c r="G242" i="1" s="1"/>
  <c r="H242" i="1"/>
  <c r="J242" i="1"/>
  <c r="K242" i="1"/>
  <c r="L242" i="1" s="1"/>
  <c r="A157" i="1"/>
  <c r="C484" i="1"/>
  <c r="D484" i="1"/>
  <c r="E484" i="1" s="1"/>
  <c r="F484" i="1"/>
  <c r="G484" i="1" s="1"/>
  <c r="H484" i="1"/>
  <c r="J484" i="1"/>
  <c r="K484" i="1"/>
  <c r="L484" i="1" s="1"/>
  <c r="A158" i="1"/>
  <c r="C350" i="1"/>
  <c r="D350" i="1"/>
  <c r="E350" i="1" s="1"/>
  <c r="F350" i="1"/>
  <c r="G350" i="1" s="1"/>
  <c r="H350" i="1"/>
  <c r="J350" i="1"/>
  <c r="M350" i="1" s="1"/>
  <c r="K350" i="1"/>
  <c r="L350" i="1" s="1"/>
  <c r="A159" i="1"/>
  <c r="C463" i="1"/>
  <c r="D463" i="1"/>
  <c r="E463" i="1" s="1"/>
  <c r="F463" i="1"/>
  <c r="G463" i="1" s="1"/>
  <c r="H463" i="1"/>
  <c r="J463" i="1"/>
  <c r="K463" i="1"/>
  <c r="L463" i="1" s="1"/>
  <c r="A160" i="1"/>
  <c r="C37" i="1"/>
  <c r="D37" i="1"/>
  <c r="E37" i="1" s="1"/>
  <c r="F37" i="1"/>
  <c r="G37" i="1" s="1"/>
  <c r="H37" i="1"/>
  <c r="J37" i="1"/>
  <c r="K37" i="1"/>
  <c r="L37" i="1" s="1"/>
  <c r="A161" i="1"/>
  <c r="C286" i="1"/>
  <c r="D286" i="1"/>
  <c r="E286" i="1" s="1"/>
  <c r="F286" i="1"/>
  <c r="G286" i="1" s="1"/>
  <c r="H286" i="1"/>
  <c r="J286" i="1"/>
  <c r="K286" i="1"/>
  <c r="L286" i="1" s="1"/>
  <c r="A162" i="1"/>
  <c r="C51" i="1"/>
  <c r="D51" i="1"/>
  <c r="E51" i="1" s="1"/>
  <c r="F51" i="1"/>
  <c r="G51" i="1" s="1"/>
  <c r="H51" i="1"/>
  <c r="J51" i="1"/>
  <c r="K51" i="1"/>
  <c r="L51" i="1" s="1"/>
  <c r="A163" i="1"/>
  <c r="C80" i="1"/>
  <c r="D80" i="1"/>
  <c r="E80" i="1" s="1"/>
  <c r="F80" i="1"/>
  <c r="G80" i="1" s="1"/>
  <c r="H80" i="1"/>
  <c r="J80" i="1"/>
  <c r="Q80" i="1" s="1"/>
  <c r="K80" i="1"/>
  <c r="L80" i="1" s="1"/>
  <c r="A164" i="1"/>
  <c r="C41" i="1"/>
  <c r="D41" i="1"/>
  <c r="E41" i="1" s="1"/>
  <c r="F41" i="1"/>
  <c r="G41" i="1" s="1"/>
  <c r="H41" i="1"/>
  <c r="J41" i="1"/>
  <c r="R41" i="1" s="1"/>
  <c r="K41" i="1"/>
  <c r="L41" i="1" s="1"/>
  <c r="A165" i="1"/>
  <c r="C196" i="1"/>
  <c r="D196" i="1"/>
  <c r="E196" i="1" s="1"/>
  <c r="F196" i="1"/>
  <c r="G196" i="1" s="1"/>
  <c r="H196" i="1"/>
  <c r="J196" i="1"/>
  <c r="K196" i="1"/>
  <c r="L196" i="1" s="1"/>
  <c r="A166" i="1"/>
  <c r="C498" i="1"/>
  <c r="D498" i="1"/>
  <c r="E498" i="1" s="1"/>
  <c r="F498" i="1"/>
  <c r="G498" i="1" s="1"/>
  <c r="H498" i="1"/>
  <c r="J498" i="1"/>
  <c r="Q498" i="1" s="1"/>
  <c r="K498" i="1"/>
  <c r="L498" i="1" s="1"/>
  <c r="A167" i="1"/>
  <c r="C430" i="1"/>
  <c r="D430" i="1"/>
  <c r="E430" i="1" s="1"/>
  <c r="F430" i="1"/>
  <c r="G430" i="1" s="1"/>
  <c r="H430" i="1"/>
  <c r="J430" i="1"/>
  <c r="Q430" i="1" s="1"/>
  <c r="K430" i="1"/>
  <c r="L430" i="1" s="1"/>
  <c r="A168" i="1"/>
  <c r="C245" i="1"/>
  <c r="D245" i="1"/>
  <c r="E245" i="1" s="1"/>
  <c r="F245" i="1"/>
  <c r="G245" i="1" s="1"/>
  <c r="H245" i="1"/>
  <c r="J245" i="1"/>
  <c r="Q245" i="1" s="1"/>
  <c r="K245" i="1"/>
  <c r="L245" i="1" s="1"/>
  <c r="A169" i="1"/>
  <c r="C165" i="1"/>
  <c r="D165" i="1"/>
  <c r="E165" i="1" s="1"/>
  <c r="F165" i="1"/>
  <c r="G165" i="1" s="1"/>
  <c r="H165" i="1"/>
  <c r="J165" i="1"/>
  <c r="M165" i="1" s="1"/>
  <c r="K165" i="1"/>
  <c r="L165" i="1" s="1"/>
  <c r="A170" i="1"/>
  <c r="C254" i="1"/>
  <c r="D254" i="1"/>
  <c r="E254" i="1" s="1"/>
  <c r="F254" i="1"/>
  <c r="G254" i="1" s="1"/>
  <c r="H254" i="1"/>
  <c r="J254" i="1"/>
  <c r="M254" i="1" s="1"/>
  <c r="K254" i="1"/>
  <c r="L254" i="1" s="1"/>
  <c r="A171" i="1"/>
  <c r="C309" i="1"/>
  <c r="D309" i="1"/>
  <c r="E309" i="1" s="1"/>
  <c r="F309" i="1"/>
  <c r="G309" i="1" s="1"/>
  <c r="H309" i="1"/>
  <c r="J309" i="1"/>
  <c r="K309" i="1"/>
  <c r="L309" i="1" s="1"/>
  <c r="A172" i="1"/>
  <c r="C102" i="1"/>
  <c r="D102" i="1"/>
  <c r="E102" i="1" s="1"/>
  <c r="F102" i="1"/>
  <c r="G102" i="1" s="1"/>
  <c r="H102" i="1"/>
  <c r="J102" i="1"/>
  <c r="M102" i="1" s="1"/>
  <c r="K102" i="1"/>
  <c r="L102" i="1" s="1"/>
  <c r="A173" i="1"/>
  <c r="C396" i="1"/>
  <c r="D396" i="1"/>
  <c r="E396" i="1" s="1"/>
  <c r="F396" i="1"/>
  <c r="G396" i="1" s="1"/>
  <c r="H396" i="1"/>
  <c r="J396" i="1"/>
  <c r="M396" i="1" s="1"/>
  <c r="K396" i="1"/>
  <c r="L396" i="1" s="1"/>
  <c r="A174" i="1"/>
  <c r="C229" i="1"/>
  <c r="D229" i="1"/>
  <c r="E229" i="1" s="1"/>
  <c r="F229" i="1"/>
  <c r="G229" i="1" s="1"/>
  <c r="H229" i="1"/>
  <c r="J229" i="1"/>
  <c r="K229" i="1"/>
  <c r="L229" i="1" s="1"/>
  <c r="A175" i="1"/>
  <c r="C263" i="1"/>
  <c r="D263" i="1"/>
  <c r="E263" i="1" s="1"/>
  <c r="F263" i="1"/>
  <c r="G263" i="1" s="1"/>
  <c r="H263" i="1"/>
  <c r="J263" i="1"/>
  <c r="K263" i="1"/>
  <c r="L263" i="1" s="1"/>
  <c r="A176" i="1"/>
  <c r="C163" i="1"/>
  <c r="D163" i="1"/>
  <c r="E163" i="1" s="1"/>
  <c r="F163" i="1"/>
  <c r="G163" i="1" s="1"/>
  <c r="H163" i="1"/>
  <c r="J163" i="1"/>
  <c r="K163" i="1"/>
  <c r="L163" i="1" s="1"/>
  <c r="A177" i="1"/>
  <c r="C293" i="1"/>
  <c r="D293" i="1"/>
  <c r="E293" i="1" s="1"/>
  <c r="F293" i="1"/>
  <c r="G293" i="1" s="1"/>
  <c r="H293" i="1"/>
  <c r="J293" i="1"/>
  <c r="R293" i="1" s="1"/>
  <c r="K293" i="1"/>
  <c r="L293" i="1" s="1"/>
  <c r="A178" i="1"/>
  <c r="C364" i="1"/>
  <c r="D364" i="1"/>
  <c r="E364" i="1" s="1"/>
  <c r="F364" i="1"/>
  <c r="G364" i="1" s="1"/>
  <c r="H364" i="1"/>
  <c r="J364" i="1"/>
  <c r="K364" i="1"/>
  <c r="L364" i="1" s="1"/>
  <c r="A179" i="1"/>
  <c r="C314" i="1"/>
  <c r="D314" i="1"/>
  <c r="E314" i="1" s="1"/>
  <c r="F314" i="1"/>
  <c r="G314" i="1" s="1"/>
  <c r="H314" i="1"/>
  <c r="J314" i="1"/>
  <c r="R314" i="1" s="1"/>
  <c r="K314" i="1"/>
  <c r="L314" i="1" s="1"/>
  <c r="A180" i="1"/>
  <c r="C24" i="1"/>
  <c r="D24" i="1"/>
  <c r="E24" i="1" s="1"/>
  <c r="F24" i="1"/>
  <c r="G24" i="1" s="1"/>
  <c r="H24" i="1"/>
  <c r="J24" i="1"/>
  <c r="M24" i="1" s="1"/>
  <c r="K24" i="1"/>
  <c r="L24" i="1" s="1"/>
  <c r="A181" i="1"/>
  <c r="C215" i="1"/>
  <c r="D215" i="1"/>
  <c r="E215" i="1" s="1"/>
  <c r="F215" i="1"/>
  <c r="G215" i="1" s="1"/>
  <c r="H215" i="1"/>
  <c r="J215" i="1"/>
  <c r="R215" i="1" s="1"/>
  <c r="K215" i="1"/>
  <c r="L215" i="1" s="1"/>
  <c r="A182" i="1"/>
  <c r="C366" i="1"/>
  <c r="D366" i="1"/>
  <c r="E366" i="1" s="1"/>
  <c r="F366" i="1"/>
  <c r="G366" i="1" s="1"/>
  <c r="H366" i="1"/>
  <c r="J366" i="1"/>
  <c r="M366" i="1" s="1"/>
  <c r="N366" i="1" s="1"/>
  <c r="K366" i="1"/>
  <c r="L366" i="1" s="1"/>
  <c r="A183" i="1"/>
  <c r="C234" i="1"/>
  <c r="D234" i="1"/>
  <c r="E234" i="1" s="1"/>
  <c r="F234" i="1"/>
  <c r="G234" i="1" s="1"/>
  <c r="H234" i="1"/>
  <c r="J234" i="1"/>
  <c r="K234" i="1"/>
  <c r="L234" i="1" s="1"/>
  <c r="A184" i="1"/>
  <c r="C277" i="1"/>
  <c r="D277" i="1"/>
  <c r="E277" i="1" s="1"/>
  <c r="F277" i="1"/>
  <c r="G277" i="1" s="1"/>
  <c r="H277" i="1"/>
  <c r="J277" i="1"/>
  <c r="K277" i="1"/>
  <c r="L277" i="1" s="1"/>
  <c r="A185" i="1"/>
  <c r="C22" i="1"/>
  <c r="D22" i="1"/>
  <c r="E22" i="1" s="1"/>
  <c r="F22" i="1"/>
  <c r="G22" i="1" s="1"/>
  <c r="H22" i="1"/>
  <c r="J22" i="1"/>
  <c r="K22" i="1"/>
  <c r="L22" i="1" s="1"/>
  <c r="A186" i="1"/>
  <c r="C44" i="1"/>
  <c r="D44" i="1"/>
  <c r="E44" i="1" s="1"/>
  <c r="F44" i="1"/>
  <c r="G44" i="1" s="1"/>
  <c r="H44" i="1"/>
  <c r="J44" i="1"/>
  <c r="K44" i="1"/>
  <c r="L44" i="1" s="1"/>
  <c r="A187" i="1"/>
  <c r="C319" i="1"/>
  <c r="D319" i="1"/>
  <c r="E319" i="1" s="1"/>
  <c r="F319" i="1"/>
  <c r="G319" i="1" s="1"/>
  <c r="H319" i="1"/>
  <c r="J319" i="1"/>
  <c r="K319" i="1"/>
  <c r="L319" i="1" s="1"/>
  <c r="A188" i="1"/>
  <c r="C371" i="1"/>
  <c r="D371" i="1"/>
  <c r="E371" i="1" s="1"/>
  <c r="F371" i="1"/>
  <c r="G371" i="1" s="1"/>
  <c r="H371" i="1"/>
  <c r="J371" i="1"/>
  <c r="Q371" i="1" s="1"/>
  <c r="K371" i="1"/>
  <c r="L371" i="1" s="1"/>
  <c r="A189" i="1"/>
  <c r="C499" i="1"/>
  <c r="D499" i="1"/>
  <c r="E499" i="1" s="1"/>
  <c r="F499" i="1"/>
  <c r="G499" i="1" s="1"/>
  <c r="H499" i="1"/>
  <c r="J499" i="1"/>
  <c r="Q499" i="1" s="1"/>
  <c r="K499" i="1"/>
  <c r="L499" i="1" s="1"/>
  <c r="A190" i="1"/>
  <c r="C127" i="1"/>
  <c r="D127" i="1"/>
  <c r="E127" i="1" s="1"/>
  <c r="F127" i="1"/>
  <c r="G127" i="1" s="1"/>
  <c r="H127" i="1"/>
  <c r="J127" i="1"/>
  <c r="R127" i="1" s="1"/>
  <c r="K127" i="1"/>
  <c r="L127" i="1" s="1"/>
  <c r="A191" i="1"/>
  <c r="C172" i="1"/>
  <c r="D172" i="1"/>
  <c r="E172" i="1" s="1"/>
  <c r="F172" i="1"/>
  <c r="G172" i="1" s="1"/>
  <c r="H172" i="1"/>
  <c r="J172" i="1"/>
  <c r="R172" i="1" s="1"/>
  <c r="K172" i="1"/>
  <c r="L172" i="1" s="1"/>
  <c r="A192" i="1"/>
  <c r="C61" i="1"/>
  <c r="D61" i="1"/>
  <c r="E61" i="1" s="1"/>
  <c r="F61" i="1"/>
  <c r="G61" i="1" s="1"/>
  <c r="H61" i="1"/>
  <c r="J61" i="1"/>
  <c r="Q61" i="1" s="1"/>
  <c r="K61" i="1"/>
  <c r="L61" i="1" s="1"/>
  <c r="A193" i="1"/>
  <c r="C158" i="1"/>
  <c r="D158" i="1"/>
  <c r="E158" i="1" s="1"/>
  <c r="F158" i="1"/>
  <c r="G158" i="1" s="1"/>
  <c r="H158" i="1"/>
  <c r="J158" i="1"/>
  <c r="K158" i="1"/>
  <c r="L158" i="1" s="1"/>
  <c r="A194" i="1"/>
  <c r="C249" i="1"/>
  <c r="D249" i="1"/>
  <c r="E249" i="1" s="1"/>
  <c r="F249" i="1"/>
  <c r="G249" i="1" s="1"/>
  <c r="H249" i="1"/>
  <c r="J249" i="1"/>
  <c r="K249" i="1"/>
  <c r="L249" i="1" s="1"/>
  <c r="A195" i="1"/>
  <c r="C378" i="1"/>
  <c r="D378" i="1"/>
  <c r="E378" i="1" s="1"/>
  <c r="F378" i="1"/>
  <c r="G378" i="1" s="1"/>
  <c r="H378" i="1"/>
  <c r="J378" i="1"/>
  <c r="Q378" i="1" s="1"/>
  <c r="K378" i="1"/>
  <c r="L378" i="1" s="1"/>
  <c r="A196" i="1"/>
  <c r="C446" i="1"/>
  <c r="D446" i="1"/>
  <c r="E446" i="1" s="1"/>
  <c r="F446" i="1"/>
  <c r="G446" i="1" s="1"/>
  <c r="H446" i="1"/>
  <c r="J446" i="1"/>
  <c r="R446" i="1" s="1"/>
  <c r="K446" i="1"/>
  <c r="L446" i="1" s="1"/>
  <c r="A197" i="1"/>
  <c r="C433" i="1"/>
  <c r="D433" i="1"/>
  <c r="E433" i="1" s="1"/>
  <c r="F433" i="1"/>
  <c r="G433" i="1" s="1"/>
  <c r="H433" i="1"/>
  <c r="J433" i="1"/>
  <c r="K433" i="1"/>
  <c r="L433" i="1" s="1"/>
  <c r="A198" i="1"/>
  <c r="C485" i="1"/>
  <c r="D485" i="1"/>
  <c r="E485" i="1" s="1"/>
  <c r="F485" i="1"/>
  <c r="G485" i="1" s="1"/>
  <c r="H485" i="1"/>
  <c r="J485" i="1"/>
  <c r="R485" i="1" s="1"/>
  <c r="K485" i="1"/>
  <c r="L485" i="1" s="1"/>
  <c r="A199" i="1"/>
  <c r="C392" i="1"/>
  <c r="D392" i="1"/>
  <c r="E392" i="1" s="1"/>
  <c r="F392" i="1"/>
  <c r="G392" i="1" s="1"/>
  <c r="H392" i="1"/>
  <c r="J392" i="1"/>
  <c r="K392" i="1"/>
  <c r="L392" i="1" s="1"/>
  <c r="A200" i="1"/>
  <c r="C478" i="1"/>
  <c r="D478" i="1"/>
  <c r="E478" i="1" s="1"/>
  <c r="F478" i="1"/>
  <c r="G478" i="1" s="1"/>
  <c r="H478" i="1"/>
  <c r="J478" i="1"/>
  <c r="K478" i="1"/>
  <c r="L478" i="1" s="1"/>
  <c r="A201" i="1"/>
  <c r="B121" i="1" s="1"/>
  <c r="C121" i="1"/>
  <c r="D121" i="1"/>
  <c r="E121" i="1" s="1"/>
  <c r="F121" i="1"/>
  <c r="G121" i="1" s="1"/>
  <c r="H121" i="1"/>
  <c r="J121" i="1"/>
  <c r="K121" i="1"/>
  <c r="L121" i="1" s="1"/>
  <c r="A202" i="1"/>
  <c r="C442" i="1"/>
  <c r="D442" i="1"/>
  <c r="E442" i="1" s="1"/>
  <c r="F442" i="1"/>
  <c r="G442" i="1" s="1"/>
  <c r="H442" i="1"/>
  <c r="J442" i="1"/>
  <c r="K442" i="1"/>
  <c r="L442" i="1" s="1"/>
  <c r="A203" i="1"/>
  <c r="C436" i="1"/>
  <c r="D436" i="1"/>
  <c r="E436" i="1" s="1"/>
  <c r="F436" i="1"/>
  <c r="G436" i="1" s="1"/>
  <c r="H436" i="1"/>
  <c r="J436" i="1"/>
  <c r="M436" i="1" s="1"/>
  <c r="K436" i="1"/>
  <c r="L436" i="1" s="1"/>
  <c r="A204" i="1"/>
  <c r="C111" i="1"/>
  <c r="D111" i="1"/>
  <c r="E111" i="1" s="1"/>
  <c r="F111" i="1"/>
  <c r="G111" i="1" s="1"/>
  <c r="H111" i="1"/>
  <c r="J111" i="1"/>
  <c r="K111" i="1"/>
  <c r="L111" i="1" s="1"/>
  <c r="A205" i="1"/>
  <c r="C400" i="1"/>
  <c r="D400" i="1"/>
  <c r="E400" i="1" s="1"/>
  <c r="F400" i="1"/>
  <c r="G400" i="1" s="1"/>
  <c r="H400" i="1"/>
  <c r="J400" i="1"/>
  <c r="Q400" i="1" s="1"/>
  <c r="K400" i="1"/>
  <c r="L400" i="1" s="1"/>
  <c r="A206" i="1"/>
  <c r="C487" i="1"/>
  <c r="D487" i="1"/>
  <c r="E487" i="1" s="1"/>
  <c r="F487" i="1"/>
  <c r="G487" i="1" s="1"/>
  <c r="H487" i="1"/>
  <c r="J487" i="1"/>
  <c r="R487" i="1" s="1"/>
  <c r="K487" i="1"/>
  <c r="L487" i="1" s="1"/>
  <c r="A207" i="1"/>
  <c r="C504" i="1"/>
  <c r="D504" i="1"/>
  <c r="E504" i="1" s="1"/>
  <c r="F504" i="1"/>
  <c r="G504" i="1" s="1"/>
  <c r="H504" i="1"/>
  <c r="J504" i="1"/>
  <c r="K504" i="1"/>
  <c r="L504" i="1" s="1"/>
  <c r="A208" i="1"/>
  <c r="C108" i="1"/>
  <c r="D108" i="1"/>
  <c r="E108" i="1" s="1"/>
  <c r="F108" i="1"/>
  <c r="G108" i="1" s="1"/>
  <c r="H108" i="1"/>
  <c r="J108" i="1"/>
  <c r="K108" i="1"/>
  <c r="L108" i="1" s="1"/>
  <c r="A209" i="1"/>
  <c r="C401" i="1"/>
  <c r="D401" i="1"/>
  <c r="E401" i="1" s="1"/>
  <c r="F401" i="1"/>
  <c r="G401" i="1" s="1"/>
  <c r="H401" i="1"/>
  <c r="J401" i="1"/>
  <c r="K401" i="1"/>
  <c r="L401" i="1" s="1"/>
  <c r="A210" i="1"/>
  <c r="C256" i="1"/>
  <c r="D256" i="1"/>
  <c r="E256" i="1" s="1"/>
  <c r="F256" i="1"/>
  <c r="G256" i="1" s="1"/>
  <c r="H256" i="1"/>
  <c r="J256" i="1"/>
  <c r="M256" i="1" s="1"/>
  <c r="K256" i="1"/>
  <c r="L256" i="1" s="1"/>
  <c r="A211" i="1"/>
  <c r="C461" i="1"/>
  <c r="D461" i="1"/>
  <c r="E461" i="1" s="1"/>
  <c r="F461" i="1"/>
  <c r="G461" i="1" s="1"/>
  <c r="H461" i="1"/>
  <c r="J461" i="1"/>
  <c r="Q461" i="1" s="1"/>
  <c r="K461" i="1"/>
  <c r="L461" i="1" s="1"/>
  <c r="A212" i="1"/>
  <c r="C162" i="1"/>
  <c r="D162" i="1"/>
  <c r="E162" i="1" s="1"/>
  <c r="F162" i="1"/>
  <c r="G162" i="1" s="1"/>
  <c r="H162" i="1"/>
  <c r="J162" i="1"/>
  <c r="K162" i="1"/>
  <c r="L162" i="1" s="1"/>
  <c r="A213" i="1"/>
  <c r="C218" i="1"/>
  <c r="D218" i="1"/>
  <c r="E218" i="1" s="1"/>
  <c r="F218" i="1"/>
  <c r="G218" i="1" s="1"/>
  <c r="H218" i="1"/>
  <c r="J218" i="1"/>
  <c r="Q218" i="1" s="1"/>
  <c r="K218" i="1"/>
  <c r="L218" i="1" s="1"/>
  <c r="A214" i="1"/>
  <c r="C202" i="1"/>
  <c r="D202" i="1"/>
  <c r="E202" i="1" s="1"/>
  <c r="F202" i="1"/>
  <c r="G202" i="1" s="1"/>
  <c r="H202" i="1"/>
  <c r="J202" i="1"/>
  <c r="M202" i="1" s="1"/>
  <c r="K202" i="1"/>
  <c r="L202" i="1" s="1"/>
  <c r="A215" i="1"/>
  <c r="C228" i="1"/>
  <c r="D228" i="1"/>
  <c r="E228" i="1" s="1"/>
  <c r="F228" i="1"/>
  <c r="G228" i="1" s="1"/>
  <c r="H228" i="1"/>
  <c r="J228" i="1"/>
  <c r="K228" i="1"/>
  <c r="L228" i="1" s="1"/>
  <c r="A216" i="1"/>
  <c r="C146" i="1"/>
  <c r="D146" i="1"/>
  <c r="E146" i="1" s="1"/>
  <c r="F146" i="1"/>
  <c r="G146" i="1" s="1"/>
  <c r="H146" i="1"/>
  <c r="J146" i="1"/>
  <c r="M146" i="1" s="1"/>
  <c r="K146" i="1"/>
  <c r="L146" i="1" s="1"/>
  <c r="A217" i="1"/>
  <c r="C300" i="1"/>
  <c r="D300" i="1"/>
  <c r="E300" i="1" s="1"/>
  <c r="F300" i="1"/>
  <c r="G300" i="1" s="1"/>
  <c r="H300" i="1"/>
  <c r="J300" i="1"/>
  <c r="K300" i="1"/>
  <c r="L300" i="1" s="1"/>
  <c r="A218" i="1"/>
  <c r="C420" i="1"/>
  <c r="D420" i="1"/>
  <c r="E420" i="1" s="1"/>
  <c r="F420" i="1"/>
  <c r="G420" i="1" s="1"/>
  <c r="H420" i="1"/>
  <c r="J420" i="1"/>
  <c r="K420" i="1"/>
  <c r="L420" i="1" s="1"/>
  <c r="A219" i="1"/>
  <c r="C458" i="1"/>
  <c r="D458" i="1"/>
  <c r="E458" i="1" s="1"/>
  <c r="F458" i="1"/>
  <c r="G458" i="1" s="1"/>
  <c r="H458" i="1"/>
  <c r="J458" i="1"/>
  <c r="M458" i="1" s="1"/>
  <c r="K458" i="1"/>
  <c r="L458" i="1" s="1"/>
  <c r="A220" i="1"/>
  <c r="C486" i="1"/>
  <c r="D486" i="1"/>
  <c r="E486" i="1" s="1"/>
  <c r="F486" i="1"/>
  <c r="G486" i="1" s="1"/>
  <c r="H486" i="1"/>
  <c r="J486" i="1"/>
  <c r="M486" i="1" s="1"/>
  <c r="K486" i="1"/>
  <c r="L486" i="1" s="1"/>
  <c r="A221" i="1"/>
  <c r="C467" i="1"/>
  <c r="D467" i="1"/>
  <c r="E467" i="1" s="1"/>
  <c r="F467" i="1"/>
  <c r="G467" i="1" s="1"/>
  <c r="H467" i="1"/>
  <c r="J467" i="1"/>
  <c r="Q467" i="1" s="1"/>
  <c r="K467" i="1"/>
  <c r="L467" i="1" s="1"/>
  <c r="A222" i="1"/>
  <c r="C479" i="1"/>
  <c r="D479" i="1"/>
  <c r="E479" i="1" s="1"/>
  <c r="F479" i="1"/>
  <c r="G479" i="1" s="1"/>
  <c r="H479" i="1"/>
  <c r="J479" i="1"/>
  <c r="K479" i="1"/>
  <c r="L479" i="1" s="1"/>
  <c r="A223" i="1"/>
  <c r="C459" i="1"/>
  <c r="D459" i="1"/>
  <c r="E459" i="1" s="1"/>
  <c r="F459" i="1"/>
  <c r="G459" i="1" s="1"/>
  <c r="H459" i="1"/>
  <c r="J459" i="1"/>
  <c r="R459" i="1" s="1"/>
  <c r="K459" i="1"/>
  <c r="L459" i="1" s="1"/>
  <c r="A224" i="1"/>
  <c r="C140" i="1"/>
  <c r="D140" i="1"/>
  <c r="E140" i="1" s="1"/>
  <c r="F140" i="1"/>
  <c r="G140" i="1" s="1"/>
  <c r="H140" i="1"/>
  <c r="J140" i="1"/>
  <c r="Q140" i="1" s="1"/>
  <c r="K140" i="1"/>
  <c r="L140" i="1" s="1"/>
  <c r="A225" i="1"/>
  <c r="C230" i="1"/>
  <c r="D230" i="1"/>
  <c r="E230" i="1" s="1"/>
  <c r="F230" i="1"/>
  <c r="G230" i="1" s="1"/>
  <c r="H230" i="1"/>
  <c r="J230" i="1"/>
  <c r="K230" i="1"/>
  <c r="L230" i="1" s="1"/>
  <c r="A226" i="1"/>
  <c r="C310" i="1"/>
  <c r="D310" i="1"/>
  <c r="E310" i="1" s="1"/>
  <c r="F310" i="1"/>
  <c r="G310" i="1" s="1"/>
  <c r="H310" i="1"/>
  <c r="J310" i="1"/>
  <c r="M310" i="1" s="1"/>
  <c r="K310" i="1"/>
  <c r="L310" i="1" s="1"/>
  <c r="A227" i="1"/>
  <c r="C97" i="1"/>
  <c r="D97" i="1"/>
  <c r="E97" i="1" s="1"/>
  <c r="F97" i="1"/>
  <c r="G97" i="1" s="1"/>
  <c r="H97" i="1"/>
  <c r="J97" i="1"/>
  <c r="M97" i="1" s="1"/>
  <c r="K97" i="1"/>
  <c r="L97" i="1" s="1"/>
  <c r="A228" i="1"/>
  <c r="C17" i="1"/>
  <c r="D17" i="1"/>
  <c r="E17" i="1" s="1"/>
  <c r="F17" i="1"/>
  <c r="G17" i="1" s="1"/>
  <c r="H17" i="1"/>
  <c r="J17" i="1"/>
  <c r="K17" i="1"/>
  <c r="L17" i="1" s="1"/>
  <c r="A229" i="1"/>
  <c r="C98" i="1"/>
  <c r="D98" i="1"/>
  <c r="E98" i="1" s="1"/>
  <c r="F98" i="1"/>
  <c r="G98" i="1" s="1"/>
  <c r="H98" i="1"/>
  <c r="J98" i="1"/>
  <c r="R98" i="1" s="1"/>
  <c r="K98" i="1"/>
  <c r="L98" i="1" s="1"/>
  <c r="A230" i="1"/>
  <c r="B198" i="1" s="1"/>
  <c r="C198" i="1"/>
  <c r="D198" i="1"/>
  <c r="E198" i="1" s="1"/>
  <c r="F198" i="1"/>
  <c r="G198" i="1" s="1"/>
  <c r="H198" i="1"/>
  <c r="J198" i="1"/>
  <c r="Q198" i="1" s="1"/>
  <c r="K198" i="1"/>
  <c r="L198" i="1" s="1"/>
  <c r="A231" i="1"/>
  <c r="C287" i="1"/>
  <c r="D287" i="1"/>
  <c r="E287" i="1" s="1"/>
  <c r="F287" i="1"/>
  <c r="G287" i="1" s="1"/>
  <c r="H287" i="1"/>
  <c r="J287" i="1"/>
  <c r="K287" i="1"/>
  <c r="L287" i="1" s="1"/>
  <c r="A232" i="1"/>
  <c r="C99" i="1"/>
  <c r="D99" i="1"/>
  <c r="E99" i="1" s="1"/>
  <c r="F99" i="1"/>
  <c r="G99" i="1" s="1"/>
  <c r="H99" i="1"/>
  <c r="J99" i="1"/>
  <c r="M99" i="1" s="1"/>
  <c r="K99" i="1"/>
  <c r="L99" i="1" s="1"/>
  <c r="A233" i="1"/>
  <c r="C20" i="1"/>
  <c r="D20" i="1"/>
  <c r="E20" i="1" s="1"/>
  <c r="F20" i="1"/>
  <c r="G20" i="1" s="1"/>
  <c r="H20" i="1"/>
  <c r="J20" i="1"/>
  <c r="K20" i="1"/>
  <c r="L20" i="1" s="1"/>
  <c r="A234" i="1"/>
  <c r="C175" i="1"/>
  <c r="D175" i="1"/>
  <c r="E175" i="1" s="1"/>
  <c r="F175" i="1"/>
  <c r="G175" i="1" s="1"/>
  <c r="H175" i="1"/>
  <c r="J175" i="1"/>
  <c r="Q175" i="1" s="1"/>
  <c r="K175" i="1"/>
  <c r="L175" i="1" s="1"/>
  <c r="A235" i="1"/>
  <c r="C368" i="1"/>
  <c r="D368" i="1"/>
  <c r="E368" i="1" s="1"/>
  <c r="F368" i="1"/>
  <c r="G368" i="1" s="1"/>
  <c r="H368" i="1"/>
  <c r="J368" i="1"/>
  <c r="Q368" i="1" s="1"/>
  <c r="K368" i="1"/>
  <c r="L368" i="1" s="1"/>
  <c r="A236" i="1"/>
  <c r="C408" i="1"/>
  <c r="D408" i="1"/>
  <c r="E408" i="1" s="1"/>
  <c r="F408" i="1"/>
  <c r="G408" i="1" s="1"/>
  <c r="H408" i="1"/>
  <c r="J408" i="1"/>
  <c r="M408" i="1" s="1"/>
  <c r="K408" i="1"/>
  <c r="L408" i="1" s="1"/>
  <c r="A237" i="1"/>
  <c r="C68" i="1"/>
  <c r="D68" i="1"/>
  <c r="E68" i="1" s="1"/>
  <c r="F68" i="1"/>
  <c r="G68" i="1" s="1"/>
  <c r="H68" i="1"/>
  <c r="J68" i="1"/>
  <c r="Q68" i="1" s="1"/>
  <c r="K68" i="1"/>
  <c r="L68" i="1" s="1"/>
  <c r="A238" i="1"/>
  <c r="C77" i="1"/>
  <c r="D77" i="1"/>
  <c r="E77" i="1" s="1"/>
  <c r="F77" i="1"/>
  <c r="G77" i="1" s="1"/>
  <c r="H77" i="1"/>
  <c r="J77" i="1"/>
  <c r="K77" i="1"/>
  <c r="L77" i="1" s="1"/>
  <c r="A239" i="1"/>
  <c r="C482" i="1"/>
  <c r="D482" i="1"/>
  <c r="E482" i="1" s="1"/>
  <c r="F482" i="1"/>
  <c r="G482" i="1" s="1"/>
  <c r="H482" i="1"/>
  <c r="J482" i="1"/>
  <c r="M482" i="1" s="1"/>
  <c r="K482" i="1"/>
  <c r="L482" i="1" s="1"/>
  <c r="A240" i="1"/>
  <c r="C450" i="1"/>
  <c r="D450" i="1"/>
  <c r="E450" i="1" s="1"/>
  <c r="F450" i="1"/>
  <c r="G450" i="1" s="1"/>
  <c r="H450" i="1"/>
  <c r="J450" i="1"/>
  <c r="R450" i="1" s="1"/>
  <c r="K450" i="1"/>
  <c r="L450" i="1" s="1"/>
  <c r="A241" i="1"/>
  <c r="C477" i="1"/>
  <c r="D477" i="1"/>
  <c r="E477" i="1" s="1"/>
  <c r="F477" i="1"/>
  <c r="G477" i="1" s="1"/>
  <c r="H477" i="1"/>
  <c r="J477" i="1"/>
  <c r="K477" i="1"/>
  <c r="L477" i="1" s="1"/>
  <c r="A242" i="1"/>
  <c r="C367" i="1"/>
  <c r="D367" i="1"/>
  <c r="E367" i="1" s="1"/>
  <c r="F367" i="1"/>
  <c r="G367" i="1" s="1"/>
  <c r="H367" i="1"/>
  <c r="J367" i="1"/>
  <c r="K367" i="1"/>
  <c r="L367" i="1" s="1"/>
  <c r="A243" i="1"/>
  <c r="C190" i="1"/>
  <c r="D190" i="1"/>
  <c r="E190" i="1" s="1"/>
  <c r="F190" i="1"/>
  <c r="G190" i="1" s="1"/>
  <c r="H190" i="1"/>
  <c r="J190" i="1"/>
  <c r="K190" i="1"/>
  <c r="L190" i="1" s="1"/>
  <c r="A244" i="1"/>
  <c r="C460" i="1"/>
  <c r="D460" i="1"/>
  <c r="E460" i="1" s="1"/>
  <c r="F460" i="1"/>
  <c r="G460" i="1" s="1"/>
  <c r="H460" i="1"/>
  <c r="J460" i="1"/>
  <c r="K460" i="1"/>
  <c r="L460" i="1" s="1"/>
  <c r="A245" i="1"/>
  <c r="C373" i="1"/>
  <c r="D373" i="1"/>
  <c r="E373" i="1" s="1"/>
  <c r="F373" i="1"/>
  <c r="G373" i="1" s="1"/>
  <c r="H373" i="1"/>
  <c r="J373" i="1"/>
  <c r="K373" i="1"/>
  <c r="L373" i="1" s="1"/>
  <c r="A246" i="1"/>
  <c r="C183" i="1"/>
  <c r="D183" i="1"/>
  <c r="E183" i="1" s="1"/>
  <c r="F183" i="1"/>
  <c r="G183" i="1" s="1"/>
  <c r="H183" i="1"/>
  <c r="J183" i="1"/>
  <c r="M183" i="1" s="1"/>
  <c r="K183" i="1"/>
  <c r="L183" i="1" s="1"/>
  <c r="A247" i="1"/>
  <c r="C429" i="1"/>
  <c r="D429" i="1"/>
  <c r="E429" i="1" s="1"/>
  <c r="F429" i="1"/>
  <c r="G429" i="1" s="1"/>
  <c r="H429" i="1"/>
  <c r="J429" i="1"/>
  <c r="K429" i="1"/>
  <c r="L429" i="1" s="1"/>
  <c r="A248" i="1"/>
  <c r="C53" i="1"/>
  <c r="D53" i="1"/>
  <c r="E53" i="1" s="1"/>
  <c r="F53" i="1"/>
  <c r="G53" i="1" s="1"/>
  <c r="H53" i="1"/>
  <c r="J53" i="1"/>
  <c r="Q53" i="1" s="1"/>
  <c r="K53" i="1"/>
  <c r="L53" i="1" s="1"/>
  <c r="A249" i="1"/>
  <c r="C67" i="1"/>
  <c r="D67" i="1"/>
  <c r="E67" i="1" s="1"/>
  <c r="F67" i="1"/>
  <c r="G67" i="1" s="1"/>
  <c r="H67" i="1"/>
  <c r="J67" i="1"/>
  <c r="K67" i="1"/>
  <c r="L67" i="1" s="1"/>
  <c r="A250" i="1"/>
  <c r="C83" i="1"/>
  <c r="D83" i="1"/>
  <c r="E83" i="1" s="1"/>
  <c r="F83" i="1"/>
  <c r="G83" i="1" s="1"/>
  <c r="H83" i="1"/>
  <c r="J83" i="1"/>
  <c r="K83" i="1"/>
  <c r="L83" i="1" s="1"/>
  <c r="A251" i="1"/>
  <c r="C66" i="1"/>
  <c r="D66" i="1"/>
  <c r="E66" i="1" s="1"/>
  <c r="F66" i="1"/>
  <c r="G66" i="1" s="1"/>
  <c r="H66" i="1"/>
  <c r="J66" i="1"/>
  <c r="R66" i="1" s="1"/>
  <c r="K66" i="1"/>
  <c r="L66" i="1" s="1"/>
  <c r="A252" i="1"/>
  <c r="C233" i="1"/>
  <c r="D233" i="1"/>
  <c r="E233" i="1" s="1"/>
  <c r="F233" i="1"/>
  <c r="G233" i="1" s="1"/>
  <c r="H233" i="1"/>
  <c r="J233" i="1"/>
  <c r="Q233" i="1" s="1"/>
  <c r="K233" i="1"/>
  <c r="L233" i="1" s="1"/>
  <c r="A253" i="1"/>
  <c r="C122" i="1"/>
  <c r="D122" i="1"/>
  <c r="E122" i="1" s="1"/>
  <c r="F122" i="1"/>
  <c r="G122" i="1" s="1"/>
  <c r="H122" i="1"/>
  <c r="J122" i="1"/>
  <c r="R122" i="1" s="1"/>
  <c r="K122" i="1"/>
  <c r="L122" i="1" s="1"/>
  <c r="A254" i="1"/>
  <c r="C258" i="1"/>
  <c r="D258" i="1"/>
  <c r="E258" i="1" s="1"/>
  <c r="F258" i="1"/>
  <c r="G258" i="1" s="1"/>
  <c r="H258" i="1"/>
  <c r="J258" i="1"/>
  <c r="Q258" i="1" s="1"/>
  <c r="K258" i="1"/>
  <c r="L258" i="1" s="1"/>
  <c r="A255" i="1"/>
  <c r="C93" i="1"/>
  <c r="D93" i="1"/>
  <c r="E93" i="1" s="1"/>
  <c r="F93" i="1"/>
  <c r="G93" i="1" s="1"/>
  <c r="H93" i="1"/>
  <c r="J93" i="1"/>
  <c r="K93" i="1"/>
  <c r="L93" i="1" s="1"/>
  <c r="A256" i="1"/>
  <c r="C501" i="1"/>
  <c r="D501" i="1"/>
  <c r="E501" i="1" s="1"/>
  <c r="F501" i="1"/>
  <c r="G501" i="1" s="1"/>
  <c r="H501" i="1"/>
  <c r="J501" i="1"/>
  <c r="Q501" i="1" s="1"/>
  <c r="K501" i="1"/>
  <c r="L501" i="1" s="1"/>
  <c r="A257" i="1"/>
  <c r="C365" i="1"/>
  <c r="D365" i="1"/>
  <c r="E365" i="1" s="1"/>
  <c r="F365" i="1"/>
  <c r="G365" i="1" s="1"/>
  <c r="H365" i="1"/>
  <c r="J365" i="1"/>
  <c r="K365" i="1"/>
  <c r="L365" i="1" s="1"/>
  <c r="A258" i="1"/>
  <c r="C203" i="1"/>
  <c r="D203" i="1"/>
  <c r="E203" i="1" s="1"/>
  <c r="F203" i="1"/>
  <c r="G203" i="1" s="1"/>
  <c r="H203" i="1"/>
  <c r="J203" i="1"/>
  <c r="R203" i="1" s="1"/>
  <c r="K203" i="1"/>
  <c r="L203" i="1" s="1"/>
  <c r="A259" i="1"/>
  <c r="C189" i="1"/>
  <c r="D189" i="1"/>
  <c r="E189" i="1" s="1"/>
  <c r="F189" i="1"/>
  <c r="G189" i="1" s="1"/>
  <c r="H189" i="1"/>
  <c r="J189" i="1"/>
  <c r="Q189" i="1" s="1"/>
  <c r="K189" i="1"/>
  <c r="L189" i="1" s="1"/>
  <c r="A260" i="1"/>
  <c r="C270" i="1"/>
  <c r="D270" i="1"/>
  <c r="E270" i="1" s="1"/>
  <c r="F270" i="1"/>
  <c r="G270" i="1" s="1"/>
  <c r="H270" i="1"/>
  <c r="J270" i="1"/>
  <c r="K270" i="1"/>
  <c r="L270" i="1" s="1"/>
  <c r="A261" i="1"/>
  <c r="C143" i="1"/>
  <c r="D143" i="1"/>
  <c r="E143" i="1" s="1"/>
  <c r="F143" i="1"/>
  <c r="G143" i="1" s="1"/>
  <c r="H143" i="1"/>
  <c r="J143" i="1"/>
  <c r="K143" i="1"/>
  <c r="L143" i="1" s="1"/>
  <c r="A262" i="1"/>
  <c r="C42" i="1"/>
  <c r="D42" i="1"/>
  <c r="E42" i="1" s="1"/>
  <c r="F42" i="1"/>
  <c r="G42" i="1" s="1"/>
  <c r="H42" i="1"/>
  <c r="J42" i="1"/>
  <c r="K42" i="1"/>
  <c r="L42" i="1" s="1"/>
  <c r="A263" i="1"/>
  <c r="C443" i="1"/>
  <c r="D443" i="1"/>
  <c r="E443" i="1" s="1"/>
  <c r="F443" i="1"/>
  <c r="G443" i="1" s="1"/>
  <c r="H443" i="1"/>
  <c r="J443" i="1"/>
  <c r="K443" i="1"/>
  <c r="L443" i="1" s="1"/>
  <c r="A264" i="1"/>
  <c r="C265" i="1"/>
  <c r="D265" i="1"/>
  <c r="E265" i="1" s="1"/>
  <c r="F265" i="1"/>
  <c r="G265" i="1" s="1"/>
  <c r="H265" i="1"/>
  <c r="J265" i="1"/>
  <c r="Q265" i="1" s="1"/>
  <c r="K265" i="1"/>
  <c r="L265" i="1" s="1"/>
  <c r="A265" i="1"/>
  <c r="C370" i="1"/>
  <c r="D370" i="1"/>
  <c r="E370" i="1" s="1"/>
  <c r="F370" i="1"/>
  <c r="G370" i="1" s="1"/>
  <c r="H370" i="1"/>
  <c r="J370" i="1"/>
  <c r="K370" i="1"/>
  <c r="L370" i="1" s="1"/>
  <c r="A266" i="1"/>
  <c r="C402" i="1"/>
  <c r="D402" i="1"/>
  <c r="E402" i="1" s="1"/>
  <c r="F402" i="1"/>
  <c r="G402" i="1" s="1"/>
  <c r="H402" i="1"/>
  <c r="J402" i="1"/>
  <c r="R402" i="1" s="1"/>
  <c r="K402" i="1"/>
  <c r="L402" i="1" s="1"/>
  <c r="A267" i="1"/>
  <c r="C21" i="1"/>
  <c r="D21" i="1"/>
  <c r="E21" i="1" s="1"/>
  <c r="F21" i="1"/>
  <c r="G21" i="1" s="1"/>
  <c r="H21" i="1"/>
  <c r="J21" i="1"/>
  <c r="R21" i="1" s="1"/>
  <c r="K21" i="1"/>
  <c r="L21" i="1" s="1"/>
  <c r="A268" i="1"/>
  <c r="C164" i="1"/>
  <c r="D164" i="1"/>
  <c r="E164" i="1" s="1"/>
  <c r="F164" i="1"/>
  <c r="G164" i="1" s="1"/>
  <c r="H164" i="1"/>
  <c r="J164" i="1"/>
  <c r="Q164" i="1" s="1"/>
  <c r="K164" i="1"/>
  <c r="L164" i="1" s="1"/>
  <c r="A269" i="1"/>
  <c r="C47" i="1"/>
  <c r="D47" i="1"/>
  <c r="E47" i="1" s="1"/>
  <c r="F47" i="1"/>
  <c r="G47" i="1" s="1"/>
  <c r="H47" i="1"/>
  <c r="J47" i="1"/>
  <c r="K47" i="1"/>
  <c r="L47" i="1" s="1"/>
  <c r="A270" i="1"/>
  <c r="C360" i="1"/>
  <c r="D360" i="1"/>
  <c r="E360" i="1" s="1"/>
  <c r="F360" i="1"/>
  <c r="G360" i="1" s="1"/>
  <c r="H360" i="1"/>
  <c r="J360" i="1"/>
  <c r="R360" i="1" s="1"/>
  <c r="K360" i="1"/>
  <c r="L360" i="1" s="1"/>
  <c r="A271" i="1"/>
  <c r="C128" i="1"/>
  <c r="D128" i="1"/>
  <c r="E128" i="1" s="1"/>
  <c r="F128" i="1"/>
  <c r="G128" i="1" s="1"/>
  <c r="H128" i="1"/>
  <c r="J128" i="1"/>
  <c r="K128" i="1"/>
  <c r="L128" i="1" s="1"/>
  <c r="A272" i="1"/>
  <c r="C207" i="1"/>
  <c r="D207" i="1"/>
  <c r="E207" i="1" s="1"/>
  <c r="F207" i="1"/>
  <c r="G207" i="1" s="1"/>
  <c r="H207" i="1"/>
  <c r="J207" i="1"/>
  <c r="K207" i="1"/>
  <c r="L207" i="1" s="1"/>
  <c r="A273" i="1"/>
  <c r="C95" i="1"/>
  <c r="D95" i="1"/>
  <c r="E95" i="1" s="1"/>
  <c r="F95" i="1"/>
  <c r="G95" i="1" s="1"/>
  <c r="H95" i="1"/>
  <c r="J95" i="1"/>
  <c r="Q95" i="1" s="1"/>
  <c r="K95" i="1"/>
  <c r="L95" i="1" s="1"/>
  <c r="A274" i="1"/>
  <c r="C359" i="1"/>
  <c r="D359" i="1"/>
  <c r="E359" i="1" s="1"/>
  <c r="F359" i="1"/>
  <c r="G359" i="1" s="1"/>
  <c r="H359" i="1"/>
  <c r="J359" i="1"/>
  <c r="M359" i="1" s="1"/>
  <c r="K359" i="1"/>
  <c r="L359" i="1" s="1"/>
  <c r="A275" i="1"/>
  <c r="C29" i="1"/>
  <c r="D29" i="1"/>
  <c r="E29" i="1" s="1"/>
  <c r="F29" i="1"/>
  <c r="G29" i="1" s="1"/>
  <c r="H29" i="1"/>
  <c r="J29" i="1"/>
  <c r="K29" i="1"/>
  <c r="L29" i="1" s="1"/>
  <c r="A276" i="1"/>
  <c r="C465" i="1"/>
  <c r="D465" i="1"/>
  <c r="E465" i="1" s="1"/>
  <c r="F465" i="1"/>
  <c r="G465" i="1" s="1"/>
  <c r="H465" i="1"/>
  <c r="J465" i="1"/>
  <c r="K465" i="1"/>
  <c r="L465" i="1" s="1"/>
  <c r="A277" i="1"/>
  <c r="C291" i="1"/>
  <c r="D291" i="1"/>
  <c r="E291" i="1" s="1"/>
  <c r="F291" i="1"/>
  <c r="G291" i="1" s="1"/>
  <c r="H291" i="1"/>
  <c r="J291" i="1"/>
  <c r="M291" i="1" s="1"/>
  <c r="K291" i="1"/>
  <c r="L291" i="1" s="1"/>
  <c r="A278" i="1"/>
  <c r="C495" i="1"/>
  <c r="D495" i="1"/>
  <c r="E495" i="1" s="1"/>
  <c r="F495" i="1"/>
  <c r="G495" i="1" s="1"/>
  <c r="H495" i="1"/>
  <c r="J495" i="1"/>
  <c r="K495" i="1"/>
  <c r="L495" i="1" s="1"/>
  <c r="A279" i="1"/>
  <c r="C125" i="1"/>
  <c r="D125" i="1"/>
  <c r="E125" i="1" s="1"/>
  <c r="F125" i="1"/>
  <c r="G125" i="1" s="1"/>
  <c r="H125" i="1"/>
  <c r="J125" i="1"/>
  <c r="R125" i="1" s="1"/>
  <c r="K125" i="1"/>
  <c r="L125" i="1" s="1"/>
  <c r="A280" i="1"/>
  <c r="C324" i="1"/>
  <c r="D324" i="1"/>
  <c r="E324" i="1" s="1"/>
  <c r="F324" i="1"/>
  <c r="G324" i="1" s="1"/>
  <c r="H324" i="1"/>
  <c r="J324" i="1"/>
  <c r="K324" i="1"/>
  <c r="L324" i="1" s="1"/>
  <c r="A281" i="1"/>
  <c r="C134" i="1"/>
  <c r="D134" i="1"/>
  <c r="E134" i="1" s="1"/>
  <c r="F134" i="1"/>
  <c r="G134" i="1" s="1"/>
  <c r="H134" i="1"/>
  <c r="J134" i="1"/>
  <c r="M134" i="1" s="1"/>
  <c r="K134" i="1"/>
  <c r="L134" i="1" s="1"/>
  <c r="A282" i="1"/>
  <c r="C315" i="1"/>
  <c r="D315" i="1"/>
  <c r="E315" i="1" s="1"/>
  <c r="F315" i="1"/>
  <c r="G315" i="1" s="1"/>
  <c r="H315" i="1"/>
  <c r="J315" i="1"/>
  <c r="M315" i="1" s="1"/>
  <c r="K315" i="1"/>
  <c r="L315" i="1" s="1"/>
  <c r="A283" i="1"/>
  <c r="C311" i="1"/>
  <c r="D311" i="1"/>
  <c r="E311" i="1" s="1"/>
  <c r="F311" i="1"/>
  <c r="G311" i="1" s="1"/>
  <c r="H311" i="1"/>
  <c r="J311" i="1"/>
  <c r="R311" i="1" s="1"/>
  <c r="K311" i="1"/>
  <c r="L311" i="1" s="1"/>
  <c r="A284" i="1"/>
  <c r="C152" i="1"/>
  <c r="D152" i="1"/>
  <c r="E152" i="1" s="1"/>
  <c r="F152" i="1"/>
  <c r="G152" i="1" s="1"/>
  <c r="H152" i="1"/>
  <c r="J152" i="1"/>
  <c r="K152" i="1"/>
  <c r="L152" i="1" s="1"/>
  <c r="A285" i="1"/>
  <c r="C18" i="1"/>
  <c r="D18" i="1"/>
  <c r="E18" i="1" s="1"/>
  <c r="F18" i="1"/>
  <c r="G18" i="1" s="1"/>
  <c r="H18" i="1"/>
  <c r="J18" i="1"/>
  <c r="M18" i="1" s="1"/>
  <c r="K18" i="1"/>
  <c r="L18" i="1" s="1"/>
  <c r="A286" i="1"/>
  <c r="C494" i="1"/>
  <c r="D494" i="1"/>
  <c r="E494" i="1" s="1"/>
  <c r="F494" i="1"/>
  <c r="G494" i="1" s="1"/>
  <c r="H494" i="1"/>
  <c r="J494" i="1"/>
  <c r="K494" i="1"/>
  <c r="L494" i="1" s="1"/>
  <c r="A287" i="1"/>
  <c r="C438" i="1"/>
  <c r="D438" i="1"/>
  <c r="E438" i="1" s="1"/>
  <c r="F438" i="1"/>
  <c r="G438" i="1" s="1"/>
  <c r="H438" i="1"/>
  <c r="J438" i="1"/>
  <c r="K438" i="1"/>
  <c r="L438" i="1" s="1"/>
  <c r="A288" i="1"/>
  <c r="C480" i="1"/>
  <c r="D480" i="1"/>
  <c r="E480" i="1" s="1"/>
  <c r="F480" i="1"/>
  <c r="G480" i="1" s="1"/>
  <c r="H480" i="1"/>
  <c r="J480" i="1"/>
  <c r="R480" i="1" s="1"/>
  <c r="K480" i="1"/>
  <c r="L480" i="1" s="1"/>
  <c r="A289" i="1"/>
  <c r="C43" i="1"/>
  <c r="D43" i="1"/>
  <c r="E43" i="1" s="1"/>
  <c r="F43" i="1"/>
  <c r="G43" i="1" s="1"/>
  <c r="H43" i="1"/>
  <c r="J43" i="1"/>
  <c r="Q43" i="1" s="1"/>
  <c r="K43" i="1"/>
  <c r="L43" i="1" s="1"/>
  <c r="A290" i="1"/>
  <c r="C104" i="1"/>
  <c r="D104" i="1"/>
  <c r="E104" i="1" s="1"/>
  <c r="F104" i="1"/>
  <c r="G104" i="1" s="1"/>
  <c r="H104" i="1"/>
  <c r="J104" i="1"/>
  <c r="K104" i="1"/>
  <c r="L104" i="1" s="1"/>
  <c r="A291" i="1"/>
  <c r="C96" i="1"/>
  <c r="D96" i="1"/>
  <c r="E96" i="1" s="1"/>
  <c r="F96" i="1"/>
  <c r="G96" i="1" s="1"/>
  <c r="H96" i="1"/>
  <c r="J96" i="1"/>
  <c r="K96" i="1"/>
  <c r="L96" i="1" s="1"/>
  <c r="A292" i="1"/>
  <c r="C60" i="1"/>
  <c r="D60" i="1"/>
  <c r="E60" i="1" s="1"/>
  <c r="F60" i="1"/>
  <c r="G60" i="1" s="1"/>
  <c r="H60" i="1"/>
  <c r="J60" i="1"/>
  <c r="Q60" i="1" s="1"/>
  <c r="K60" i="1"/>
  <c r="L60" i="1" s="1"/>
  <c r="A293" i="1"/>
  <c r="C79" i="1"/>
  <c r="D79" i="1"/>
  <c r="E79" i="1" s="1"/>
  <c r="F79" i="1"/>
  <c r="G79" i="1" s="1"/>
  <c r="H79" i="1"/>
  <c r="J79" i="1"/>
  <c r="K79" i="1"/>
  <c r="L79" i="1" s="1"/>
  <c r="A294" i="1"/>
  <c r="C449" i="1"/>
  <c r="D449" i="1"/>
  <c r="E449" i="1" s="1"/>
  <c r="F449" i="1"/>
  <c r="G449" i="1" s="1"/>
  <c r="H449" i="1"/>
  <c r="J449" i="1"/>
  <c r="M449" i="1" s="1"/>
  <c r="K449" i="1"/>
  <c r="L449" i="1" s="1"/>
  <c r="A295" i="1"/>
  <c r="C390" i="1"/>
  <c r="D390" i="1"/>
  <c r="E390" i="1" s="1"/>
  <c r="F390" i="1"/>
  <c r="G390" i="1" s="1"/>
  <c r="H390" i="1"/>
  <c r="J390" i="1"/>
  <c r="K390" i="1"/>
  <c r="L390" i="1" s="1"/>
  <c r="A296" i="1"/>
  <c r="C336" i="1"/>
  <c r="D336" i="1"/>
  <c r="E336" i="1" s="1"/>
  <c r="F336" i="1"/>
  <c r="G336" i="1" s="1"/>
  <c r="H336" i="1"/>
  <c r="J336" i="1"/>
  <c r="K336" i="1"/>
  <c r="L336" i="1" s="1"/>
  <c r="A297" i="1"/>
  <c r="C235" i="1"/>
  <c r="D235" i="1"/>
  <c r="E235" i="1" s="1"/>
  <c r="F235" i="1"/>
  <c r="G235" i="1" s="1"/>
  <c r="H235" i="1"/>
  <c r="J235" i="1"/>
  <c r="K235" i="1"/>
  <c r="L235" i="1" s="1"/>
  <c r="A298" i="1"/>
  <c r="C65" i="1"/>
  <c r="D65" i="1"/>
  <c r="E65" i="1" s="1"/>
  <c r="F65" i="1"/>
  <c r="G65" i="1" s="1"/>
  <c r="H65" i="1"/>
  <c r="J65" i="1"/>
  <c r="Q65" i="1" s="1"/>
  <c r="K65" i="1"/>
  <c r="L65" i="1" s="1"/>
  <c r="A299" i="1"/>
  <c r="C406" i="1"/>
  <c r="D406" i="1"/>
  <c r="E406" i="1" s="1"/>
  <c r="F406" i="1"/>
  <c r="G406" i="1" s="1"/>
  <c r="H406" i="1"/>
  <c r="J406" i="1"/>
  <c r="M406" i="1" s="1"/>
  <c r="K406" i="1"/>
  <c r="L406" i="1" s="1"/>
  <c r="A300" i="1"/>
  <c r="C493" i="1"/>
  <c r="D493" i="1"/>
  <c r="E493" i="1" s="1"/>
  <c r="F493" i="1"/>
  <c r="G493" i="1" s="1"/>
  <c r="H493" i="1"/>
  <c r="J493" i="1"/>
  <c r="R493" i="1" s="1"/>
  <c r="K493" i="1"/>
  <c r="L493" i="1" s="1"/>
  <c r="A301" i="1"/>
  <c r="C388" i="1"/>
  <c r="D388" i="1"/>
  <c r="E388" i="1" s="1"/>
  <c r="F388" i="1"/>
  <c r="G388" i="1" s="1"/>
  <c r="H388" i="1"/>
  <c r="J388" i="1"/>
  <c r="M388" i="1" s="1"/>
  <c r="K388" i="1"/>
  <c r="L388" i="1" s="1"/>
  <c r="A302" i="1"/>
  <c r="C413" i="1"/>
  <c r="D413" i="1"/>
  <c r="E413" i="1" s="1"/>
  <c r="F413" i="1"/>
  <c r="G413" i="1" s="1"/>
  <c r="H413" i="1"/>
  <c r="J413" i="1"/>
  <c r="M413" i="1" s="1"/>
  <c r="K413" i="1"/>
  <c r="L413" i="1" s="1"/>
  <c r="A303" i="1"/>
  <c r="C156" i="1"/>
  <c r="D156" i="1"/>
  <c r="E156" i="1" s="1"/>
  <c r="F156" i="1"/>
  <c r="G156" i="1" s="1"/>
  <c r="H156" i="1"/>
  <c r="J156" i="1"/>
  <c r="R156" i="1" s="1"/>
  <c r="K156" i="1"/>
  <c r="L156" i="1" s="1"/>
  <c r="A304" i="1"/>
  <c r="C55" i="1"/>
  <c r="D55" i="1"/>
  <c r="E55" i="1" s="1"/>
  <c r="F55" i="1"/>
  <c r="G55" i="1" s="1"/>
  <c r="H55" i="1"/>
  <c r="J55" i="1"/>
  <c r="K55" i="1"/>
  <c r="L55" i="1" s="1"/>
  <c r="A305" i="1"/>
  <c r="C274" i="1"/>
  <c r="D274" i="1"/>
  <c r="E274" i="1" s="1"/>
  <c r="F274" i="1"/>
  <c r="G274" i="1" s="1"/>
  <c r="H274" i="1"/>
  <c r="J274" i="1"/>
  <c r="M274" i="1" s="1"/>
  <c r="K274" i="1"/>
  <c r="L274" i="1" s="1"/>
  <c r="A306" i="1"/>
  <c r="C417" i="1"/>
  <c r="D417" i="1"/>
  <c r="E417" i="1" s="1"/>
  <c r="F417" i="1"/>
  <c r="G417" i="1" s="1"/>
  <c r="H417" i="1"/>
  <c r="J417" i="1"/>
  <c r="M417" i="1" s="1"/>
  <c r="K417" i="1"/>
  <c r="L417" i="1" s="1"/>
  <c r="A307" i="1"/>
  <c r="C280" i="1"/>
  <c r="D280" i="1"/>
  <c r="E280" i="1" s="1"/>
  <c r="F280" i="1"/>
  <c r="G280" i="1" s="1"/>
  <c r="H280" i="1"/>
  <c r="J280" i="1"/>
  <c r="K280" i="1"/>
  <c r="L280" i="1" s="1"/>
  <c r="A308" i="1"/>
  <c r="C40" i="1"/>
  <c r="D40" i="1"/>
  <c r="E40" i="1" s="1"/>
  <c r="F40" i="1"/>
  <c r="G40" i="1" s="1"/>
  <c r="H40" i="1"/>
  <c r="J40" i="1"/>
  <c r="M40" i="1" s="1"/>
  <c r="K40" i="1"/>
  <c r="L40" i="1" s="1"/>
  <c r="A309" i="1"/>
  <c r="C405" i="1"/>
  <c r="D405" i="1"/>
  <c r="E405" i="1" s="1"/>
  <c r="F405" i="1"/>
  <c r="G405" i="1" s="1"/>
  <c r="H405" i="1"/>
  <c r="J405" i="1"/>
  <c r="K405" i="1"/>
  <c r="L405" i="1" s="1"/>
  <c r="A310" i="1"/>
  <c r="C62" i="1"/>
  <c r="D62" i="1"/>
  <c r="E62" i="1" s="1"/>
  <c r="F62" i="1"/>
  <c r="G62" i="1" s="1"/>
  <c r="H62" i="1"/>
  <c r="J62" i="1"/>
  <c r="K62" i="1"/>
  <c r="L62" i="1" s="1"/>
  <c r="A311" i="1"/>
  <c r="C275" i="1"/>
  <c r="D275" i="1"/>
  <c r="E275" i="1" s="1"/>
  <c r="F275" i="1"/>
  <c r="G275" i="1" s="1"/>
  <c r="H275" i="1"/>
  <c r="J275" i="1"/>
  <c r="R275" i="1" s="1"/>
  <c r="K275" i="1"/>
  <c r="L275" i="1" s="1"/>
  <c r="A312" i="1"/>
  <c r="C39" i="1"/>
  <c r="D39" i="1"/>
  <c r="E39" i="1" s="1"/>
  <c r="F39" i="1"/>
  <c r="G39" i="1" s="1"/>
  <c r="H39" i="1"/>
  <c r="J39" i="1"/>
  <c r="K39" i="1"/>
  <c r="L39" i="1" s="1"/>
  <c r="A313" i="1"/>
  <c r="C129" i="1"/>
  <c r="D129" i="1"/>
  <c r="E129" i="1" s="1"/>
  <c r="F129" i="1"/>
  <c r="G129" i="1" s="1"/>
  <c r="H129" i="1"/>
  <c r="J129" i="1"/>
  <c r="K129" i="1"/>
  <c r="L129" i="1" s="1"/>
  <c r="A314" i="1"/>
  <c r="C14" i="1"/>
  <c r="D14" i="1"/>
  <c r="E14" i="1" s="1"/>
  <c r="F14" i="1"/>
  <c r="G14" i="1" s="1"/>
  <c r="H14" i="1"/>
  <c r="J14" i="1"/>
  <c r="Q14" i="1" s="1"/>
  <c r="K14" i="1"/>
  <c r="L14" i="1" s="1"/>
  <c r="A315" i="1"/>
  <c r="C440" i="1"/>
  <c r="D440" i="1"/>
  <c r="E440" i="1" s="1"/>
  <c r="F440" i="1"/>
  <c r="G440" i="1" s="1"/>
  <c r="H440" i="1"/>
  <c r="J440" i="1"/>
  <c r="K440" i="1"/>
  <c r="L440" i="1" s="1"/>
  <c r="A316" i="1"/>
  <c r="C46" i="1"/>
  <c r="D46" i="1"/>
  <c r="E46" i="1" s="1"/>
  <c r="F46" i="1"/>
  <c r="G46" i="1" s="1"/>
  <c r="H46" i="1"/>
  <c r="J46" i="1"/>
  <c r="M46" i="1" s="1"/>
  <c r="K46" i="1"/>
  <c r="L46" i="1" s="1"/>
  <c r="A317" i="1"/>
  <c r="C356" i="1"/>
  <c r="D356" i="1"/>
  <c r="E356" i="1" s="1"/>
  <c r="F356" i="1"/>
  <c r="G356" i="1" s="1"/>
  <c r="H356" i="1"/>
  <c r="J356" i="1"/>
  <c r="M356" i="1" s="1"/>
  <c r="K356" i="1"/>
  <c r="L356" i="1" s="1"/>
  <c r="A318" i="1"/>
  <c r="C305" i="1"/>
  <c r="D305" i="1"/>
  <c r="E305" i="1" s="1"/>
  <c r="F305" i="1"/>
  <c r="G305" i="1" s="1"/>
  <c r="H305" i="1"/>
  <c r="J305" i="1"/>
  <c r="M305" i="1" s="1"/>
  <c r="K305" i="1"/>
  <c r="L305" i="1" s="1"/>
  <c r="A319" i="1"/>
  <c r="C469" i="1"/>
  <c r="D469" i="1"/>
  <c r="E469" i="1" s="1"/>
  <c r="F469" i="1"/>
  <c r="G469" i="1" s="1"/>
  <c r="H469" i="1"/>
  <c r="J469" i="1"/>
  <c r="K469" i="1"/>
  <c r="L469" i="1" s="1"/>
  <c r="A320" i="1"/>
  <c r="C481" i="1"/>
  <c r="D481" i="1"/>
  <c r="E481" i="1" s="1"/>
  <c r="F481" i="1"/>
  <c r="G481" i="1" s="1"/>
  <c r="H481" i="1"/>
  <c r="J481" i="1"/>
  <c r="M481" i="1" s="1"/>
  <c r="K481" i="1"/>
  <c r="L481" i="1" s="1"/>
  <c r="A321" i="1"/>
  <c r="C238" i="1"/>
  <c r="D238" i="1"/>
  <c r="E238" i="1" s="1"/>
  <c r="F238" i="1"/>
  <c r="G238" i="1" s="1"/>
  <c r="H238" i="1"/>
  <c r="J238" i="1"/>
  <c r="K238" i="1"/>
  <c r="L238" i="1" s="1"/>
  <c r="A322" i="1"/>
  <c r="C361" i="1"/>
  <c r="D361" i="1"/>
  <c r="E361" i="1" s="1"/>
  <c r="F361" i="1"/>
  <c r="G361" i="1" s="1"/>
  <c r="H361" i="1"/>
  <c r="J361" i="1"/>
  <c r="Q361" i="1" s="1"/>
  <c r="K361" i="1"/>
  <c r="L361" i="1" s="1"/>
  <c r="A323" i="1"/>
  <c r="C216" i="1"/>
  <c r="D216" i="1"/>
  <c r="E216" i="1" s="1"/>
  <c r="F216" i="1"/>
  <c r="G216" i="1" s="1"/>
  <c r="H216" i="1"/>
  <c r="J216" i="1"/>
  <c r="R216" i="1" s="1"/>
  <c r="K216" i="1"/>
  <c r="L216" i="1" s="1"/>
  <c r="A324" i="1"/>
  <c r="C322" i="1"/>
  <c r="D322" i="1"/>
  <c r="E322" i="1" s="1"/>
  <c r="F322" i="1"/>
  <c r="G322" i="1" s="1"/>
  <c r="H322" i="1"/>
  <c r="J322" i="1"/>
  <c r="Q322" i="1" s="1"/>
  <c r="K322" i="1"/>
  <c r="L322" i="1" s="1"/>
  <c r="A325" i="1"/>
  <c r="C273" i="1"/>
  <c r="D273" i="1"/>
  <c r="E273" i="1" s="1"/>
  <c r="F273" i="1"/>
  <c r="G273" i="1" s="1"/>
  <c r="H273" i="1"/>
  <c r="J273" i="1"/>
  <c r="K273" i="1"/>
  <c r="L273" i="1" s="1"/>
  <c r="A326" i="1"/>
  <c r="C78" i="1"/>
  <c r="D78" i="1"/>
  <c r="E78" i="1" s="1"/>
  <c r="F78" i="1"/>
  <c r="G78" i="1" s="1"/>
  <c r="H78" i="1"/>
  <c r="J78" i="1"/>
  <c r="K78" i="1"/>
  <c r="L78" i="1" s="1"/>
  <c r="A327" i="1"/>
  <c r="C243" i="1"/>
  <c r="D243" i="1"/>
  <c r="E243" i="1" s="1"/>
  <c r="F243" i="1"/>
  <c r="G243" i="1" s="1"/>
  <c r="H243" i="1"/>
  <c r="J243" i="1"/>
  <c r="M243" i="1" s="1"/>
  <c r="K243" i="1"/>
  <c r="L243" i="1" s="1"/>
  <c r="A328" i="1"/>
  <c r="C217" i="1"/>
  <c r="D217" i="1"/>
  <c r="E217" i="1" s="1"/>
  <c r="F217" i="1"/>
  <c r="G217" i="1" s="1"/>
  <c r="H217" i="1"/>
  <c r="J217" i="1"/>
  <c r="Q217" i="1" s="1"/>
  <c r="K217" i="1"/>
  <c r="L217" i="1" s="1"/>
  <c r="A329" i="1"/>
  <c r="C464" i="1"/>
  <c r="D464" i="1"/>
  <c r="E464" i="1" s="1"/>
  <c r="F464" i="1"/>
  <c r="G464" i="1" s="1"/>
  <c r="H464" i="1"/>
  <c r="J464" i="1"/>
  <c r="Q464" i="1" s="1"/>
  <c r="K464" i="1"/>
  <c r="L464" i="1" s="1"/>
  <c r="A330" i="1"/>
  <c r="C320" i="1"/>
  <c r="D320" i="1"/>
  <c r="E320" i="1" s="1"/>
  <c r="F320" i="1"/>
  <c r="G320" i="1" s="1"/>
  <c r="H320" i="1"/>
  <c r="J320" i="1"/>
  <c r="K320" i="1"/>
  <c r="L320" i="1" s="1"/>
  <c r="A331" i="1"/>
  <c r="C389" i="1"/>
  <c r="D389" i="1"/>
  <c r="E389" i="1" s="1"/>
  <c r="F389" i="1"/>
  <c r="G389" i="1" s="1"/>
  <c r="H389" i="1"/>
  <c r="J389" i="1"/>
  <c r="R389" i="1" s="1"/>
  <c r="K389" i="1"/>
  <c r="L389" i="1" s="1"/>
  <c r="A332" i="1"/>
  <c r="C70" i="1"/>
  <c r="D70" i="1"/>
  <c r="E70" i="1" s="1"/>
  <c r="F70" i="1"/>
  <c r="G70" i="1" s="1"/>
  <c r="H70" i="1"/>
  <c r="J70" i="1"/>
  <c r="Q70" i="1" s="1"/>
  <c r="K70" i="1"/>
  <c r="L70" i="1" s="1"/>
  <c r="A333" i="1"/>
  <c r="C33" i="1"/>
  <c r="D33" i="1"/>
  <c r="E33" i="1" s="1"/>
  <c r="F33" i="1"/>
  <c r="G33" i="1" s="1"/>
  <c r="H33" i="1"/>
  <c r="J33" i="1"/>
  <c r="K33" i="1"/>
  <c r="L33" i="1" s="1"/>
  <c r="A334" i="1"/>
  <c r="C253" i="1"/>
  <c r="D253" i="1"/>
  <c r="E253" i="1" s="1"/>
  <c r="F253" i="1"/>
  <c r="G253" i="1" s="1"/>
  <c r="H253" i="1"/>
  <c r="J253" i="1"/>
  <c r="M253" i="1" s="1"/>
  <c r="K253" i="1"/>
  <c r="L253" i="1" s="1"/>
  <c r="A335" i="1"/>
  <c r="C26" i="1"/>
  <c r="D26" i="1"/>
  <c r="E26" i="1" s="1"/>
  <c r="F26" i="1"/>
  <c r="G26" i="1" s="1"/>
  <c r="H26" i="1"/>
  <c r="J26" i="1"/>
  <c r="K26" i="1"/>
  <c r="L26" i="1" s="1"/>
  <c r="A336" i="1"/>
  <c r="C330" i="1"/>
  <c r="D330" i="1"/>
  <c r="E330" i="1" s="1"/>
  <c r="F330" i="1"/>
  <c r="G330" i="1" s="1"/>
  <c r="H330" i="1"/>
  <c r="J330" i="1"/>
  <c r="Q330" i="1" s="1"/>
  <c r="K330" i="1"/>
  <c r="L330" i="1" s="1"/>
  <c r="A337" i="1"/>
  <c r="C58" i="1"/>
  <c r="D58" i="1"/>
  <c r="E58" i="1" s="1"/>
  <c r="F58" i="1"/>
  <c r="G58" i="1" s="1"/>
  <c r="H58" i="1"/>
  <c r="J58" i="1"/>
  <c r="R58" i="1" s="1"/>
  <c r="K58" i="1"/>
  <c r="L58" i="1" s="1"/>
  <c r="A338" i="1"/>
  <c r="C241" i="1"/>
  <c r="D241" i="1"/>
  <c r="E241" i="1" s="1"/>
  <c r="F241" i="1"/>
  <c r="G241" i="1" s="1"/>
  <c r="H241" i="1"/>
  <c r="J241" i="1"/>
  <c r="Q241" i="1" s="1"/>
  <c r="K241" i="1"/>
  <c r="L241" i="1" s="1"/>
  <c r="A339" i="1"/>
  <c r="C69" i="1"/>
  <c r="D69" i="1"/>
  <c r="E69" i="1" s="1"/>
  <c r="F69" i="1"/>
  <c r="G69" i="1" s="1"/>
  <c r="H69" i="1"/>
  <c r="J69" i="1"/>
  <c r="K69" i="1"/>
  <c r="L69" i="1" s="1"/>
  <c r="A340" i="1"/>
  <c r="C422" i="1"/>
  <c r="D422" i="1"/>
  <c r="E422" i="1" s="1"/>
  <c r="F422" i="1"/>
  <c r="G422" i="1" s="1"/>
  <c r="H422" i="1"/>
  <c r="J422" i="1"/>
  <c r="Q422" i="1" s="1"/>
  <c r="K422" i="1"/>
  <c r="L422" i="1" s="1"/>
  <c r="A341" i="1"/>
  <c r="C345" i="1"/>
  <c r="D345" i="1"/>
  <c r="E345" i="1" s="1"/>
  <c r="F345" i="1"/>
  <c r="G345" i="1" s="1"/>
  <c r="H345" i="1"/>
  <c r="J345" i="1"/>
  <c r="Q345" i="1" s="1"/>
  <c r="K345" i="1"/>
  <c r="L345" i="1" s="1"/>
  <c r="A342" i="1"/>
  <c r="C167" i="1"/>
  <c r="D167" i="1"/>
  <c r="E167" i="1" s="1"/>
  <c r="F167" i="1"/>
  <c r="G167" i="1" s="1"/>
  <c r="H167" i="1"/>
  <c r="J167" i="1"/>
  <c r="Q167" i="1" s="1"/>
  <c r="K167" i="1"/>
  <c r="L167" i="1" s="1"/>
  <c r="A343" i="1"/>
  <c r="C160" i="1"/>
  <c r="D160" i="1"/>
  <c r="E160" i="1" s="1"/>
  <c r="F160" i="1"/>
  <c r="G160" i="1" s="1"/>
  <c r="H160" i="1"/>
  <c r="J160" i="1"/>
  <c r="M160" i="1" s="1"/>
  <c r="K160" i="1"/>
  <c r="L160" i="1" s="1"/>
  <c r="A344" i="1"/>
  <c r="C380" i="1"/>
  <c r="D380" i="1"/>
  <c r="E380" i="1" s="1"/>
  <c r="F380" i="1"/>
  <c r="G380" i="1" s="1"/>
  <c r="H380" i="1"/>
  <c r="J380" i="1"/>
  <c r="M380" i="1" s="1"/>
  <c r="K380" i="1"/>
  <c r="L380" i="1" s="1"/>
  <c r="A345" i="1"/>
  <c r="C50" i="1"/>
  <c r="D50" i="1"/>
  <c r="E50" i="1" s="1"/>
  <c r="F50" i="1"/>
  <c r="G50" i="1" s="1"/>
  <c r="H50" i="1"/>
  <c r="J50" i="1"/>
  <c r="Q50" i="1" s="1"/>
  <c r="K50" i="1"/>
  <c r="L50" i="1" s="1"/>
  <c r="A346" i="1"/>
  <c r="C385" i="1"/>
  <c r="D385" i="1"/>
  <c r="E385" i="1" s="1"/>
  <c r="F385" i="1"/>
  <c r="G385" i="1" s="1"/>
  <c r="H385" i="1"/>
  <c r="J385" i="1"/>
  <c r="Q385" i="1" s="1"/>
  <c r="K385" i="1"/>
  <c r="L385" i="1" s="1"/>
  <c r="A347" i="1"/>
  <c r="C325" i="1"/>
  <c r="D325" i="1"/>
  <c r="E325" i="1" s="1"/>
  <c r="F325" i="1"/>
  <c r="G325" i="1" s="1"/>
  <c r="H325" i="1"/>
  <c r="J325" i="1"/>
  <c r="K325" i="1"/>
  <c r="L325" i="1" s="1"/>
  <c r="A348" i="1"/>
  <c r="C192" i="1"/>
  <c r="D192" i="1"/>
  <c r="E192" i="1" s="1"/>
  <c r="F192" i="1"/>
  <c r="G192" i="1" s="1"/>
  <c r="H192" i="1"/>
  <c r="J192" i="1"/>
  <c r="M192" i="1" s="1"/>
  <c r="K192" i="1"/>
  <c r="L192" i="1" s="1"/>
  <c r="A349" i="1"/>
  <c r="C181" i="1"/>
  <c r="D181" i="1"/>
  <c r="E181" i="1" s="1"/>
  <c r="F181" i="1"/>
  <c r="G181" i="1" s="1"/>
  <c r="H181" i="1"/>
  <c r="J181" i="1"/>
  <c r="Q181" i="1" s="1"/>
  <c r="K181" i="1"/>
  <c r="L181" i="1" s="1"/>
  <c r="A350" i="1"/>
  <c r="C113" i="1"/>
  <c r="D113" i="1"/>
  <c r="E113" i="1" s="1"/>
  <c r="AK350" i="1" s="1"/>
  <c r="F113" i="1"/>
  <c r="G113" i="1" s="1"/>
  <c r="H113" i="1"/>
  <c r="J113" i="1"/>
  <c r="R113" i="1" s="1"/>
  <c r="K113" i="1"/>
  <c r="L113" i="1" s="1"/>
  <c r="A351" i="1"/>
  <c r="C421" i="1"/>
  <c r="D421" i="1"/>
  <c r="E421" i="1" s="1"/>
  <c r="F421" i="1"/>
  <c r="G421" i="1" s="1"/>
  <c r="H421" i="1"/>
  <c r="J421" i="1"/>
  <c r="R421" i="1" s="1"/>
  <c r="K421" i="1"/>
  <c r="L421" i="1" s="1"/>
  <c r="A352" i="1"/>
  <c r="C170" i="1"/>
  <c r="D170" i="1"/>
  <c r="E170" i="1" s="1"/>
  <c r="F170" i="1"/>
  <c r="G170" i="1" s="1"/>
  <c r="H170" i="1"/>
  <c r="J170" i="1"/>
  <c r="Q170" i="1" s="1"/>
  <c r="K170" i="1"/>
  <c r="L170" i="1" s="1"/>
  <c r="A353" i="1"/>
  <c r="C106" i="1"/>
  <c r="D106" i="1"/>
  <c r="E106" i="1" s="1"/>
  <c r="F106" i="1"/>
  <c r="G106" i="1" s="1"/>
  <c r="H106" i="1"/>
  <c r="J106" i="1"/>
  <c r="Q106" i="1" s="1"/>
  <c r="K106" i="1"/>
  <c r="L106" i="1" s="1"/>
  <c r="A354" i="1"/>
  <c r="C154" i="1"/>
  <c r="D154" i="1"/>
  <c r="E154" i="1" s="1"/>
  <c r="F154" i="1"/>
  <c r="G154" i="1" s="1"/>
  <c r="H154" i="1"/>
  <c r="J154" i="1"/>
  <c r="K154" i="1"/>
  <c r="L154" i="1" s="1"/>
  <c r="A355" i="1"/>
  <c r="C89" i="1"/>
  <c r="D89" i="1"/>
  <c r="E89" i="1" s="1"/>
  <c r="F89" i="1"/>
  <c r="G89" i="1" s="1"/>
  <c r="H89" i="1"/>
  <c r="J89" i="1"/>
  <c r="K89" i="1"/>
  <c r="L89" i="1" s="1"/>
  <c r="A356" i="1"/>
  <c r="C204" i="1"/>
  <c r="D204" i="1"/>
  <c r="E204" i="1" s="1"/>
  <c r="F204" i="1"/>
  <c r="G204" i="1" s="1"/>
  <c r="H204" i="1"/>
  <c r="J204" i="1"/>
  <c r="Q204" i="1" s="1"/>
  <c r="K204" i="1"/>
  <c r="L204" i="1" s="1"/>
  <c r="A357" i="1"/>
  <c r="C208" i="1"/>
  <c r="D208" i="1"/>
  <c r="E208" i="1" s="1"/>
  <c r="F208" i="1"/>
  <c r="G208" i="1" s="1"/>
  <c r="H208" i="1"/>
  <c r="J208" i="1"/>
  <c r="R208" i="1" s="1"/>
  <c r="K208" i="1"/>
  <c r="L208" i="1" s="1"/>
  <c r="A358" i="1"/>
  <c r="C222" i="1"/>
  <c r="D222" i="1"/>
  <c r="E222" i="1" s="1"/>
  <c r="F222" i="1"/>
  <c r="G222" i="1" s="1"/>
  <c r="H222" i="1"/>
  <c r="J222" i="1"/>
  <c r="K222" i="1"/>
  <c r="L222" i="1" s="1"/>
  <c r="A359" i="1"/>
  <c r="C81" i="1"/>
  <c r="D81" i="1"/>
  <c r="E81" i="1" s="1"/>
  <c r="F81" i="1"/>
  <c r="G81" i="1" s="1"/>
  <c r="H81" i="1"/>
  <c r="J81" i="1"/>
  <c r="K81" i="1"/>
  <c r="L81" i="1" s="1"/>
  <c r="A360" i="1"/>
  <c r="C454" i="1"/>
  <c r="D454" i="1"/>
  <c r="E454" i="1" s="1"/>
  <c r="F454" i="1"/>
  <c r="G454" i="1" s="1"/>
  <c r="H454" i="1"/>
  <c r="J454" i="1"/>
  <c r="R454" i="1" s="1"/>
  <c r="K454" i="1"/>
  <c r="L454" i="1" s="1"/>
  <c r="A361" i="1"/>
  <c r="C63" i="1"/>
  <c r="D63" i="1"/>
  <c r="E63" i="1" s="1"/>
  <c r="F63" i="1"/>
  <c r="G63" i="1" s="1"/>
  <c r="H63" i="1"/>
  <c r="J63" i="1"/>
  <c r="K63" i="1"/>
  <c r="L63" i="1" s="1"/>
  <c r="A362" i="1"/>
  <c r="C176" i="1"/>
  <c r="D176" i="1"/>
  <c r="E176" i="1" s="1"/>
  <c r="F176" i="1"/>
  <c r="G176" i="1" s="1"/>
  <c r="H176" i="1"/>
  <c r="J176" i="1"/>
  <c r="K176" i="1"/>
  <c r="L176" i="1" s="1"/>
  <c r="A363" i="1"/>
  <c r="C488" i="1"/>
  <c r="D488" i="1"/>
  <c r="E488" i="1" s="1"/>
  <c r="F488" i="1"/>
  <c r="G488" i="1" s="1"/>
  <c r="H488" i="1"/>
  <c r="J488" i="1"/>
  <c r="Q488" i="1" s="1"/>
  <c r="K488" i="1"/>
  <c r="L488" i="1" s="1"/>
  <c r="A364" i="1"/>
  <c r="C372" i="1"/>
  <c r="D372" i="1"/>
  <c r="E372" i="1" s="1"/>
  <c r="F372" i="1"/>
  <c r="G372" i="1" s="1"/>
  <c r="H372" i="1"/>
  <c r="J372" i="1"/>
  <c r="Q372" i="1" s="1"/>
  <c r="K372" i="1"/>
  <c r="L372" i="1" s="1"/>
  <c r="A365" i="1"/>
  <c r="C282" i="1"/>
  <c r="D282" i="1"/>
  <c r="E282" i="1" s="1"/>
  <c r="F282" i="1"/>
  <c r="G282" i="1" s="1"/>
  <c r="H282" i="1"/>
  <c r="J282" i="1"/>
  <c r="M282" i="1" s="1"/>
  <c r="K282" i="1"/>
  <c r="L282" i="1" s="1"/>
  <c r="A366" i="1"/>
  <c r="C147" i="1"/>
  <c r="D147" i="1"/>
  <c r="E147" i="1" s="1"/>
  <c r="F147" i="1"/>
  <c r="G147" i="1" s="1"/>
  <c r="H147" i="1"/>
  <c r="J147" i="1"/>
  <c r="K147" i="1"/>
  <c r="L147" i="1" s="1"/>
  <c r="A367" i="1"/>
  <c r="C472" i="1"/>
  <c r="D472" i="1"/>
  <c r="E472" i="1" s="1"/>
  <c r="F472" i="1"/>
  <c r="G472" i="1" s="1"/>
  <c r="H472" i="1"/>
  <c r="J472" i="1"/>
  <c r="K472" i="1"/>
  <c r="L472" i="1" s="1"/>
  <c r="A368" i="1"/>
  <c r="C384" i="1"/>
  <c r="D384" i="1"/>
  <c r="E384" i="1" s="1"/>
  <c r="F384" i="1"/>
  <c r="G384" i="1" s="1"/>
  <c r="H384" i="1"/>
  <c r="J384" i="1"/>
  <c r="Q384" i="1" s="1"/>
  <c r="K384" i="1"/>
  <c r="L384" i="1" s="1"/>
  <c r="A369" i="1"/>
  <c r="C348" i="1"/>
  <c r="D348" i="1"/>
  <c r="E348" i="1" s="1"/>
  <c r="F348" i="1"/>
  <c r="G348" i="1" s="1"/>
  <c r="H348" i="1"/>
  <c r="J348" i="1"/>
  <c r="M348" i="1" s="1"/>
  <c r="K348" i="1"/>
  <c r="L348" i="1" s="1"/>
  <c r="A370" i="1"/>
  <c r="C447" i="1"/>
  <c r="D447" i="1"/>
  <c r="E447" i="1" s="1"/>
  <c r="F447" i="1"/>
  <c r="G447" i="1" s="1"/>
  <c r="H447" i="1"/>
  <c r="J447" i="1"/>
  <c r="K447" i="1"/>
  <c r="L447" i="1" s="1"/>
  <c r="A371" i="1"/>
  <c r="B179" i="1" s="1"/>
  <c r="C179" i="1"/>
  <c r="D179" i="1"/>
  <c r="E179" i="1" s="1"/>
  <c r="F179" i="1"/>
  <c r="G179" i="1" s="1"/>
  <c r="H179" i="1"/>
  <c r="J179" i="1"/>
  <c r="M179" i="1" s="1"/>
  <c r="K179" i="1"/>
  <c r="L179" i="1" s="1"/>
  <c r="A372" i="1"/>
  <c r="C131" i="1"/>
  <c r="D131" i="1"/>
  <c r="E131" i="1" s="1"/>
  <c r="F131" i="1"/>
  <c r="G131" i="1" s="1"/>
  <c r="H131" i="1"/>
  <c r="J131" i="1"/>
  <c r="M131" i="1" s="1"/>
  <c r="K131" i="1"/>
  <c r="L131" i="1" s="1"/>
  <c r="A373" i="1"/>
  <c r="C357" i="1"/>
  <c r="D357" i="1"/>
  <c r="E357" i="1" s="1"/>
  <c r="F357" i="1"/>
  <c r="G357" i="1" s="1"/>
  <c r="H357" i="1"/>
  <c r="J357" i="1"/>
  <c r="K357" i="1"/>
  <c r="L357" i="1" s="1"/>
  <c r="A374" i="1"/>
  <c r="C462" i="1"/>
  <c r="D462" i="1"/>
  <c r="E462" i="1" s="1"/>
  <c r="F462" i="1"/>
  <c r="G462" i="1" s="1"/>
  <c r="H462" i="1"/>
  <c r="J462" i="1"/>
  <c r="K462" i="1"/>
  <c r="L462" i="1" s="1"/>
  <c r="A375" i="1"/>
  <c r="C473" i="1"/>
  <c r="D473" i="1"/>
  <c r="E473" i="1" s="1"/>
  <c r="F473" i="1"/>
  <c r="G473" i="1" s="1"/>
  <c r="H473" i="1"/>
  <c r="J473" i="1"/>
  <c r="R473" i="1" s="1"/>
  <c r="K473" i="1"/>
  <c r="L473" i="1" s="1"/>
  <c r="A376" i="1"/>
  <c r="C142" i="1"/>
  <c r="D142" i="1"/>
  <c r="E142" i="1" s="1"/>
  <c r="F142" i="1"/>
  <c r="G142" i="1" s="1"/>
  <c r="H142" i="1"/>
  <c r="J142" i="1"/>
  <c r="Q142" i="1" s="1"/>
  <c r="K142" i="1"/>
  <c r="L142" i="1" s="1"/>
  <c r="A377" i="1"/>
  <c r="C186" i="1"/>
  <c r="D186" i="1"/>
  <c r="E186" i="1" s="1"/>
  <c r="F186" i="1"/>
  <c r="G186" i="1" s="1"/>
  <c r="H186" i="1"/>
  <c r="J186" i="1"/>
  <c r="K186" i="1"/>
  <c r="L186" i="1" s="1"/>
  <c r="A378" i="1"/>
  <c r="C180" i="1"/>
  <c r="D180" i="1"/>
  <c r="E180" i="1" s="1"/>
  <c r="F180" i="1"/>
  <c r="G180" i="1" s="1"/>
  <c r="H180" i="1"/>
  <c r="J180" i="1"/>
  <c r="K180" i="1"/>
  <c r="L180" i="1" s="1"/>
  <c r="A379" i="1"/>
  <c r="C272" i="1"/>
  <c r="D272" i="1"/>
  <c r="E272" i="1" s="1"/>
  <c r="F272" i="1"/>
  <c r="G272" i="1" s="1"/>
  <c r="H272" i="1"/>
  <c r="J272" i="1"/>
  <c r="R272" i="1" s="1"/>
  <c r="K272" i="1"/>
  <c r="L272" i="1" s="1"/>
  <c r="A380" i="1"/>
  <c r="C38" i="1"/>
  <c r="D38" i="1"/>
  <c r="E38" i="1" s="1"/>
  <c r="F38" i="1"/>
  <c r="G38" i="1" s="1"/>
  <c r="H38" i="1"/>
  <c r="J38" i="1"/>
  <c r="K38" i="1"/>
  <c r="L38" i="1" s="1"/>
  <c r="A381" i="1"/>
  <c r="C426" i="1"/>
  <c r="D426" i="1"/>
  <c r="E426" i="1" s="1"/>
  <c r="F426" i="1"/>
  <c r="G426" i="1" s="1"/>
  <c r="H426" i="1"/>
  <c r="J426" i="1"/>
  <c r="Q426" i="1" s="1"/>
  <c r="K426" i="1"/>
  <c r="L426" i="1" s="1"/>
  <c r="A382" i="1"/>
  <c r="C211" i="1"/>
  <c r="D211" i="1"/>
  <c r="E211" i="1" s="1"/>
  <c r="F211" i="1"/>
  <c r="G211" i="1" s="1"/>
  <c r="H211" i="1"/>
  <c r="J211" i="1"/>
  <c r="M211" i="1" s="1"/>
  <c r="N211" i="1" s="1"/>
  <c r="K211" i="1"/>
  <c r="L211" i="1" s="1"/>
  <c r="A383" i="1"/>
  <c r="C502" i="1"/>
  <c r="D502" i="1"/>
  <c r="E502" i="1" s="1"/>
  <c r="F502" i="1"/>
  <c r="G502" i="1" s="1"/>
  <c r="H502" i="1"/>
  <c r="J502" i="1"/>
  <c r="Q502" i="1" s="1"/>
  <c r="K502" i="1"/>
  <c r="L502" i="1" s="1"/>
  <c r="A384" i="1"/>
  <c r="C266" i="1"/>
  <c r="D266" i="1"/>
  <c r="E266" i="1" s="1"/>
  <c r="F266" i="1"/>
  <c r="G266" i="1" s="1"/>
  <c r="H266" i="1"/>
  <c r="J266" i="1"/>
  <c r="R266" i="1" s="1"/>
  <c r="K266" i="1"/>
  <c r="L266" i="1" s="1"/>
  <c r="A385" i="1"/>
  <c r="C398" i="1"/>
  <c r="D398" i="1"/>
  <c r="E398" i="1" s="1"/>
  <c r="F398" i="1"/>
  <c r="G398" i="1" s="1"/>
  <c r="H398" i="1"/>
  <c r="J398" i="1"/>
  <c r="K398" i="1"/>
  <c r="L398" i="1" s="1"/>
  <c r="A386" i="1"/>
  <c r="C262" i="1"/>
  <c r="D262" i="1"/>
  <c r="E262" i="1" s="1"/>
  <c r="F262" i="1"/>
  <c r="G262" i="1" s="1"/>
  <c r="H262" i="1"/>
  <c r="J262" i="1"/>
  <c r="Q262" i="1" s="1"/>
  <c r="K262" i="1"/>
  <c r="L262" i="1" s="1"/>
  <c r="A387" i="1"/>
  <c r="C31" i="1"/>
  <c r="D31" i="1"/>
  <c r="E31" i="1" s="1"/>
  <c r="F31" i="1"/>
  <c r="G31" i="1" s="1"/>
  <c r="H31" i="1"/>
  <c r="J31" i="1"/>
  <c r="Q31" i="1" s="1"/>
  <c r="K31" i="1"/>
  <c r="L31" i="1" s="1"/>
  <c r="A388" i="1"/>
  <c r="C474" i="1"/>
  <c r="D474" i="1"/>
  <c r="E474" i="1" s="1"/>
  <c r="F474" i="1"/>
  <c r="G474" i="1" s="1"/>
  <c r="H474" i="1"/>
  <c r="J474" i="1"/>
  <c r="Q474" i="1" s="1"/>
  <c r="K474" i="1"/>
  <c r="L474" i="1" s="1"/>
  <c r="A389" i="1"/>
  <c r="C418" i="1"/>
  <c r="D418" i="1"/>
  <c r="E418" i="1" s="1"/>
  <c r="F418" i="1"/>
  <c r="G418" i="1" s="1"/>
  <c r="H418" i="1"/>
  <c r="J418" i="1"/>
  <c r="R418" i="1" s="1"/>
  <c r="K418" i="1"/>
  <c r="L418" i="1" s="1"/>
  <c r="A390" i="1"/>
  <c r="C59" i="1"/>
  <c r="D59" i="1"/>
  <c r="E59" i="1" s="1"/>
  <c r="F59" i="1"/>
  <c r="G59" i="1" s="1"/>
  <c r="H59" i="1"/>
  <c r="J59" i="1"/>
  <c r="R59" i="1" s="1"/>
  <c r="K59" i="1"/>
  <c r="L59" i="1" s="1"/>
  <c r="A391" i="1"/>
  <c r="C116" i="1"/>
  <c r="D116" i="1"/>
  <c r="E116" i="1" s="1"/>
  <c r="F116" i="1"/>
  <c r="G116" i="1" s="1"/>
  <c r="H116" i="1"/>
  <c r="J116" i="1"/>
  <c r="Q116" i="1" s="1"/>
  <c r="K116" i="1"/>
  <c r="L116" i="1" s="1"/>
  <c r="A392" i="1"/>
  <c r="C374" i="1"/>
  <c r="D374" i="1"/>
  <c r="E374" i="1" s="1"/>
  <c r="F374" i="1"/>
  <c r="G374" i="1" s="1"/>
  <c r="H374" i="1"/>
  <c r="J374" i="1"/>
  <c r="K374" i="1"/>
  <c r="L374" i="1" s="1"/>
  <c r="A393" i="1"/>
  <c r="C120" i="1"/>
  <c r="D120" i="1"/>
  <c r="E120" i="1" s="1"/>
  <c r="F120" i="1"/>
  <c r="G120" i="1" s="1"/>
  <c r="H120" i="1"/>
  <c r="J120" i="1"/>
  <c r="Q120" i="1" s="1"/>
  <c r="K120" i="1"/>
  <c r="L120" i="1" s="1"/>
  <c r="A394" i="1"/>
  <c r="C381" i="1"/>
  <c r="D381" i="1"/>
  <c r="E381" i="1" s="1"/>
  <c r="F381" i="1"/>
  <c r="G381" i="1" s="1"/>
  <c r="H381" i="1"/>
  <c r="J381" i="1"/>
  <c r="K381" i="1"/>
  <c r="L381" i="1" s="1"/>
  <c r="A395" i="1"/>
  <c r="C149" i="1"/>
  <c r="D149" i="1"/>
  <c r="E149" i="1" s="1"/>
  <c r="F149" i="1"/>
  <c r="G149" i="1" s="1"/>
  <c r="H149" i="1"/>
  <c r="J149" i="1"/>
  <c r="Q149" i="1" s="1"/>
  <c r="K149" i="1"/>
  <c r="L149" i="1" s="1"/>
  <c r="A396" i="1"/>
  <c r="C139" i="1"/>
  <c r="D139" i="1"/>
  <c r="E139" i="1" s="1"/>
  <c r="F139" i="1"/>
  <c r="G139" i="1" s="1"/>
  <c r="H139" i="1"/>
  <c r="J139" i="1"/>
  <c r="K139" i="1"/>
  <c r="L139" i="1" s="1"/>
  <c r="A397" i="1"/>
  <c r="C159" i="1"/>
  <c r="D159" i="1"/>
  <c r="E159" i="1" s="1"/>
  <c r="F159" i="1"/>
  <c r="G159" i="1" s="1"/>
  <c r="H159" i="1"/>
  <c r="J159" i="1"/>
  <c r="K159" i="1"/>
  <c r="L159" i="1" s="1"/>
  <c r="A398" i="1"/>
  <c r="C338" i="1"/>
  <c r="D338" i="1"/>
  <c r="E338" i="1" s="1"/>
  <c r="F338" i="1"/>
  <c r="G338" i="1" s="1"/>
  <c r="H338" i="1"/>
  <c r="J338" i="1"/>
  <c r="M338" i="1" s="1"/>
  <c r="K338" i="1"/>
  <c r="L338" i="1" s="1"/>
  <c r="A399" i="1"/>
  <c r="C187" i="1"/>
  <c r="D187" i="1"/>
  <c r="E187" i="1" s="1"/>
  <c r="F187" i="1"/>
  <c r="G187" i="1" s="1"/>
  <c r="H187" i="1"/>
  <c r="J187" i="1"/>
  <c r="M187" i="1" s="1"/>
  <c r="K187" i="1"/>
  <c r="L187" i="1" s="1"/>
  <c r="A400" i="1"/>
  <c r="C220" i="1"/>
  <c r="D220" i="1"/>
  <c r="E220" i="1" s="1"/>
  <c r="F220" i="1"/>
  <c r="G220" i="1" s="1"/>
  <c r="H220" i="1"/>
  <c r="J220" i="1"/>
  <c r="M220" i="1" s="1"/>
  <c r="K220" i="1"/>
  <c r="L220" i="1" s="1"/>
  <c r="A401" i="1"/>
  <c r="C303" i="1"/>
  <c r="D303" i="1"/>
  <c r="E303" i="1" s="1"/>
  <c r="F303" i="1"/>
  <c r="G303" i="1" s="1"/>
  <c r="H303" i="1"/>
  <c r="J303" i="1"/>
  <c r="R303" i="1" s="1"/>
  <c r="K303" i="1"/>
  <c r="L303" i="1" s="1"/>
  <c r="A402" i="1"/>
  <c r="C288" i="1"/>
  <c r="D288" i="1"/>
  <c r="E288" i="1" s="1"/>
  <c r="F288" i="1"/>
  <c r="G288" i="1" s="1"/>
  <c r="H288" i="1"/>
  <c r="J288" i="1"/>
  <c r="R288" i="1" s="1"/>
  <c r="K288" i="1"/>
  <c r="L288" i="1" s="1"/>
  <c r="A403" i="1"/>
  <c r="C339" i="1"/>
  <c r="D339" i="1"/>
  <c r="E339" i="1" s="1"/>
  <c r="F339" i="1"/>
  <c r="G339" i="1" s="1"/>
  <c r="H339" i="1"/>
  <c r="J339" i="1"/>
  <c r="R339" i="1" s="1"/>
  <c r="K339" i="1"/>
  <c r="L339" i="1" s="1"/>
  <c r="A404" i="1"/>
  <c r="C141" i="1"/>
  <c r="D141" i="1"/>
  <c r="E141" i="1" s="1"/>
  <c r="F141" i="1"/>
  <c r="G141" i="1" s="1"/>
  <c r="H141" i="1"/>
  <c r="J141" i="1"/>
  <c r="Q141" i="1" s="1"/>
  <c r="K141" i="1"/>
  <c r="L141" i="1" s="1"/>
  <c r="A405" i="1"/>
  <c r="C85" i="1"/>
  <c r="D85" i="1"/>
  <c r="E85" i="1" s="1"/>
  <c r="F85" i="1"/>
  <c r="G85" i="1" s="1"/>
  <c r="H85" i="1"/>
  <c r="J85" i="1"/>
  <c r="K85" i="1"/>
  <c r="L85" i="1" s="1"/>
  <c r="A406" i="1"/>
  <c r="C363" i="1"/>
  <c r="D363" i="1"/>
  <c r="E363" i="1" s="1"/>
  <c r="F363" i="1"/>
  <c r="G363" i="1" s="1"/>
  <c r="H363" i="1"/>
  <c r="J363" i="1"/>
  <c r="M363" i="1" s="1"/>
  <c r="N363" i="1" s="1"/>
  <c r="K363" i="1"/>
  <c r="L363" i="1" s="1"/>
  <c r="A407" i="1"/>
  <c r="C112" i="1"/>
  <c r="D112" i="1"/>
  <c r="E112" i="1" s="1"/>
  <c r="F112" i="1"/>
  <c r="G112" i="1" s="1"/>
  <c r="H112" i="1"/>
  <c r="J112" i="1"/>
  <c r="Q112" i="1" s="1"/>
  <c r="K112" i="1"/>
  <c r="L112" i="1" s="1"/>
  <c r="A408" i="1"/>
  <c r="C110" i="1"/>
  <c r="D110" i="1"/>
  <c r="E110" i="1" s="1"/>
  <c r="F110" i="1"/>
  <c r="G110" i="1" s="1"/>
  <c r="H110" i="1"/>
  <c r="J110" i="1"/>
  <c r="K110" i="1"/>
  <c r="L110" i="1" s="1"/>
  <c r="A409" i="1"/>
  <c r="C148" i="1"/>
  <c r="D148" i="1"/>
  <c r="E148" i="1" s="1"/>
  <c r="F148" i="1"/>
  <c r="G148" i="1" s="1"/>
  <c r="H148" i="1"/>
  <c r="J148" i="1"/>
  <c r="M148" i="1" s="1"/>
  <c r="K148" i="1"/>
  <c r="L148" i="1" s="1"/>
  <c r="A410" i="1"/>
  <c r="C289" i="1"/>
  <c r="D289" i="1"/>
  <c r="E289" i="1" s="1"/>
  <c r="F289" i="1"/>
  <c r="G289" i="1" s="1"/>
  <c r="H289" i="1"/>
  <c r="J289" i="1"/>
  <c r="K289" i="1"/>
  <c r="L289" i="1" s="1"/>
  <c r="A411" i="1"/>
  <c r="C184" i="1"/>
  <c r="D184" i="1"/>
  <c r="E184" i="1" s="1"/>
  <c r="F184" i="1"/>
  <c r="G184" i="1" s="1"/>
  <c r="H184" i="1"/>
  <c r="J184" i="1"/>
  <c r="Q184" i="1" s="1"/>
  <c r="K184" i="1"/>
  <c r="L184" i="1" s="1"/>
  <c r="A412" i="1"/>
  <c r="C133" i="1"/>
  <c r="D133" i="1"/>
  <c r="E133" i="1" s="1"/>
  <c r="F133" i="1"/>
  <c r="G133" i="1" s="1"/>
  <c r="H133" i="1"/>
  <c r="J133" i="1"/>
  <c r="K133" i="1"/>
  <c r="L133" i="1" s="1"/>
  <c r="A413" i="1"/>
  <c r="C379" i="1"/>
  <c r="D379" i="1"/>
  <c r="E379" i="1" s="1"/>
  <c r="F379" i="1"/>
  <c r="G379" i="1" s="1"/>
  <c r="H379" i="1"/>
  <c r="J379" i="1"/>
  <c r="M379" i="1" s="1"/>
  <c r="K379" i="1"/>
  <c r="L379" i="1" s="1"/>
  <c r="A414" i="1"/>
  <c r="C307" i="1"/>
  <c r="D307" i="1"/>
  <c r="E307" i="1" s="1"/>
  <c r="F307" i="1"/>
  <c r="G307" i="1" s="1"/>
  <c r="H307" i="1"/>
  <c r="J307" i="1"/>
  <c r="K307" i="1"/>
  <c r="L307" i="1" s="1"/>
  <c r="A415" i="1"/>
  <c r="C210" i="1"/>
  <c r="D210" i="1"/>
  <c r="E210" i="1" s="1"/>
  <c r="F210" i="1"/>
  <c r="G210" i="1" s="1"/>
  <c r="H210" i="1"/>
  <c r="J210" i="1"/>
  <c r="K210" i="1"/>
  <c r="L210" i="1" s="1"/>
  <c r="A416" i="1"/>
  <c r="C132" i="1"/>
  <c r="D132" i="1"/>
  <c r="E132" i="1" s="1"/>
  <c r="F132" i="1"/>
  <c r="G132" i="1" s="1"/>
  <c r="H132" i="1"/>
  <c r="J132" i="1"/>
  <c r="R132" i="1" s="1"/>
  <c r="K132" i="1"/>
  <c r="L132" i="1" s="1"/>
  <c r="A417" i="1"/>
  <c r="C226" i="1"/>
  <c r="D226" i="1"/>
  <c r="E226" i="1" s="1"/>
  <c r="F226" i="1"/>
  <c r="G226" i="1" s="1"/>
  <c r="H226" i="1"/>
  <c r="J226" i="1"/>
  <c r="K226" i="1"/>
  <c r="L226" i="1" s="1"/>
  <c r="A418" i="1"/>
  <c r="C151" i="1"/>
  <c r="D151" i="1"/>
  <c r="E151" i="1" s="1"/>
  <c r="F151" i="1"/>
  <c r="G151" i="1" s="1"/>
  <c r="H151" i="1"/>
  <c r="J151" i="1"/>
  <c r="K151" i="1"/>
  <c r="L151" i="1" s="1"/>
  <c r="A419" i="1"/>
  <c r="C136" i="1"/>
  <c r="D136" i="1"/>
  <c r="E136" i="1" s="1"/>
  <c r="F136" i="1"/>
  <c r="G136" i="1" s="1"/>
  <c r="H136" i="1"/>
  <c r="J136" i="1"/>
  <c r="K136" i="1"/>
  <c r="L136" i="1" s="1"/>
  <c r="A420" i="1"/>
  <c r="C247" i="1"/>
  <c r="D247" i="1"/>
  <c r="E247" i="1" s="1"/>
  <c r="F247" i="1"/>
  <c r="G247" i="1" s="1"/>
  <c r="H247" i="1"/>
  <c r="J247" i="1"/>
  <c r="K247" i="1"/>
  <c r="L247" i="1" s="1"/>
  <c r="A421" i="1"/>
  <c r="C437" i="1"/>
  <c r="D437" i="1"/>
  <c r="E437" i="1" s="1"/>
  <c r="F437" i="1"/>
  <c r="G437" i="1" s="1"/>
  <c r="H437" i="1"/>
  <c r="J437" i="1"/>
  <c r="Q437" i="1" s="1"/>
  <c r="K437" i="1"/>
  <c r="L437" i="1" s="1"/>
  <c r="A422" i="1"/>
  <c r="C191" i="1"/>
  <c r="D191" i="1"/>
  <c r="E191" i="1" s="1"/>
  <c r="F191" i="1"/>
  <c r="G191" i="1" s="1"/>
  <c r="H191" i="1"/>
  <c r="J191" i="1"/>
  <c r="M191" i="1" s="1"/>
  <c r="K191" i="1"/>
  <c r="L191" i="1" s="1"/>
  <c r="A423" i="1"/>
  <c r="C397" i="1"/>
  <c r="D397" i="1"/>
  <c r="E397" i="1" s="1"/>
  <c r="F397" i="1"/>
  <c r="G397" i="1" s="1"/>
  <c r="H397" i="1"/>
  <c r="J397" i="1"/>
  <c r="Q397" i="1" s="1"/>
  <c r="K397" i="1"/>
  <c r="L397" i="1" s="1"/>
  <c r="A424" i="1"/>
  <c r="C341" i="1"/>
  <c r="D341" i="1"/>
  <c r="E341" i="1" s="1"/>
  <c r="F341" i="1"/>
  <c r="G341" i="1" s="1"/>
  <c r="H341" i="1"/>
  <c r="J341" i="1"/>
  <c r="R341" i="1" s="1"/>
  <c r="K341" i="1"/>
  <c r="L341" i="1" s="1"/>
  <c r="A425" i="1"/>
  <c r="C15" i="1"/>
  <c r="D15" i="1"/>
  <c r="E15" i="1" s="1"/>
  <c r="F15" i="1"/>
  <c r="G15" i="1" s="1"/>
  <c r="H15" i="1"/>
  <c r="J15" i="1"/>
  <c r="R15" i="1" s="1"/>
  <c r="K15" i="1"/>
  <c r="L15" i="1" s="1"/>
  <c r="A426" i="1"/>
  <c r="C483" i="1"/>
  <c r="D483" i="1"/>
  <c r="E483" i="1" s="1"/>
  <c r="F483" i="1"/>
  <c r="G483" i="1" s="1"/>
  <c r="H483" i="1"/>
  <c r="J483" i="1"/>
  <c r="Q483" i="1" s="1"/>
  <c r="K483" i="1"/>
  <c r="L483" i="1" s="1"/>
  <c r="A427" i="1"/>
  <c r="C5" i="1"/>
  <c r="D5" i="1"/>
  <c r="E5" i="1" s="1"/>
  <c r="F5" i="1"/>
  <c r="G5" i="1" s="1"/>
  <c r="H5" i="1"/>
  <c r="J5" i="1"/>
  <c r="Q5" i="1" s="1"/>
  <c r="K5" i="1"/>
  <c r="L5" i="1" s="1"/>
  <c r="A428" i="1"/>
  <c r="C150" i="1"/>
  <c r="D150" i="1"/>
  <c r="E150" i="1" s="1"/>
  <c r="F150" i="1"/>
  <c r="G150" i="1" s="1"/>
  <c r="H150" i="1"/>
  <c r="J150" i="1"/>
  <c r="K150" i="1"/>
  <c r="L150" i="1" s="1"/>
  <c r="A429" i="1"/>
  <c r="C412" i="1"/>
  <c r="D412" i="1"/>
  <c r="E412" i="1" s="1"/>
  <c r="F412" i="1"/>
  <c r="G412" i="1" s="1"/>
  <c r="H412" i="1"/>
  <c r="J412" i="1"/>
  <c r="Q412" i="1" s="1"/>
  <c r="K412" i="1"/>
  <c r="L412" i="1" s="1"/>
  <c r="A430" i="1"/>
  <c r="C281" i="1"/>
  <c r="D281" i="1"/>
  <c r="E281" i="1" s="1"/>
  <c r="F281" i="1"/>
  <c r="G281" i="1" s="1"/>
  <c r="H281" i="1"/>
  <c r="J281" i="1"/>
  <c r="R281" i="1" s="1"/>
  <c r="K281" i="1"/>
  <c r="L281" i="1" s="1"/>
  <c r="A431" i="1"/>
  <c r="C252" i="1"/>
  <c r="D252" i="1"/>
  <c r="E252" i="1" s="1"/>
  <c r="F252" i="1"/>
  <c r="G252" i="1" s="1"/>
  <c r="H252" i="1"/>
  <c r="J252" i="1"/>
  <c r="K252" i="1"/>
  <c r="L252" i="1" s="1"/>
  <c r="A432" i="1"/>
  <c r="C261" i="1"/>
  <c r="D261" i="1"/>
  <c r="E261" i="1" s="1"/>
  <c r="F261" i="1"/>
  <c r="G261" i="1" s="1"/>
  <c r="H261" i="1"/>
  <c r="J261" i="1"/>
  <c r="Q261" i="1" s="1"/>
  <c r="K261" i="1"/>
  <c r="L261" i="1" s="1"/>
  <c r="A433" i="1"/>
  <c r="C166" i="1"/>
  <c r="D166" i="1"/>
  <c r="E166" i="1" s="1"/>
  <c r="F166" i="1"/>
  <c r="G166" i="1" s="1"/>
  <c r="H166" i="1"/>
  <c r="J166" i="1"/>
  <c r="M166" i="1" s="1"/>
  <c r="K166" i="1"/>
  <c r="L166" i="1" s="1"/>
  <c r="A434" i="1"/>
  <c r="C328" i="1"/>
  <c r="D328" i="1"/>
  <c r="E328" i="1" s="1"/>
  <c r="F328" i="1"/>
  <c r="G328" i="1" s="1"/>
  <c r="H328" i="1"/>
  <c r="J328" i="1"/>
  <c r="R328" i="1" s="1"/>
  <c r="K328" i="1"/>
  <c r="L328" i="1" s="1"/>
  <c r="A435" i="1"/>
  <c r="C358" i="1"/>
  <c r="D358" i="1"/>
  <c r="E358" i="1" s="1"/>
  <c r="F358" i="1"/>
  <c r="G358" i="1" s="1"/>
  <c r="H358" i="1"/>
  <c r="J358" i="1"/>
  <c r="K358" i="1"/>
  <c r="L358" i="1" s="1"/>
  <c r="A436" i="1"/>
  <c r="C271" i="1"/>
  <c r="D271" i="1"/>
  <c r="E271" i="1" s="1"/>
  <c r="F271" i="1"/>
  <c r="G271" i="1" s="1"/>
  <c r="H271" i="1"/>
  <c r="J271" i="1"/>
  <c r="Q271" i="1" s="1"/>
  <c r="K271" i="1"/>
  <c r="L271" i="1" s="1"/>
  <c r="A437" i="1"/>
  <c r="B285" i="1" s="1"/>
  <c r="C285" i="1"/>
  <c r="D285" i="1"/>
  <c r="E285" i="1" s="1"/>
  <c r="F285" i="1"/>
  <c r="G285" i="1" s="1"/>
  <c r="H285" i="1"/>
  <c r="J285" i="1"/>
  <c r="R285" i="1" s="1"/>
  <c r="K285" i="1"/>
  <c r="L285" i="1" s="1"/>
  <c r="A438" i="1"/>
  <c r="C448" i="1"/>
  <c r="D448" i="1"/>
  <c r="E448" i="1" s="1"/>
  <c r="F448" i="1"/>
  <c r="G448" i="1" s="1"/>
  <c r="H448" i="1"/>
  <c r="J448" i="1"/>
  <c r="R448" i="1" s="1"/>
  <c r="K448" i="1"/>
  <c r="L448" i="1" s="1"/>
  <c r="A439" i="1"/>
  <c r="C466" i="1"/>
  <c r="D466" i="1"/>
  <c r="E466" i="1" s="1"/>
  <c r="F466" i="1"/>
  <c r="G466" i="1" s="1"/>
  <c r="H466" i="1"/>
  <c r="J466" i="1"/>
  <c r="M466" i="1" s="1"/>
  <c r="K466" i="1"/>
  <c r="L466" i="1" s="1"/>
  <c r="A440" i="1"/>
  <c r="C276" i="1"/>
  <c r="D276" i="1"/>
  <c r="E276" i="1" s="1"/>
  <c r="F276" i="1"/>
  <c r="G276" i="1" s="1"/>
  <c r="H276" i="1"/>
  <c r="J276" i="1"/>
  <c r="R276" i="1" s="1"/>
  <c r="K276" i="1"/>
  <c r="L276" i="1" s="1"/>
  <c r="A441" i="1"/>
  <c r="B369" i="1" s="1"/>
  <c r="C369" i="1"/>
  <c r="D369" i="1"/>
  <c r="E369" i="1" s="1"/>
  <c r="F369" i="1"/>
  <c r="G369" i="1" s="1"/>
  <c r="H369" i="1"/>
  <c r="J369" i="1"/>
  <c r="K369" i="1"/>
  <c r="L369" i="1" s="1"/>
  <c r="DA441" i="1" s="1"/>
  <c r="A442" i="1"/>
  <c r="C135" i="1"/>
  <c r="D135" i="1"/>
  <c r="E135" i="1" s="1"/>
  <c r="F135" i="1"/>
  <c r="G135" i="1" s="1"/>
  <c r="H135" i="1"/>
  <c r="J135" i="1"/>
  <c r="Q135" i="1" s="1"/>
  <c r="K135" i="1"/>
  <c r="L135" i="1" s="1"/>
  <c r="A443" i="1"/>
  <c r="C82" i="1"/>
  <c r="D82" i="1"/>
  <c r="E82" i="1" s="1"/>
  <c r="F82" i="1"/>
  <c r="G82" i="1" s="1"/>
  <c r="H82" i="1"/>
  <c r="J82" i="1"/>
  <c r="K82" i="1"/>
  <c r="L82" i="1" s="1"/>
  <c r="A444" i="1"/>
  <c r="B188" i="1" s="1"/>
  <c r="C188" i="1"/>
  <c r="D188" i="1"/>
  <c r="E188" i="1" s="1"/>
  <c r="F188" i="1"/>
  <c r="G188" i="1" s="1"/>
  <c r="H188" i="1"/>
  <c r="J188" i="1"/>
  <c r="K188" i="1"/>
  <c r="L188" i="1" s="1"/>
  <c r="A445" i="1"/>
  <c r="C52" i="1"/>
  <c r="D52" i="1"/>
  <c r="E52" i="1" s="1"/>
  <c r="F52" i="1"/>
  <c r="G52" i="1" s="1"/>
  <c r="H52" i="1"/>
  <c r="J52" i="1"/>
  <c r="M52" i="1" s="1"/>
  <c r="K52" i="1"/>
  <c r="L52" i="1" s="1"/>
  <c r="A446" i="1"/>
  <c r="C290" i="1"/>
  <c r="D290" i="1"/>
  <c r="E290" i="1" s="1"/>
  <c r="F290" i="1"/>
  <c r="G290" i="1" s="1"/>
  <c r="H290" i="1"/>
  <c r="J290" i="1"/>
  <c r="M290" i="1" s="1"/>
  <c r="K290" i="1"/>
  <c r="L290" i="1" s="1"/>
  <c r="A447" i="1"/>
  <c r="C492" i="1"/>
  <c r="D492" i="1"/>
  <c r="E492" i="1" s="1"/>
  <c r="F492" i="1"/>
  <c r="G492" i="1" s="1"/>
  <c r="H492" i="1"/>
  <c r="J492" i="1"/>
  <c r="Q492" i="1" s="1"/>
  <c r="K492" i="1"/>
  <c r="L492" i="1" s="1"/>
  <c r="A448" i="1"/>
  <c r="C107" i="1"/>
  <c r="D107" i="1"/>
  <c r="E107" i="1" s="1"/>
  <c r="F107" i="1"/>
  <c r="G107" i="1" s="1"/>
  <c r="H107" i="1"/>
  <c r="J107" i="1"/>
  <c r="Q107" i="1" s="1"/>
  <c r="K107" i="1"/>
  <c r="L107" i="1" s="1"/>
  <c r="A449" i="1"/>
  <c r="C269" i="1"/>
  <c r="D269" i="1"/>
  <c r="E269" i="1" s="1"/>
  <c r="F269" i="1"/>
  <c r="G269" i="1" s="1"/>
  <c r="H269" i="1"/>
  <c r="J269" i="1"/>
  <c r="R269" i="1" s="1"/>
  <c r="K269" i="1"/>
  <c r="L269" i="1" s="1"/>
  <c r="A450" i="1"/>
  <c r="C453" i="1"/>
  <c r="D453" i="1"/>
  <c r="E453" i="1" s="1"/>
  <c r="F453" i="1"/>
  <c r="G453" i="1" s="1"/>
  <c r="H453" i="1"/>
  <c r="J453" i="1"/>
  <c r="K453" i="1"/>
  <c r="L453" i="1" s="1"/>
  <c r="A451" i="1"/>
  <c r="C161" i="1"/>
  <c r="D161" i="1"/>
  <c r="E161" i="1" s="1"/>
  <c r="F161" i="1"/>
  <c r="G161" i="1" s="1"/>
  <c r="H161" i="1"/>
  <c r="J161" i="1"/>
  <c r="K161" i="1"/>
  <c r="L161" i="1" s="1"/>
  <c r="A452" i="1"/>
  <c r="C403" i="1"/>
  <c r="D403" i="1"/>
  <c r="E403" i="1" s="1"/>
  <c r="F403" i="1"/>
  <c r="G403" i="1" s="1"/>
  <c r="H403" i="1"/>
  <c r="J403" i="1"/>
  <c r="M403" i="1" s="1"/>
  <c r="K403" i="1"/>
  <c r="L403" i="1" s="1"/>
  <c r="A453" i="1"/>
  <c r="C347" i="1"/>
  <c r="D347" i="1"/>
  <c r="E347" i="1" s="1"/>
  <c r="F347" i="1"/>
  <c r="G347" i="1" s="1"/>
  <c r="H347" i="1"/>
  <c r="J347" i="1"/>
  <c r="R347" i="1" s="1"/>
  <c r="K347" i="1"/>
  <c r="L347" i="1" s="1"/>
  <c r="A454" i="1"/>
  <c r="C54" i="1"/>
  <c r="D54" i="1"/>
  <c r="E54" i="1" s="1"/>
  <c r="F54" i="1"/>
  <c r="G54" i="1" s="1"/>
  <c r="H54" i="1"/>
  <c r="J54" i="1"/>
  <c r="Q54" i="1" s="1"/>
  <c r="K54" i="1"/>
  <c r="L54" i="1" s="1"/>
  <c r="A455" i="1"/>
  <c r="C306" i="1"/>
  <c r="D306" i="1"/>
  <c r="E306" i="1" s="1"/>
  <c r="F306" i="1"/>
  <c r="G306" i="1" s="1"/>
  <c r="H306" i="1"/>
  <c r="J306" i="1"/>
  <c r="M306" i="1" s="1"/>
  <c r="K306" i="1"/>
  <c r="L306" i="1" s="1"/>
  <c r="A456" i="1"/>
  <c r="C36" i="1"/>
  <c r="D36" i="1"/>
  <c r="E36" i="1" s="1"/>
  <c r="F36" i="1"/>
  <c r="G36" i="1" s="1"/>
  <c r="H36" i="1"/>
  <c r="J36" i="1"/>
  <c r="M36" i="1" s="1"/>
  <c r="K36" i="1"/>
  <c r="L36" i="1" s="1"/>
  <c r="A457" i="1"/>
  <c r="C174" i="1"/>
  <c r="D174" i="1"/>
  <c r="E174" i="1" s="1"/>
  <c r="F174" i="1"/>
  <c r="G174" i="1" s="1"/>
  <c r="H174" i="1"/>
  <c r="J174" i="1"/>
  <c r="M174" i="1" s="1"/>
  <c r="K174" i="1"/>
  <c r="L174" i="1" s="1"/>
  <c r="A458" i="1"/>
  <c r="B298" i="1" s="1"/>
  <c r="C298" i="1"/>
  <c r="D298" i="1"/>
  <c r="E298" i="1" s="1"/>
  <c r="F298" i="1"/>
  <c r="G298" i="1" s="1"/>
  <c r="H298" i="1"/>
  <c r="J298" i="1"/>
  <c r="R298" i="1" s="1"/>
  <c r="K298" i="1"/>
  <c r="L298" i="1" s="1"/>
  <c r="A459" i="1"/>
  <c r="C428" i="1"/>
  <c r="D428" i="1"/>
  <c r="E428" i="1" s="1"/>
  <c r="F428" i="1"/>
  <c r="G428" i="1" s="1"/>
  <c r="H428" i="1"/>
  <c r="J428" i="1"/>
  <c r="M428" i="1" s="1"/>
  <c r="K428" i="1"/>
  <c r="L428" i="1" s="1"/>
  <c r="A460" i="1"/>
  <c r="C45" i="1"/>
  <c r="D45" i="1"/>
  <c r="E45" i="1" s="1"/>
  <c r="F45" i="1"/>
  <c r="G45" i="1" s="1"/>
  <c r="H45" i="1"/>
  <c r="J45" i="1"/>
  <c r="M45" i="1" s="1"/>
  <c r="K45" i="1"/>
  <c r="L45" i="1" s="1"/>
  <c r="A461" i="1"/>
  <c r="C393" i="1"/>
  <c r="D393" i="1"/>
  <c r="E393" i="1" s="1"/>
  <c r="F393" i="1"/>
  <c r="G393" i="1" s="1"/>
  <c r="H393" i="1"/>
  <c r="J393" i="1"/>
  <c r="K393" i="1"/>
  <c r="L393" i="1" s="1"/>
  <c r="A462" i="1"/>
  <c r="C240" i="1"/>
  <c r="D240" i="1"/>
  <c r="E240" i="1" s="1"/>
  <c r="AK462" i="1" s="1"/>
  <c r="F240" i="1"/>
  <c r="G240" i="1" s="1"/>
  <c r="H240" i="1"/>
  <c r="J240" i="1"/>
  <c r="M240" i="1" s="1"/>
  <c r="K240" i="1"/>
  <c r="L240" i="1" s="1"/>
  <c r="A463" i="1"/>
  <c r="C101" i="1"/>
  <c r="D101" i="1"/>
  <c r="E101" i="1" s="1"/>
  <c r="F101" i="1"/>
  <c r="G101" i="1" s="1"/>
  <c r="H101" i="1"/>
  <c r="J101" i="1"/>
  <c r="K101" i="1"/>
  <c r="L101" i="1" s="1"/>
  <c r="DA463" i="1" s="1"/>
  <c r="A464" i="1"/>
  <c r="C105" i="1"/>
  <c r="D105" i="1"/>
  <c r="E105" i="1" s="1"/>
  <c r="F105" i="1"/>
  <c r="G105" i="1" s="1"/>
  <c r="H105" i="1"/>
  <c r="J105" i="1"/>
  <c r="M105" i="1" s="1"/>
  <c r="K105" i="1"/>
  <c r="L105" i="1" s="1"/>
  <c r="A465" i="1"/>
  <c r="B185" i="1" s="1"/>
  <c r="C185" i="1"/>
  <c r="D185" i="1"/>
  <c r="E185" i="1" s="1"/>
  <c r="F185" i="1"/>
  <c r="G185" i="1" s="1"/>
  <c r="H185" i="1"/>
  <c r="J185" i="1"/>
  <c r="Q185" i="1" s="1"/>
  <c r="K185" i="1"/>
  <c r="L185" i="1" s="1"/>
  <c r="A466" i="1"/>
  <c r="C333" i="1"/>
  <c r="D333" i="1"/>
  <c r="E333" i="1" s="1"/>
  <c r="F333" i="1"/>
  <c r="G333" i="1" s="1"/>
  <c r="H333" i="1"/>
  <c r="J333" i="1"/>
  <c r="Q333" i="1" s="1"/>
  <c r="K333" i="1"/>
  <c r="L333" i="1" s="1"/>
  <c r="A467" i="1"/>
  <c r="C444" i="1"/>
  <c r="D444" i="1"/>
  <c r="E444" i="1" s="1"/>
  <c r="F444" i="1"/>
  <c r="G444" i="1" s="1"/>
  <c r="H444" i="1"/>
  <c r="J444" i="1"/>
  <c r="M444" i="1" s="1"/>
  <c r="K444" i="1"/>
  <c r="L444" i="1" s="1"/>
  <c r="A468" i="1"/>
  <c r="C503" i="1"/>
  <c r="D503" i="1"/>
  <c r="E503" i="1" s="1"/>
  <c r="F503" i="1"/>
  <c r="G503" i="1" s="1"/>
  <c r="H503" i="1"/>
  <c r="J503" i="1"/>
  <c r="R503" i="1" s="1"/>
  <c r="K503" i="1"/>
  <c r="L503" i="1" s="1"/>
  <c r="A469" i="1"/>
  <c r="C130" i="1"/>
  <c r="D130" i="1"/>
  <c r="E130" i="1" s="1"/>
  <c r="F130" i="1"/>
  <c r="G130" i="1" s="1"/>
  <c r="H130" i="1"/>
  <c r="J130" i="1"/>
  <c r="Q130" i="1" s="1"/>
  <c r="K130" i="1"/>
  <c r="L130" i="1" s="1"/>
  <c r="A470" i="1"/>
  <c r="C195" i="1"/>
  <c r="D195" i="1"/>
  <c r="E195" i="1" s="1"/>
  <c r="F195" i="1"/>
  <c r="G195" i="1" s="1"/>
  <c r="H195" i="1"/>
  <c r="J195" i="1"/>
  <c r="K195" i="1"/>
  <c r="L195" i="1" s="1"/>
  <c r="A471" i="1"/>
  <c r="B199" i="1" s="1"/>
  <c r="C199" i="1"/>
  <c r="D199" i="1"/>
  <c r="E199" i="1" s="1"/>
  <c r="F199" i="1"/>
  <c r="G199" i="1" s="1"/>
  <c r="H199" i="1"/>
  <c r="J199" i="1"/>
  <c r="Q199" i="1" s="1"/>
  <c r="K199" i="1"/>
  <c r="L199" i="1" s="1"/>
  <c r="A472" i="1"/>
  <c r="C312" i="1"/>
  <c r="D312" i="1"/>
  <c r="E312" i="1" s="1"/>
  <c r="F312" i="1"/>
  <c r="G312" i="1" s="1"/>
  <c r="H312" i="1"/>
  <c r="J312" i="1"/>
  <c r="M312" i="1" s="1"/>
  <c r="N312" i="1" s="1"/>
  <c r="K312" i="1"/>
  <c r="L312" i="1" s="1"/>
  <c r="A473" i="1"/>
  <c r="C92" i="1"/>
  <c r="D92" i="1"/>
  <c r="E92" i="1" s="1"/>
  <c r="F92" i="1"/>
  <c r="G92" i="1" s="1"/>
  <c r="H92" i="1"/>
  <c r="J92" i="1"/>
  <c r="Q92" i="1" s="1"/>
  <c r="K92" i="1"/>
  <c r="L92" i="1" s="1"/>
  <c r="A474" i="1"/>
  <c r="C200" i="1"/>
  <c r="D200" i="1"/>
  <c r="E200" i="1" s="1"/>
  <c r="F200" i="1"/>
  <c r="G200" i="1" s="1"/>
  <c r="H200" i="1"/>
  <c r="J200" i="1"/>
  <c r="M200" i="1" s="1"/>
  <c r="K200" i="1"/>
  <c r="L200" i="1" s="1"/>
  <c r="A475" i="1"/>
  <c r="B227" i="1" s="1"/>
  <c r="C227" i="1"/>
  <c r="D227" i="1"/>
  <c r="E227" i="1" s="1"/>
  <c r="F227" i="1"/>
  <c r="G227" i="1" s="1"/>
  <c r="H227" i="1"/>
  <c r="J227" i="1"/>
  <c r="K227" i="1"/>
  <c r="L227" i="1" s="1"/>
  <c r="A476" i="1"/>
  <c r="C157" i="1"/>
  <c r="D157" i="1"/>
  <c r="E157" i="1" s="1"/>
  <c r="F157" i="1"/>
  <c r="G157" i="1" s="1"/>
  <c r="H157" i="1"/>
  <c r="J157" i="1"/>
  <c r="K157" i="1"/>
  <c r="L157" i="1" s="1"/>
  <c r="A477" i="1"/>
  <c r="C209" i="1"/>
  <c r="D209" i="1"/>
  <c r="E209" i="1" s="1"/>
  <c r="F209" i="1"/>
  <c r="G209" i="1" s="1"/>
  <c r="H209" i="1"/>
  <c r="J209" i="1"/>
  <c r="K209" i="1"/>
  <c r="L209" i="1" s="1"/>
  <c r="A478" i="1"/>
  <c r="C71" i="1"/>
  <c r="D71" i="1"/>
  <c r="E71" i="1" s="1"/>
  <c r="F71" i="1"/>
  <c r="G71" i="1" s="1"/>
  <c r="H71" i="1"/>
  <c r="J71" i="1"/>
  <c r="K71" i="1"/>
  <c r="L71" i="1" s="1"/>
  <c r="A479" i="1"/>
  <c r="C497" i="1"/>
  <c r="D497" i="1"/>
  <c r="E497" i="1" s="1"/>
  <c r="F497" i="1"/>
  <c r="G497" i="1" s="1"/>
  <c r="H497" i="1"/>
  <c r="J497" i="1"/>
  <c r="Q497" i="1" s="1"/>
  <c r="K497" i="1"/>
  <c r="L497" i="1" s="1"/>
  <c r="A480" i="1"/>
  <c r="C244" i="1"/>
  <c r="D244" i="1"/>
  <c r="E244" i="1" s="1"/>
  <c r="F244" i="1"/>
  <c r="G244" i="1" s="1"/>
  <c r="H244" i="1"/>
  <c r="J244" i="1"/>
  <c r="K244" i="1"/>
  <c r="L244" i="1" s="1"/>
  <c r="CZ480" i="1" s="1"/>
  <c r="A481" i="1"/>
  <c r="C74" i="1"/>
  <c r="D74" i="1"/>
  <c r="E74" i="1" s="1"/>
  <c r="F74" i="1"/>
  <c r="G74" i="1" s="1"/>
  <c r="H74" i="1"/>
  <c r="J74" i="1"/>
  <c r="Q74" i="1" s="1"/>
  <c r="K74" i="1"/>
  <c r="L74" i="1" s="1"/>
  <c r="A482" i="1"/>
  <c r="B34" i="1" s="1"/>
  <c r="C34" i="1"/>
  <c r="D34" i="1"/>
  <c r="E34" i="1" s="1"/>
  <c r="F34" i="1"/>
  <c r="G34" i="1" s="1"/>
  <c r="H34" i="1"/>
  <c r="J34" i="1"/>
  <c r="Q34" i="1" s="1"/>
  <c r="K34" i="1"/>
  <c r="L34" i="1" s="1"/>
  <c r="A483" i="1"/>
  <c r="C331" i="1"/>
  <c r="D331" i="1"/>
  <c r="E331" i="1" s="1"/>
  <c r="F331" i="1"/>
  <c r="G331" i="1" s="1"/>
  <c r="H331" i="1"/>
  <c r="J331" i="1"/>
  <c r="R331" i="1" s="1"/>
  <c r="K331" i="1"/>
  <c r="L331" i="1" s="1"/>
  <c r="A484" i="1"/>
  <c r="C355" i="1"/>
  <c r="D355" i="1"/>
  <c r="E355" i="1" s="1"/>
  <c r="F355" i="1"/>
  <c r="G355" i="1" s="1"/>
  <c r="H355" i="1"/>
  <c r="J355" i="1"/>
  <c r="M355" i="1" s="1"/>
  <c r="K355" i="1"/>
  <c r="L355" i="1" s="1"/>
  <c r="A485" i="1"/>
  <c r="C6" i="1"/>
  <c r="D6" i="1"/>
  <c r="E6" i="1" s="1"/>
  <c r="F6" i="1"/>
  <c r="G6" i="1" s="1"/>
  <c r="H6" i="1"/>
  <c r="J6" i="1"/>
  <c r="M6" i="1" s="1"/>
  <c r="K6" i="1"/>
  <c r="L6" i="1" s="1"/>
  <c r="A486" i="1"/>
  <c r="C267" i="1"/>
  <c r="D267" i="1"/>
  <c r="E267" i="1" s="1"/>
  <c r="F267" i="1"/>
  <c r="G267" i="1" s="1"/>
  <c r="H267" i="1"/>
  <c r="J267" i="1"/>
  <c r="M267" i="1" s="1"/>
  <c r="K267" i="1"/>
  <c r="L267" i="1" s="1"/>
  <c r="A487" i="1"/>
  <c r="B119" i="1" s="1"/>
  <c r="C119" i="1"/>
  <c r="D119" i="1"/>
  <c r="E119" i="1" s="1"/>
  <c r="F119" i="1"/>
  <c r="G119" i="1" s="1"/>
  <c r="H119" i="1"/>
  <c r="J119" i="1"/>
  <c r="M119" i="1" s="1"/>
  <c r="K119" i="1"/>
  <c r="L119" i="1" s="1"/>
  <c r="A488" i="1"/>
  <c r="C76" i="1"/>
  <c r="D76" i="1"/>
  <c r="E76" i="1" s="1"/>
  <c r="F76" i="1"/>
  <c r="G76" i="1" s="1"/>
  <c r="H76" i="1"/>
  <c r="J76" i="1"/>
  <c r="Q76" i="1" s="1"/>
  <c r="K76" i="1"/>
  <c r="L76" i="1" s="1"/>
  <c r="A489" i="1"/>
  <c r="C496" i="1"/>
  <c r="D496" i="1"/>
  <c r="E496" i="1" s="1"/>
  <c r="F496" i="1"/>
  <c r="G496" i="1" s="1"/>
  <c r="H496" i="1"/>
  <c r="J496" i="1"/>
  <c r="M496" i="1" s="1"/>
  <c r="K496" i="1"/>
  <c r="L496" i="1" s="1"/>
  <c r="A490" i="1"/>
  <c r="C353" i="1"/>
  <c r="D353" i="1"/>
  <c r="E353" i="1" s="1"/>
  <c r="F353" i="1"/>
  <c r="G353" i="1" s="1"/>
  <c r="H353" i="1"/>
  <c r="J353" i="1"/>
  <c r="Q353" i="1" s="1"/>
  <c r="K353" i="1"/>
  <c r="L353" i="1" s="1"/>
  <c r="A491" i="1"/>
  <c r="C237" i="1"/>
  <c r="D237" i="1"/>
  <c r="E237" i="1" s="1"/>
  <c r="F237" i="1"/>
  <c r="G237" i="1" s="1"/>
  <c r="H237" i="1"/>
  <c r="J237" i="1"/>
  <c r="K237" i="1"/>
  <c r="L237" i="1" s="1"/>
  <c r="A492" i="1"/>
  <c r="B316" i="1" s="1"/>
  <c r="C316" i="1"/>
  <c r="D316" i="1"/>
  <c r="E316" i="1" s="1"/>
  <c r="F316" i="1"/>
  <c r="G316" i="1" s="1"/>
  <c r="H316" i="1"/>
  <c r="J316" i="1"/>
  <c r="K316" i="1"/>
  <c r="L316" i="1" s="1"/>
  <c r="A493" i="1"/>
  <c r="B213" i="1" s="1"/>
  <c r="C213" i="1"/>
  <c r="D213" i="1"/>
  <c r="E213" i="1" s="1"/>
  <c r="F213" i="1"/>
  <c r="G213" i="1" s="1"/>
  <c r="H213" i="1"/>
  <c r="J213" i="1"/>
  <c r="M213" i="1" s="1"/>
  <c r="N213" i="1" s="1"/>
  <c r="K213" i="1"/>
  <c r="L213" i="1" s="1"/>
  <c r="A494" i="1"/>
  <c r="C382" i="1"/>
  <c r="D382" i="1"/>
  <c r="E382" i="1" s="1"/>
  <c r="AK494" i="1" s="1"/>
  <c r="F382" i="1"/>
  <c r="G382" i="1" s="1"/>
  <c r="H382" i="1"/>
  <c r="J382" i="1"/>
  <c r="M382" i="1" s="1"/>
  <c r="N382" i="1" s="1"/>
  <c r="K382" i="1"/>
  <c r="L382" i="1" s="1"/>
  <c r="A495" i="1"/>
  <c r="C321" i="1"/>
  <c r="D321" i="1"/>
  <c r="E321" i="1" s="1"/>
  <c r="F321" i="1"/>
  <c r="G321" i="1" s="1"/>
  <c r="H321" i="1"/>
  <c r="J321" i="1"/>
  <c r="K321" i="1"/>
  <c r="L321" i="1" s="1"/>
  <c r="A496" i="1"/>
  <c r="C35" i="1"/>
  <c r="D35" i="1"/>
  <c r="E35" i="1" s="1"/>
  <c r="F35" i="1"/>
  <c r="G35" i="1" s="1"/>
  <c r="H35" i="1"/>
  <c r="J35" i="1"/>
  <c r="M35" i="1" s="1"/>
  <c r="K35" i="1"/>
  <c r="L35" i="1" s="1"/>
  <c r="A497" i="1"/>
  <c r="B169" i="1" s="1"/>
  <c r="C169" i="1"/>
  <c r="D169" i="1"/>
  <c r="E169" i="1" s="1"/>
  <c r="F169" i="1"/>
  <c r="G169" i="1" s="1"/>
  <c r="H169" i="1"/>
  <c r="J169" i="1"/>
  <c r="Q169" i="1" s="1"/>
  <c r="K169" i="1"/>
  <c r="L169" i="1" s="1"/>
  <c r="A498" i="1"/>
  <c r="C100" i="1"/>
  <c r="D100" i="1"/>
  <c r="E100" i="1" s="1"/>
  <c r="F100" i="1"/>
  <c r="G100" i="1" s="1"/>
  <c r="H100" i="1"/>
  <c r="J100" i="1"/>
  <c r="Q100" i="1" s="1"/>
  <c r="K100" i="1"/>
  <c r="L100" i="1" s="1"/>
  <c r="A499" i="1"/>
  <c r="C201" i="1"/>
  <c r="D201" i="1"/>
  <c r="E201" i="1" s="1"/>
  <c r="F201" i="1"/>
  <c r="G201" i="1" s="1"/>
  <c r="H201" i="1"/>
  <c r="J201" i="1"/>
  <c r="R201" i="1" s="1"/>
  <c r="K201" i="1"/>
  <c r="L201" i="1" s="1"/>
  <c r="A500" i="1"/>
  <c r="C431" i="1"/>
  <c r="D431" i="1"/>
  <c r="E431" i="1" s="1"/>
  <c r="F431" i="1"/>
  <c r="G431" i="1" s="1"/>
  <c r="H431" i="1"/>
  <c r="J431" i="1"/>
  <c r="K431" i="1"/>
  <c r="L431" i="1" s="1"/>
  <c r="A501" i="1"/>
  <c r="C471" i="1"/>
  <c r="D471" i="1"/>
  <c r="E471" i="1" s="1"/>
  <c r="F471" i="1"/>
  <c r="G471" i="1" s="1"/>
  <c r="H471" i="1"/>
  <c r="J471" i="1"/>
  <c r="Q471" i="1" s="1"/>
  <c r="K471" i="1"/>
  <c r="L471" i="1" s="1"/>
  <c r="A502" i="1"/>
  <c r="C255" i="1"/>
  <c r="D255" i="1"/>
  <c r="E255" i="1" s="1"/>
  <c r="F255" i="1"/>
  <c r="G255" i="1" s="1"/>
  <c r="H255" i="1"/>
  <c r="J255" i="1"/>
  <c r="K255" i="1"/>
  <c r="L255" i="1" s="1"/>
  <c r="A503" i="1"/>
  <c r="C296" i="1"/>
  <c r="D296" i="1"/>
  <c r="E296" i="1" s="1"/>
  <c r="F296" i="1"/>
  <c r="G296" i="1" s="1"/>
  <c r="H296" i="1"/>
  <c r="J296" i="1"/>
  <c r="M296" i="1" s="1"/>
  <c r="K296" i="1"/>
  <c r="L296" i="1" s="1"/>
  <c r="A504" i="1"/>
  <c r="C278" i="1"/>
  <c r="D278" i="1"/>
  <c r="E278" i="1" s="1"/>
  <c r="F278" i="1"/>
  <c r="G278" i="1" s="1"/>
  <c r="H278" i="1"/>
  <c r="J278" i="1"/>
  <c r="Q278" i="1" s="1"/>
  <c r="K278" i="1"/>
  <c r="L278" i="1" s="1"/>
  <c r="A505" i="1"/>
  <c r="C399" i="1"/>
  <c r="D399" i="1"/>
  <c r="E399" i="1" s="1"/>
  <c r="AK505" i="1" s="1"/>
  <c r="F399" i="1"/>
  <c r="G399" i="1" s="1"/>
  <c r="H399" i="1"/>
  <c r="J399" i="1"/>
  <c r="M399" i="1" s="1"/>
  <c r="N399" i="1" s="1"/>
  <c r="K399" i="1"/>
  <c r="L399" i="1" s="1"/>
  <c r="K231" i="1"/>
  <c r="L231" i="1" s="1"/>
  <c r="K48" i="1"/>
  <c r="L48" i="1" s="1"/>
  <c r="K302" i="1"/>
  <c r="L302" i="1" s="1"/>
  <c r="K248" i="1"/>
  <c r="L248" i="1" s="1"/>
  <c r="DB9" i="1" s="1"/>
  <c r="K49" i="1"/>
  <c r="L49" i="1" s="1"/>
  <c r="K457" i="1"/>
  <c r="L457" i="1" s="1"/>
  <c r="K329" i="1"/>
  <c r="L329" i="1" s="1"/>
  <c r="K323" i="1"/>
  <c r="L323" i="1" s="1"/>
  <c r="K425" i="1"/>
  <c r="L425" i="1" s="1"/>
  <c r="K264" i="1"/>
  <c r="L264" i="1" s="1"/>
  <c r="K94" i="1"/>
  <c r="L94" i="1" s="1"/>
  <c r="J231" i="1"/>
  <c r="M231" i="1" s="1"/>
  <c r="J48" i="1"/>
  <c r="M48" i="1" s="1"/>
  <c r="J302" i="1"/>
  <c r="M302" i="1" s="1"/>
  <c r="J248" i="1"/>
  <c r="M248" i="1" s="1"/>
  <c r="J49" i="1"/>
  <c r="M49" i="1" s="1"/>
  <c r="J457" i="1"/>
  <c r="M457" i="1" s="1"/>
  <c r="J329" i="1"/>
  <c r="M329" i="1" s="1"/>
  <c r="J323" i="1"/>
  <c r="M323" i="1" s="1"/>
  <c r="J425" i="1"/>
  <c r="M425" i="1" s="1"/>
  <c r="J264" i="1"/>
  <c r="J94" i="1"/>
  <c r="M94" i="1" s="1"/>
  <c r="H231" i="1"/>
  <c r="H48" i="1"/>
  <c r="H302" i="1"/>
  <c r="H248" i="1"/>
  <c r="H49" i="1"/>
  <c r="H457" i="1"/>
  <c r="H329" i="1"/>
  <c r="H323" i="1"/>
  <c r="H425" i="1"/>
  <c r="H264" i="1"/>
  <c r="H94" i="1"/>
  <c r="F231" i="1"/>
  <c r="G231" i="1" s="1"/>
  <c r="F48" i="1"/>
  <c r="G48" i="1" s="1"/>
  <c r="F302" i="1"/>
  <c r="G302" i="1" s="1"/>
  <c r="F248" i="1"/>
  <c r="G248" i="1" s="1"/>
  <c r="F49" i="1"/>
  <c r="G49" i="1" s="1"/>
  <c r="F457" i="1"/>
  <c r="G457" i="1" s="1"/>
  <c r="F329" i="1"/>
  <c r="G329" i="1" s="1"/>
  <c r="F323" i="1"/>
  <c r="G323" i="1" s="1"/>
  <c r="F425" i="1"/>
  <c r="G425" i="1" s="1"/>
  <c r="F264" i="1"/>
  <c r="G264" i="1" s="1"/>
  <c r="F94" i="1"/>
  <c r="G94" i="1" s="1"/>
  <c r="A5" i="1"/>
  <c r="C75" i="1"/>
  <c r="D75" i="1"/>
  <c r="E75" i="1" s="1"/>
  <c r="F75" i="1"/>
  <c r="G75" i="1" s="1"/>
  <c r="H75" i="1"/>
  <c r="J75" i="1"/>
  <c r="Q75" i="1" s="1"/>
  <c r="K75" i="1"/>
  <c r="L75" i="1" s="1"/>
  <c r="A6" i="1"/>
  <c r="B231" i="1" s="1"/>
  <c r="C231" i="1"/>
  <c r="D231" i="1"/>
  <c r="E231" i="1" s="1"/>
  <c r="A7" i="1"/>
  <c r="C48" i="1"/>
  <c r="D48" i="1"/>
  <c r="E48" i="1" s="1"/>
  <c r="A8" i="1"/>
  <c r="C302" i="1"/>
  <c r="D302" i="1"/>
  <c r="E302" i="1" s="1"/>
  <c r="A9" i="1"/>
  <c r="C248" i="1"/>
  <c r="D248" i="1"/>
  <c r="E248" i="1" s="1"/>
  <c r="A10" i="1"/>
  <c r="C49" i="1"/>
  <c r="D49" i="1"/>
  <c r="E49" i="1" s="1"/>
  <c r="A11" i="1"/>
  <c r="C457" i="1"/>
  <c r="D457" i="1"/>
  <c r="E457" i="1" s="1"/>
  <c r="A12" i="1"/>
  <c r="C329" i="1"/>
  <c r="D329" i="1"/>
  <c r="E329" i="1" s="1"/>
  <c r="A13" i="1"/>
  <c r="C323" i="1"/>
  <c r="D323" i="1"/>
  <c r="E323" i="1" s="1"/>
  <c r="A14" i="1"/>
  <c r="C425" i="1"/>
  <c r="D425" i="1"/>
  <c r="E425" i="1" s="1"/>
  <c r="A15" i="1"/>
  <c r="C264" i="1"/>
  <c r="D264" i="1"/>
  <c r="E264" i="1" s="1"/>
  <c r="A16" i="1"/>
  <c r="C94" i="1"/>
  <c r="D94" i="1"/>
  <c r="E94" i="1" s="1"/>
  <c r="DA442" i="1" l="1"/>
  <c r="CZ336" i="1"/>
  <c r="DA334" i="1"/>
  <c r="DA384" i="1"/>
  <c r="B174" i="1"/>
  <c r="AD174" i="1" s="1"/>
  <c r="B94" i="1"/>
  <c r="AD94" i="1" s="1"/>
  <c r="CY489" i="1"/>
  <c r="B150" i="1"/>
  <c r="AD150" i="1" s="1"/>
  <c r="B70" i="1"/>
  <c r="AC70" i="1" s="1"/>
  <c r="B278" i="1"/>
  <c r="AD278" i="1" s="1"/>
  <c r="B30" i="1"/>
  <c r="AC30" i="1" s="1"/>
  <c r="DA465" i="1"/>
  <c r="B358" i="1"/>
  <c r="AC358" i="1" s="1"/>
  <c r="B302" i="1"/>
  <c r="AC302" i="1" s="1"/>
  <c r="B158" i="1"/>
  <c r="AC158" i="1" s="1"/>
  <c r="AK454" i="1"/>
  <c r="B101" i="1"/>
  <c r="AC101" i="1" s="1"/>
  <c r="B502" i="1"/>
  <c r="AD502" i="1" s="1"/>
  <c r="B390" i="1"/>
  <c r="AC390" i="1" s="1"/>
  <c r="DA437" i="1"/>
  <c r="B296" i="1"/>
  <c r="B112" i="1"/>
  <c r="AD112" i="1" s="1"/>
  <c r="B160" i="1"/>
  <c r="AC160" i="1" s="1"/>
  <c r="B128" i="1"/>
  <c r="AD128" i="1" s="1"/>
  <c r="B425" i="1"/>
  <c r="B321" i="1"/>
  <c r="AD321" i="1" s="1"/>
  <c r="DA469" i="1"/>
  <c r="B252" i="1"/>
  <c r="AC252" i="1" s="1"/>
  <c r="B116" i="1"/>
  <c r="AC116" i="1" s="1"/>
  <c r="B81" i="1"/>
  <c r="AD81" i="1" s="1"/>
  <c r="AK193" i="1"/>
  <c r="AK177" i="1"/>
  <c r="AK137" i="1"/>
  <c r="B100" i="1"/>
  <c r="AD100" i="1" s="1"/>
  <c r="B397" i="1"/>
  <c r="AC397" i="1" s="1"/>
  <c r="CZ389" i="1"/>
  <c r="B472" i="1"/>
  <c r="DA325" i="1"/>
  <c r="B125" i="1"/>
  <c r="AD125" i="1" s="1"/>
  <c r="AK97" i="1"/>
  <c r="AK502" i="1"/>
  <c r="B157" i="1"/>
  <c r="AD157" i="1" s="1"/>
  <c r="AK438" i="1"/>
  <c r="AK430" i="1"/>
  <c r="B149" i="1"/>
  <c r="AC149" i="1" s="1"/>
  <c r="B187" i="1"/>
  <c r="AD187" i="1" s="1"/>
  <c r="B243" i="1"/>
  <c r="AD243" i="1" s="1"/>
  <c r="B275" i="1"/>
  <c r="AD275" i="1" s="1"/>
  <c r="B504" i="1"/>
  <c r="AC504" i="1" s="1"/>
  <c r="B392" i="1"/>
  <c r="AD392" i="1" s="1"/>
  <c r="B178" i="1"/>
  <c r="AC178" i="1" s="1"/>
  <c r="DA133" i="1"/>
  <c r="B424" i="1"/>
  <c r="AD424" i="1" s="1"/>
  <c r="B232" i="1"/>
  <c r="AD232" i="1" s="1"/>
  <c r="B294" i="1"/>
  <c r="AD294" i="1" s="1"/>
  <c r="AK65" i="1"/>
  <c r="B225" i="1"/>
  <c r="AD225" i="1" s="1"/>
  <c r="AK422" i="1"/>
  <c r="B306" i="1"/>
  <c r="AD306" i="1" s="1"/>
  <c r="B466" i="1"/>
  <c r="AC466" i="1" s="1"/>
  <c r="B210" i="1"/>
  <c r="AD210" i="1" s="1"/>
  <c r="B26" i="1"/>
  <c r="AD26" i="1" s="1"/>
  <c r="B35" i="1"/>
  <c r="AD35" i="1" s="1"/>
  <c r="DA414" i="1"/>
  <c r="B74" i="1"/>
  <c r="AD74" i="1" s="1"/>
  <c r="B398" i="1"/>
  <c r="AC398" i="1" s="1"/>
  <c r="B43" i="1"/>
  <c r="AC43" i="1" s="1"/>
  <c r="AK486" i="1"/>
  <c r="B82" i="1"/>
  <c r="AD82" i="1" s="1"/>
  <c r="DA370" i="1"/>
  <c r="B156" i="1"/>
  <c r="AD156" i="1" s="1"/>
  <c r="B172" i="1"/>
  <c r="AC172" i="1" s="1"/>
  <c r="B99" i="1"/>
  <c r="AC99" i="1" s="1"/>
  <c r="CZ416" i="1"/>
  <c r="CZ496" i="1"/>
  <c r="CZ464" i="1"/>
  <c r="B180" i="1"/>
  <c r="AC180" i="1" s="1"/>
  <c r="B83" i="1"/>
  <c r="AD83" i="1" s="1"/>
  <c r="B200" i="1"/>
  <c r="B288" i="1"/>
  <c r="AD288" i="1" s="1"/>
  <c r="B176" i="1"/>
  <c r="AC176" i="1" s="1"/>
  <c r="B49" i="1"/>
  <c r="AC49" i="1" s="1"/>
  <c r="B201" i="1"/>
  <c r="AD201" i="1" s="1"/>
  <c r="B444" i="1"/>
  <c r="AD444" i="1" s="1"/>
  <c r="B428" i="1"/>
  <c r="AD428" i="1" s="1"/>
  <c r="B161" i="1"/>
  <c r="B5" i="1"/>
  <c r="AD5" i="1" s="1"/>
  <c r="B184" i="1"/>
  <c r="AD184" i="1" s="1"/>
  <c r="B280" i="1"/>
  <c r="AD280" i="1" s="1"/>
  <c r="B97" i="1"/>
  <c r="AC97" i="1" s="1"/>
  <c r="B48" i="1"/>
  <c r="AC48" i="1" s="1"/>
  <c r="B192" i="1"/>
  <c r="AD192" i="1" s="1"/>
  <c r="B40" i="1"/>
  <c r="B264" i="1"/>
  <c r="AD264" i="1" s="1"/>
  <c r="AK342" i="1"/>
  <c r="B152" i="1"/>
  <c r="DA475" i="1"/>
  <c r="B151" i="1"/>
  <c r="AC151" i="1" s="1"/>
  <c r="B256" i="1"/>
  <c r="AD256" i="1" s="1"/>
  <c r="B31" i="1"/>
  <c r="AC31" i="1" s="1"/>
  <c r="B271" i="1"/>
  <c r="AC271" i="1" s="1"/>
  <c r="B329" i="1"/>
  <c r="AD329" i="1" s="1"/>
  <c r="B122" i="1"/>
  <c r="AD122" i="1" s="1"/>
  <c r="DA407" i="1"/>
  <c r="B135" i="1"/>
  <c r="AD135" i="1" s="1"/>
  <c r="B492" i="1"/>
  <c r="B473" i="1"/>
  <c r="AD473" i="1" s="1"/>
  <c r="B421" i="1"/>
  <c r="AD421" i="1" s="1"/>
  <c r="B469" i="1"/>
  <c r="AD469" i="1" s="1"/>
  <c r="B429" i="1"/>
  <c r="AK161" i="1"/>
  <c r="B197" i="1"/>
  <c r="AC197" i="1" s="1"/>
  <c r="B173" i="1"/>
  <c r="AD173" i="1" s="1"/>
  <c r="B445" i="1"/>
  <c r="AC445" i="1" s="1"/>
  <c r="AK33" i="1"/>
  <c r="B454" i="1"/>
  <c r="AD454" i="1" s="1"/>
  <c r="B481" i="1"/>
  <c r="AC481" i="1" s="1"/>
  <c r="B53" i="1"/>
  <c r="AC53" i="1" s="1"/>
  <c r="B478" i="1"/>
  <c r="B381" i="1"/>
  <c r="AD381" i="1" s="1"/>
  <c r="B361" i="1"/>
  <c r="AD361" i="1" s="1"/>
  <c r="CZ296" i="1"/>
  <c r="B297" i="1"/>
  <c r="AC297" i="1" s="1"/>
  <c r="B389" i="1"/>
  <c r="AD389" i="1" s="1"/>
  <c r="AK189" i="1"/>
  <c r="B137" i="1"/>
  <c r="DA306" i="1"/>
  <c r="B493" i="1"/>
  <c r="AC493" i="1" s="1"/>
  <c r="B446" i="1"/>
  <c r="AD446" i="1" s="1"/>
  <c r="B371" i="1"/>
  <c r="AD371" i="1" s="1"/>
  <c r="B344" i="1"/>
  <c r="AD344" i="1" s="1"/>
  <c r="B463" i="1"/>
  <c r="AD463" i="1" s="1"/>
  <c r="B343" i="1"/>
  <c r="AD343" i="1" s="1"/>
  <c r="B501" i="1"/>
  <c r="AD501" i="1" s="1"/>
  <c r="DA206" i="1"/>
  <c r="B482" i="1"/>
  <c r="AD482" i="1" s="1"/>
  <c r="B287" i="1"/>
  <c r="AC287" i="1" s="1"/>
  <c r="B459" i="1"/>
  <c r="AC459" i="1" s="1"/>
  <c r="AK209" i="1"/>
  <c r="B263" i="1"/>
  <c r="AD263" i="1" s="1"/>
  <c r="AK129" i="1"/>
  <c r="B244" i="1"/>
  <c r="B330" i="1"/>
  <c r="AD330" i="1" s="1"/>
  <c r="B336" i="1"/>
  <c r="AC336" i="1" s="1"/>
  <c r="B399" i="1"/>
  <c r="AD399" i="1" s="1"/>
  <c r="B269" i="1"/>
  <c r="AD269" i="1" s="1"/>
  <c r="B226" i="1"/>
  <c r="AC226" i="1" s="1"/>
  <c r="B148" i="1"/>
  <c r="AD148" i="1" s="1"/>
  <c r="B303" i="1"/>
  <c r="B120" i="1"/>
  <c r="AD120" i="1" s="1"/>
  <c r="DA391" i="1"/>
  <c r="B186" i="1"/>
  <c r="AC186" i="1" s="1"/>
  <c r="B63" i="1"/>
  <c r="AC63" i="1" s="1"/>
  <c r="B464" i="1"/>
  <c r="AD464" i="1" s="1"/>
  <c r="B370" i="1"/>
  <c r="AC370" i="1" s="1"/>
  <c r="B300" i="1"/>
  <c r="AD300" i="1" s="1"/>
  <c r="B401" i="1"/>
  <c r="AD401" i="1" s="1"/>
  <c r="B286" i="1"/>
  <c r="B456" i="1"/>
  <c r="DA127" i="1"/>
  <c r="B455" i="1"/>
  <c r="AD455" i="1" s="1"/>
  <c r="B483" i="1"/>
  <c r="AD483" i="1" s="1"/>
  <c r="B447" i="1"/>
  <c r="AD447" i="1" s="1"/>
  <c r="B315" i="1"/>
  <c r="AD315" i="1" s="1"/>
  <c r="B359" i="1"/>
  <c r="B367" i="1"/>
  <c r="AD367" i="1" s="1"/>
  <c r="CZ425" i="1"/>
  <c r="B311" i="1"/>
  <c r="AD311" i="1" s="1"/>
  <c r="AK213" i="1"/>
  <c r="B378" i="1"/>
  <c r="AC378" i="1" s="1"/>
  <c r="DA185" i="1"/>
  <c r="B309" i="1"/>
  <c r="AD309" i="1" s="1"/>
  <c r="AK382" i="1"/>
  <c r="B503" i="1"/>
  <c r="AD503" i="1" s="1"/>
  <c r="B474" i="1"/>
  <c r="AD474" i="1" s="1"/>
  <c r="AK302" i="1"/>
  <c r="B6" i="1"/>
  <c r="AC6" i="1" s="1"/>
  <c r="DA467" i="1"/>
  <c r="B52" i="1"/>
  <c r="AC52" i="1" s="1"/>
  <c r="B412" i="1"/>
  <c r="AD412" i="1" s="1"/>
  <c r="B379" i="1"/>
  <c r="AD379" i="1" s="1"/>
  <c r="B159" i="1"/>
  <c r="B426" i="1"/>
  <c r="AC426" i="1" s="1"/>
  <c r="B282" i="1"/>
  <c r="AD282" i="1" s="1"/>
  <c r="B499" i="1"/>
  <c r="AD499" i="1" s="1"/>
  <c r="B396" i="1"/>
  <c r="AD396" i="1" s="1"/>
  <c r="AK151" i="1"/>
  <c r="B195" i="1"/>
  <c r="AC195" i="1" s="1"/>
  <c r="B338" i="1"/>
  <c r="AD338" i="1" s="1"/>
  <c r="B462" i="1"/>
  <c r="AD462" i="1" s="1"/>
  <c r="B494" i="1"/>
  <c r="AC494" i="1" s="1"/>
  <c r="B42" i="1"/>
  <c r="AD42" i="1" s="1"/>
  <c r="B497" i="1"/>
  <c r="AC497" i="1" s="1"/>
  <c r="CW477" i="1"/>
  <c r="B438" i="1"/>
  <c r="AC438" i="1" s="1"/>
  <c r="B443" i="1"/>
  <c r="B228" i="1"/>
  <c r="AC228" i="1" s="1"/>
  <c r="DB213" i="1"/>
  <c r="AK201" i="1"/>
  <c r="DA197" i="1"/>
  <c r="AK185" i="1"/>
  <c r="B234" i="1"/>
  <c r="AD234" i="1" s="1"/>
  <c r="AK169" i="1"/>
  <c r="B430" i="1"/>
  <c r="AC430" i="1" s="1"/>
  <c r="B476" i="1"/>
  <c r="AD476" i="1" s="1"/>
  <c r="AK145" i="1"/>
  <c r="B219" i="1"/>
  <c r="AC219" i="1" s="1"/>
  <c r="AK121" i="1"/>
  <c r="AK113" i="1"/>
  <c r="B115" i="1"/>
  <c r="B239" i="1"/>
  <c r="AC239" i="1" s="1"/>
  <c r="AK49" i="1"/>
  <c r="B470" i="1"/>
  <c r="AD470" i="1" s="1"/>
  <c r="B301" i="1"/>
  <c r="AD301" i="1" s="1"/>
  <c r="B457" i="1"/>
  <c r="DA8" i="1"/>
  <c r="DA502" i="1"/>
  <c r="DA494" i="1"/>
  <c r="B76" i="1"/>
  <c r="AD76" i="1" s="1"/>
  <c r="CY486" i="1"/>
  <c r="B312" i="1"/>
  <c r="AD312" i="1" s="1"/>
  <c r="B105" i="1"/>
  <c r="B36" i="1"/>
  <c r="AC36" i="1" s="1"/>
  <c r="B107" i="1"/>
  <c r="AC107" i="1" s="1"/>
  <c r="DA446" i="1"/>
  <c r="DA438" i="1"/>
  <c r="B261" i="1"/>
  <c r="AC261" i="1" s="1"/>
  <c r="B341" i="1"/>
  <c r="AD341" i="1" s="1"/>
  <c r="B132" i="1"/>
  <c r="AD132" i="1" s="1"/>
  <c r="B110" i="1"/>
  <c r="B220" i="1"/>
  <c r="AC220" i="1" s="1"/>
  <c r="CY398" i="1"/>
  <c r="B374" i="1"/>
  <c r="AC374" i="1" s="1"/>
  <c r="B266" i="1"/>
  <c r="AD266" i="1" s="1"/>
  <c r="B142" i="1"/>
  <c r="AC142" i="1" s="1"/>
  <c r="B384" i="1"/>
  <c r="AD384" i="1" s="1"/>
  <c r="B170" i="1"/>
  <c r="AD170" i="1" s="1"/>
  <c r="B380" i="1"/>
  <c r="AD380" i="1" s="1"/>
  <c r="B217" i="1"/>
  <c r="AD217" i="1" s="1"/>
  <c r="B55" i="1"/>
  <c r="B480" i="1"/>
  <c r="AD480" i="1" s="1"/>
  <c r="B324" i="1"/>
  <c r="AC324" i="1" s="1"/>
  <c r="B207" i="1"/>
  <c r="AC207" i="1" s="1"/>
  <c r="DA262" i="1"/>
  <c r="B140" i="1"/>
  <c r="AD140" i="1" s="1"/>
  <c r="B146" i="1"/>
  <c r="DA214" i="1"/>
  <c r="B108" i="1"/>
  <c r="AC108" i="1" s="1"/>
  <c r="B61" i="1"/>
  <c r="AD61" i="1" s="1"/>
  <c r="B277" i="1"/>
  <c r="B163" i="1"/>
  <c r="B245" i="1"/>
  <c r="AC245" i="1" s="1"/>
  <c r="DA158" i="1"/>
  <c r="B90" i="1"/>
  <c r="DA150" i="1"/>
  <c r="B10" i="1"/>
  <c r="AC10" i="1" s="1"/>
  <c r="B91" i="1"/>
  <c r="AD91" i="1" s="1"/>
  <c r="B414" i="1"/>
  <c r="AD414" i="1" s="1"/>
  <c r="B171" i="1"/>
  <c r="AC171" i="1" s="1"/>
  <c r="B126" i="1"/>
  <c r="AC126" i="1" s="1"/>
  <c r="DA94" i="1"/>
  <c r="B346" i="1"/>
  <c r="AC346" i="1" s="1"/>
  <c r="B452" i="1"/>
  <c r="DA78" i="1"/>
  <c r="B279" i="1"/>
  <c r="DA70" i="1"/>
  <c r="B224" i="1"/>
  <c r="AC224" i="1" s="1"/>
  <c r="B419" i="1"/>
  <c r="AD419" i="1" s="1"/>
  <c r="B194" i="1"/>
  <c r="AC194" i="1" s="1"/>
  <c r="B103" i="1"/>
  <c r="B404" i="1"/>
  <c r="AD404" i="1" s="1"/>
  <c r="B15" i="1"/>
  <c r="B58" i="1"/>
  <c r="B129" i="1"/>
  <c r="AD129" i="1" s="1"/>
  <c r="B95" i="1"/>
  <c r="B22" i="1"/>
  <c r="AC22" i="1" s="1"/>
  <c r="B165" i="1"/>
  <c r="AC338" i="1" s="1"/>
  <c r="B155" i="1"/>
  <c r="DA143" i="1"/>
  <c r="B415" i="1"/>
  <c r="B32" i="1"/>
  <c r="AC32" i="1" s="1"/>
  <c r="B284" i="1"/>
  <c r="AC284" i="1" s="1"/>
  <c r="B7" i="1"/>
  <c r="AC7" i="1" s="1"/>
  <c r="B138" i="1"/>
  <c r="AD138" i="1" s="1"/>
  <c r="B241" i="1"/>
  <c r="AC241" i="1" s="1"/>
  <c r="B320" i="1"/>
  <c r="AC320" i="1" s="1"/>
  <c r="B417" i="1"/>
  <c r="AD417" i="1" s="1"/>
  <c r="B175" i="1"/>
  <c r="AD175" i="1" s="1"/>
  <c r="B310" i="1"/>
  <c r="AC310" i="1" s="1"/>
  <c r="B44" i="1"/>
  <c r="AC277" i="1" s="1"/>
  <c r="B416" i="1"/>
  <c r="AD416" i="1" s="1"/>
  <c r="B27" i="1"/>
  <c r="AC27" i="1" s="1"/>
  <c r="B66" i="1"/>
  <c r="AC66" i="1" s="1"/>
  <c r="B80" i="1"/>
  <c r="B28" i="1"/>
  <c r="AD28" i="1" s="1"/>
  <c r="B313" i="1"/>
  <c r="AD313" i="1" s="1"/>
  <c r="B351" i="1"/>
  <c r="AC351" i="1" s="1"/>
  <c r="B460" i="1"/>
  <c r="AD460" i="1" s="1"/>
  <c r="B162" i="1"/>
  <c r="AC162" i="1" s="1"/>
  <c r="B382" i="1"/>
  <c r="AC382" i="1" s="1"/>
  <c r="B448" i="1"/>
  <c r="AD448" i="1" s="1"/>
  <c r="B281" i="1"/>
  <c r="AD281" i="1" s="1"/>
  <c r="B62" i="1"/>
  <c r="AD62" i="1" s="1"/>
  <c r="B258" i="1"/>
  <c r="AC258" i="1" s="1"/>
  <c r="B37" i="1"/>
  <c r="AD37" i="1" s="1"/>
  <c r="B238" i="1"/>
  <c r="AC238" i="1" s="1"/>
  <c r="B20" i="1"/>
  <c r="AC20" i="1" s="1"/>
  <c r="B434" i="1"/>
  <c r="AD434" i="1" s="1"/>
  <c r="B505" i="1"/>
  <c r="AD505" i="1" s="1"/>
  <c r="B441" i="1"/>
  <c r="B153" i="1"/>
  <c r="AC153" i="1" s="1"/>
  <c r="B144" i="1"/>
  <c r="AD144" i="1" s="1"/>
  <c r="B362" i="1"/>
  <c r="B435" i="1"/>
  <c r="AD435" i="1" s="1"/>
  <c r="DA39" i="1"/>
  <c r="B205" i="1"/>
  <c r="B8" i="1"/>
  <c r="AD8" i="1" s="1"/>
  <c r="B450" i="1"/>
  <c r="AC450" i="1" s="1"/>
  <c r="B166" i="1"/>
  <c r="AC166" i="1" s="1"/>
  <c r="B50" i="1"/>
  <c r="AC50" i="1" s="1"/>
  <c r="B154" i="1"/>
  <c r="AD154" i="1" s="1"/>
  <c r="B385" i="1"/>
  <c r="AC385" i="1" s="1"/>
  <c r="B14" i="1"/>
  <c r="AD14" i="1" s="1"/>
  <c r="B65" i="1"/>
  <c r="B104" i="1"/>
  <c r="AD104" i="1" s="1"/>
  <c r="DA288" i="1"/>
  <c r="B402" i="1"/>
  <c r="AC402" i="1" s="1"/>
  <c r="B203" i="1"/>
  <c r="AD203" i="1" s="1"/>
  <c r="B72" i="1"/>
  <c r="AC72" i="1" s="1"/>
  <c r="DA358" i="1"/>
  <c r="B39" i="1"/>
  <c r="AC39" i="1" s="1"/>
  <c r="DA230" i="1"/>
  <c r="B182" i="1"/>
  <c r="AC182" i="1" s="1"/>
  <c r="B496" i="1"/>
  <c r="AD496" i="1" s="1"/>
  <c r="B92" i="1"/>
  <c r="AC92" i="1" s="1"/>
  <c r="DH435" i="1"/>
  <c r="B348" i="1"/>
  <c r="AC369" i="1" s="1"/>
  <c r="B274" i="1"/>
  <c r="AC274" i="1" s="1"/>
  <c r="B365" i="1"/>
  <c r="AD365" i="1" s="1"/>
  <c r="B67" i="1"/>
  <c r="B230" i="1"/>
  <c r="AC230" i="1" s="1"/>
  <c r="B323" i="1"/>
  <c r="AD323" i="1" s="1"/>
  <c r="B353" i="1"/>
  <c r="AC353" i="1" s="1"/>
  <c r="B333" i="1"/>
  <c r="B237" i="1"/>
  <c r="AD237" i="1" s="1"/>
  <c r="B331" i="1"/>
  <c r="AD331" i="1" s="1"/>
  <c r="B339" i="1"/>
  <c r="B272" i="1"/>
  <c r="AD272" i="1" s="1"/>
  <c r="B488" i="1"/>
  <c r="AD488" i="1" s="1"/>
  <c r="B89" i="1"/>
  <c r="AC89" i="1" s="1"/>
  <c r="B325" i="1"/>
  <c r="AC325" i="1" s="1"/>
  <c r="B69" i="1"/>
  <c r="AC69" i="1" s="1"/>
  <c r="B216" i="1"/>
  <c r="AD216" i="1" s="1"/>
  <c r="B440" i="1"/>
  <c r="B406" i="1"/>
  <c r="AC406" i="1" s="1"/>
  <c r="B96" i="1"/>
  <c r="B29" i="1"/>
  <c r="B21" i="1"/>
  <c r="AD21" i="1" s="1"/>
  <c r="B189" i="1"/>
  <c r="AD189" i="1" s="1"/>
  <c r="B190" i="1"/>
  <c r="B368" i="1"/>
  <c r="AC368" i="1" s="1"/>
  <c r="AC227" i="1"/>
  <c r="B458" i="1"/>
  <c r="AD458" i="1" s="1"/>
  <c r="B461" i="1"/>
  <c r="AD461" i="1" s="1"/>
  <c r="AK205" i="1"/>
  <c r="B436" i="1"/>
  <c r="AC436" i="1" s="1"/>
  <c r="AK197" i="1"/>
  <c r="B319" i="1"/>
  <c r="AC319" i="1" s="1"/>
  <c r="AK181" i="1"/>
  <c r="B314" i="1"/>
  <c r="AD314" i="1" s="1"/>
  <c r="AK173" i="1"/>
  <c r="B387" i="1"/>
  <c r="AD387" i="1" s="1"/>
  <c r="B93" i="1"/>
  <c r="AD93" i="1" s="1"/>
  <c r="AK81" i="1"/>
  <c r="B57" i="1"/>
  <c r="AC57" i="1" s="1"/>
  <c r="B16" i="1"/>
  <c r="AC16" i="1" s="1"/>
  <c r="DA400" i="1"/>
  <c r="B262" i="1"/>
  <c r="AC262" i="1" s="1"/>
  <c r="AJ5" i="1"/>
  <c r="AK470" i="1"/>
  <c r="B204" i="1"/>
  <c r="B422" i="1"/>
  <c r="AC422" i="1" s="1"/>
  <c r="B233" i="1"/>
  <c r="AC233" i="1" s="1"/>
  <c r="B439" i="1"/>
  <c r="AD439" i="1" s="1"/>
  <c r="DA478" i="1"/>
  <c r="B289" i="1"/>
  <c r="AD289" i="1" s="1"/>
  <c r="B431" i="1"/>
  <c r="AD431" i="1" s="1"/>
  <c r="B403" i="1"/>
  <c r="B139" i="1"/>
  <c r="AD139" i="1" s="1"/>
  <c r="DA386" i="1"/>
  <c r="B372" i="1"/>
  <c r="AD372" i="1" s="1"/>
  <c r="B276" i="1"/>
  <c r="AC276" i="1" s="1"/>
  <c r="B265" i="1"/>
  <c r="AD265" i="1" s="1"/>
  <c r="B106" i="1"/>
  <c r="B235" i="1"/>
  <c r="B134" i="1"/>
  <c r="AC134" i="1" s="1"/>
  <c r="B477" i="1"/>
  <c r="AD477" i="1" s="1"/>
  <c r="B293" i="1"/>
  <c r="AD293" i="1" s="1"/>
  <c r="B453" i="1"/>
  <c r="B328" i="1"/>
  <c r="B136" i="1"/>
  <c r="AD136" i="1" s="1"/>
  <c r="B355" i="1"/>
  <c r="AD355" i="1" s="1"/>
  <c r="AK478" i="1"/>
  <c r="B45" i="1"/>
  <c r="AD45" i="1" s="1"/>
  <c r="AK446" i="1"/>
  <c r="B247" i="1"/>
  <c r="AC247" i="1" s="1"/>
  <c r="AK414" i="1"/>
  <c r="B133" i="1"/>
  <c r="AC133" i="1" s="1"/>
  <c r="B141" i="1"/>
  <c r="AD141" i="1" s="1"/>
  <c r="AK398" i="1"/>
  <c r="B38" i="1"/>
  <c r="AD38" i="1" s="1"/>
  <c r="B131" i="1"/>
  <c r="AD131" i="1" s="1"/>
  <c r="AK366" i="1"/>
  <c r="B322" i="1"/>
  <c r="AC322" i="1" s="1"/>
  <c r="AK318" i="1"/>
  <c r="B46" i="1"/>
  <c r="AK294" i="1"/>
  <c r="B60" i="1"/>
  <c r="AD60" i="1" s="1"/>
  <c r="B465" i="1"/>
  <c r="AD465" i="1" s="1"/>
  <c r="B164" i="1"/>
  <c r="AC164" i="1" s="1"/>
  <c r="B270" i="1"/>
  <c r="AD270" i="1" s="1"/>
  <c r="B471" i="1"/>
  <c r="AD471" i="1" s="1"/>
  <c r="B248" i="1"/>
  <c r="AD248" i="1" s="1"/>
  <c r="B75" i="1"/>
  <c r="B255" i="1"/>
  <c r="B420" i="1"/>
  <c r="AD420" i="1" s="1"/>
  <c r="B442" i="1"/>
  <c r="B249" i="1"/>
  <c r="AD249" i="1" s="1"/>
  <c r="B364" i="1"/>
  <c r="B254" i="1"/>
  <c r="AD254" i="1" s="1"/>
  <c r="B51" i="1"/>
  <c r="AD51" i="1" s="1"/>
  <c r="B12" i="1"/>
  <c r="AC12" i="1" s="1"/>
  <c r="B206" i="1"/>
  <c r="AD206" i="1" s="1"/>
  <c r="B377" i="1"/>
  <c r="AD377" i="1" s="1"/>
  <c r="B214" i="1"/>
  <c r="AD214" i="1" s="1"/>
  <c r="B87" i="1"/>
  <c r="CZ120" i="1"/>
  <c r="B411" i="1"/>
  <c r="AC411" i="1" s="1"/>
  <c r="B340" i="1"/>
  <c r="AC340" i="1" s="1"/>
  <c r="CZ88" i="1"/>
  <c r="B332" i="1"/>
  <c r="B376" i="1"/>
  <c r="B212" i="1"/>
  <c r="AD212" i="1" s="1"/>
  <c r="B23" i="1"/>
  <c r="B250" i="1"/>
  <c r="AC250" i="1" s="1"/>
  <c r="B342" i="1"/>
  <c r="B317" i="1"/>
  <c r="AC317" i="1" s="1"/>
  <c r="B375" i="1"/>
  <c r="AD375" i="1" s="1"/>
  <c r="B193" i="1"/>
  <c r="AD193" i="1" s="1"/>
  <c r="B64" i="1"/>
  <c r="AD64" i="1" s="1"/>
  <c r="B292" i="1"/>
  <c r="AC292" i="1" s="1"/>
  <c r="B177" i="1"/>
  <c r="AC177" i="1" s="1"/>
  <c r="B410" i="1"/>
  <c r="AD410" i="1" s="1"/>
  <c r="B500" i="1"/>
  <c r="AC500" i="1" s="1"/>
  <c r="DA73" i="1"/>
  <c r="B251" i="1"/>
  <c r="AD251" i="1" s="1"/>
  <c r="B327" i="1"/>
  <c r="AC327" i="1" s="1"/>
  <c r="B491" i="1"/>
  <c r="AC491" i="1" s="1"/>
  <c r="B409" i="1"/>
  <c r="AD409" i="1" s="1"/>
  <c r="DA41" i="1"/>
  <c r="B56" i="1"/>
  <c r="B114" i="1"/>
  <c r="AD114" i="1" s="1"/>
  <c r="DA17" i="1"/>
  <c r="B408" i="1"/>
  <c r="B17" i="1"/>
  <c r="AD17" i="1" s="1"/>
  <c r="B486" i="1"/>
  <c r="B111" i="1"/>
  <c r="AC111" i="1" s="1"/>
  <c r="B24" i="1"/>
  <c r="AD24" i="1" s="1"/>
  <c r="B102" i="1"/>
  <c r="B41" i="1"/>
  <c r="AC41" i="1" s="1"/>
  <c r="B242" i="1"/>
  <c r="AC242" i="1" s="1"/>
  <c r="B11" i="1"/>
  <c r="AD11" i="1" s="1"/>
  <c r="B383" i="1"/>
  <c r="B407" i="1"/>
  <c r="AD407" i="1" s="1"/>
  <c r="B304" i="1"/>
  <c r="AD304" i="1" s="1"/>
  <c r="B335" i="1"/>
  <c r="AD335" i="1" s="1"/>
  <c r="B84" i="1"/>
  <c r="B468" i="1"/>
  <c r="AC468" i="1" s="1"/>
  <c r="DA90" i="1"/>
  <c r="B386" i="1"/>
  <c r="AC386" i="1" s="1"/>
  <c r="B394" i="1"/>
  <c r="AD394" i="1" s="1"/>
  <c r="B395" i="1"/>
  <c r="B86" i="1"/>
  <c r="AC86" i="1" s="1"/>
  <c r="B236" i="1"/>
  <c r="AD236" i="1" s="1"/>
  <c r="B246" i="1"/>
  <c r="AD246" i="1" s="1"/>
  <c r="B349" i="1"/>
  <c r="AC349" i="1" s="1"/>
  <c r="B489" i="1"/>
  <c r="AD489" i="1" s="1"/>
  <c r="B299" i="1"/>
  <c r="AC299" i="1" s="1"/>
  <c r="DA491" i="1"/>
  <c r="B209" i="1"/>
  <c r="B130" i="1"/>
  <c r="AC130" i="1" s="1"/>
  <c r="B393" i="1"/>
  <c r="AD393" i="1" s="1"/>
  <c r="B347" i="1"/>
  <c r="AD347" i="1" s="1"/>
  <c r="DA443" i="1"/>
  <c r="DA435" i="1"/>
  <c r="B437" i="1"/>
  <c r="AC437" i="1" s="1"/>
  <c r="DA419" i="1"/>
  <c r="B85" i="1"/>
  <c r="AC85" i="1" s="1"/>
  <c r="B418" i="1"/>
  <c r="AC418" i="1" s="1"/>
  <c r="B357" i="1"/>
  <c r="AC357" i="1" s="1"/>
  <c r="DA371" i="1"/>
  <c r="DA363" i="1"/>
  <c r="B208" i="1"/>
  <c r="B181" i="1"/>
  <c r="AC181" i="1" s="1"/>
  <c r="B345" i="1"/>
  <c r="B33" i="1"/>
  <c r="AC33" i="1" s="1"/>
  <c r="B273" i="1"/>
  <c r="DA323" i="1"/>
  <c r="B356" i="1"/>
  <c r="AD356" i="1" s="1"/>
  <c r="CY315" i="1"/>
  <c r="B405" i="1"/>
  <c r="AD405" i="1" s="1"/>
  <c r="B388" i="1"/>
  <c r="AC388" i="1" s="1"/>
  <c r="B79" i="1"/>
  <c r="AD79" i="1" s="1"/>
  <c r="B18" i="1"/>
  <c r="DA283" i="1"/>
  <c r="B291" i="1"/>
  <c r="AD291" i="1" s="1"/>
  <c r="B47" i="1"/>
  <c r="DA267" i="1"/>
  <c r="B143" i="1"/>
  <c r="AC143" i="1" s="1"/>
  <c r="DA259" i="1"/>
  <c r="DA251" i="1"/>
  <c r="B373" i="1"/>
  <c r="AD373" i="1" s="1"/>
  <c r="B68" i="1"/>
  <c r="B98" i="1"/>
  <c r="AD98" i="1" s="1"/>
  <c r="B467" i="1"/>
  <c r="AD467" i="1" s="1"/>
  <c r="DA219" i="1"/>
  <c r="B218" i="1"/>
  <c r="AD213" i="1" s="1"/>
  <c r="B400" i="1"/>
  <c r="AD400" i="1" s="1"/>
  <c r="DA203" i="1"/>
  <c r="B433" i="1"/>
  <c r="B215" i="1"/>
  <c r="DA179" i="1"/>
  <c r="B196" i="1"/>
  <c r="AC196" i="1" s="1"/>
  <c r="CY163" i="1"/>
  <c r="B484" i="1"/>
  <c r="DA155" i="1"/>
  <c r="B354" i="1"/>
  <c r="B490" i="1"/>
  <c r="B268" i="1"/>
  <c r="AC268" i="1" s="1"/>
  <c r="DA131" i="1"/>
  <c r="B260" i="1"/>
  <c r="AC260" i="1" s="1"/>
  <c r="B9" i="1"/>
  <c r="AC9" i="1" s="1"/>
  <c r="B118" i="1"/>
  <c r="AD118" i="1" s="1"/>
  <c r="B117" i="1"/>
  <c r="AC117" i="1" s="1"/>
  <c r="B451" i="1"/>
  <c r="AD451" i="1" s="1"/>
  <c r="B391" i="1"/>
  <c r="AD391" i="1" s="1"/>
  <c r="B223" i="1"/>
  <c r="AC223" i="1" s="1"/>
  <c r="AK71" i="1"/>
  <c r="B168" i="1"/>
  <c r="AD168" i="1" s="1"/>
  <c r="DA67" i="1"/>
  <c r="B19" i="1"/>
  <c r="AD19" i="1" s="1"/>
  <c r="DA59" i="1"/>
  <c r="AK55" i="1"/>
  <c r="B337" i="1"/>
  <c r="AC337" i="1" s="1"/>
  <c r="DA51" i="1"/>
  <c r="B423" i="1"/>
  <c r="AC423" i="1" s="1"/>
  <c r="AK39" i="1"/>
  <c r="B352" i="1"/>
  <c r="AC352" i="1" s="1"/>
  <c r="DA35" i="1"/>
  <c r="B221" i="1"/>
  <c r="AD221" i="1" s="1"/>
  <c r="AK23" i="1"/>
  <c r="B13" i="1"/>
  <c r="AD13" i="1" s="1"/>
  <c r="B267" i="1"/>
  <c r="B71" i="1"/>
  <c r="AC71" i="1" s="1"/>
  <c r="DA476" i="1"/>
  <c r="B240" i="1"/>
  <c r="AC240" i="1" s="1"/>
  <c r="B54" i="1"/>
  <c r="AC54" i="1" s="1"/>
  <c r="B290" i="1"/>
  <c r="B191" i="1"/>
  <c r="AC191" i="1" s="1"/>
  <c r="B307" i="1"/>
  <c r="B363" i="1"/>
  <c r="B59" i="1"/>
  <c r="B211" i="1"/>
  <c r="AD211" i="1" s="1"/>
  <c r="B147" i="1"/>
  <c r="AC147" i="1" s="1"/>
  <c r="B222" i="1"/>
  <c r="AD222" i="1" s="1"/>
  <c r="B113" i="1"/>
  <c r="AD113" i="1" s="1"/>
  <c r="B167" i="1"/>
  <c r="AC167" i="1" s="1"/>
  <c r="B253" i="1"/>
  <c r="AD253" i="1" s="1"/>
  <c r="B78" i="1"/>
  <c r="AD78" i="1" s="1"/>
  <c r="B305" i="1"/>
  <c r="AC305" i="1" s="1"/>
  <c r="B413" i="1"/>
  <c r="AC413" i="1" s="1"/>
  <c r="B449" i="1"/>
  <c r="AD449" i="1" s="1"/>
  <c r="B495" i="1"/>
  <c r="AD121" i="1" s="1"/>
  <c r="B360" i="1"/>
  <c r="AD360" i="1" s="1"/>
  <c r="B183" i="1"/>
  <c r="AD183" i="1" s="1"/>
  <c r="B77" i="1"/>
  <c r="B479" i="1"/>
  <c r="B202" i="1"/>
  <c r="AD202" i="1" s="1"/>
  <c r="B487" i="1"/>
  <c r="AD487" i="1" s="1"/>
  <c r="B485" i="1"/>
  <c r="AD485" i="1" s="1"/>
  <c r="B127" i="1"/>
  <c r="AD127" i="1" s="1"/>
  <c r="B366" i="1"/>
  <c r="B229" i="1"/>
  <c r="B498" i="1"/>
  <c r="AC498" i="1" s="1"/>
  <c r="B350" i="1"/>
  <c r="AC350" i="1" s="1"/>
  <c r="DA156" i="1"/>
  <c r="B124" i="1"/>
  <c r="AC124" i="1" s="1"/>
  <c r="B88" i="1"/>
  <c r="AD88" i="1" s="1"/>
  <c r="B145" i="1"/>
  <c r="B257" i="1"/>
  <c r="AD257" i="1" s="1"/>
  <c r="B295" i="1"/>
  <c r="B318" i="1"/>
  <c r="AD318" i="1" s="1"/>
  <c r="B475" i="1"/>
  <c r="AD475" i="1" s="1"/>
  <c r="B432" i="1"/>
  <c r="AD432" i="1" s="1"/>
  <c r="B283" i="1"/>
  <c r="AC283" i="1" s="1"/>
  <c r="B427" i="1"/>
  <c r="AC427" i="1" s="1"/>
  <c r="B334" i="1"/>
  <c r="AD334" i="1" s="1"/>
  <c r="B123" i="1"/>
  <c r="AD123" i="1" s="1"/>
  <c r="B73" i="1"/>
  <c r="B259" i="1"/>
  <c r="AD259" i="1" s="1"/>
  <c r="B109" i="1"/>
  <c r="AK32" i="1"/>
  <c r="B308" i="1"/>
  <c r="AD308" i="1" s="1"/>
  <c r="B326" i="1"/>
  <c r="AD326" i="1" s="1"/>
  <c r="DA22" i="1"/>
  <c r="CZ440" i="1"/>
  <c r="DA69" i="1"/>
  <c r="DA495" i="1"/>
  <c r="DA106" i="1"/>
  <c r="DA285" i="1"/>
  <c r="DA53" i="1"/>
  <c r="DA85" i="1"/>
  <c r="DB311" i="1"/>
  <c r="DA153" i="1"/>
  <c r="DA319" i="1"/>
  <c r="DA207" i="1"/>
  <c r="DA482" i="1"/>
  <c r="DB485" i="1"/>
  <c r="DA198" i="1"/>
  <c r="CW151" i="1"/>
  <c r="DA241" i="1"/>
  <c r="DA84" i="1"/>
  <c r="DA72" i="1"/>
  <c r="DA79" i="1"/>
  <c r="DA132" i="1"/>
  <c r="DA55" i="1"/>
  <c r="CY393" i="1"/>
  <c r="DA377" i="1"/>
  <c r="DA104" i="1"/>
  <c r="DA40" i="1"/>
  <c r="CZ272" i="1"/>
  <c r="DA111" i="1"/>
  <c r="DA364" i="1"/>
  <c r="CZ240" i="1"/>
  <c r="DA26" i="1"/>
  <c r="DA331" i="1"/>
  <c r="CW445" i="1"/>
  <c r="DG107" i="1"/>
  <c r="DG83" i="1"/>
  <c r="DI19" i="1"/>
  <c r="DB426" i="1"/>
  <c r="DA89" i="1"/>
  <c r="DA474" i="1"/>
  <c r="DA365" i="1"/>
  <c r="DA253" i="1"/>
  <c r="DA221" i="1"/>
  <c r="DA77" i="1"/>
  <c r="DA160" i="1"/>
  <c r="DB490" i="1"/>
  <c r="DA290" i="1"/>
  <c r="DA114" i="1"/>
  <c r="CY497" i="1"/>
  <c r="DA145" i="1"/>
  <c r="DA481" i="1"/>
  <c r="DA216" i="1"/>
  <c r="DA344" i="1"/>
  <c r="DA60" i="1"/>
  <c r="DA20" i="1"/>
  <c r="DA429" i="1"/>
  <c r="DA217" i="1"/>
  <c r="DA479" i="1"/>
  <c r="DA86" i="1"/>
  <c r="DA294" i="1"/>
  <c r="CZ200" i="1"/>
  <c r="CY422" i="1"/>
  <c r="DA112" i="1"/>
  <c r="DA402" i="1"/>
  <c r="DA309" i="1"/>
  <c r="DA31" i="1"/>
  <c r="DA80" i="1"/>
  <c r="DA473" i="1"/>
  <c r="DA52" i="1"/>
  <c r="DA61" i="1"/>
  <c r="DA49" i="1"/>
  <c r="DA399" i="1"/>
  <c r="DA62" i="1"/>
  <c r="CW421" i="1"/>
  <c r="DA65" i="1"/>
  <c r="DA34" i="1"/>
  <c r="DA447" i="1"/>
  <c r="DA412" i="1"/>
  <c r="DA458" i="1"/>
  <c r="DA340" i="1"/>
  <c r="DA381" i="1"/>
  <c r="DA205" i="1"/>
  <c r="DA439" i="1"/>
  <c r="DA411" i="1"/>
  <c r="DA257" i="1"/>
  <c r="CZ176" i="1"/>
  <c r="DA128" i="1"/>
  <c r="DA459" i="1"/>
  <c r="DA225" i="1"/>
  <c r="DA273" i="1"/>
  <c r="DA28" i="1"/>
  <c r="DA68" i="1"/>
  <c r="CY462" i="1"/>
  <c r="DB326" i="1"/>
  <c r="DA7" i="1"/>
  <c r="DA307" i="1"/>
  <c r="DA428" i="1"/>
  <c r="DB218" i="1"/>
  <c r="DA329" i="1"/>
  <c r="DA330" i="1"/>
  <c r="DA376" i="1"/>
  <c r="DA12" i="1"/>
  <c r="DA122" i="1"/>
  <c r="CW413" i="1"/>
  <c r="DA76" i="1"/>
  <c r="DA450" i="1"/>
  <c r="DB418" i="1"/>
  <c r="DA223" i="1"/>
  <c r="DA461" i="1"/>
  <c r="DA337" i="1"/>
  <c r="DA177" i="1"/>
  <c r="DA102" i="1"/>
  <c r="DA248" i="1"/>
  <c r="DA483" i="1"/>
  <c r="DA471" i="1"/>
  <c r="DB103" i="1"/>
  <c r="DA341" i="1"/>
  <c r="DA181" i="1"/>
  <c r="DG313" i="1"/>
  <c r="DA359" i="1"/>
  <c r="DG259" i="1"/>
  <c r="DA247" i="1"/>
  <c r="DA256" i="1"/>
  <c r="DA209" i="1"/>
  <c r="DG361" i="1"/>
  <c r="DA245" i="1"/>
  <c r="DA460" i="1"/>
  <c r="DA349" i="1"/>
  <c r="DA165" i="1"/>
  <c r="DH395" i="1"/>
  <c r="DG387" i="1"/>
  <c r="DA313" i="1"/>
  <c r="DA30" i="1"/>
  <c r="DA66" i="1"/>
  <c r="DA154" i="1"/>
  <c r="DA18" i="1"/>
  <c r="DG155" i="1"/>
  <c r="DH115" i="1"/>
  <c r="DA193" i="1"/>
  <c r="DA274" i="1"/>
  <c r="DA38" i="1"/>
  <c r="DA144" i="1"/>
  <c r="DA394" i="1"/>
  <c r="DA170" i="1"/>
  <c r="DA238" i="1"/>
  <c r="DA44" i="1"/>
  <c r="DI434" i="1"/>
  <c r="DA166" i="1"/>
  <c r="DA15" i="1"/>
  <c r="DG443" i="1"/>
  <c r="DA115" i="1"/>
  <c r="DA63" i="1"/>
  <c r="CY456" i="1"/>
  <c r="DB182" i="1"/>
  <c r="DI167" i="1"/>
  <c r="DA100" i="1"/>
  <c r="CY424" i="1"/>
  <c r="DI158" i="1"/>
  <c r="DA388" i="1"/>
  <c r="DA278" i="1"/>
  <c r="DA433" i="1"/>
  <c r="DA382" i="1"/>
  <c r="CZ232" i="1"/>
  <c r="DA224" i="1"/>
  <c r="DD150" i="1"/>
  <c r="DI426" i="1"/>
  <c r="DA16" i="1"/>
  <c r="DI482" i="1"/>
  <c r="DA338" i="1"/>
  <c r="DA212" i="1"/>
  <c r="CY385" i="1"/>
  <c r="DA436" i="1"/>
  <c r="DI441" i="1"/>
  <c r="DA302" i="1"/>
  <c r="DA192" i="1"/>
  <c r="DI322" i="1"/>
  <c r="DA498" i="1"/>
  <c r="DI418" i="1"/>
  <c r="DI134" i="1"/>
  <c r="DA98" i="1"/>
  <c r="DA101" i="1"/>
  <c r="DA320" i="1"/>
  <c r="DB417" i="1"/>
  <c r="DA353" i="1"/>
  <c r="DA289" i="1"/>
  <c r="CW231" i="1"/>
  <c r="DF95" i="1"/>
  <c r="DA5" i="1"/>
  <c r="DI498" i="1"/>
  <c r="DB470" i="1"/>
  <c r="DI394" i="1"/>
  <c r="CY390" i="1"/>
  <c r="DI378" i="1"/>
  <c r="DG330" i="1"/>
  <c r="DG258" i="1"/>
  <c r="DA126" i="1"/>
  <c r="DG34" i="1"/>
  <c r="DE367" i="1"/>
  <c r="DA215" i="1"/>
  <c r="DB258" i="1"/>
  <c r="DG419" i="1"/>
  <c r="DB235" i="1"/>
  <c r="DA244" i="1"/>
  <c r="DA449" i="1"/>
  <c r="CZ291" i="1"/>
  <c r="DA243" i="1"/>
  <c r="DA268" i="1"/>
  <c r="DA14" i="1"/>
  <c r="CZ168" i="1"/>
  <c r="DA48" i="1"/>
  <c r="DA43" i="1"/>
  <c r="DA404" i="1"/>
  <c r="DA169" i="1"/>
  <c r="DI370" i="1"/>
  <c r="DA174" i="1"/>
  <c r="CW255" i="1"/>
  <c r="DA110" i="1"/>
  <c r="DA147" i="1"/>
  <c r="DA32" i="1"/>
  <c r="DA50" i="1"/>
  <c r="DA81" i="1"/>
  <c r="DB430" i="1"/>
  <c r="DA310" i="1"/>
  <c r="DH390" i="1"/>
  <c r="DG360" i="1"/>
  <c r="DH159" i="1"/>
  <c r="DA466" i="1"/>
  <c r="DA266" i="1"/>
  <c r="DI214" i="1"/>
  <c r="DI362" i="1"/>
  <c r="DI346" i="1"/>
  <c r="DD210" i="1"/>
  <c r="DD98" i="1"/>
  <c r="DA54" i="1"/>
  <c r="DG459" i="1"/>
  <c r="DG227" i="1"/>
  <c r="DG219" i="1"/>
  <c r="CW199" i="1"/>
  <c r="DI91" i="1"/>
  <c r="DA23" i="1"/>
  <c r="DA202" i="1"/>
  <c r="DA146" i="1"/>
  <c r="DA137" i="1"/>
  <c r="DA33" i="1"/>
  <c r="CZ208" i="1"/>
  <c r="DI13" i="1"/>
  <c r="DA220" i="1"/>
  <c r="DA36" i="1"/>
  <c r="DA210" i="1"/>
  <c r="DA58" i="1"/>
  <c r="DA397" i="1"/>
  <c r="DG411" i="1"/>
  <c r="DH379" i="1"/>
  <c r="DG331" i="1"/>
  <c r="DA287" i="1"/>
  <c r="DH283" i="1"/>
  <c r="DG251" i="1"/>
  <c r="DG147" i="1"/>
  <c r="DA355" i="1"/>
  <c r="DA45" i="1"/>
  <c r="DA368" i="1"/>
  <c r="DA345" i="1"/>
  <c r="DH452" i="1"/>
  <c r="DA276" i="1"/>
  <c r="DA378" i="1"/>
  <c r="DA108" i="1"/>
  <c r="DA322" i="1"/>
  <c r="DA13" i="1"/>
  <c r="DA492" i="1"/>
  <c r="DA318" i="1"/>
  <c r="DF380" i="1"/>
  <c r="DI212" i="1"/>
  <c r="DA96" i="1"/>
  <c r="DA105" i="1"/>
  <c r="DA372" i="1"/>
  <c r="DI410" i="1"/>
  <c r="DI354" i="1"/>
  <c r="DI172" i="1"/>
  <c r="DA24" i="1"/>
  <c r="DA148" i="1"/>
  <c r="DD436" i="1"/>
  <c r="DA64" i="1"/>
  <c r="DF103" i="1"/>
  <c r="DA237" i="1"/>
  <c r="DA125" i="1"/>
  <c r="DE170" i="1"/>
  <c r="DA121" i="1"/>
  <c r="DA204" i="1"/>
  <c r="DA180" i="1"/>
  <c r="DA432" i="1"/>
  <c r="DA113" i="1"/>
  <c r="DA356" i="1"/>
  <c r="DI256" i="1"/>
  <c r="DA124" i="1"/>
  <c r="DA280" i="1"/>
  <c r="DD453" i="1"/>
  <c r="DD9" i="1"/>
  <c r="DE254" i="1"/>
  <c r="DH79" i="1"/>
  <c r="DG368" i="1"/>
  <c r="DI88" i="1"/>
  <c r="DA261" i="1"/>
  <c r="DA380" i="1"/>
  <c r="DD293" i="1"/>
  <c r="DG245" i="1"/>
  <c r="DA455" i="1"/>
  <c r="DG291" i="1"/>
  <c r="DD365" i="1"/>
  <c r="DG133" i="1"/>
  <c r="DE375" i="1"/>
  <c r="DH231" i="1"/>
  <c r="DA300" i="1"/>
  <c r="DA284" i="1"/>
  <c r="DI135" i="1"/>
  <c r="DG273" i="1"/>
  <c r="DG226" i="1"/>
  <c r="DG138" i="1"/>
  <c r="DB487" i="1"/>
  <c r="CW87" i="1"/>
  <c r="DI437" i="1"/>
  <c r="DB453" i="1"/>
  <c r="DA157" i="1"/>
  <c r="DA117" i="1"/>
  <c r="DA6" i="1"/>
  <c r="CZ472" i="1"/>
  <c r="DA211" i="1"/>
  <c r="DG427" i="1"/>
  <c r="DG299" i="1"/>
  <c r="DH195" i="1"/>
  <c r="DG139" i="1"/>
  <c r="DG131" i="1"/>
  <c r="DG99" i="1"/>
  <c r="DG43" i="1"/>
  <c r="DA360" i="1"/>
  <c r="DI341" i="1"/>
  <c r="DG93" i="1"/>
  <c r="DH37" i="1"/>
  <c r="DD405" i="1"/>
  <c r="DG63" i="1"/>
  <c r="DG329" i="1"/>
  <c r="DG225" i="1"/>
  <c r="DF41" i="1"/>
  <c r="DA503" i="1"/>
  <c r="DA279" i="1"/>
  <c r="DA239" i="1"/>
  <c r="DD324" i="1"/>
  <c r="DG308" i="1"/>
  <c r="DI44" i="1"/>
  <c r="DI485" i="1"/>
  <c r="DF301" i="1"/>
  <c r="DI183" i="1"/>
  <c r="DI208" i="1"/>
  <c r="DI200" i="1"/>
  <c r="DI284" i="1"/>
  <c r="DG420" i="1"/>
  <c r="DA499" i="1"/>
  <c r="DI176" i="1"/>
  <c r="DD18" i="1"/>
  <c r="DI10" i="1"/>
  <c r="DA375" i="1"/>
  <c r="DH347" i="1"/>
  <c r="DG123" i="1"/>
  <c r="DA95" i="1"/>
  <c r="DG67" i="1"/>
  <c r="CZ152" i="1"/>
  <c r="DA298" i="1"/>
  <c r="DB226" i="1"/>
  <c r="DD206" i="1"/>
  <c r="DE126" i="1"/>
  <c r="DI465" i="1"/>
  <c r="DI449" i="1"/>
  <c r="DA406" i="1"/>
  <c r="DA286" i="1"/>
  <c r="DE162" i="1"/>
  <c r="DD82" i="1"/>
  <c r="CW191" i="1"/>
  <c r="DA362" i="1"/>
  <c r="DH334" i="1"/>
  <c r="DH110" i="1"/>
  <c r="DI383" i="1"/>
  <c r="DE215" i="1"/>
  <c r="DE199" i="1"/>
  <c r="DA308" i="1"/>
  <c r="DA228" i="1"/>
  <c r="DH94" i="1"/>
  <c r="DI8" i="1"/>
  <c r="DI481" i="1"/>
  <c r="DI466" i="1"/>
  <c r="DI458" i="1"/>
  <c r="DI386" i="1"/>
  <c r="DI338" i="1"/>
  <c r="DI306" i="1"/>
  <c r="DE194" i="1"/>
  <c r="DG114" i="1"/>
  <c r="DH371" i="1"/>
  <c r="DI339" i="1"/>
  <c r="DH203" i="1"/>
  <c r="DG179" i="1"/>
  <c r="DG59" i="1"/>
  <c r="DI51" i="1"/>
  <c r="DI27" i="1"/>
  <c r="DG499" i="1"/>
  <c r="DG491" i="1"/>
  <c r="CY454" i="1"/>
  <c r="DG234" i="1"/>
  <c r="DF130" i="1"/>
  <c r="DE90" i="1"/>
  <c r="DE397" i="1"/>
  <c r="DI78" i="1"/>
  <c r="DI469" i="1"/>
  <c r="DI503" i="1"/>
  <c r="DI447" i="1"/>
  <c r="DG455" i="1"/>
  <c r="DG289" i="1"/>
  <c r="DG233" i="1"/>
  <c r="DD57" i="1"/>
  <c r="DA201" i="1"/>
  <c r="DA451" i="1"/>
  <c r="DH431" i="1"/>
  <c r="DA387" i="1"/>
  <c r="DA379" i="1"/>
  <c r="DI343" i="1"/>
  <c r="DF263" i="1"/>
  <c r="DI247" i="1"/>
  <c r="DG440" i="1"/>
  <c r="DI432" i="1"/>
  <c r="DG328" i="1"/>
  <c r="DA316" i="1"/>
  <c r="DI264" i="1"/>
  <c r="DH31" i="1"/>
  <c r="DI474" i="1"/>
  <c r="DG242" i="1"/>
  <c r="DD106" i="1"/>
  <c r="DG483" i="1"/>
  <c r="DG475" i="1"/>
  <c r="DA423" i="1"/>
  <c r="DH363" i="1"/>
  <c r="DG243" i="1"/>
  <c r="DG235" i="1"/>
  <c r="DG187" i="1"/>
  <c r="DG163" i="1"/>
  <c r="DG35" i="1"/>
  <c r="DA361" i="1"/>
  <c r="DH349" i="1"/>
  <c r="DF221" i="1"/>
  <c r="DG157" i="1"/>
  <c r="DF501" i="1"/>
  <c r="DG448" i="1"/>
  <c r="DG424" i="1"/>
  <c r="DA172" i="1"/>
  <c r="DA277" i="1"/>
  <c r="DI17" i="1"/>
  <c r="DF388" i="1"/>
  <c r="DG372" i="1"/>
  <c r="DI196" i="1"/>
  <c r="DG69" i="1"/>
  <c r="DE461" i="1"/>
  <c r="DI429" i="1"/>
  <c r="DE359" i="1"/>
  <c r="DI239" i="1"/>
  <c r="DI119" i="1"/>
  <c r="DI87" i="1"/>
  <c r="DI389" i="1"/>
  <c r="DG14" i="1"/>
  <c r="DA11" i="1"/>
  <c r="DA452" i="1"/>
  <c r="DG224" i="1"/>
  <c r="DI48" i="1"/>
  <c r="DI425" i="1"/>
  <c r="DG337" i="1"/>
  <c r="DI490" i="1"/>
  <c r="DI450" i="1"/>
  <c r="DI442" i="1"/>
  <c r="DI402" i="1"/>
  <c r="DG298" i="1"/>
  <c r="DG290" i="1"/>
  <c r="DG282" i="1"/>
  <c r="DG274" i="1"/>
  <c r="DA246" i="1"/>
  <c r="DG218" i="1"/>
  <c r="DE154" i="1"/>
  <c r="DA134" i="1"/>
  <c r="DG66" i="1"/>
  <c r="DD42" i="1"/>
  <c r="DI433" i="1"/>
  <c r="DA183" i="1"/>
  <c r="DI52" i="1"/>
  <c r="DI489" i="1"/>
  <c r="DI385" i="1"/>
  <c r="DI468" i="1"/>
  <c r="DD428" i="1"/>
  <c r="DI348" i="1"/>
  <c r="DI332" i="1"/>
  <c r="DI260" i="1"/>
  <c r="DI252" i="1"/>
  <c r="DA305" i="1"/>
  <c r="DH29" i="1"/>
  <c r="DF495" i="1"/>
  <c r="DF391" i="1"/>
  <c r="DE295" i="1"/>
  <c r="DI112" i="1"/>
  <c r="DF477" i="1"/>
  <c r="DF261" i="1"/>
  <c r="DA97" i="1"/>
  <c r="DI246" i="1"/>
  <c r="DI230" i="1"/>
  <c r="DI142" i="1"/>
  <c r="DG16" i="1"/>
  <c r="DG257" i="1"/>
  <c r="DA403" i="1"/>
  <c r="DI417" i="1"/>
  <c r="DG321" i="1"/>
  <c r="DG305" i="1"/>
  <c r="DA293" i="1"/>
  <c r="DD357" i="1"/>
  <c r="DH325" i="1"/>
  <c r="DI476" i="1"/>
  <c r="CZ264" i="1"/>
  <c r="DA99" i="1"/>
  <c r="DG467" i="1"/>
  <c r="DG403" i="1"/>
  <c r="DH323" i="1"/>
  <c r="DG307" i="1"/>
  <c r="DG267" i="1"/>
  <c r="DH171" i="1"/>
  <c r="DG75" i="1"/>
  <c r="DG250" i="1"/>
  <c r="DD146" i="1"/>
  <c r="DD122" i="1"/>
  <c r="DA392" i="1"/>
  <c r="DB282" i="1"/>
  <c r="DE166" i="1"/>
  <c r="DI312" i="1"/>
  <c r="DI304" i="1"/>
  <c r="DG280" i="1"/>
  <c r="DI409" i="1"/>
  <c r="DI377" i="1"/>
  <c r="DG353" i="1"/>
  <c r="DA301" i="1"/>
  <c r="DG281" i="1"/>
  <c r="DD105" i="1"/>
  <c r="DD89" i="1"/>
  <c r="DI92" i="1"/>
  <c r="DI396" i="1"/>
  <c r="DH356" i="1"/>
  <c r="DI340" i="1"/>
  <c r="DG493" i="1"/>
  <c r="DA369" i="1"/>
  <c r="DA249" i="1"/>
  <c r="DI117" i="1"/>
  <c r="DH101" i="1"/>
  <c r="DG21" i="1"/>
  <c r="DE198" i="1"/>
  <c r="DI190" i="1"/>
  <c r="DI182" i="1"/>
  <c r="DH102" i="1"/>
  <c r="DI22" i="1"/>
  <c r="DG6" i="1"/>
  <c r="DE423" i="1"/>
  <c r="DH287" i="1"/>
  <c r="DI207" i="1"/>
  <c r="DG472" i="1"/>
  <c r="DG408" i="1"/>
  <c r="DG400" i="1"/>
  <c r="DI376" i="1"/>
  <c r="DG272" i="1"/>
  <c r="DG314" i="1"/>
  <c r="DD202" i="1"/>
  <c r="DD186" i="1"/>
  <c r="DD178" i="1"/>
  <c r="DD74" i="1"/>
  <c r="DD58" i="1"/>
  <c r="DE50" i="1"/>
  <c r="DD26" i="1"/>
  <c r="CW159" i="1"/>
  <c r="CZ136" i="1"/>
  <c r="CZ56" i="1"/>
  <c r="DF36" i="1"/>
  <c r="DD404" i="1"/>
  <c r="DI492" i="1"/>
  <c r="DI484" i="1"/>
  <c r="DG444" i="1"/>
  <c r="DD309" i="1"/>
  <c r="DD269" i="1"/>
  <c r="DH229" i="1"/>
  <c r="DB354" i="1"/>
  <c r="DI310" i="1"/>
  <c r="DD278" i="1"/>
  <c r="DG270" i="1"/>
  <c r="DH174" i="1"/>
  <c r="CZ260" i="1"/>
  <c r="DG232" i="1"/>
  <c r="DI160" i="1"/>
  <c r="DI72" i="1"/>
  <c r="DI40" i="1"/>
  <c r="DA408" i="1"/>
  <c r="DB352" i="1"/>
  <c r="DB304" i="1"/>
  <c r="DE70" i="1"/>
  <c r="DE413" i="1"/>
  <c r="DG373" i="1"/>
  <c r="DD317" i="1"/>
  <c r="DE253" i="1"/>
  <c r="DH85" i="1"/>
  <c r="DG77" i="1"/>
  <c r="DG53" i="1"/>
  <c r="DI406" i="1"/>
  <c r="DD326" i="1"/>
  <c r="DG262" i="1"/>
  <c r="DI238" i="1"/>
  <c r="DH407" i="1"/>
  <c r="DF399" i="1"/>
  <c r="DI279" i="1"/>
  <c r="DI175" i="1"/>
  <c r="DD111" i="1"/>
  <c r="DH333" i="1"/>
  <c r="DI184" i="1"/>
  <c r="DI152" i="1"/>
  <c r="DH128" i="1"/>
  <c r="DI445" i="1"/>
  <c r="DG141" i="1"/>
  <c r="DG504" i="1"/>
  <c r="DG480" i="1"/>
  <c r="DG464" i="1"/>
  <c r="DG456" i="1"/>
  <c r="DG344" i="1"/>
  <c r="DI497" i="1"/>
  <c r="CW493" i="1"/>
  <c r="DH457" i="1"/>
  <c r="DI393" i="1"/>
  <c r="DI345" i="1"/>
  <c r="DH265" i="1"/>
  <c r="DH217" i="1"/>
  <c r="DE73" i="1"/>
  <c r="DD25" i="1"/>
  <c r="DG266" i="1"/>
  <c r="DH11" i="1"/>
  <c r="DH451" i="1"/>
  <c r="DA415" i="1"/>
  <c r="DG355" i="1"/>
  <c r="DA351" i="1"/>
  <c r="DG315" i="1"/>
  <c r="DG275" i="1"/>
  <c r="DI211" i="1"/>
  <c r="DA233" i="1"/>
  <c r="DH165" i="1"/>
  <c r="DG125" i="1"/>
  <c r="DH109" i="1"/>
  <c r="DH61" i="1"/>
  <c r="DI471" i="1"/>
  <c r="DF271" i="1"/>
  <c r="DI223" i="1"/>
  <c r="DI143" i="1"/>
  <c r="DD127" i="1"/>
  <c r="DG336" i="1"/>
  <c r="DG296" i="1"/>
  <c r="DI192" i="1"/>
  <c r="DI473" i="1"/>
  <c r="DI401" i="1"/>
  <c r="DI369" i="1"/>
  <c r="DG297" i="1"/>
  <c r="DG249" i="1"/>
  <c r="DG241" i="1"/>
  <c r="DA29" i="1"/>
  <c r="DI181" i="1"/>
  <c r="DI460" i="1"/>
  <c r="DG12" i="1"/>
  <c r="DE285" i="1"/>
  <c r="DH487" i="1"/>
  <c r="DI479" i="1"/>
  <c r="DE463" i="1"/>
  <c r="DG439" i="1"/>
  <c r="DH255" i="1"/>
  <c r="DG496" i="1"/>
  <c r="DA468" i="1"/>
  <c r="DG352" i="1"/>
  <c r="DG288" i="1"/>
  <c r="DG248" i="1"/>
  <c r="DG240" i="1"/>
  <c r="DH168" i="1"/>
  <c r="DA164" i="1"/>
  <c r="DI144" i="1"/>
  <c r="DI136" i="1"/>
  <c r="DI104" i="1"/>
  <c r="DI80" i="1"/>
  <c r="DI56" i="1"/>
  <c r="DI24" i="1"/>
  <c r="DI245" i="1"/>
  <c r="DI500" i="1"/>
  <c r="DD412" i="1"/>
  <c r="DF364" i="1"/>
  <c r="DI316" i="1"/>
  <c r="DI236" i="1"/>
  <c r="DA184" i="1"/>
  <c r="DF127" i="1"/>
  <c r="DI53" i="1"/>
  <c r="DG421" i="1"/>
  <c r="DH381" i="1"/>
  <c r="DD277" i="1"/>
  <c r="DF237" i="1"/>
  <c r="DG149" i="1"/>
  <c r="DH117" i="1"/>
  <c r="DG45" i="1"/>
  <c r="DA410" i="1"/>
  <c r="DE374" i="1"/>
  <c r="DI358" i="1"/>
  <c r="DE286" i="1"/>
  <c r="DE222" i="1"/>
  <c r="DI118" i="1"/>
  <c r="DI86" i="1"/>
  <c r="DD62" i="1"/>
  <c r="DE54" i="1"/>
  <c r="DH46" i="1"/>
  <c r="DG38" i="1"/>
  <c r="DD30" i="1"/>
  <c r="DI436" i="1"/>
  <c r="DI404" i="1"/>
  <c r="DI372" i="1"/>
  <c r="DI308" i="1"/>
  <c r="DI493" i="1"/>
  <c r="DI461" i="1"/>
  <c r="DI397" i="1"/>
  <c r="DI365" i="1"/>
  <c r="DI333" i="1"/>
  <c r="DI301" i="1"/>
  <c r="DI237" i="1"/>
  <c r="DI173" i="1"/>
  <c r="DI109" i="1"/>
  <c r="DI45" i="1"/>
  <c r="DH156" i="1"/>
  <c r="DI156" i="1"/>
  <c r="DH148" i="1"/>
  <c r="DI148" i="1"/>
  <c r="DH140" i="1"/>
  <c r="DI140" i="1"/>
  <c r="DH124" i="1"/>
  <c r="DI124" i="1"/>
  <c r="DH116" i="1"/>
  <c r="DI116" i="1"/>
  <c r="DH108" i="1"/>
  <c r="DI108" i="1"/>
  <c r="DH100" i="1"/>
  <c r="DI100" i="1"/>
  <c r="DH84" i="1"/>
  <c r="DI84" i="1"/>
  <c r="DH76" i="1"/>
  <c r="DI76" i="1"/>
  <c r="DH68" i="1"/>
  <c r="DI68" i="1"/>
  <c r="DH60" i="1"/>
  <c r="DI60" i="1"/>
  <c r="DH28" i="1"/>
  <c r="DI28" i="1"/>
  <c r="DD20" i="1"/>
  <c r="DI20" i="1"/>
  <c r="DI428" i="1"/>
  <c r="DI364" i="1"/>
  <c r="DI293" i="1"/>
  <c r="DI229" i="1"/>
  <c r="DI165" i="1"/>
  <c r="DI101" i="1"/>
  <c r="DI37" i="1"/>
  <c r="DH228" i="1"/>
  <c r="DI228" i="1"/>
  <c r="DH188" i="1"/>
  <c r="DI188" i="1"/>
  <c r="DI453" i="1"/>
  <c r="DI421" i="1"/>
  <c r="DI357" i="1"/>
  <c r="DI325" i="1"/>
  <c r="DI285" i="1"/>
  <c r="DI221" i="1"/>
  <c r="DI157" i="1"/>
  <c r="DI93" i="1"/>
  <c r="DI36" i="1"/>
  <c r="DI452" i="1"/>
  <c r="DI420" i="1"/>
  <c r="DI388" i="1"/>
  <c r="DI356" i="1"/>
  <c r="DI324" i="1"/>
  <c r="DI277" i="1"/>
  <c r="DI213" i="1"/>
  <c r="DI149" i="1"/>
  <c r="DI85" i="1"/>
  <c r="DI29" i="1"/>
  <c r="DH15" i="1"/>
  <c r="DI15" i="1"/>
  <c r="DG276" i="1"/>
  <c r="DI276" i="1"/>
  <c r="DH180" i="1"/>
  <c r="DI180" i="1"/>
  <c r="DH132" i="1"/>
  <c r="DI132" i="1"/>
  <c r="DI415" i="1"/>
  <c r="DI335" i="1"/>
  <c r="DI327" i="1"/>
  <c r="DI303" i="1"/>
  <c r="DI191" i="1"/>
  <c r="DI47" i="1"/>
  <c r="DI477" i="1"/>
  <c r="DI413" i="1"/>
  <c r="DI381" i="1"/>
  <c r="DI349" i="1"/>
  <c r="DI317" i="1"/>
  <c r="DI269" i="1"/>
  <c r="DI205" i="1"/>
  <c r="DI141" i="1"/>
  <c r="DI77" i="1"/>
  <c r="DI21" i="1"/>
  <c r="DI120" i="1"/>
  <c r="DI64" i="1"/>
  <c r="DI444" i="1"/>
  <c r="DI412" i="1"/>
  <c r="DI380" i="1"/>
  <c r="DI261" i="1"/>
  <c r="DI197" i="1"/>
  <c r="DI133" i="1"/>
  <c r="DI69" i="1"/>
  <c r="DH7" i="1"/>
  <c r="DI7" i="1"/>
  <c r="DD300" i="1"/>
  <c r="DI300" i="1"/>
  <c r="DD292" i="1"/>
  <c r="DI292" i="1"/>
  <c r="DD268" i="1"/>
  <c r="DI268" i="1"/>
  <c r="DH244" i="1"/>
  <c r="DI244" i="1"/>
  <c r="DH220" i="1"/>
  <c r="DI220" i="1"/>
  <c r="DG204" i="1"/>
  <c r="DI204" i="1"/>
  <c r="DH164" i="1"/>
  <c r="DI164" i="1"/>
  <c r="DI392" i="1"/>
  <c r="DI216" i="1"/>
  <c r="DI501" i="1"/>
  <c r="DI405" i="1"/>
  <c r="DI373" i="1"/>
  <c r="DI309" i="1"/>
  <c r="DI253" i="1"/>
  <c r="DI189" i="1"/>
  <c r="DI125" i="1"/>
  <c r="DI61" i="1"/>
  <c r="DI12" i="1"/>
  <c r="DI499" i="1"/>
  <c r="DI491" i="1"/>
  <c r="DI483" i="1"/>
  <c r="DI475" i="1"/>
  <c r="DI467" i="1"/>
  <c r="DI459" i="1"/>
  <c r="DI451" i="1"/>
  <c r="DI443" i="1"/>
  <c r="DI435" i="1"/>
  <c r="DI427" i="1"/>
  <c r="DI419" i="1"/>
  <c r="DI411" i="1"/>
  <c r="DI403" i="1"/>
  <c r="DI395" i="1"/>
  <c r="DI387" i="1"/>
  <c r="DI379" i="1"/>
  <c r="DI371" i="1"/>
  <c r="DI363" i="1"/>
  <c r="DI355" i="1"/>
  <c r="DI347" i="1"/>
  <c r="DI331" i="1"/>
  <c r="DI323" i="1"/>
  <c r="DI315" i="1"/>
  <c r="DI307" i="1"/>
  <c r="DI299" i="1"/>
  <c r="DI291" i="1"/>
  <c r="DI283" i="1"/>
  <c r="DI275" i="1"/>
  <c r="DI267" i="1"/>
  <c r="DI259" i="1"/>
  <c r="DI251" i="1"/>
  <c r="DI243" i="1"/>
  <c r="DI235" i="1"/>
  <c r="DI227" i="1"/>
  <c r="DI219" i="1"/>
  <c r="DI203" i="1"/>
  <c r="DI195" i="1"/>
  <c r="DI187" i="1"/>
  <c r="DI179" i="1"/>
  <c r="DI171" i="1"/>
  <c r="DI163" i="1"/>
  <c r="DI155" i="1"/>
  <c r="DI147" i="1"/>
  <c r="DI139" i="1"/>
  <c r="DI131" i="1"/>
  <c r="DI123" i="1"/>
  <c r="DI115" i="1"/>
  <c r="DI107" i="1"/>
  <c r="DI99" i="1"/>
  <c r="DI83" i="1"/>
  <c r="DI75" i="1"/>
  <c r="DI67" i="1"/>
  <c r="DI59" i="1"/>
  <c r="DI43" i="1"/>
  <c r="DI35" i="1"/>
  <c r="DI11" i="1"/>
  <c r="DE319" i="1"/>
  <c r="DI330" i="1"/>
  <c r="DI314" i="1"/>
  <c r="DI298" i="1"/>
  <c r="DI290" i="1"/>
  <c r="DI282" i="1"/>
  <c r="DI274" i="1"/>
  <c r="DI266" i="1"/>
  <c r="DI258" i="1"/>
  <c r="DI250" i="1"/>
  <c r="DI242" i="1"/>
  <c r="DI234" i="1"/>
  <c r="DI226" i="1"/>
  <c r="DI218" i="1"/>
  <c r="DI210" i="1"/>
  <c r="DI202" i="1"/>
  <c r="DI194" i="1"/>
  <c r="DI186" i="1"/>
  <c r="DI178" i="1"/>
  <c r="DI170" i="1"/>
  <c r="DI162" i="1"/>
  <c r="DI154" i="1"/>
  <c r="DI146" i="1"/>
  <c r="DI138" i="1"/>
  <c r="DI130" i="1"/>
  <c r="DI122" i="1"/>
  <c r="DI114" i="1"/>
  <c r="DI106" i="1"/>
  <c r="DI98" i="1"/>
  <c r="DI90" i="1"/>
  <c r="DI82" i="1"/>
  <c r="DI74" i="1"/>
  <c r="DI66" i="1"/>
  <c r="DI58" i="1"/>
  <c r="DI50" i="1"/>
  <c r="DI42" i="1"/>
  <c r="DI34" i="1"/>
  <c r="DI26" i="1"/>
  <c r="DI18" i="1"/>
  <c r="DD351" i="1"/>
  <c r="DE311" i="1"/>
  <c r="DG488" i="1"/>
  <c r="DA484" i="1"/>
  <c r="DG416" i="1"/>
  <c r="DG384" i="1"/>
  <c r="DG320" i="1"/>
  <c r="DA116" i="1"/>
  <c r="DH96" i="1"/>
  <c r="DI457" i="1"/>
  <c r="DI361" i="1"/>
  <c r="DI353" i="1"/>
  <c r="DI337" i="1"/>
  <c r="DI329" i="1"/>
  <c r="DI321" i="1"/>
  <c r="DI313" i="1"/>
  <c r="DI305" i="1"/>
  <c r="DI297" i="1"/>
  <c r="DI289" i="1"/>
  <c r="DI281" i="1"/>
  <c r="DI273" i="1"/>
  <c r="DI265" i="1"/>
  <c r="DI257" i="1"/>
  <c r="DI249" i="1"/>
  <c r="DI241" i="1"/>
  <c r="DI233" i="1"/>
  <c r="DI225" i="1"/>
  <c r="DI217" i="1"/>
  <c r="DI209" i="1"/>
  <c r="DI201" i="1"/>
  <c r="DI193" i="1"/>
  <c r="DI185" i="1"/>
  <c r="DI177" i="1"/>
  <c r="DI169" i="1"/>
  <c r="DI161" i="1"/>
  <c r="DI153" i="1"/>
  <c r="DI145" i="1"/>
  <c r="DI137" i="1"/>
  <c r="DI129" i="1"/>
  <c r="DI121" i="1"/>
  <c r="DI113" i="1"/>
  <c r="DI105" i="1"/>
  <c r="DI97" i="1"/>
  <c r="DI89" i="1"/>
  <c r="DI81" i="1"/>
  <c r="DI73" i="1"/>
  <c r="DI65" i="1"/>
  <c r="DI57" i="1"/>
  <c r="DI49" i="1"/>
  <c r="DI41" i="1"/>
  <c r="DI33" i="1"/>
  <c r="DI25" i="1"/>
  <c r="DI9" i="1"/>
  <c r="DI504" i="1"/>
  <c r="DI496" i="1"/>
  <c r="DI488" i="1"/>
  <c r="DI480" i="1"/>
  <c r="DI472" i="1"/>
  <c r="DI464" i="1"/>
  <c r="DI456" i="1"/>
  <c r="DI448" i="1"/>
  <c r="DI440" i="1"/>
  <c r="DI424" i="1"/>
  <c r="DI416" i="1"/>
  <c r="DI408" i="1"/>
  <c r="DI400" i="1"/>
  <c r="DI384" i="1"/>
  <c r="DI368" i="1"/>
  <c r="DI360" i="1"/>
  <c r="DI352" i="1"/>
  <c r="DI344" i="1"/>
  <c r="DI336" i="1"/>
  <c r="DI328" i="1"/>
  <c r="DI320" i="1"/>
  <c r="DI296" i="1"/>
  <c r="DI288" i="1"/>
  <c r="DI280" i="1"/>
  <c r="DI272" i="1"/>
  <c r="DI248" i="1"/>
  <c r="DI240" i="1"/>
  <c r="DI232" i="1"/>
  <c r="DI224" i="1"/>
  <c r="DI168" i="1"/>
  <c r="DI128" i="1"/>
  <c r="DI96" i="1"/>
  <c r="DI32" i="1"/>
  <c r="DI16" i="1"/>
  <c r="DI495" i="1"/>
  <c r="DI487" i="1"/>
  <c r="DI463" i="1"/>
  <c r="DI455" i="1"/>
  <c r="DI439" i="1"/>
  <c r="DI431" i="1"/>
  <c r="DI423" i="1"/>
  <c r="DI407" i="1"/>
  <c r="DI399" i="1"/>
  <c r="DI391" i="1"/>
  <c r="DI375" i="1"/>
  <c r="DI367" i="1"/>
  <c r="DI359" i="1"/>
  <c r="DI351" i="1"/>
  <c r="DI319" i="1"/>
  <c r="DI311" i="1"/>
  <c r="DI295" i="1"/>
  <c r="DI287" i="1"/>
  <c r="DI271" i="1"/>
  <c r="DI263" i="1"/>
  <c r="DI255" i="1"/>
  <c r="DI231" i="1"/>
  <c r="DI215" i="1"/>
  <c r="DI199" i="1"/>
  <c r="DI159" i="1"/>
  <c r="DI151" i="1"/>
  <c r="DI127" i="1"/>
  <c r="DI111" i="1"/>
  <c r="DI103" i="1"/>
  <c r="DI95" i="1"/>
  <c r="DI79" i="1"/>
  <c r="DI71" i="1"/>
  <c r="DI63" i="1"/>
  <c r="DI55" i="1"/>
  <c r="DI39" i="1"/>
  <c r="DI31" i="1"/>
  <c r="DI23" i="1"/>
  <c r="DG345" i="1"/>
  <c r="DG322" i="1"/>
  <c r="DG306" i="1"/>
  <c r="DH339" i="1"/>
  <c r="DB119" i="1"/>
  <c r="DI502" i="1"/>
  <c r="DI494" i="1"/>
  <c r="DI486" i="1"/>
  <c r="DI478" i="1"/>
  <c r="DI470" i="1"/>
  <c r="DI462" i="1"/>
  <c r="DI454" i="1"/>
  <c r="DI446" i="1"/>
  <c r="DI438" i="1"/>
  <c r="DI430" i="1"/>
  <c r="DI422" i="1"/>
  <c r="DI414" i="1"/>
  <c r="DI398" i="1"/>
  <c r="DI390" i="1"/>
  <c r="DI382" i="1"/>
  <c r="DI374" i="1"/>
  <c r="DI366" i="1"/>
  <c r="DI350" i="1"/>
  <c r="DI342" i="1"/>
  <c r="DI334" i="1"/>
  <c r="DI326" i="1"/>
  <c r="DI318" i="1"/>
  <c r="DI302" i="1"/>
  <c r="DI294" i="1"/>
  <c r="DI286" i="1"/>
  <c r="DI278" i="1"/>
  <c r="DI270" i="1"/>
  <c r="DI262" i="1"/>
  <c r="DI254" i="1"/>
  <c r="DI222" i="1"/>
  <c r="DI206" i="1"/>
  <c r="DI198" i="1"/>
  <c r="DI174" i="1"/>
  <c r="DI166" i="1"/>
  <c r="DI150" i="1"/>
  <c r="DI126" i="1"/>
  <c r="DI110" i="1"/>
  <c r="DI102" i="1"/>
  <c r="DI94" i="1"/>
  <c r="DI70" i="1"/>
  <c r="DI62" i="1"/>
  <c r="DI54" i="1"/>
  <c r="DI46" i="1"/>
  <c r="DI38" i="1"/>
  <c r="DI30" i="1"/>
  <c r="DI14" i="1"/>
  <c r="DI6" i="1"/>
  <c r="DA222" i="1"/>
  <c r="DH196" i="1"/>
  <c r="DH92" i="1"/>
  <c r="DF252" i="1"/>
  <c r="DD476" i="1"/>
  <c r="DH284" i="1"/>
  <c r="DD260" i="1"/>
  <c r="DE118" i="1"/>
  <c r="DD492" i="1"/>
  <c r="DF348" i="1"/>
  <c r="DD340" i="1"/>
  <c r="DE437" i="1"/>
  <c r="DH429" i="1"/>
  <c r="DD471" i="1"/>
  <c r="DD415" i="1"/>
  <c r="DF383" i="1"/>
  <c r="DF239" i="1"/>
  <c r="DH207" i="1"/>
  <c r="DH191" i="1"/>
  <c r="DF468" i="1"/>
  <c r="DE332" i="1"/>
  <c r="DE445" i="1"/>
  <c r="DH341" i="1"/>
  <c r="DG376" i="1"/>
  <c r="DG304" i="1"/>
  <c r="DF484" i="1"/>
  <c r="DH485" i="1"/>
  <c r="DD469" i="1"/>
  <c r="DE406" i="1"/>
  <c r="DE246" i="1"/>
  <c r="DG230" i="1"/>
  <c r="DG432" i="1"/>
  <c r="DG392" i="1"/>
  <c r="DG312" i="1"/>
  <c r="DG264" i="1"/>
  <c r="DG256" i="1"/>
  <c r="DH69" i="1"/>
  <c r="DG485" i="1"/>
  <c r="CY374" i="1"/>
  <c r="DG117" i="1"/>
  <c r="DG301" i="1"/>
  <c r="DH53" i="1"/>
  <c r="DG229" i="1"/>
  <c r="DH45" i="1"/>
  <c r="DG396" i="1"/>
  <c r="DG316" i="1"/>
  <c r="DH236" i="1"/>
  <c r="DH212" i="1"/>
  <c r="DH172" i="1"/>
  <c r="DD52" i="1"/>
  <c r="DH44" i="1"/>
  <c r="DH43" i="1"/>
  <c r="DH142" i="1"/>
  <c r="DD134" i="1"/>
  <c r="DD500" i="1"/>
  <c r="DD460" i="1"/>
  <c r="DF358" i="1"/>
  <c r="DH238" i="1"/>
  <c r="DF214" i="1"/>
  <c r="DD158" i="1"/>
  <c r="DE503" i="1"/>
  <c r="DD479" i="1"/>
  <c r="DE447" i="1"/>
  <c r="DD343" i="1"/>
  <c r="DH335" i="1"/>
  <c r="DE327" i="1"/>
  <c r="DD247" i="1"/>
  <c r="DE175" i="1"/>
  <c r="DE167" i="1"/>
  <c r="DH47" i="1"/>
  <c r="DH75" i="1"/>
  <c r="DG216" i="1"/>
  <c r="DH216" i="1"/>
  <c r="DG208" i="1"/>
  <c r="DH208" i="1"/>
  <c r="DE200" i="1"/>
  <c r="DH200" i="1"/>
  <c r="DD184" i="1"/>
  <c r="DH184" i="1"/>
  <c r="DD176" i="1"/>
  <c r="DH176" i="1"/>
  <c r="DE160" i="1"/>
  <c r="DH160" i="1"/>
  <c r="DD152" i="1"/>
  <c r="DH152" i="1"/>
  <c r="DE144" i="1"/>
  <c r="DH144" i="1"/>
  <c r="DE136" i="1"/>
  <c r="DH136" i="1"/>
  <c r="DD120" i="1"/>
  <c r="DH120" i="1"/>
  <c r="DE112" i="1"/>
  <c r="DH112" i="1"/>
  <c r="DD104" i="1"/>
  <c r="DH104" i="1"/>
  <c r="DD88" i="1"/>
  <c r="DH88" i="1"/>
  <c r="AK80" i="1"/>
  <c r="DH80" i="1"/>
  <c r="DD72" i="1"/>
  <c r="DH72" i="1"/>
  <c r="AK64" i="1"/>
  <c r="DH64" i="1"/>
  <c r="DD56" i="1"/>
  <c r="DH56" i="1"/>
  <c r="AK48" i="1"/>
  <c r="DH48" i="1"/>
  <c r="DG40" i="1"/>
  <c r="DH40" i="1"/>
  <c r="DD24" i="1"/>
  <c r="DH24" i="1"/>
  <c r="DH499" i="1"/>
  <c r="DH467" i="1"/>
  <c r="DH403" i="1"/>
  <c r="DH307" i="1"/>
  <c r="DH275" i="1"/>
  <c r="DH243" i="1"/>
  <c r="DH139" i="1"/>
  <c r="DD192" i="1"/>
  <c r="DH192" i="1"/>
  <c r="DG8" i="1"/>
  <c r="DH8" i="1"/>
  <c r="DG497" i="1"/>
  <c r="DH497" i="1"/>
  <c r="DG489" i="1"/>
  <c r="DH489" i="1"/>
  <c r="DG481" i="1"/>
  <c r="DH481" i="1"/>
  <c r="DG473" i="1"/>
  <c r="DH473" i="1"/>
  <c r="DG465" i="1"/>
  <c r="DH465" i="1"/>
  <c r="DG449" i="1"/>
  <c r="DH449" i="1"/>
  <c r="DG441" i="1"/>
  <c r="DH441" i="1"/>
  <c r="DG433" i="1"/>
  <c r="DH433" i="1"/>
  <c r="DG425" i="1"/>
  <c r="DH425" i="1"/>
  <c r="DG417" i="1"/>
  <c r="DH417" i="1"/>
  <c r="DG409" i="1"/>
  <c r="DH409" i="1"/>
  <c r="DG401" i="1"/>
  <c r="DH401" i="1"/>
  <c r="DG393" i="1"/>
  <c r="DH393" i="1"/>
  <c r="DG385" i="1"/>
  <c r="DH385" i="1"/>
  <c r="DG377" i="1"/>
  <c r="DH377" i="1"/>
  <c r="DG369" i="1"/>
  <c r="DH369" i="1"/>
  <c r="DH496" i="1"/>
  <c r="DH464" i="1"/>
  <c r="DH432" i="1"/>
  <c r="DH400" i="1"/>
  <c r="DH368" i="1"/>
  <c r="DH336" i="1"/>
  <c r="DH304" i="1"/>
  <c r="DH272" i="1"/>
  <c r="DH240" i="1"/>
  <c r="DH131" i="1"/>
  <c r="DG474" i="1"/>
  <c r="DH474" i="1"/>
  <c r="DG466" i="1"/>
  <c r="DH466" i="1"/>
  <c r="DG458" i="1"/>
  <c r="DH458" i="1"/>
  <c r="DG450" i="1"/>
  <c r="DH450" i="1"/>
  <c r="DG442" i="1"/>
  <c r="DH442" i="1"/>
  <c r="DG434" i="1"/>
  <c r="DH434" i="1"/>
  <c r="DG426" i="1"/>
  <c r="DH426" i="1"/>
  <c r="DG418" i="1"/>
  <c r="DH418" i="1"/>
  <c r="DG410" i="1"/>
  <c r="DH410" i="1"/>
  <c r="DG402" i="1"/>
  <c r="DH402" i="1"/>
  <c r="DG394" i="1"/>
  <c r="DH394" i="1"/>
  <c r="DG386" i="1"/>
  <c r="DH386" i="1"/>
  <c r="DG378" i="1"/>
  <c r="DH378" i="1"/>
  <c r="DG370" i="1"/>
  <c r="DH370" i="1"/>
  <c r="DG362" i="1"/>
  <c r="DH362" i="1"/>
  <c r="DG354" i="1"/>
  <c r="DH354" i="1"/>
  <c r="DG346" i="1"/>
  <c r="DH346" i="1"/>
  <c r="DA342" i="1"/>
  <c r="DG338" i="1"/>
  <c r="DH338" i="1"/>
  <c r="DH491" i="1"/>
  <c r="DH459" i="1"/>
  <c r="DH427" i="1"/>
  <c r="DH331" i="1"/>
  <c r="DH299" i="1"/>
  <c r="DH267" i="1"/>
  <c r="DH235" i="1"/>
  <c r="DH187" i="1"/>
  <c r="DH123" i="1"/>
  <c r="DH67" i="1"/>
  <c r="DH35" i="1"/>
  <c r="DG13" i="1"/>
  <c r="DH13" i="1"/>
  <c r="DG10" i="1"/>
  <c r="DH10" i="1"/>
  <c r="DG371" i="1"/>
  <c r="DG51" i="1"/>
  <c r="DG27" i="1"/>
  <c r="DG19" i="1"/>
  <c r="DH488" i="1"/>
  <c r="DH456" i="1"/>
  <c r="DH424" i="1"/>
  <c r="DH392" i="1"/>
  <c r="DH360" i="1"/>
  <c r="DH328" i="1"/>
  <c r="DH296" i="1"/>
  <c r="DH264" i="1"/>
  <c r="DH232" i="1"/>
  <c r="DH179" i="1"/>
  <c r="DH32" i="1"/>
  <c r="DG498" i="1"/>
  <c r="DH498" i="1"/>
  <c r="DG482" i="1"/>
  <c r="DH482" i="1"/>
  <c r="DG211" i="1"/>
  <c r="DG203" i="1"/>
  <c r="DG115" i="1"/>
  <c r="DG91" i="1"/>
  <c r="DH483" i="1"/>
  <c r="DH419" i="1"/>
  <c r="DH387" i="1"/>
  <c r="DH355" i="1"/>
  <c r="DH291" i="1"/>
  <c r="DH259" i="1"/>
  <c r="DH227" i="1"/>
  <c r="DH107" i="1"/>
  <c r="DH59" i="1"/>
  <c r="DG490" i="1"/>
  <c r="DH490" i="1"/>
  <c r="DG451" i="1"/>
  <c r="DG435" i="1"/>
  <c r="DG363" i="1"/>
  <c r="DG339" i="1"/>
  <c r="DH480" i="1"/>
  <c r="DH448" i="1"/>
  <c r="DH416" i="1"/>
  <c r="DH384" i="1"/>
  <c r="DH352" i="1"/>
  <c r="DH320" i="1"/>
  <c r="DH288" i="1"/>
  <c r="DH256" i="1"/>
  <c r="DH224" i="1"/>
  <c r="DH163" i="1"/>
  <c r="DH99" i="1"/>
  <c r="DH27" i="1"/>
  <c r="DH389" i="1"/>
  <c r="DH182" i="1"/>
  <c r="DH475" i="1"/>
  <c r="DH443" i="1"/>
  <c r="DH411" i="1"/>
  <c r="DH315" i="1"/>
  <c r="DH251" i="1"/>
  <c r="DH219" i="1"/>
  <c r="DH155" i="1"/>
  <c r="DH91" i="1"/>
  <c r="DH51" i="1"/>
  <c r="DH19" i="1"/>
  <c r="DG195" i="1"/>
  <c r="DG171" i="1"/>
  <c r="DH504" i="1"/>
  <c r="DH472" i="1"/>
  <c r="DH440" i="1"/>
  <c r="DH408" i="1"/>
  <c r="DH376" i="1"/>
  <c r="DH344" i="1"/>
  <c r="DH312" i="1"/>
  <c r="DH280" i="1"/>
  <c r="DH248" i="1"/>
  <c r="DH211" i="1"/>
  <c r="DH147" i="1"/>
  <c r="DH83" i="1"/>
  <c r="DH16" i="1"/>
  <c r="DF190" i="1"/>
  <c r="DG86" i="1"/>
  <c r="DG78" i="1"/>
  <c r="DD22" i="1"/>
  <c r="DG357" i="1"/>
  <c r="DG165" i="1"/>
  <c r="DH501" i="1"/>
  <c r="DH493" i="1"/>
  <c r="DH477" i="1"/>
  <c r="DH469" i="1"/>
  <c r="DH461" i="1"/>
  <c r="DH453" i="1"/>
  <c r="DH445" i="1"/>
  <c r="DH437" i="1"/>
  <c r="DH421" i="1"/>
  <c r="DH413" i="1"/>
  <c r="DH405" i="1"/>
  <c r="DH397" i="1"/>
  <c r="DH373" i="1"/>
  <c r="DH365" i="1"/>
  <c r="DH357" i="1"/>
  <c r="DH317" i="1"/>
  <c r="DH309" i="1"/>
  <c r="DH301" i="1"/>
  <c r="DH293" i="1"/>
  <c r="DH285" i="1"/>
  <c r="DH277" i="1"/>
  <c r="DH269" i="1"/>
  <c r="DH261" i="1"/>
  <c r="DH253" i="1"/>
  <c r="DH245" i="1"/>
  <c r="DH237" i="1"/>
  <c r="DH221" i="1"/>
  <c r="DH213" i="1"/>
  <c r="DH205" i="1"/>
  <c r="DH197" i="1"/>
  <c r="DH189" i="1"/>
  <c r="DH181" i="1"/>
  <c r="DH173" i="1"/>
  <c r="DH157" i="1"/>
  <c r="DH149" i="1"/>
  <c r="DH141" i="1"/>
  <c r="DH133" i="1"/>
  <c r="DH125" i="1"/>
  <c r="DH93" i="1"/>
  <c r="DH77" i="1"/>
  <c r="DH21" i="1"/>
  <c r="DE310" i="1"/>
  <c r="DF303" i="1"/>
  <c r="DE279" i="1"/>
  <c r="DA275" i="1"/>
  <c r="DA227" i="1"/>
  <c r="DE223" i="1"/>
  <c r="DE183" i="1"/>
  <c r="DF143" i="1"/>
  <c r="DE135" i="1"/>
  <c r="DD119" i="1"/>
  <c r="DD87" i="1"/>
  <c r="DA83" i="1"/>
  <c r="DG309" i="1"/>
  <c r="DH500" i="1"/>
  <c r="DH492" i="1"/>
  <c r="DH484" i="1"/>
  <c r="DH476" i="1"/>
  <c r="DH468" i="1"/>
  <c r="DH460" i="1"/>
  <c r="DH444" i="1"/>
  <c r="DH436" i="1"/>
  <c r="DH428" i="1"/>
  <c r="DH420" i="1"/>
  <c r="DH412" i="1"/>
  <c r="DH404" i="1"/>
  <c r="DH396" i="1"/>
  <c r="DH388" i="1"/>
  <c r="DH380" i="1"/>
  <c r="DH372" i="1"/>
  <c r="DH364" i="1"/>
  <c r="DH348" i="1"/>
  <c r="DH340" i="1"/>
  <c r="DH332" i="1"/>
  <c r="DH324" i="1"/>
  <c r="DH316" i="1"/>
  <c r="DH308" i="1"/>
  <c r="DH300" i="1"/>
  <c r="DH292" i="1"/>
  <c r="DH276" i="1"/>
  <c r="DH268" i="1"/>
  <c r="DH260" i="1"/>
  <c r="DH252" i="1"/>
  <c r="DH204" i="1"/>
  <c r="DH52" i="1"/>
  <c r="DH36" i="1"/>
  <c r="DH20" i="1"/>
  <c r="DH12" i="1"/>
  <c r="DE17" i="1"/>
  <c r="DG501" i="1"/>
  <c r="DG293" i="1"/>
  <c r="DH330" i="1"/>
  <c r="DH322" i="1"/>
  <c r="DH314" i="1"/>
  <c r="DH306" i="1"/>
  <c r="DH298" i="1"/>
  <c r="DH290" i="1"/>
  <c r="DH282" i="1"/>
  <c r="DH274" i="1"/>
  <c r="DH266" i="1"/>
  <c r="DH258" i="1"/>
  <c r="DH250" i="1"/>
  <c r="DH242" i="1"/>
  <c r="DH234" i="1"/>
  <c r="DH226" i="1"/>
  <c r="DH218" i="1"/>
  <c r="DH210" i="1"/>
  <c r="DH202" i="1"/>
  <c r="DH194" i="1"/>
  <c r="DH186" i="1"/>
  <c r="DH178" i="1"/>
  <c r="DH170" i="1"/>
  <c r="DH162" i="1"/>
  <c r="DH154" i="1"/>
  <c r="DH146" i="1"/>
  <c r="DH138" i="1"/>
  <c r="DH130" i="1"/>
  <c r="DH122" i="1"/>
  <c r="DH114" i="1"/>
  <c r="DH106" i="1"/>
  <c r="DH98" i="1"/>
  <c r="DH90" i="1"/>
  <c r="DH82" i="1"/>
  <c r="DH74" i="1"/>
  <c r="DH66" i="1"/>
  <c r="DH58" i="1"/>
  <c r="DH50" i="1"/>
  <c r="DH42" i="1"/>
  <c r="DH34" i="1"/>
  <c r="DH26" i="1"/>
  <c r="DH18" i="1"/>
  <c r="DA254" i="1"/>
  <c r="DA190" i="1"/>
  <c r="DH361" i="1"/>
  <c r="DH353" i="1"/>
  <c r="DH345" i="1"/>
  <c r="DH337" i="1"/>
  <c r="DH329" i="1"/>
  <c r="DH321" i="1"/>
  <c r="DH313" i="1"/>
  <c r="DH305" i="1"/>
  <c r="DH297" i="1"/>
  <c r="DH289" i="1"/>
  <c r="DH281" i="1"/>
  <c r="DH273" i="1"/>
  <c r="DH257" i="1"/>
  <c r="DH249" i="1"/>
  <c r="DH241" i="1"/>
  <c r="DH233" i="1"/>
  <c r="DH225" i="1"/>
  <c r="DH209" i="1"/>
  <c r="DH201" i="1"/>
  <c r="DH193" i="1"/>
  <c r="DH185" i="1"/>
  <c r="DH177" i="1"/>
  <c r="DH169" i="1"/>
  <c r="DH161" i="1"/>
  <c r="DH153" i="1"/>
  <c r="DH145" i="1"/>
  <c r="DH137" i="1"/>
  <c r="DH129" i="1"/>
  <c r="DH121" i="1"/>
  <c r="DH113" i="1"/>
  <c r="DH105" i="1"/>
  <c r="DH97" i="1"/>
  <c r="DH89" i="1"/>
  <c r="DH81" i="1"/>
  <c r="DH73" i="1"/>
  <c r="DH65" i="1"/>
  <c r="DH57" i="1"/>
  <c r="DH49" i="1"/>
  <c r="DH41" i="1"/>
  <c r="DH33" i="1"/>
  <c r="DH25" i="1"/>
  <c r="DH17" i="1"/>
  <c r="DH9" i="1"/>
  <c r="DG181" i="1"/>
  <c r="DH503" i="1"/>
  <c r="DH495" i="1"/>
  <c r="DH479" i="1"/>
  <c r="DH471" i="1"/>
  <c r="DH463" i="1"/>
  <c r="DH455" i="1"/>
  <c r="DH447" i="1"/>
  <c r="DH439" i="1"/>
  <c r="DH423" i="1"/>
  <c r="DH415" i="1"/>
  <c r="DH399" i="1"/>
  <c r="DH391" i="1"/>
  <c r="DH383" i="1"/>
  <c r="DH375" i="1"/>
  <c r="DH367" i="1"/>
  <c r="DH359" i="1"/>
  <c r="DH351" i="1"/>
  <c r="DH343" i="1"/>
  <c r="DH327" i="1"/>
  <c r="DH319" i="1"/>
  <c r="DH311" i="1"/>
  <c r="DH303" i="1"/>
  <c r="DH295" i="1"/>
  <c r="DH279" i="1"/>
  <c r="DH271" i="1"/>
  <c r="DH263" i="1"/>
  <c r="DH247" i="1"/>
  <c r="DH239" i="1"/>
  <c r="DH223" i="1"/>
  <c r="DH215" i="1"/>
  <c r="DH199" i="1"/>
  <c r="DH183" i="1"/>
  <c r="DH175" i="1"/>
  <c r="DH167" i="1"/>
  <c r="DH151" i="1"/>
  <c r="DH143" i="1"/>
  <c r="DH135" i="1"/>
  <c r="DH127" i="1"/>
  <c r="DH119" i="1"/>
  <c r="DH111" i="1"/>
  <c r="DH103" i="1"/>
  <c r="DH95" i="1"/>
  <c r="DH87" i="1"/>
  <c r="DH71" i="1"/>
  <c r="DH63" i="1"/>
  <c r="DH55" i="1"/>
  <c r="DH39" i="1"/>
  <c r="DH23" i="1"/>
  <c r="DD452" i="1"/>
  <c r="DG356" i="1"/>
  <c r="DD284" i="1"/>
  <c r="DD429" i="1"/>
  <c r="DD349" i="1"/>
  <c r="DE341" i="1"/>
  <c r="DG85" i="1"/>
  <c r="DG61" i="1"/>
  <c r="DG29" i="1"/>
  <c r="DG173" i="1"/>
  <c r="DH502" i="1"/>
  <c r="DH494" i="1"/>
  <c r="DH486" i="1"/>
  <c r="DH478" i="1"/>
  <c r="DH470" i="1"/>
  <c r="DH462" i="1"/>
  <c r="DH454" i="1"/>
  <c r="DH446" i="1"/>
  <c r="DH438" i="1"/>
  <c r="DH430" i="1"/>
  <c r="DH422" i="1"/>
  <c r="DH414" i="1"/>
  <c r="DH406" i="1"/>
  <c r="DH398" i="1"/>
  <c r="DH382" i="1"/>
  <c r="DH374" i="1"/>
  <c r="DH366" i="1"/>
  <c r="DH358" i="1"/>
  <c r="DH350" i="1"/>
  <c r="DH342" i="1"/>
  <c r="DH326" i="1"/>
  <c r="DH318" i="1"/>
  <c r="DH310" i="1"/>
  <c r="DH302" i="1"/>
  <c r="DH294" i="1"/>
  <c r="DH286" i="1"/>
  <c r="DH278" i="1"/>
  <c r="DH270" i="1"/>
  <c r="DH262" i="1"/>
  <c r="DH254" i="1"/>
  <c r="DH246" i="1"/>
  <c r="DH230" i="1"/>
  <c r="DH222" i="1"/>
  <c r="DH214" i="1"/>
  <c r="DH206" i="1"/>
  <c r="DH198" i="1"/>
  <c r="DH190" i="1"/>
  <c r="DH166" i="1"/>
  <c r="DH158" i="1"/>
  <c r="DH150" i="1"/>
  <c r="DH134" i="1"/>
  <c r="DH126" i="1"/>
  <c r="DH118" i="1"/>
  <c r="DH86" i="1"/>
  <c r="DH78" i="1"/>
  <c r="DH70" i="1"/>
  <c r="DH62" i="1"/>
  <c r="DH54" i="1"/>
  <c r="DH38" i="1"/>
  <c r="DH30" i="1"/>
  <c r="DH22" i="1"/>
  <c r="DH14" i="1"/>
  <c r="DH6" i="1"/>
  <c r="DG437" i="1"/>
  <c r="DG429" i="1"/>
  <c r="DG365" i="1"/>
  <c r="DG101" i="1"/>
  <c r="DG37" i="1"/>
  <c r="DE389" i="1"/>
  <c r="DE381" i="1"/>
  <c r="DE373" i="1"/>
  <c r="DE333" i="1"/>
  <c r="DF325" i="1"/>
  <c r="DE245" i="1"/>
  <c r="DF229" i="1"/>
  <c r="DG477" i="1"/>
  <c r="DG413" i="1"/>
  <c r="DG349" i="1"/>
  <c r="DG285" i="1"/>
  <c r="DG221" i="1"/>
  <c r="DG237" i="1"/>
  <c r="DE390" i="1"/>
  <c r="DD182" i="1"/>
  <c r="DD142" i="1"/>
  <c r="DD102" i="1"/>
  <c r="DG469" i="1"/>
  <c r="DG405" i="1"/>
  <c r="DG341" i="1"/>
  <c r="DG277" i="1"/>
  <c r="DG213" i="1"/>
  <c r="DF191" i="1"/>
  <c r="DE159" i="1"/>
  <c r="DE79" i="1"/>
  <c r="DE31" i="1"/>
  <c r="DG461" i="1"/>
  <c r="DG397" i="1"/>
  <c r="DG333" i="1"/>
  <c r="DG269" i="1"/>
  <c r="DG205" i="1"/>
  <c r="DG453" i="1"/>
  <c r="DG389" i="1"/>
  <c r="DG325" i="1"/>
  <c r="DG261" i="1"/>
  <c r="DG197" i="1"/>
  <c r="DG109" i="1"/>
  <c r="DD487" i="1"/>
  <c r="DF431" i="1"/>
  <c r="DG457" i="1"/>
  <c r="DG265" i="1"/>
  <c r="DG217" i="1"/>
  <c r="DG445" i="1"/>
  <c r="DG381" i="1"/>
  <c r="DG317" i="1"/>
  <c r="DG253" i="1"/>
  <c r="DG189" i="1"/>
  <c r="DF379" i="1"/>
  <c r="DG379" i="1"/>
  <c r="DE7" i="1"/>
  <c r="DG7" i="1"/>
  <c r="DF7" i="1"/>
  <c r="DG143" i="1"/>
  <c r="DG36" i="1"/>
  <c r="DF395" i="1"/>
  <c r="DG395" i="1"/>
  <c r="DF323" i="1"/>
  <c r="DG323" i="1"/>
  <c r="DG484" i="1"/>
  <c r="DG452" i="1"/>
  <c r="DG388" i="1"/>
  <c r="DG324" i="1"/>
  <c r="DG292" i="1"/>
  <c r="DG260" i="1"/>
  <c r="DD15" i="1"/>
  <c r="DG15" i="1"/>
  <c r="DF347" i="1"/>
  <c r="DG347" i="1"/>
  <c r="DG94" i="1"/>
  <c r="DG492" i="1"/>
  <c r="DG460" i="1"/>
  <c r="DG428" i="1"/>
  <c r="DG364" i="1"/>
  <c r="DG332" i="1"/>
  <c r="DG300" i="1"/>
  <c r="DG268" i="1"/>
  <c r="DG11" i="1"/>
  <c r="DG476" i="1"/>
  <c r="DG412" i="1"/>
  <c r="DG380" i="1"/>
  <c r="DG348" i="1"/>
  <c r="DG284" i="1"/>
  <c r="DG252" i="1"/>
  <c r="DG20" i="1"/>
  <c r="DF283" i="1"/>
  <c r="DG283" i="1"/>
  <c r="DF244" i="1"/>
  <c r="DG244" i="1"/>
  <c r="DE236" i="1"/>
  <c r="DG236" i="1"/>
  <c r="DD228" i="1"/>
  <c r="DG228" i="1"/>
  <c r="DD220" i="1"/>
  <c r="DG220" i="1"/>
  <c r="DF212" i="1"/>
  <c r="DG212" i="1"/>
  <c r="DD196" i="1"/>
  <c r="DG196" i="1"/>
  <c r="DF188" i="1"/>
  <c r="DG188" i="1"/>
  <c r="DD180" i="1"/>
  <c r="DG180" i="1"/>
  <c r="AK172" i="1"/>
  <c r="DG172" i="1"/>
  <c r="DD164" i="1"/>
  <c r="DG164" i="1"/>
  <c r="DF156" i="1"/>
  <c r="DG156" i="1"/>
  <c r="DD148" i="1"/>
  <c r="DG148" i="1"/>
  <c r="DF140" i="1"/>
  <c r="DG140" i="1"/>
  <c r="DD132" i="1"/>
  <c r="DG132" i="1"/>
  <c r="DD124" i="1"/>
  <c r="DG124" i="1"/>
  <c r="DD116" i="1"/>
  <c r="DG116" i="1"/>
  <c r="AK108" i="1"/>
  <c r="DG108" i="1"/>
  <c r="DF100" i="1"/>
  <c r="DG100" i="1"/>
  <c r="DD92" i="1"/>
  <c r="DG92" i="1"/>
  <c r="DD84" i="1"/>
  <c r="DG84" i="1"/>
  <c r="DD76" i="1"/>
  <c r="DG76" i="1"/>
  <c r="DD68" i="1"/>
  <c r="DG68" i="1"/>
  <c r="AK60" i="1"/>
  <c r="DG60" i="1"/>
  <c r="AK44" i="1"/>
  <c r="DG44" i="1"/>
  <c r="AK28" i="1"/>
  <c r="DG28" i="1"/>
  <c r="DG500" i="1"/>
  <c r="DG468" i="1"/>
  <c r="DG436" i="1"/>
  <c r="DG404" i="1"/>
  <c r="DG340" i="1"/>
  <c r="DG52" i="1"/>
  <c r="DF79" i="1"/>
  <c r="DE334" i="1"/>
  <c r="DE238" i="1"/>
  <c r="DF174" i="1"/>
  <c r="DD110" i="1"/>
  <c r="DD46" i="1"/>
  <c r="DF63" i="1"/>
  <c r="DG210" i="1"/>
  <c r="DG202" i="1"/>
  <c r="DG194" i="1"/>
  <c r="DG186" i="1"/>
  <c r="DG178" i="1"/>
  <c r="DG170" i="1"/>
  <c r="DG162" i="1"/>
  <c r="DG154" i="1"/>
  <c r="DG146" i="1"/>
  <c r="DG130" i="1"/>
  <c r="DG122" i="1"/>
  <c r="DG106" i="1"/>
  <c r="DG98" i="1"/>
  <c r="DG90" i="1"/>
  <c r="DG82" i="1"/>
  <c r="DG74" i="1"/>
  <c r="DG58" i="1"/>
  <c r="DG50" i="1"/>
  <c r="DG42" i="1"/>
  <c r="DG26" i="1"/>
  <c r="DG18" i="1"/>
  <c r="DD207" i="1"/>
  <c r="DE47" i="1"/>
  <c r="DG209" i="1"/>
  <c r="DG201" i="1"/>
  <c r="DG193" i="1"/>
  <c r="DG185" i="1"/>
  <c r="DG177" i="1"/>
  <c r="DG169" i="1"/>
  <c r="DG161" i="1"/>
  <c r="DG153" i="1"/>
  <c r="DG145" i="1"/>
  <c r="DG137" i="1"/>
  <c r="DG129" i="1"/>
  <c r="DG121" i="1"/>
  <c r="DG113" i="1"/>
  <c r="DG105" i="1"/>
  <c r="DG97" i="1"/>
  <c r="DG89" i="1"/>
  <c r="DG81" i="1"/>
  <c r="DG73" i="1"/>
  <c r="DG65" i="1"/>
  <c r="DG57" i="1"/>
  <c r="DG49" i="1"/>
  <c r="DG41" i="1"/>
  <c r="DG33" i="1"/>
  <c r="DG25" i="1"/>
  <c r="DG17" i="1"/>
  <c r="DG9" i="1"/>
  <c r="DF407" i="1"/>
  <c r="DE335" i="1"/>
  <c r="DE287" i="1"/>
  <c r="DF255" i="1"/>
  <c r="DD231" i="1"/>
  <c r="DD168" i="1"/>
  <c r="DD128" i="1"/>
  <c r="DD96" i="1"/>
  <c r="DG200" i="1"/>
  <c r="DG192" i="1"/>
  <c r="DG184" i="1"/>
  <c r="DG176" i="1"/>
  <c r="DG168" i="1"/>
  <c r="DG160" i="1"/>
  <c r="DG152" i="1"/>
  <c r="DG144" i="1"/>
  <c r="DG136" i="1"/>
  <c r="DG128" i="1"/>
  <c r="DG120" i="1"/>
  <c r="DG112" i="1"/>
  <c r="DG104" i="1"/>
  <c r="DG96" i="1"/>
  <c r="DG88" i="1"/>
  <c r="DG80" i="1"/>
  <c r="DG72" i="1"/>
  <c r="DG64" i="1"/>
  <c r="DG56" i="1"/>
  <c r="DG48" i="1"/>
  <c r="DG32" i="1"/>
  <c r="DG24" i="1"/>
  <c r="DF207" i="1"/>
  <c r="DG503" i="1"/>
  <c r="DG495" i="1"/>
  <c r="DG487" i="1"/>
  <c r="DG479" i="1"/>
  <c r="DG471" i="1"/>
  <c r="DG463" i="1"/>
  <c r="DG447" i="1"/>
  <c r="DG431" i="1"/>
  <c r="DG423" i="1"/>
  <c r="DG415" i="1"/>
  <c r="DG407" i="1"/>
  <c r="DG399" i="1"/>
  <c r="DG391" i="1"/>
  <c r="DG383" i="1"/>
  <c r="DG375" i="1"/>
  <c r="DG367" i="1"/>
  <c r="DG359" i="1"/>
  <c r="DG351" i="1"/>
  <c r="DG343" i="1"/>
  <c r="DG335" i="1"/>
  <c r="DG327" i="1"/>
  <c r="DG319" i="1"/>
  <c r="DG311" i="1"/>
  <c r="DG303" i="1"/>
  <c r="DG295" i="1"/>
  <c r="DG287" i="1"/>
  <c r="DG279" i="1"/>
  <c r="DG271" i="1"/>
  <c r="DG263" i="1"/>
  <c r="DG255" i="1"/>
  <c r="DG247" i="1"/>
  <c r="DG239" i="1"/>
  <c r="DG231" i="1"/>
  <c r="DG223" i="1"/>
  <c r="DG215" i="1"/>
  <c r="DG207" i="1"/>
  <c r="DG199" i="1"/>
  <c r="DG191" i="1"/>
  <c r="DG183" i="1"/>
  <c r="DG175" i="1"/>
  <c r="DG167" i="1"/>
  <c r="DG159" i="1"/>
  <c r="DG151" i="1"/>
  <c r="DG135" i="1"/>
  <c r="DG127" i="1"/>
  <c r="DG119" i="1"/>
  <c r="DG111" i="1"/>
  <c r="DG103" i="1"/>
  <c r="DG95" i="1"/>
  <c r="DG87" i="1"/>
  <c r="DG79" i="1"/>
  <c r="DG71" i="1"/>
  <c r="DG55" i="1"/>
  <c r="DG47" i="1"/>
  <c r="DG39" i="1"/>
  <c r="DG31" i="1"/>
  <c r="DG23" i="1"/>
  <c r="DE455" i="1"/>
  <c r="DD439" i="1"/>
  <c r="DA366" i="1"/>
  <c r="DE138" i="1"/>
  <c r="DE114" i="1"/>
  <c r="DD66" i="1"/>
  <c r="DE34" i="1"/>
  <c r="DG502" i="1"/>
  <c r="DG494" i="1"/>
  <c r="DG486" i="1"/>
  <c r="DG478" i="1"/>
  <c r="DG470" i="1"/>
  <c r="DG462" i="1"/>
  <c r="DG454" i="1"/>
  <c r="DG446" i="1"/>
  <c r="DG438" i="1"/>
  <c r="DG430" i="1"/>
  <c r="DG422" i="1"/>
  <c r="DG414" i="1"/>
  <c r="DG406" i="1"/>
  <c r="DG398" i="1"/>
  <c r="DG390" i="1"/>
  <c r="DG382" i="1"/>
  <c r="DG374" i="1"/>
  <c r="DG366" i="1"/>
  <c r="DG358" i="1"/>
  <c r="DG350" i="1"/>
  <c r="DG342" i="1"/>
  <c r="DG334" i="1"/>
  <c r="DG326" i="1"/>
  <c r="DG318" i="1"/>
  <c r="DG310" i="1"/>
  <c r="DG302" i="1"/>
  <c r="DG294" i="1"/>
  <c r="DG286" i="1"/>
  <c r="DG278" i="1"/>
  <c r="DG254" i="1"/>
  <c r="DG246" i="1"/>
  <c r="DG238" i="1"/>
  <c r="DG222" i="1"/>
  <c r="DG214" i="1"/>
  <c r="DG206" i="1"/>
  <c r="DG198" i="1"/>
  <c r="DG190" i="1"/>
  <c r="DG182" i="1"/>
  <c r="DG174" i="1"/>
  <c r="DG166" i="1"/>
  <c r="DG158" i="1"/>
  <c r="DG150" i="1"/>
  <c r="DG142" i="1"/>
  <c r="DG134" i="1"/>
  <c r="DG126" i="1"/>
  <c r="DG118" i="1"/>
  <c r="DG110" i="1"/>
  <c r="DG102" i="1"/>
  <c r="DG70" i="1"/>
  <c r="DG62" i="1"/>
  <c r="DG54" i="1"/>
  <c r="DG46" i="1"/>
  <c r="DG30" i="1"/>
  <c r="DG22" i="1"/>
  <c r="DD493" i="1"/>
  <c r="DE485" i="1"/>
  <c r="DD421" i="1"/>
  <c r="DF375" i="1"/>
  <c r="DF94" i="1"/>
  <c r="DD86" i="1"/>
  <c r="DF78" i="1"/>
  <c r="DE38" i="1"/>
  <c r="DF343" i="1"/>
  <c r="DF183" i="1"/>
  <c r="DF119" i="1"/>
  <c r="DF55" i="1"/>
  <c r="DA427" i="1"/>
  <c r="DA139" i="1"/>
  <c r="DF311" i="1"/>
  <c r="DF175" i="1"/>
  <c r="DF111" i="1"/>
  <c r="DF47" i="1"/>
  <c r="DF279" i="1"/>
  <c r="DF167" i="1"/>
  <c r="DF39" i="1"/>
  <c r="DF503" i="1"/>
  <c r="DF247" i="1"/>
  <c r="DF159" i="1"/>
  <c r="DF31" i="1"/>
  <c r="DF471" i="1"/>
  <c r="DF215" i="1"/>
  <c r="DF151" i="1"/>
  <c r="DF87" i="1"/>
  <c r="DF23" i="1"/>
  <c r="DF475" i="1"/>
  <c r="DF467" i="1"/>
  <c r="DF267" i="1"/>
  <c r="DF439" i="1"/>
  <c r="CZ504" i="1"/>
  <c r="DD444" i="1"/>
  <c r="DF420" i="1"/>
  <c r="DD396" i="1"/>
  <c r="DF316" i="1"/>
  <c r="DF308" i="1"/>
  <c r="DD276" i="1"/>
  <c r="DD204" i="1"/>
  <c r="DF199" i="1"/>
  <c r="DF135" i="1"/>
  <c r="DF71" i="1"/>
  <c r="DD8" i="1"/>
  <c r="DF8" i="1"/>
  <c r="DE489" i="1"/>
  <c r="DF489" i="1"/>
  <c r="DE481" i="1"/>
  <c r="DF481" i="1"/>
  <c r="DE473" i="1"/>
  <c r="DF473" i="1"/>
  <c r="DE465" i="1"/>
  <c r="DF465" i="1"/>
  <c r="DD457" i="1"/>
  <c r="DF457" i="1"/>
  <c r="DD449" i="1"/>
  <c r="DF449" i="1"/>
  <c r="DD441" i="1"/>
  <c r="DF441" i="1"/>
  <c r="DE433" i="1"/>
  <c r="DF433" i="1"/>
  <c r="DE425" i="1"/>
  <c r="DF425" i="1"/>
  <c r="DE417" i="1"/>
  <c r="DF417" i="1"/>
  <c r="AK409" i="1"/>
  <c r="DF409" i="1"/>
  <c r="DE401" i="1"/>
  <c r="DF401" i="1"/>
  <c r="AK393" i="1"/>
  <c r="DF393" i="1"/>
  <c r="DD385" i="1"/>
  <c r="DF385" i="1"/>
  <c r="AK377" i="1"/>
  <c r="DF377" i="1"/>
  <c r="DD369" i="1"/>
  <c r="DF369" i="1"/>
  <c r="AK361" i="1"/>
  <c r="DF361" i="1"/>
  <c r="DE353" i="1"/>
  <c r="DF353" i="1"/>
  <c r="AK345" i="1"/>
  <c r="DF345" i="1"/>
  <c r="DE337" i="1"/>
  <c r="DF337" i="1"/>
  <c r="DE329" i="1"/>
  <c r="DF329" i="1"/>
  <c r="DD321" i="1"/>
  <c r="DF321" i="1"/>
  <c r="DD313" i="1"/>
  <c r="DF313" i="1"/>
  <c r="DE305" i="1"/>
  <c r="DF305" i="1"/>
  <c r="DD297" i="1"/>
  <c r="DF297" i="1"/>
  <c r="DD289" i="1"/>
  <c r="DF289" i="1"/>
  <c r="AK281" i="1"/>
  <c r="DF281" i="1"/>
  <c r="AK273" i="1"/>
  <c r="DF273" i="1"/>
  <c r="AK265" i="1"/>
  <c r="DF265" i="1"/>
  <c r="AK257" i="1"/>
  <c r="DF257" i="1"/>
  <c r="AK249" i="1"/>
  <c r="DF249" i="1"/>
  <c r="AK241" i="1"/>
  <c r="DF241" i="1"/>
  <c r="AK233" i="1"/>
  <c r="DF233" i="1"/>
  <c r="AK225" i="1"/>
  <c r="DF225" i="1"/>
  <c r="AK217" i="1"/>
  <c r="DF217" i="1"/>
  <c r="DD13" i="1"/>
  <c r="DF13" i="1"/>
  <c r="DE498" i="1"/>
  <c r="DF498" i="1"/>
  <c r="DE490" i="1"/>
  <c r="DF490" i="1"/>
  <c r="DE482" i="1"/>
  <c r="DF482" i="1"/>
  <c r="DE474" i="1"/>
  <c r="DF474" i="1"/>
  <c r="DE466" i="1"/>
  <c r="DF466" i="1"/>
  <c r="DE458" i="1"/>
  <c r="DF458" i="1"/>
  <c r="DE450" i="1"/>
  <c r="DF450" i="1"/>
  <c r="DE442" i="1"/>
  <c r="DF442" i="1"/>
  <c r="DE434" i="1"/>
  <c r="DF434" i="1"/>
  <c r="DE426" i="1"/>
  <c r="DF426" i="1"/>
  <c r="DD418" i="1"/>
  <c r="DF418" i="1"/>
  <c r="DD410" i="1"/>
  <c r="DF410" i="1"/>
  <c r="DE402" i="1"/>
  <c r="DF402" i="1"/>
  <c r="DE394" i="1"/>
  <c r="DF394" i="1"/>
  <c r="DD386" i="1"/>
  <c r="DF386" i="1"/>
  <c r="DD378" i="1"/>
  <c r="DF378" i="1"/>
  <c r="DE370" i="1"/>
  <c r="DF370" i="1"/>
  <c r="DE362" i="1"/>
  <c r="DF362" i="1"/>
  <c r="DD354" i="1"/>
  <c r="DF354" i="1"/>
  <c r="DA350" i="1"/>
  <c r="DD346" i="1"/>
  <c r="DF346" i="1"/>
  <c r="DD338" i="1"/>
  <c r="DF338" i="1"/>
  <c r="DD330" i="1"/>
  <c r="DF330" i="1"/>
  <c r="DD322" i="1"/>
  <c r="DF322" i="1"/>
  <c r="DE314" i="1"/>
  <c r="DF314" i="1"/>
  <c r="DE306" i="1"/>
  <c r="DF306" i="1"/>
  <c r="DE298" i="1"/>
  <c r="DF298" i="1"/>
  <c r="DE290" i="1"/>
  <c r="DF290" i="1"/>
  <c r="DD282" i="1"/>
  <c r="DF282" i="1"/>
  <c r="DD274" i="1"/>
  <c r="DF274" i="1"/>
  <c r="DD266" i="1"/>
  <c r="DF266" i="1"/>
  <c r="DE258" i="1"/>
  <c r="DF258" i="1"/>
  <c r="DD250" i="1"/>
  <c r="DF250" i="1"/>
  <c r="DE242" i="1"/>
  <c r="DF242" i="1"/>
  <c r="DD234" i="1"/>
  <c r="DF234" i="1"/>
  <c r="DE226" i="1"/>
  <c r="DF226" i="1"/>
  <c r="DE218" i="1"/>
  <c r="DF218" i="1"/>
  <c r="DF469" i="1"/>
  <c r="DF437" i="1"/>
  <c r="DF405" i="1"/>
  <c r="DF373" i="1"/>
  <c r="DF341" i="1"/>
  <c r="DF309" i="1"/>
  <c r="DF277" i="1"/>
  <c r="DF245" i="1"/>
  <c r="DF213" i="1"/>
  <c r="DF181" i="1"/>
  <c r="DE499" i="1"/>
  <c r="DF499" i="1"/>
  <c r="DD491" i="1"/>
  <c r="DF491" i="1"/>
  <c r="DD435" i="1"/>
  <c r="DF435" i="1"/>
  <c r="AK419" i="1"/>
  <c r="DF419" i="1"/>
  <c r="DD411" i="1"/>
  <c r="DF411" i="1"/>
  <c r="DD363" i="1"/>
  <c r="DF363" i="1"/>
  <c r="DD315" i="1"/>
  <c r="DF315" i="1"/>
  <c r="DD307" i="1"/>
  <c r="DF307" i="1"/>
  <c r="DE299" i="1"/>
  <c r="DF299" i="1"/>
  <c r="DE291" i="1"/>
  <c r="DF291" i="1"/>
  <c r="DD259" i="1"/>
  <c r="DF259" i="1"/>
  <c r="DD243" i="1"/>
  <c r="DF243" i="1"/>
  <c r="DE227" i="1"/>
  <c r="DF227" i="1"/>
  <c r="DE203" i="1"/>
  <c r="DF203" i="1"/>
  <c r="DD179" i="1"/>
  <c r="DF179" i="1"/>
  <c r="DE155" i="1"/>
  <c r="DF155" i="1"/>
  <c r="DE147" i="1"/>
  <c r="DF147" i="1"/>
  <c r="DE139" i="1"/>
  <c r="DF139" i="1"/>
  <c r="DE131" i="1"/>
  <c r="DF131" i="1"/>
  <c r="AK123" i="1"/>
  <c r="DF123" i="1"/>
  <c r="DE115" i="1"/>
  <c r="DF115" i="1"/>
  <c r="DE107" i="1"/>
  <c r="DF107" i="1"/>
  <c r="DE99" i="1"/>
  <c r="DF99" i="1"/>
  <c r="DE91" i="1"/>
  <c r="DF91" i="1"/>
  <c r="DD83" i="1"/>
  <c r="DF83" i="1"/>
  <c r="AK75" i="1"/>
  <c r="DF75" i="1"/>
  <c r="DD67" i="1"/>
  <c r="DF67" i="1"/>
  <c r="DD59" i="1"/>
  <c r="DF59" i="1"/>
  <c r="DE51" i="1"/>
  <c r="DF51" i="1"/>
  <c r="DD43" i="1"/>
  <c r="DF43" i="1"/>
  <c r="DD35" i="1"/>
  <c r="DF35" i="1"/>
  <c r="DD27" i="1"/>
  <c r="DF27" i="1"/>
  <c r="DE19" i="1"/>
  <c r="DF19" i="1"/>
  <c r="DF463" i="1"/>
  <c r="DF367" i="1"/>
  <c r="DF335" i="1"/>
  <c r="DE16" i="1"/>
  <c r="DF16" i="1"/>
  <c r="DE497" i="1"/>
  <c r="DF497" i="1"/>
  <c r="DD10" i="1"/>
  <c r="DF10" i="1"/>
  <c r="DE483" i="1"/>
  <c r="DF483" i="1"/>
  <c r="DD459" i="1"/>
  <c r="DF459" i="1"/>
  <c r="DE451" i="1"/>
  <c r="DF451" i="1"/>
  <c r="DD443" i="1"/>
  <c r="DF443" i="1"/>
  <c r="DE427" i="1"/>
  <c r="DF427" i="1"/>
  <c r="DE403" i="1"/>
  <c r="DF403" i="1"/>
  <c r="DE387" i="1"/>
  <c r="DF387" i="1"/>
  <c r="DE371" i="1"/>
  <c r="DF371" i="1"/>
  <c r="DE355" i="1"/>
  <c r="DF355" i="1"/>
  <c r="DD339" i="1"/>
  <c r="DF339" i="1"/>
  <c r="DE331" i="1"/>
  <c r="DF331" i="1"/>
  <c r="DE275" i="1"/>
  <c r="DF275" i="1"/>
  <c r="AK251" i="1"/>
  <c r="DF251" i="1"/>
  <c r="DE235" i="1"/>
  <c r="DF235" i="1"/>
  <c r="DD219" i="1"/>
  <c r="DF219" i="1"/>
  <c r="DE211" i="1"/>
  <c r="DF211" i="1"/>
  <c r="DE195" i="1"/>
  <c r="DF195" i="1"/>
  <c r="AK187" i="1"/>
  <c r="DF187" i="1"/>
  <c r="DE171" i="1"/>
  <c r="DF171" i="1"/>
  <c r="DD163" i="1"/>
  <c r="DF163" i="1"/>
  <c r="DF372" i="1"/>
  <c r="DF356" i="1"/>
  <c r="DF493" i="1"/>
  <c r="DF461" i="1"/>
  <c r="DF429" i="1"/>
  <c r="DF397" i="1"/>
  <c r="DF365" i="1"/>
  <c r="DF333" i="1"/>
  <c r="DF269" i="1"/>
  <c r="DF205" i="1"/>
  <c r="DF173" i="1"/>
  <c r="DF487" i="1"/>
  <c r="DF455" i="1"/>
  <c r="DF423" i="1"/>
  <c r="DF359" i="1"/>
  <c r="DF327" i="1"/>
  <c r="DF295" i="1"/>
  <c r="DF231" i="1"/>
  <c r="DE12" i="1"/>
  <c r="DF12" i="1"/>
  <c r="AK157" i="1"/>
  <c r="DF157" i="1"/>
  <c r="DE45" i="1"/>
  <c r="DF45" i="1"/>
  <c r="DE37" i="1"/>
  <c r="DF37" i="1"/>
  <c r="DD29" i="1"/>
  <c r="DF29" i="1"/>
  <c r="DE21" i="1"/>
  <c r="DF21" i="1"/>
  <c r="DF485" i="1"/>
  <c r="DF453" i="1"/>
  <c r="DF421" i="1"/>
  <c r="DF389" i="1"/>
  <c r="DF357" i="1"/>
  <c r="DF293" i="1"/>
  <c r="DF197" i="1"/>
  <c r="AK85" i="1"/>
  <c r="DF85" i="1"/>
  <c r="DE53" i="1"/>
  <c r="DF53" i="1"/>
  <c r="DF479" i="1"/>
  <c r="DF447" i="1"/>
  <c r="DF415" i="1"/>
  <c r="DF351" i="1"/>
  <c r="DF319" i="1"/>
  <c r="DF287" i="1"/>
  <c r="DF223" i="1"/>
  <c r="AK165" i="1"/>
  <c r="DF165" i="1"/>
  <c r="AK149" i="1"/>
  <c r="DF149" i="1"/>
  <c r="AK141" i="1"/>
  <c r="DF141" i="1"/>
  <c r="AK133" i="1"/>
  <c r="DF133" i="1"/>
  <c r="AK125" i="1"/>
  <c r="DF125" i="1"/>
  <c r="AK117" i="1"/>
  <c r="DF117" i="1"/>
  <c r="AK109" i="1"/>
  <c r="DF109" i="1"/>
  <c r="AK101" i="1"/>
  <c r="DF101" i="1"/>
  <c r="AK93" i="1"/>
  <c r="DF93" i="1"/>
  <c r="AK77" i="1"/>
  <c r="DF77" i="1"/>
  <c r="AK69" i="1"/>
  <c r="DF69" i="1"/>
  <c r="AK61" i="1"/>
  <c r="DF61" i="1"/>
  <c r="DD14" i="1"/>
  <c r="DF14" i="1"/>
  <c r="DD6" i="1"/>
  <c r="DF6" i="1"/>
  <c r="DD11" i="1"/>
  <c r="DF11" i="1"/>
  <c r="M264" i="1"/>
  <c r="DF15" i="1"/>
  <c r="DD504" i="1"/>
  <c r="DF504" i="1"/>
  <c r="DD496" i="1"/>
  <c r="DF496" i="1"/>
  <c r="DE488" i="1"/>
  <c r="DF488" i="1"/>
  <c r="DD480" i="1"/>
  <c r="DF480" i="1"/>
  <c r="DE472" i="1"/>
  <c r="DF472" i="1"/>
  <c r="DD464" i="1"/>
  <c r="DF464" i="1"/>
  <c r="DE456" i="1"/>
  <c r="DF456" i="1"/>
  <c r="DE448" i="1"/>
  <c r="DF448" i="1"/>
  <c r="DE440" i="1"/>
  <c r="DF440" i="1"/>
  <c r="DE432" i="1"/>
  <c r="DF432" i="1"/>
  <c r="DD424" i="1"/>
  <c r="DF424" i="1"/>
  <c r="DA420" i="1"/>
  <c r="DD416" i="1"/>
  <c r="DF416" i="1"/>
  <c r="DD408" i="1"/>
  <c r="DF408" i="1"/>
  <c r="DE400" i="1"/>
  <c r="DF400" i="1"/>
  <c r="DE392" i="1"/>
  <c r="DF392" i="1"/>
  <c r="DD384" i="1"/>
  <c r="DF384" i="1"/>
  <c r="DE376" i="1"/>
  <c r="DF376" i="1"/>
  <c r="DD368" i="1"/>
  <c r="DF368" i="1"/>
  <c r="DD360" i="1"/>
  <c r="DF360" i="1"/>
  <c r="DD352" i="1"/>
  <c r="DF352" i="1"/>
  <c r="DD344" i="1"/>
  <c r="DF344" i="1"/>
  <c r="DE336" i="1"/>
  <c r="DF336" i="1"/>
  <c r="DE328" i="1"/>
  <c r="DF328" i="1"/>
  <c r="DE320" i="1"/>
  <c r="DF320" i="1"/>
  <c r="DE312" i="1"/>
  <c r="DF312" i="1"/>
  <c r="DE304" i="1"/>
  <c r="DF304" i="1"/>
  <c r="DE296" i="1"/>
  <c r="DF296" i="1"/>
  <c r="DE288" i="1"/>
  <c r="DF288" i="1"/>
  <c r="DD280" i="1"/>
  <c r="DF280" i="1"/>
  <c r="DE272" i="1"/>
  <c r="DF272" i="1"/>
  <c r="DD264" i="1"/>
  <c r="DF264" i="1"/>
  <c r="DE256" i="1"/>
  <c r="DF256" i="1"/>
  <c r="DA252" i="1"/>
  <c r="DD248" i="1"/>
  <c r="DF248" i="1"/>
  <c r="DD240" i="1"/>
  <c r="DF240" i="1"/>
  <c r="CY236" i="1"/>
  <c r="DE232" i="1"/>
  <c r="DF232" i="1"/>
  <c r="DD224" i="1"/>
  <c r="DF224" i="1"/>
  <c r="DD216" i="1"/>
  <c r="DF216" i="1"/>
  <c r="DE208" i="1"/>
  <c r="DF208" i="1"/>
  <c r="DF445" i="1"/>
  <c r="DF413" i="1"/>
  <c r="DF381" i="1"/>
  <c r="DF349" i="1"/>
  <c r="DF317" i="1"/>
  <c r="DF285" i="1"/>
  <c r="DF253" i="1"/>
  <c r="DF189" i="1"/>
  <c r="DD270" i="1"/>
  <c r="DE262" i="1"/>
  <c r="DD230" i="1"/>
  <c r="DF500" i="1"/>
  <c r="DF492" i="1"/>
  <c r="DF476" i="1"/>
  <c r="DF460" i="1"/>
  <c r="DF452" i="1"/>
  <c r="DF444" i="1"/>
  <c r="DF436" i="1"/>
  <c r="DF428" i="1"/>
  <c r="DF412" i="1"/>
  <c r="DF404" i="1"/>
  <c r="DF396" i="1"/>
  <c r="DF340" i="1"/>
  <c r="DF332" i="1"/>
  <c r="DF324" i="1"/>
  <c r="DF300" i="1"/>
  <c r="DF292" i="1"/>
  <c r="DF284" i="1"/>
  <c r="DF276" i="1"/>
  <c r="DF268" i="1"/>
  <c r="DF260" i="1"/>
  <c r="DF236" i="1"/>
  <c r="DF228" i="1"/>
  <c r="DF220" i="1"/>
  <c r="DF204" i="1"/>
  <c r="DF196" i="1"/>
  <c r="DF180" i="1"/>
  <c r="DF172" i="1"/>
  <c r="DF164" i="1"/>
  <c r="DF148" i="1"/>
  <c r="DF132" i="1"/>
  <c r="DF124" i="1"/>
  <c r="DF116" i="1"/>
  <c r="DF108" i="1"/>
  <c r="DF92" i="1"/>
  <c r="DF84" i="1"/>
  <c r="DF76" i="1"/>
  <c r="DF68" i="1"/>
  <c r="DF60" i="1"/>
  <c r="DF52" i="1"/>
  <c r="DF44" i="1"/>
  <c r="DF28" i="1"/>
  <c r="DF20" i="1"/>
  <c r="DE40" i="1"/>
  <c r="DF210" i="1"/>
  <c r="DF202" i="1"/>
  <c r="DF194" i="1"/>
  <c r="DF186" i="1"/>
  <c r="DF178" i="1"/>
  <c r="DF170" i="1"/>
  <c r="DF162" i="1"/>
  <c r="DF154" i="1"/>
  <c r="DF146" i="1"/>
  <c r="DF138" i="1"/>
  <c r="DF122" i="1"/>
  <c r="DF114" i="1"/>
  <c r="DF106" i="1"/>
  <c r="DF98" i="1"/>
  <c r="DF90" i="1"/>
  <c r="DF82" i="1"/>
  <c r="DF74" i="1"/>
  <c r="DF66" i="1"/>
  <c r="DF58" i="1"/>
  <c r="DF50" i="1"/>
  <c r="DF42" i="1"/>
  <c r="DF34" i="1"/>
  <c r="DF26" i="1"/>
  <c r="DF18" i="1"/>
  <c r="DE41" i="1"/>
  <c r="DF209" i="1"/>
  <c r="DF201" i="1"/>
  <c r="DF193" i="1"/>
  <c r="DF185" i="1"/>
  <c r="DF177" i="1"/>
  <c r="DF169" i="1"/>
  <c r="DF161" i="1"/>
  <c r="DF153" i="1"/>
  <c r="DF145" i="1"/>
  <c r="DF137" i="1"/>
  <c r="DF129" i="1"/>
  <c r="DF121" i="1"/>
  <c r="DF113" i="1"/>
  <c r="DF105" i="1"/>
  <c r="DF97" i="1"/>
  <c r="DF89" i="1"/>
  <c r="DF81" i="1"/>
  <c r="DF73" i="1"/>
  <c r="DF65" i="1"/>
  <c r="DF57" i="1"/>
  <c r="DF49" i="1"/>
  <c r="DF33" i="1"/>
  <c r="DF25" i="1"/>
  <c r="DF17" i="1"/>
  <c r="DF9" i="1"/>
  <c r="DD130" i="1"/>
  <c r="DF200" i="1"/>
  <c r="DF192" i="1"/>
  <c r="DF184" i="1"/>
  <c r="DF176" i="1"/>
  <c r="DF168" i="1"/>
  <c r="DF160" i="1"/>
  <c r="DF152" i="1"/>
  <c r="DF144" i="1"/>
  <c r="DF136" i="1"/>
  <c r="DF128" i="1"/>
  <c r="DF120" i="1"/>
  <c r="DF112" i="1"/>
  <c r="DF104" i="1"/>
  <c r="DF96" i="1"/>
  <c r="DF88" i="1"/>
  <c r="DF80" i="1"/>
  <c r="DF72" i="1"/>
  <c r="DF64" i="1"/>
  <c r="DF56" i="1"/>
  <c r="DF48" i="1"/>
  <c r="DF40" i="1"/>
  <c r="DF32" i="1"/>
  <c r="DF24" i="1"/>
  <c r="DD468" i="1"/>
  <c r="DD420" i="1"/>
  <c r="DD388" i="1"/>
  <c r="DD348" i="1"/>
  <c r="DA312" i="1"/>
  <c r="DE308" i="1"/>
  <c r="DD252" i="1"/>
  <c r="DD188" i="1"/>
  <c r="DD140" i="1"/>
  <c r="DF502" i="1"/>
  <c r="DF494" i="1"/>
  <c r="DF486" i="1"/>
  <c r="DF478" i="1"/>
  <c r="DF470" i="1"/>
  <c r="DF462" i="1"/>
  <c r="DF454" i="1"/>
  <c r="DF446" i="1"/>
  <c r="DF438" i="1"/>
  <c r="DF430" i="1"/>
  <c r="DF422" i="1"/>
  <c r="DF414" i="1"/>
  <c r="DF406" i="1"/>
  <c r="DF398" i="1"/>
  <c r="DF390" i="1"/>
  <c r="DF382" i="1"/>
  <c r="DF374" i="1"/>
  <c r="DF366" i="1"/>
  <c r="DF350" i="1"/>
  <c r="DF342" i="1"/>
  <c r="DF334" i="1"/>
  <c r="DF326" i="1"/>
  <c r="DF318" i="1"/>
  <c r="DF310" i="1"/>
  <c r="DF302" i="1"/>
  <c r="DF294" i="1"/>
  <c r="DF286" i="1"/>
  <c r="DF278" i="1"/>
  <c r="DF270" i="1"/>
  <c r="DF262" i="1"/>
  <c r="DF254" i="1"/>
  <c r="DF246" i="1"/>
  <c r="DF238" i="1"/>
  <c r="DF230" i="1"/>
  <c r="DF222" i="1"/>
  <c r="DF206" i="1"/>
  <c r="DF198" i="1"/>
  <c r="DF182" i="1"/>
  <c r="DF166" i="1"/>
  <c r="DF158" i="1"/>
  <c r="DF150" i="1"/>
  <c r="DF142" i="1"/>
  <c r="DF134" i="1"/>
  <c r="DF126" i="1"/>
  <c r="DF118" i="1"/>
  <c r="DF110" i="1"/>
  <c r="DF102" i="1"/>
  <c r="DF86" i="1"/>
  <c r="DF70" i="1"/>
  <c r="DF62" i="1"/>
  <c r="DF54" i="1"/>
  <c r="DF46" i="1"/>
  <c r="DF38" i="1"/>
  <c r="DF30" i="1"/>
  <c r="DF22" i="1"/>
  <c r="DE441" i="1"/>
  <c r="DE377" i="1"/>
  <c r="DE313" i="1"/>
  <c r="DE249" i="1"/>
  <c r="DE185" i="1"/>
  <c r="DE121" i="1"/>
  <c r="DE57" i="1"/>
  <c r="DA93" i="1"/>
  <c r="DE369" i="1"/>
  <c r="DE241" i="1"/>
  <c r="DE177" i="1"/>
  <c r="DE113" i="1"/>
  <c r="DE49" i="1"/>
  <c r="DE361" i="1"/>
  <c r="DE233" i="1"/>
  <c r="DD323" i="1"/>
  <c r="DE283" i="1"/>
  <c r="DD267" i="1"/>
  <c r="DE289" i="1"/>
  <c r="DE225" i="1"/>
  <c r="DE161" i="1"/>
  <c r="DE97" i="1"/>
  <c r="DE33" i="1"/>
  <c r="DE297" i="1"/>
  <c r="DD156" i="1"/>
  <c r="DD100" i="1"/>
  <c r="DD36" i="1"/>
  <c r="DE409" i="1"/>
  <c r="DE345" i="1"/>
  <c r="DE281" i="1"/>
  <c r="DE217" i="1"/>
  <c r="DE153" i="1"/>
  <c r="DE89" i="1"/>
  <c r="DE25" i="1"/>
  <c r="DE105" i="1"/>
  <c r="DE395" i="1"/>
  <c r="DE347" i="1"/>
  <c r="DD380" i="1"/>
  <c r="DD372" i="1"/>
  <c r="DD364" i="1"/>
  <c r="DD356" i="1"/>
  <c r="DD316" i="1"/>
  <c r="DD244" i="1"/>
  <c r="DD212" i="1"/>
  <c r="DD501" i="1"/>
  <c r="DE477" i="1"/>
  <c r="DE325" i="1"/>
  <c r="DE301" i="1"/>
  <c r="DE261" i="1"/>
  <c r="DE237" i="1"/>
  <c r="DE229" i="1"/>
  <c r="DE221" i="1"/>
  <c r="DA57" i="1"/>
  <c r="DE273" i="1"/>
  <c r="DE209" i="1"/>
  <c r="DE145" i="1"/>
  <c r="DE81" i="1"/>
  <c r="DE457" i="1"/>
  <c r="DE393" i="1"/>
  <c r="DE265" i="1"/>
  <c r="DE201" i="1"/>
  <c r="DE137" i="1"/>
  <c r="DE9" i="1"/>
  <c r="DE169" i="1"/>
  <c r="DE475" i="1"/>
  <c r="DE467" i="1"/>
  <c r="DD379" i="1"/>
  <c r="DD484" i="1"/>
  <c r="DE358" i="1"/>
  <c r="DE190" i="1"/>
  <c r="DE495" i="1"/>
  <c r="DE431" i="1"/>
  <c r="DD399" i="1"/>
  <c r="DE303" i="1"/>
  <c r="DE271" i="1"/>
  <c r="DD263" i="1"/>
  <c r="DD255" i="1"/>
  <c r="DA195" i="1"/>
  <c r="DD191" i="1"/>
  <c r="DE143" i="1"/>
  <c r="DA107" i="1"/>
  <c r="DE103" i="1"/>
  <c r="DD63" i="1"/>
  <c r="DE449" i="1"/>
  <c r="DE385" i="1"/>
  <c r="DE321" i="1"/>
  <c r="DE257" i="1"/>
  <c r="DE193" i="1"/>
  <c r="DE129" i="1"/>
  <c r="DE65" i="1"/>
  <c r="DE501" i="1"/>
  <c r="DE493" i="1"/>
  <c r="DE469" i="1"/>
  <c r="DE453" i="1"/>
  <c r="DE429" i="1"/>
  <c r="DE421" i="1"/>
  <c r="DE405" i="1"/>
  <c r="DE365" i="1"/>
  <c r="DE357" i="1"/>
  <c r="DE349" i="1"/>
  <c r="DE317" i="1"/>
  <c r="DE309" i="1"/>
  <c r="DE293" i="1"/>
  <c r="DE277" i="1"/>
  <c r="DE269" i="1"/>
  <c r="DE213" i="1"/>
  <c r="DE205" i="1"/>
  <c r="DE197" i="1"/>
  <c r="DE189" i="1"/>
  <c r="DE181" i="1"/>
  <c r="DE173" i="1"/>
  <c r="DE165" i="1"/>
  <c r="DE157" i="1"/>
  <c r="DE149" i="1"/>
  <c r="DE141" i="1"/>
  <c r="DE133" i="1"/>
  <c r="DE125" i="1"/>
  <c r="DE117" i="1"/>
  <c r="DE109" i="1"/>
  <c r="DE101" i="1"/>
  <c r="DE93" i="1"/>
  <c r="DE85" i="1"/>
  <c r="DE77" i="1"/>
  <c r="DE69" i="1"/>
  <c r="DE61" i="1"/>
  <c r="DE29" i="1"/>
  <c r="DE13" i="1"/>
  <c r="DE500" i="1"/>
  <c r="DE492" i="1"/>
  <c r="DE484" i="1"/>
  <c r="DE476" i="1"/>
  <c r="DE468" i="1"/>
  <c r="DE460" i="1"/>
  <c r="DE452" i="1"/>
  <c r="DE444" i="1"/>
  <c r="DE436" i="1"/>
  <c r="DE428" i="1"/>
  <c r="DE420" i="1"/>
  <c r="DE412" i="1"/>
  <c r="DE404" i="1"/>
  <c r="DE396" i="1"/>
  <c r="DE388" i="1"/>
  <c r="DE380" i="1"/>
  <c r="DE372" i="1"/>
  <c r="DE364" i="1"/>
  <c r="DE356" i="1"/>
  <c r="DE348" i="1"/>
  <c r="DE340" i="1"/>
  <c r="DE324" i="1"/>
  <c r="DE316" i="1"/>
  <c r="DE300" i="1"/>
  <c r="DE292" i="1"/>
  <c r="DE284" i="1"/>
  <c r="DE276" i="1"/>
  <c r="DE268" i="1"/>
  <c r="DE260" i="1"/>
  <c r="DE252" i="1"/>
  <c r="DE244" i="1"/>
  <c r="DE228" i="1"/>
  <c r="DE220" i="1"/>
  <c r="DE212" i="1"/>
  <c r="DE204" i="1"/>
  <c r="DE196" i="1"/>
  <c r="DE188" i="1"/>
  <c r="DE180" i="1"/>
  <c r="DE172" i="1"/>
  <c r="DE164" i="1"/>
  <c r="DE156" i="1"/>
  <c r="DE148" i="1"/>
  <c r="DE140" i="1"/>
  <c r="DE132" i="1"/>
  <c r="DE124" i="1"/>
  <c r="DE116" i="1"/>
  <c r="DE108" i="1"/>
  <c r="DE100" i="1"/>
  <c r="DE92" i="1"/>
  <c r="DE84" i="1"/>
  <c r="DE76" i="1"/>
  <c r="DE68" i="1"/>
  <c r="DE60" i="1"/>
  <c r="DE52" i="1"/>
  <c r="DE44" i="1"/>
  <c r="DE36" i="1"/>
  <c r="DE28" i="1"/>
  <c r="DE20" i="1"/>
  <c r="DD214" i="1"/>
  <c r="DD174" i="1"/>
  <c r="DD94" i="1"/>
  <c r="DD78" i="1"/>
  <c r="DE491" i="1"/>
  <c r="DE459" i="1"/>
  <c r="DE443" i="1"/>
  <c r="DE435" i="1"/>
  <c r="DE419" i="1"/>
  <c r="DE411" i="1"/>
  <c r="DE379" i="1"/>
  <c r="DE363" i="1"/>
  <c r="DE339" i="1"/>
  <c r="DE323" i="1"/>
  <c r="DE315" i="1"/>
  <c r="DE307" i="1"/>
  <c r="DE267" i="1"/>
  <c r="DE259" i="1"/>
  <c r="DE251" i="1"/>
  <c r="DE243" i="1"/>
  <c r="DE219" i="1"/>
  <c r="DE187" i="1"/>
  <c r="DE179" i="1"/>
  <c r="DE163" i="1"/>
  <c r="DE123" i="1"/>
  <c r="DE83" i="1"/>
  <c r="DE75" i="1"/>
  <c r="DE67" i="1"/>
  <c r="DE59" i="1"/>
  <c r="DE43" i="1"/>
  <c r="DE35" i="1"/>
  <c r="DE27" i="1"/>
  <c r="DE11" i="1"/>
  <c r="DD407" i="1"/>
  <c r="DD391" i="1"/>
  <c r="DD383" i="1"/>
  <c r="DA347" i="1"/>
  <c r="DD239" i="1"/>
  <c r="DD95" i="1"/>
  <c r="DE418" i="1"/>
  <c r="DE410" i="1"/>
  <c r="DE386" i="1"/>
  <c r="DE378" i="1"/>
  <c r="DE354" i="1"/>
  <c r="DE346" i="1"/>
  <c r="DE338" i="1"/>
  <c r="DE330" i="1"/>
  <c r="DE322" i="1"/>
  <c r="DE282" i="1"/>
  <c r="DE274" i="1"/>
  <c r="DE266" i="1"/>
  <c r="DE250" i="1"/>
  <c r="DE234" i="1"/>
  <c r="DE210" i="1"/>
  <c r="DE202" i="1"/>
  <c r="DE186" i="1"/>
  <c r="DE178" i="1"/>
  <c r="DE146" i="1"/>
  <c r="DE130" i="1"/>
  <c r="DE122" i="1"/>
  <c r="DE106" i="1"/>
  <c r="DE98" i="1"/>
  <c r="DE82" i="1"/>
  <c r="DE74" i="1"/>
  <c r="DE66" i="1"/>
  <c r="DE58" i="1"/>
  <c r="DE42" i="1"/>
  <c r="DE26" i="1"/>
  <c r="DE18" i="1"/>
  <c r="DE10" i="1"/>
  <c r="DE504" i="1"/>
  <c r="DE496" i="1"/>
  <c r="DE480" i="1"/>
  <c r="DE464" i="1"/>
  <c r="DE424" i="1"/>
  <c r="DE416" i="1"/>
  <c r="DE408" i="1"/>
  <c r="DE384" i="1"/>
  <c r="DE368" i="1"/>
  <c r="DE360" i="1"/>
  <c r="DE352" i="1"/>
  <c r="DE344" i="1"/>
  <c r="DE280" i="1"/>
  <c r="DE264" i="1"/>
  <c r="DE248" i="1"/>
  <c r="DE240" i="1"/>
  <c r="DE224" i="1"/>
  <c r="DE216" i="1"/>
  <c r="DE192" i="1"/>
  <c r="DE184" i="1"/>
  <c r="DE176" i="1"/>
  <c r="DE168" i="1"/>
  <c r="DE152" i="1"/>
  <c r="DE128" i="1"/>
  <c r="DE120" i="1"/>
  <c r="DE104" i="1"/>
  <c r="DE96" i="1"/>
  <c r="DE88" i="1"/>
  <c r="DE80" i="1"/>
  <c r="DE72" i="1"/>
  <c r="DE64" i="1"/>
  <c r="DE56" i="1"/>
  <c r="DE48" i="1"/>
  <c r="DE32" i="1"/>
  <c r="DE24" i="1"/>
  <c r="DE8" i="1"/>
  <c r="DE487" i="1"/>
  <c r="DE479" i="1"/>
  <c r="DE471" i="1"/>
  <c r="DE439" i="1"/>
  <c r="DE415" i="1"/>
  <c r="DE407" i="1"/>
  <c r="DE399" i="1"/>
  <c r="DE391" i="1"/>
  <c r="DE383" i="1"/>
  <c r="DE351" i="1"/>
  <c r="DE343" i="1"/>
  <c r="DE263" i="1"/>
  <c r="DE255" i="1"/>
  <c r="DE247" i="1"/>
  <c r="DE239" i="1"/>
  <c r="DE231" i="1"/>
  <c r="DE207" i="1"/>
  <c r="DE191" i="1"/>
  <c r="DE151" i="1"/>
  <c r="DE127" i="1"/>
  <c r="DE119" i="1"/>
  <c r="DE111" i="1"/>
  <c r="DE95" i="1"/>
  <c r="DE87" i="1"/>
  <c r="DE71" i="1"/>
  <c r="DE63" i="1"/>
  <c r="DE55" i="1"/>
  <c r="DE39" i="1"/>
  <c r="DE23" i="1"/>
  <c r="DE15" i="1"/>
  <c r="DD147" i="1"/>
  <c r="DD51" i="1"/>
  <c r="DE502" i="1"/>
  <c r="DE494" i="1"/>
  <c r="DE486" i="1"/>
  <c r="DE478" i="1"/>
  <c r="DE470" i="1"/>
  <c r="DE462" i="1"/>
  <c r="DE454" i="1"/>
  <c r="DE446" i="1"/>
  <c r="DE438" i="1"/>
  <c r="DE430" i="1"/>
  <c r="DE422" i="1"/>
  <c r="DE414" i="1"/>
  <c r="DE398" i="1"/>
  <c r="DE382" i="1"/>
  <c r="DE366" i="1"/>
  <c r="DE350" i="1"/>
  <c r="DE342" i="1"/>
  <c r="DE326" i="1"/>
  <c r="DE318" i="1"/>
  <c r="DE302" i="1"/>
  <c r="DE294" i="1"/>
  <c r="DE278" i="1"/>
  <c r="DE270" i="1"/>
  <c r="DE230" i="1"/>
  <c r="DE214" i="1"/>
  <c r="DE206" i="1"/>
  <c r="DE182" i="1"/>
  <c r="DE174" i="1"/>
  <c r="DE158" i="1"/>
  <c r="DE150" i="1"/>
  <c r="DE142" i="1"/>
  <c r="DE134" i="1"/>
  <c r="DE110" i="1"/>
  <c r="DE102" i="1"/>
  <c r="DE94" i="1"/>
  <c r="DE86" i="1"/>
  <c r="DE78" i="1"/>
  <c r="DE62" i="1"/>
  <c r="DE46" i="1"/>
  <c r="DE30" i="1"/>
  <c r="DE22" i="1"/>
  <c r="DE14" i="1"/>
  <c r="DE6" i="1"/>
  <c r="DD333" i="1"/>
  <c r="DD301" i="1"/>
  <c r="DD38" i="1"/>
  <c r="DD359" i="1"/>
  <c r="DA339" i="1"/>
  <c r="DD335" i="1"/>
  <c r="DA299" i="1"/>
  <c r="DD175" i="1"/>
  <c r="DD159" i="1"/>
  <c r="DD445" i="1"/>
  <c r="DD373" i="1"/>
  <c r="DD488" i="1"/>
  <c r="DD392" i="1"/>
  <c r="DD328" i="1"/>
  <c r="DD288" i="1"/>
  <c r="DD272" i="1"/>
  <c r="DD489" i="1"/>
  <c r="DD465" i="1"/>
  <c r="DA405" i="1"/>
  <c r="DD337" i="1"/>
  <c r="DD329" i="1"/>
  <c r="DI5" i="1"/>
  <c r="DD427" i="1"/>
  <c r="DD387" i="1"/>
  <c r="DA295" i="1"/>
  <c r="DD203" i="1"/>
  <c r="DD477" i="1"/>
  <c r="DD437" i="1"/>
  <c r="DD261" i="1"/>
  <c r="DD286" i="1"/>
  <c r="DD198" i="1"/>
  <c r="DD190" i="1"/>
  <c r="DD126" i="1"/>
  <c r="DD118" i="1"/>
  <c r="DD70" i="1"/>
  <c r="DD54" i="1"/>
  <c r="DA19" i="1"/>
  <c r="DD433" i="1"/>
  <c r="CZ373" i="1"/>
  <c r="DA269" i="1"/>
  <c r="DH5" i="1"/>
  <c r="DD403" i="1"/>
  <c r="DA343" i="1"/>
  <c r="DD331" i="1"/>
  <c r="DD275" i="1"/>
  <c r="DD211" i="1"/>
  <c r="DD171" i="1"/>
  <c r="DD115" i="1"/>
  <c r="DD19" i="1"/>
  <c r="CZ488" i="1"/>
  <c r="CZ448" i="1"/>
  <c r="DD295" i="1"/>
  <c r="DD279" i="1"/>
  <c r="DD160" i="1"/>
  <c r="DD136" i="1"/>
  <c r="DD112" i="1"/>
  <c r="DD40" i="1"/>
  <c r="DD503" i="1"/>
  <c r="DD447" i="1"/>
  <c r="DD472" i="1"/>
  <c r="DD256" i="1"/>
  <c r="DD232" i="1"/>
  <c r="DB333" i="1"/>
  <c r="DG5" i="1"/>
  <c r="DD258" i="1"/>
  <c r="DD242" i="1"/>
  <c r="DD194" i="1"/>
  <c r="DD138" i="1"/>
  <c r="DD50" i="1"/>
  <c r="DD34" i="1"/>
  <c r="DD371" i="1"/>
  <c r="DD355" i="1"/>
  <c r="DD299" i="1"/>
  <c r="DD283" i="1"/>
  <c r="DD235" i="1"/>
  <c r="DD195" i="1"/>
  <c r="DD483" i="1"/>
  <c r="DD7" i="1"/>
  <c r="DD499" i="1"/>
  <c r="DD451" i="1"/>
  <c r="DD413" i="1"/>
  <c r="DD397" i="1"/>
  <c r="DD381" i="1"/>
  <c r="DD358" i="1"/>
  <c r="DD238" i="1"/>
  <c r="DA178" i="1"/>
  <c r="DF5" i="1"/>
  <c r="DD395" i="1"/>
  <c r="DB327" i="1"/>
  <c r="DD291" i="1"/>
  <c r="DD227" i="1"/>
  <c r="DD155" i="1"/>
  <c r="DD131" i="1"/>
  <c r="DD107" i="1"/>
  <c r="DD99" i="1"/>
  <c r="DD91" i="1"/>
  <c r="DD45" i="1"/>
  <c r="DD485" i="1"/>
  <c r="DD374" i="1"/>
  <c r="DD334" i="1"/>
  <c r="DD310" i="1"/>
  <c r="DD262" i="1"/>
  <c r="DD254" i="1"/>
  <c r="DD246" i="1"/>
  <c r="DD222" i="1"/>
  <c r="DD271" i="1"/>
  <c r="DD183" i="1"/>
  <c r="DD143" i="1"/>
  <c r="DD135" i="1"/>
  <c r="DD79" i="1"/>
  <c r="DA75" i="1"/>
  <c r="DD31" i="1"/>
  <c r="DD473" i="1"/>
  <c r="DD425" i="1"/>
  <c r="DD401" i="1"/>
  <c r="DD73" i="1"/>
  <c r="DE5" i="1"/>
  <c r="DD319" i="1"/>
  <c r="DD303" i="1"/>
  <c r="DD456" i="1"/>
  <c r="DD448" i="1"/>
  <c r="DD376" i="1"/>
  <c r="DD296" i="1"/>
  <c r="DD402" i="1"/>
  <c r="DD394" i="1"/>
  <c r="DD370" i="1"/>
  <c r="DD362" i="1"/>
  <c r="DD306" i="1"/>
  <c r="DD298" i="1"/>
  <c r="DA270" i="1"/>
  <c r="DD226" i="1"/>
  <c r="DD218" i="1"/>
  <c r="DD170" i="1"/>
  <c r="DD162" i="1"/>
  <c r="DD154" i="1"/>
  <c r="DA142" i="1"/>
  <c r="DD114" i="1"/>
  <c r="DD90" i="1"/>
  <c r="DD139" i="1"/>
  <c r="DD12" i="1"/>
  <c r="DA401" i="1"/>
  <c r="DA297" i="1"/>
  <c r="DB129" i="1"/>
  <c r="DD200" i="1"/>
  <c r="DD463" i="1"/>
  <c r="DD311" i="1"/>
  <c r="DD199" i="1"/>
  <c r="DD47" i="1"/>
  <c r="DD400" i="1"/>
  <c r="DD304" i="1"/>
  <c r="DD417" i="1"/>
  <c r="DD41" i="1"/>
  <c r="DD5" i="1"/>
  <c r="DA367" i="1"/>
  <c r="DA47" i="1"/>
  <c r="DD461" i="1"/>
  <c r="DD389" i="1"/>
  <c r="DD341" i="1"/>
  <c r="DD325" i="1"/>
  <c r="DD53" i="1"/>
  <c r="DD37" i="1"/>
  <c r="DD21" i="1"/>
  <c r="DD390" i="1"/>
  <c r="DD166" i="1"/>
  <c r="DD406" i="1"/>
  <c r="DD455" i="1"/>
  <c r="DD223" i="1"/>
  <c r="DD167" i="1"/>
  <c r="DD103" i="1"/>
  <c r="DD495" i="1"/>
  <c r="DD431" i="1"/>
  <c r="DD423" i="1"/>
  <c r="DD375" i="1"/>
  <c r="DD367" i="1"/>
  <c r="DD327" i="1"/>
  <c r="DD497" i="1"/>
  <c r="DD481" i="1"/>
  <c r="CZ357" i="1"/>
  <c r="DD353" i="1"/>
  <c r="DD305" i="1"/>
  <c r="DA37" i="1"/>
  <c r="DD17" i="1"/>
  <c r="DD432" i="1"/>
  <c r="AK498" i="1"/>
  <c r="DD498" i="1"/>
  <c r="AK490" i="1"/>
  <c r="DD490" i="1"/>
  <c r="DD475" i="1"/>
  <c r="DD467" i="1"/>
  <c r="DD347" i="1"/>
  <c r="AK332" i="1"/>
  <c r="DD332" i="1"/>
  <c r="AK308" i="1"/>
  <c r="DD308" i="1"/>
  <c r="AK236" i="1"/>
  <c r="DD236" i="1"/>
  <c r="DD285" i="1"/>
  <c r="AK253" i="1"/>
  <c r="DD253" i="1"/>
  <c r="AK245" i="1"/>
  <c r="DD245" i="1"/>
  <c r="AK237" i="1"/>
  <c r="DD237" i="1"/>
  <c r="AK229" i="1"/>
  <c r="DD229" i="1"/>
  <c r="AK221" i="1"/>
  <c r="DD221" i="1"/>
  <c r="AK287" i="1"/>
  <c r="DD287" i="1"/>
  <c r="AK215" i="1"/>
  <c r="DD215" i="1"/>
  <c r="AK320" i="1"/>
  <c r="DD320" i="1"/>
  <c r="AK312" i="1"/>
  <c r="DD312" i="1"/>
  <c r="AK208" i="1"/>
  <c r="DD208" i="1"/>
  <c r="AK144" i="1"/>
  <c r="DD144" i="1"/>
  <c r="AK336" i="1"/>
  <c r="DD336" i="1"/>
  <c r="DD16" i="1"/>
  <c r="DD440" i="1"/>
  <c r="AK482" i="1"/>
  <c r="DD482" i="1"/>
  <c r="AK474" i="1"/>
  <c r="DD474" i="1"/>
  <c r="AK466" i="1"/>
  <c r="DD466" i="1"/>
  <c r="AK458" i="1"/>
  <c r="DD458" i="1"/>
  <c r="AK450" i="1"/>
  <c r="DD450" i="1"/>
  <c r="AK442" i="1"/>
  <c r="DD442" i="1"/>
  <c r="AK434" i="1"/>
  <c r="DD434" i="1"/>
  <c r="AK426" i="1"/>
  <c r="DD426" i="1"/>
  <c r="AK314" i="1"/>
  <c r="DD314" i="1"/>
  <c r="AK290" i="1"/>
  <c r="DD290" i="1"/>
  <c r="DD213" i="1"/>
  <c r="DD205" i="1"/>
  <c r="DD197" i="1"/>
  <c r="DD189" i="1"/>
  <c r="DD181" i="1"/>
  <c r="DD173" i="1"/>
  <c r="DD165" i="1"/>
  <c r="DD157" i="1"/>
  <c r="DD149" i="1"/>
  <c r="DD141" i="1"/>
  <c r="DD133" i="1"/>
  <c r="DD125" i="1"/>
  <c r="DD117" i="1"/>
  <c r="DD109" i="1"/>
  <c r="DD101" i="1"/>
  <c r="DD93" i="1"/>
  <c r="DD85" i="1"/>
  <c r="DD77" i="1"/>
  <c r="DD69" i="1"/>
  <c r="DD61" i="1"/>
  <c r="DD172" i="1"/>
  <c r="DD108" i="1"/>
  <c r="DD60" i="1"/>
  <c r="DD44" i="1"/>
  <c r="DD28" i="1"/>
  <c r="DA74" i="1"/>
  <c r="DD419" i="1"/>
  <c r="DD251" i="1"/>
  <c r="DD187" i="1"/>
  <c r="DD123" i="1"/>
  <c r="DD75" i="1"/>
  <c r="DA123" i="1"/>
  <c r="DD409" i="1"/>
  <c r="DD393" i="1"/>
  <c r="DD377" i="1"/>
  <c r="DD361" i="1"/>
  <c r="DD345" i="1"/>
  <c r="DD281" i="1"/>
  <c r="DD273" i="1"/>
  <c r="DD265" i="1"/>
  <c r="DD257" i="1"/>
  <c r="DD249" i="1"/>
  <c r="DD241" i="1"/>
  <c r="DD233" i="1"/>
  <c r="DD225" i="1"/>
  <c r="DD217" i="1"/>
  <c r="DD209" i="1"/>
  <c r="DD201" i="1"/>
  <c r="DD193" i="1"/>
  <c r="DD185" i="1"/>
  <c r="DD177" i="1"/>
  <c r="DD169" i="1"/>
  <c r="DD161" i="1"/>
  <c r="DD153" i="1"/>
  <c r="DD145" i="1"/>
  <c r="DD137" i="1"/>
  <c r="DD129" i="1"/>
  <c r="DD121" i="1"/>
  <c r="DD113" i="1"/>
  <c r="DD97" i="1"/>
  <c r="DD81" i="1"/>
  <c r="DD65" i="1"/>
  <c r="DD49" i="1"/>
  <c r="DD33" i="1"/>
  <c r="DA21" i="1"/>
  <c r="DD80" i="1"/>
  <c r="DD64" i="1"/>
  <c r="DD48" i="1"/>
  <c r="DD32" i="1"/>
  <c r="DD151" i="1"/>
  <c r="DD71" i="1"/>
  <c r="DD55" i="1"/>
  <c r="DD39" i="1"/>
  <c r="DD23" i="1"/>
  <c r="DA71" i="1"/>
  <c r="DD502" i="1"/>
  <c r="DD494" i="1"/>
  <c r="DD486" i="1"/>
  <c r="DD478" i="1"/>
  <c r="DD470" i="1"/>
  <c r="DD462" i="1"/>
  <c r="DD454" i="1"/>
  <c r="DD446" i="1"/>
  <c r="DD438" i="1"/>
  <c r="DD430" i="1"/>
  <c r="DD422" i="1"/>
  <c r="DD414" i="1"/>
  <c r="DD398" i="1"/>
  <c r="DD382" i="1"/>
  <c r="DD366" i="1"/>
  <c r="DD350" i="1"/>
  <c r="DD342" i="1"/>
  <c r="DD318" i="1"/>
  <c r="DD302" i="1"/>
  <c r="DD294" i="1"/>
  <c r="DA27" i="1"/>
  <c r="CW501" i="1"/>
  <c r="DA109" i="1"/>
  <c r="DA196" i="1"/>
  <c r="DA118" i="1"/>
  <c r="DA46" i="1"/>
  <c r="DA444" i="1"/>
  <c r="DA434" i="1"/>
  <c r="DB346" i="1"/>
  <c r="DA82" i="1"/>
  <c r="DA229" i="1"/>
  <c r="DA173" i="1"/>
  <c r="DA175" i="1"/>
  <c r="DA161" i="1"/>
  <c r="AK418" i="1"/>
  <c r="AK402" i="1"/>
  <c r="AK386" i="1"/>
  <c r="AK274" i="1"/>
  <c r="AK258" i="1"/>
  <c r="AK242" i="1"/>
  <c r="AK106" i="1"/>
  <c r="AK98" i="1"/>
  <c r="AK291" i="1"/>
  <c r="AK219" i="1"/>
  <c r="AK67" i="1"/>
  <c r="AJ15" i="1"/>
  <c r="AK500" i="1"/>
  <c r="AK476" i="1"/>
  <c r="AK452" i="1"/>
  <c r="AK436" i="1"/>
  <c r="AK428" i="1"/>
  <c r="AK420" i="1"/>
  <c r="AK412" i="1"/>
  <c r="AK404" i="1"/>
  <c r="AK396" i="1"/>
  <c r="AK388" i="1"/>
  <c r="AK380" i="1"/>
  <c r="AK372" i="1"/>
  <c r="AK364" i="1"/>
  <c r="AK356" i="1"/>
  <c r="AK348" i="1"/>
  <c r="AK340" i="1"/>
  <c r="AK324" i="1"/>
  <c r="AK316" i="1"/>
  <c r="AK300" i="1"/>
  <c r="AK292" i="1"/>
  <c r="AK284" i="1"/>
  <c r="AK276" i="1"/>
  <c r="AK268" i="1"/>
  <c r="AK260" i="1"/>
  <c r="AK252" i="1"/>
  <c r="AK244" i="1"/>
  <c r="AK228" i="1"/>
  <c r="AK220" i="1"/>
  <c r="AK212" i="1"/>
  <c r="AK204" i="1"/>
  <c r="AK196" i="1"/>
  <c r="AK188" i="1"/>
  <c r="AK180" i="1"/>
  <c r="AK164" i="1"/>
  <c r="AK156" i="1"/>
  <c r="AK148" i="1"/>
  <c r="AK140" i="1"/>
  <c r="AK132" i="1"/>
  <c r="AK124" i="1"/>
  <c r="AK116" i="1"/>
  <c r="AK100" i="1"/>
  <c r="AK92" i="1"/>
  <c r="AK84" i="1"/>
  <c r="AK76" i="1"/>
  <c r="AK410" i="1"/>
  <c r="AK362" i="1"/>
  <c r="AK282" i="1"/>
  <c r="AK234" i="1"/>
  <c r="AK218" i="1"/>
  <c r="AK122" i="1"/>
  <c r="AK371" i="1"/>
  <c r="AK315" i="1"/>
  <c r="AK211" i="1"/>
  <c r="AK195" i="1"/>
  <c r="AK19" i="1"/>
  <c r="AK484" i="1"/>
  <c r="AK460" i="1"/>
  <c r="AK12" i="1"/>
  <c r="AK333" i="1"/>
  <c r="AK325" i="1"/>
  <c r="AK309" i="1"/>
  <c r="AK354" i="1"/>
  <c r="AK338" i="1"/>
  <c r="AK322" i="1"/>
  <c r="AK306" i="1"/>
  <c r="AK226" i="1"/>
  <c r="AK210" i="1"/>
  <c r="AK194" i="1"/>
  <c r="AK170" i="1"/>
  <c r="AK154" i="1"/>
  <c r="AK130" i="1"/>
  <c r="AK459" i="1"/>
  <c r="AK443" i="1"/>
  <c r="AK283" i="1"/>
  <c r="AK444" i="1"/>
  <c r="AK182" i="1"/>
  <c r="AK158" i="1"/>
  <c r="AK94" i="1"/>
  <c r="AK86" i="1"/>
  <c r="AK78" i="1"/>
  <c r="AK70" i="1"/>
  <c r="AK62" i="1"/>
  <c r="AK54" i="1"/>
  <c r="AK46" i="1"/>
  <c r="AK38" i="1"/>
  <c r="AK30" i="1"/>
  <c r="AK22" i="1"/>
  <c r="AJ13" i="1"/>
  <c r="AK394" i="1"/>
  <c r="AK378" i="1"/>
  <c r="AK266" i="1"/>
  <c r="AK250" i="1"/>
  <c r="AK202" i="1"/>
  <c r="AK146" i="1"/>
  <c r="AK138" i="1"/>
  <c r="AK499" i="1"/>
  <c r="AK483" i="1"/>
  <c r="AK451" i="1"/>
  <c r="AK427" i="1"/>
  <c r="AK411" i="1"/>
  <c r="AK395" i="1"/>
  <c r="AK355" i="1"/>
  <c r="AK323" i="1"/>
  <c r="AK299" i="1"/>
  <c r="AK235" i="1"/>
  <c r="AK179" i="1"/>
  <c r="AK155" i="1"/>
  <c r="AK147" i="1"/>
  <c r="AK139" i="1"/>
  <c r="AK131" i="1"/>
  <c r="AK115" i="1"/>
  <c r="AK107" i="1"/>
  <c r="AK99" i="1"/>
  <c r="AK51" i="1"/>
  <c r="AK43" i="1"/>
  <c r="AK27" i="1"/>
  <c r="AK7" i="1"/>
  <c r="AK492" i="1"/>
  <c r="AK405" i="1"/>
  <c r="AK9" i="1"/>
  <c r="AK310" i="1"/>
  <c r="AK286" i="1"/>
  <c r="AK278" i="1"/>
  <c r="AK270" i="1"/>
  <c r="AK262" i="1"/>
  <c r="AK254" i="1"/>
  <c r="AK246" i="1"/>
  <c r="AK238" i="1"/>
  <c r="AK230" i="1"/>
  <c r="AK222" i="1"/>
  <c r="AK214" i="1"/>
  <c r="AK206" i="1"/>
  <c r="AK198" i="1"/>
  <c r="AK190" i="1"/>
  <c r="AK174" i="1"/>
  <c r="AK166" i="1"/>
  <c r="AK150" i="1"/>
  <c r="AK142" i="1"/>
  <c r="AK134" i="1"/>
  <c r="AK126" i="1"/>
  <c r="AK118" i="1"/>
  <c r="AK110" i="1"/>
  <c r="AK102" i="1"/>
  <c r="AJ14" i="1"/>
  <c r="AJ6" i="1"/>
  <c r="AK503" i="1"/>
  <c r="AK495" i="1"/>
  <c r="AK487" i="1"/>
  <c r="AK479" i="1"/>
  <c r="AK471" i="1"/>
  <c r="AK463" i="1"/>
  <c r="AK455" i="1"/>
  <c r="AK447" i="1"/>
  <c r="AK439" i="1"/>
  <c r="AK431" i="1"/>
  <c r="AK423" i="1"/>
  <c r="AK415" i="1"/>
  <c r="AK407" i="1"/>
  <c r="AK399" i="1"/>
  <c r="AK391" i="1"/>
  <c r="AK383" i="1"/>
  <c r="AK375" i="1"/>
  <c r="AK367" i="1"/>
  <c r="AK359" i="1"/>
  <c r="AK351" i="1"/>
  <c r="AK343" i="1"/>
  <c r="AK335" i="1"/>
  <c r="AK327" i="1"/>
  <c r="AK319" i="1"/>
  <c r="AK311" i="1"/>
  <c r="AK303" i="1"/>
  <c r="AK295" i="1"/>
  <c r="AK279" i="1"/>
  <c r="AK271" i="1"/>
  <c r="AK263" i="1"/>
  <c r="AK255" i="1"/>
  <c r="AK247" i="1"/>
  <c r="AK239" i="1"/>
  <c r="AK231" i="1"/>
  <c r="AK223" i="1"/>
  <c r="AK207" i="1"/>
  <c r="AK199" i="1"/>
  <c r="AK191" i="1"/>
  <c r="CX187" i="1"/>
  <c r="AK183" i="1"/>
  <c r="AK175" i="1"/>
  <c r="DA171" i="1"/>
  <c r="AK167" i="1"/>
  <c r="AK159" i="1"/>
  <c r="AK143" i="1"/>
  <c r="AK135" i="1"/>
  <c r="AK127" i="1"/>
  <c r="AK119" i="1"/>
  <c r="AK111" i="1"/>
  <c r="AK103" i="1"/>
  <c r="AK95" i="1"/>
  <c r="DA91" i="1"/>
  <c r="AK87" i="1"/>
  <c r="AK79" i="1"/>
  <c r="AK346" i="1"/>
  <c r="AK467" i="1"/>
  <c r="AK403" i="1"/>
  <c r="AK379" i="1"/>
  <c r="AK363" i="1"/>
  <c r="AK331" i="1"/>
  <c r="AK259" i="1"/>
  <c r="AK243" i="1"/>
  <c r="AK203" i="1"/>
  <c r="AK83" i="1"/>
  <c r="AK59" i="1"/>
  <c r="AK448" i="1"/>
  <c r="AK128" i="1"/>
  <c r="AK112" i="1"/>
  <c r="AK104" i="1"/>
  <c r="AK96" i="1"/>
  <c r="AK88" i="1"/>
  <c r="AK370" i="1"/>
  <c r="AK330" i="1"/>
  <c r="AK298" i="1"/>
  <c r="AK186" i="1"/>
  <c r="AK178" i="1"/>
  <c r="AK162" i="1"/>
  <c r="AK114" i="1"/>
  <c r="AK90" i="1"/>
  <c r="AK82" i="1"/>
  <c r="AK74" i="1"/>
  <c r="AJ10" i="1"/>
  <c r="AK491" i="1"/>
  <c r="AK475" i="1"/>
  <c r="AK435" i="1"/>
  <c r="AK387" i="1"/>
  <c r="AK347" i="1"/>
  <c r="AK339" i="1"/>
  <c r="AK307" i="1"/>
  <c r="AK275" i="1"/>
  <c r="AK267" i="1"/>
  <c r="AK227" i="1"/>
  <c r="AK171" i="1"/>
  <c r="AK163" i="1"/>
  <c r="AK91" i="1"/>
  <c r="AK35" i="1"/>
  <c r="AK468" i="1"/>
  <c r="AK406" i="1"/>
  <c r="AK390" i="1"/>
  <c r="AK374" i="1"/>
  <c r="AK358" i="1"/>
  <c r="AK334" i="1"/>
  <c r="AK326" i="1"/>
  <c r="AK11" i="1"/>
  <c r="AK504" i="1"/>
  <c r="AK496" i="1"/>
  <c r="AK488" i="1"/>
  <c r="AK480" i="1"/>
  <c r="AK472" i="1"/>
  <c r="AK464" i="1"/>
  <c r="AK456" i="1"/>
  <c r="AK440" i="1"/>
  <c r="AK432" i="1"/>
  <c r="AK424" i="1"/>
  <c r="AK416" i="1"/>
  <c r="AK408" i="1"/>
  <c r="AK400" i="1"/>
  <c r="AK392" i="1"/>
  <c r="AK384" i="1"/>
  <c r="AK376" i="1"/>
  <c r="AK368" i="1"/>
  <c r="AK360" i="1"/>
  <c r="AK352" i="1"/>
  <c r="AK344" i="1"/>
  <c r="AK328" i="1"/>
  <c r="AK304" i="1"/>
  <c r="AK296" i="1"/>
  <c r="AK288" i="1"/>
  <c r="AK280" i="1"/>
  <c r="AK272" i="1"/>
  <c r="AK264" i="1"/>
  <c r="AK256" i="1"/>
  <c r="AK248" i="1"/>
  <c r="AK240" i="1"/>
  <c r="AK232" i="1"/>
  <c r="AK224" i="1"/>
  <c r="AK216" i="1"/>
  <c r="AK200" i="1"/>
  <c r="AK192" i="1"/>
  <c r="AK184" i="1"/>
  <c r="AK176" i="1"/>
  <c r="AK168" i="1"/>
  <c r="AK160" i="1"/>
  <c r="AK152" i="1"/>
  <c r="AK136" i="1"/>
  <c r="AK120" i="1"/>
  <c r="AK16" i="1"/>
  <c r="AJ8" i="1"/>
  <c r="AK497" i="1"/>
  <c r="AK489" i="1"/>
  <c r="AK481" i="1"/>
  <c r="AK473" i="1"/>
  <c r="AK465" i="1"/>
  <c r="AK457" i="1"/>
  <c r="AK449" i="1"/>
  <c r="AK441" i="1"/>
  <c r="AK433" i="1"/>
  <c r="AK425" i="1"/>
  <c r="AK417" i="1"/>
  <c r="AK401" i="1"/>
  <c r="AK385" i="1"/>
  <c r="AK369" i="1"/>
  <c r="AK353" i="1"/>
  <c r="AK337" i="1"/>
  <c r="AK329" i="1"/>
  <c r="AK321" i="1"/>
  <c r="AK313" i="1"/>
  <c r="AK305" i="1"/>
  <c r="AK297" i="1"/>
  <c r="AK63" i="1"/>
  <c r="AK47" i="1"/>
  <c r="AK31" i="1"/>
  <c r="AK72" i="1"/>
  <c r="AK56" i="1"/>
  <c r="AK40" i="1"/>
  <c r="AK24" i="1"/>
  <c r="AK289" i="1"/>
  <c r="DA189" i="1"/>
  <c r="AK105" i="1"/>
  <c r="AK89" i="1"/>
  <c r="AK73" i="1"/>
  <c r="AK57" i="1"/>
  <c r="AK41" i="1"/>
  <c r="AK25" i="1"/>
  <c r="AK17" i="1"/>
  <c r="AK66" i="1"/>
  <c r="AK58" i="1"/>
  <c r="AK50" i="1"/>
  <c r="AK42" i="1"/>
  <c r="AK34" i="1"/>
  <c r="AK26" i="1"/>
  <c r="AK18" i="1"/>
  <c r="AK68" i="1"/>
  <c r="AK52" i="1"/>
  <c r="AK36" i="1"/>
  <c r="AK20" i="1"/>
  <c r="AK21" i="1"/>
  <c r="DA281" i="1"/>
  <c r="DA25" i="1"/>
  <c r="CW135" i="1"/>
  <c r="DB328" i="1"/>
  <c r="DA314" i="1"/>
  <c r="DA242" i="1"/>
  <c r="DA194" i="1"/>
  <c r="DA186" i="1"/>
  <c r="DA271" i="1"/>
  <c r="DA234" i="1"/>
  <c r="DA292" i="1"/>
  <c r="DA149" i="1"/>
  <c r="DA141" i="1"/>
  <c r="DA188" i="1"/>
  <c r="DA409" i="1"/>
  <c r="DB250" i="1"/>
  <c r="DA162" i="1"/>
  <c r="DA395" i="1"/>
  <c r="DA324" i="1"/>
  <c r="DA396" i="1"/>
  <c r="DA317" i="1"/>
  <c r="DA383" i="1"/>
  <c r="DA335" i="1"/>
  <c r="DA303" i="1"/>
  <c r="CY457" i="1"/>
  <c r="DA42" i="1"/>
  <c r="DA332" i="1"/>
  <c r="DA140" i="1"/>
  <c r="DA321" i="1"/>
  <c r="DA265" i="1"/>
  <c r="DA10" i="1"/>
  <c r="DA92" i="1"/>
  <c r="DA138" i="1"/>
  <c r="DA130" i="1"/>
  <c r="DB431" i="1"/>
  <c r="DA263" i="1"/>
  <c r="CW167" i="1"/>
  <c r="DA348" i="1"/>
  <c r="DB494" i="1"/>
  <c r="DB476" i="1"/>
  <c r="DB412" i="1"/>
  <c r="DB389" i="1"/>
  <c r="DB366" i="1"/>
  <c r="DB348" i="1"/>
  <c r="DB325" i="1"/>
  <c r="DB302" i="1"/>
  <c r="DB284" i="1"/>
  <c r="DB261" i="1"/>
  <c r="DB238" i="1"/>
  <c r="DB220" i="1"/>
  <c r="DB197" i="1"/>
  <c r="DB174" i="1"/>
  <c r="DB156" i="1"/>
  <c r="DB133" i="1"/>
  <c r="DB110" i="1"/>
  <c r="DB92" i="1"/>
  <c r="DB69" i="1"/>
  <c r="DB46" i="1"/>
  <c r="DB28" i="1"/>
  <c r="DB493" i="1"/>
  <c r="DB452" i="1"/>
  <c r="DB429" i="1"/>
  <c r="DB406" i="1"/>
  <c r="DB388" i="1"/>
  <c r="DB365" i="1"/>
  <c r="DB342" i="1"/>
  <c r="DB324" i="1"/>
  <c r="DB301" i="1"/>
  <c r="DB278" i="1"/>
  <c r="DB260" i="1"/>
  <c r="DB237" i="1"/>
  <c r="DB214" i="1"/>
  <c r="DB196" i="1"/>
  <c r="DB173" i="1"/>
  <c r="DB150" i="1"/>
  <c r="DB132" i="1"/>
  <c r="DB109" i="1"/>
  <c r="DB86" i="1"/>
  <c r="DB68" i="1"/>
  <c r="DB45" i="1"/>
  <c r="DB22" i="1"/>
  <c r="DB492" i="1"/>
  <c r="DB469" i="1"/>
  <c r="DB446" i="1"/>
  <c r="DB428" i="1"/>
  <c r="DB405" i="1"/>
  <c r="DB382" i="1"/>
  <c r="DB364" i="1"/>
  <c r="DB341" i="1"/>
  <c r="DB318" i="1"/>
  <c r="DB300" i="1"/>
  <c r="DB277" i="1"/>
  <c r="DB254" i="1"/>
  <c r="DB236" i="1"/>
  <c r="DB190" i="1"/>
  <c r="DB172" i="1"/>
  <c r="DB149" i="1"/>
  <c r="DB126" i="1"/>
  <c r="DB108" i="1"/>
  <c r="DB85" i="1"/>
  <c r="DB62" i="1"/>
  <c r="DB44" i="1"/>
  <c r="DB21" i="1"/>
  <c r="DB486" i="1"/>
  <c r="DB468" i="1"/>
  <c r="DB445" i="1"/>
  <c r="DB422" i="1"/>
  <c r="DB404" i="1"/>
  <c r="DB381" i="1"/>
  <c r="DB358" i="1"/>
  <c r="DB340" i="1"/>
  <c r="DB317" i="1"/>
  <c r="DB294" i="1"/>
  <c r="DB276" i="1"/>
  <c r="DB253" i="1"/>
  <c r="DB230" i="1"/>
  <c r="DB212" i="1"/>
  <c r="DB189" i="1"/>
  <c r="DB166" i="1"/>
  <c r="DB148" i="1"/>
  <c r="DB125" i="1"/>
  <c r="DB102" i="1"/>
  <c r="DB84" i="1"/>
  <c r="DB61" i="1"/>
  <c r="DB38" i="1"/>
  <c r="DB20" i="1"/>
  <c r="DA500" i="1"/>
  <c r="DB462" i="1"/>
  <c r="DB444" i="1"/>
  <c r="DB421" i="1"/>
  <c r="DB398" i="1"/>
  <c r="DB380" i="1"/>
  <c r="DB357" i="1"/>
  <c r="DB334" i="1"/>
  <c r="DB316" i="1"/>
  <c r="DB293" i="1"/>
  <c r="DB270" i="1"/>
  <c r="DB252" i="1"/>
  <c r="DB229" i="1"/>
  <c r="DB206" i="1"/>
  <c r="DB188" i="1"/>
  <c r="DB165" i="1"/>
  <c r="DB142" i="1"/>
  <c r="DB124" i="1"/>
  <c r="DB101" i="1"/>
  <c r="DB78" i="1"/>
  <c r="DB60" i="1"/>
  <c r="DB37" i="1"/>
  <c r="DB14" i="1"/>
  <c r="CW485" i="1"/>
  <c r="DB502" i="1"/>
  <c r="DB484" i="1"/>
  <c r="DB461" i="1"/>
  <c r="DB438" i="1"/>
  <c r="DB420" i="1"/>
  <c r="DB397" i="1"/>
  <c r="DB374" i="1"/>
  <c r="DB356" i="1"/>
  <c r="DB310" i="1"/>
  <c r="DB292" i="1"/>
  <c r="DB269" i="1"/>
  <c r="DB246" i="1"/>
  <c r="DB228" i="1"/>
  <c r="DB205" i="1"/>
  <c r="DB164" i="1"/>
  <c r="DB141" i="1"/>
  <c r="DB118" i="1"/>
  <c r="DB100" i="1"/>
  <c r="DB77" i="1"/>
  <c r="DB54" i="1"/>
  <c r="DB36" i="1"/>
  <c r="DB13" i="1"/>
  <c r="DB501" i="1"/>
  <c r="DB478" i="1"/>
  <c r="DB460" i="1"/>
  <c r="DB437" i="1"/>
  <c r="DB414" i="1"/>
  <c r="DB396" i="1"/>
  <c r="DB373" i="1"/>
  <c r="DB350" i="1"/>
  <c r="DB332" i="1"/>
  <c r="DB309" i="1"/>
  <c r="DB286" i="1"/>
  <c r="DB268" i="1"/>
  <c r="DB245" i="1"/>
  <c r="DB222" i="1"/>
  <c r="DB204" i="1"/>
  <c r="DB181" i="1"/>
  <c r="DB158" i="1"/>
  <c r="DB140" i="1"/>
  <c r="DB117" i="1"/>
  <c r="DB94" i="1"/>
  <c r="DB76" i="1"/>
  <c r="DB53" i="1"/>
  <c r="DB30" i="1"/>
  <c r="DB12" i="1"/>
  <c r="DB500" i="1"/>
  <c r="DB477" i="1"/>
  <c r="DB454" i="1"/>
  <c r="DB436" i="1"/>
  <c r="DB413" i="1"/>
  <c r="DB390" i="1"/>
  <c r="DB372" i="1"/>
  <c r="DB349" i="1"/>
  <c r="DB308" i="1"/>
  <c r="DB285" i="1"/>
  <c r="DB262" i="1"/>
  <c r="DB244" i="1"/>
  <c r="DB221" i="1"/>
  <c r="DB198" i="1"/>
  <c r="DB180" i="1"/>
  <c r="DB157" i="1"/>
  <c r="DB134" i="1"/>
  <c r="DB116" i="1"/>
  <c r="DB93" i="1"/>
  <c r="DB70" i="1"/>
  <c r="DB52" i="1"/>
  <c r="DB29" i="1"/>
  <c r="DB6" i="1"/>
  <c r="DB499" i="1"/>
  <c r="DB491" i="1"/>
  <c r="DB483" i="1"/>
  <c r="DB475" i="1"/>
  <c r="DB467" i="1"/>
  <c r="DB459" i="1"/>
  <c r="DB451" i="1"/>
  <c r="DB443" i="1"/>
  <c r="DB435" i="1"/>
  <c r="DB427" i="1"/>
  <c r="DB419" i="1"/>
  <c r="DB411" i="1"/>
  <c r="DB403" i="1"/>
  <c r="DB395" i="1"/>
  <c r="DB387" i="1"/>
  <c r="DB379" i="1"/>
  <c r="DB371" i="1"/>
  <c r="DB363" i="1"/>
  <c r="DB355" i="1"/>
  <c r="DB347" i="1"/>
  <c r="DB339" i="1"/>
  <c r="DB331" i="1"/>
  <c r="DB323" i="1"/>
  <c r="DB315" i="1"/>
  <c r="DB307" i="1"/>
  <c r="DB299" i="1"/>
  <c r="DB291" i="1"/>
  <c r="DB283" i="1"/>
  <c r="DB275" i="1"/>
  <c r="DB267" i="1"/>
  <c r="DB259" i="1"/>
  <c r="DB251" i="1"/>
  <c r="DB243" i="1"/>
  <c r="DB227" i="1"/>
  <c r="DB219" i="1"/>
  <c r="DB211" i="1"/>
  <c r="DB203" i="1"/>
  <c r="DB195" i="1"/>
  <c r="DB187" i="1"/>
  <c r="DB179" i="1"/>
  <c r="DB171" i="1"/>
  <c r="DB163" i="1"/>
  <c r="DB155" i="1"/>
  <c r="DB147" i="1"/>
  <c r="DB139" i="1"/>
  <c r="DB131" i="1"/>
  <c r="DB123" i="1"/>
  <c r="DB115" i="1"/>
  <c r="DB107" i="1"/>
  <c r="DB99" i="1"/>
  <c r="DB91" i="1"/>
  <c r="DB83" i="1"/>
  <c r="DB75" i="1"/>
  <c r="DB67" i="1"/>
  <c r="DB59" i="1"/>
  <c r="DB51" i="1"/>
  <c r="DB43" i="1"/>
  <c r="DB35" i="1"/>
  <c r="DB27" i="1"/>
  <c r="DB19" i="1"/>
  <c r="DB11" i="1"/>
  <c r="DB498" i="1"/>
  <c r="DB482" i="1"/>
  <c r="DB474" i="1"/>
  <c r="DB466" i="1"/>
  <c r="DB458" i="1"/>
  <c r="DB450" i="1"/>
  <c r="DB442" i="1"/>
  <c r="DB434" i="1"/>
  <c r="DB410" i="1"/>
  <c r="DB402" i="1"/>
  <c r="DB394" i="1"/>
  <c r="DB386" i="1"/>
  <c r="DB378" i="1"/>
  <c r="DB370" i="1"/>
  <c r="DB362" i="1"/>
  <c r="DB338" i="1"/>
  <c r="DB330" i="1"/>
  <c r="DB322" i="1"/>
  <c r="DB314" i="1"/>
  <c r="DB306" i="1"/>
  <c r="DB298" i="1"/>
  <c r="DB290" i="1"/>
  <c r="DB274" i="1"/>
  <c r="DB266" i="1"/>
  <c r="DB242" i="1"/>
  <c r="DB234" i="1"/>
  <c r="DB210" i="1"/>
  <c r="DB202" i="1"/>
  <c r="DB194" i="1"/>
  <c r="DB186" i="1"/>
  <c r="DB178" i="1"/>
  <c r="DB170" i="1"/>
  <c r="DB162" i="1"/>
  <c r="DB154" i="1"/>
  <c r="DB146" i="1"/>
  <c r="DB138" i="1"/>
  <c r="DB130" i="1"/>
  <c r="DB122" i="1"/>
  <c r="DB114" i="1"/>
  <c r="DB106" i="1"/>
  <c r="DB98" i="1"/>
  <c r="DB90" i="1"/>
  <c r="DB82" i="1"/>
  <c r="DB74" i="1"/>
  <c r="DB66" i="1"/>
  <c r="DB58" i="1"/>
  <c r="DB50" i="1"/>
  <c r="DB42" i="1"/>
  <c r="DB34" i="1"/>
  <c r="DB26" i="1"/>
  <c r="DB18" i="1"/>
  <c r="DB10" i="1"/>
  <c r="DB497" i="1"/>
  <c r="DB489" i="1"/>
  <c r="DB481" i="1"/>
  <c r="DB473" i="1"/>
  <c r="DB465" i="1"/>
  <c r="DB457" i="1"/>
  <c r="DB449" i="1"/>
  <c r="DB441" i="1"/>
  <c r="DB433" i="1"/>
  <c r="DB425" i="1"/>
  <c r="DB409" i="1"/>
  <c r="DB401" i="1"/>
  <c r="DB393" i="1"/>
  <c r="DB385" i="1"/>
  <c r="DB377" i="1"/>
  <c r="DB369" i="1"/>
  <c r="DB361" i="1"/>
  <c r="DB353" i="1"/>
  <c r="DB345" i="1"/>
  <c r="DB337" i="1"/>
  <c r="DB329" i="1"/>
  <c r="DB321" i="1"/>
  <c r="DB313" i="1"/>
  <c r="DB305" i="1"/>
  <c r="DB297" i="1"/>
  <c r="DB289" i="1"/>
  <c r="DB281" i="1"/>
  <c r="DB273" i="1"/>
  <c r="DB265" i="1"/>
  <c r="DB257" i="1"/>
  <c r="DB249" i="1"/>
  <c r="DB241" i="1"/>
  <c r="DB233" i="1"/>
  <c r="DB225" i="1"/>
  <c r="DB217" i="1"/>
  <c r="DB209" i="1"/>
  <c r="DB201" i="1"/>
  <c r="DB193" i="1"/>
  <c r="DB185" i="1"/>
  <c r="DB177" i="1"/>
  <c r="DB169" i="1"/>
  <c r="DB161" i="1"/>
  <c r="DB153" i="1"/>
  <c r="DB145" i="1"/>
  <c r="DB137" i="1"/>
  <c r="DB121" i="1"/>
  <c r="DB113" i="1"/>
  <c r="DB105" i="1"/>
  <c r="DB97" i="1"/>
  <c r="DB89" i="1"/>
  <c r="DB81" i="1"/>
  <c r="DB73" i="1"/>
  <c r="DB65" i="1"/>
  <c r="DB57" i="1"/>
  <c r="DB49" i="1"/>
  <c r="DB41" i="1"/>
  <c r="DB33" i="1"/>
  <c r="DB25" i="1"/>
  <c r="DB17" i="1"/>
  <c r="DA333" i="1"/>
  <c r="DB504" i="1"/>
  <c r="DB496" i="1"/>
  <c r="DB488" i="1"/>
  <c r="DB480" i="1"/>
  <c r="DB472" i="1"/>
  <c r="DB464" i="1"/>
  <c r="DB456" i="1"/>
  <c r="DB448" i="1"/>
  <c r="DB440" i="1"/>
  <c r="DB432" i="1"/>
  <c r="DB424" i="1"/>
  <c r="DB416" i="1"/>
  <c r="DB408" i="1"/>
  <c r="DB400" i="1"/>
  <c r="DB392" i="1"/>
  <c r="DB384" i="1"/>
  <c r="DB376" i="1"/>
  <c r="DB368" i="1"/>
  <c r="DB360" i="1"/>
  <c r="DB344" i="1"/>
  <c r="DB336" i="1"/>
  <c r="DB320" i="1"/>
  <c r="DB312" i="1"/>
  <c r="DB296" i="1"/>
  <c r="DB288" i="1"/>
  <c r="DB280" i="1"/>
  <c r="DB272" i="1"/>
  <c r="DB264" i="1"/>
  <c r="DB256" i="1"/>
  <c r="DB248" i="1"/>
  <c r="DB240" i="1"/>
  <c r="DB232" i="1"/>
  <c r="DB224" i="1"/>
  <c r="DB216" i="1"/>
  <c r="DB208" i="1"/>
  <c r="DB200" i="1"/>
  <c r="DB192" i="1"/>
  <c r="DB184" i="1"/>
  <c r="DB176" i="1"/>
  <c r="DB168" i="1"/>
  <c r="DB160" i="1"/>
  <c r="DB152" i="1"/>
  <c r="DB144" i="1"/>
  <c r="DB136" i="1"/>
  <c r="DB128" i="1"/>
  <c r="DB120" i="1"/>
  <c r="DB112" i="1"/>
  <c r="DB104" i="1"/>
  <c r="DB96" i="1"/>
  <c r="DB88" i="1"/>
  <c r="DB80" i="1"/>
  <c r="DB72" i="1"/>
  <c r="DB64" i="1"/>
  <c r="DB56" i="1"/>
  <c r="DB48" i="1"/>
  <c r="DB40" i="1"/>
  <c r="DB32" i="1"/>
  <c r="DB24" i="1"/>
  <c r="DB16" i="1"/>
  <c r="DB8" i="1"/>
  <c r="DB503" i="1"/>
  <c r="DB495" i="1"/>
  <c r="DB479" i="1"/>
  <c r="DB471" i="1"/>
  <c r="DB463" i="1"/>
  <c r="DB455" i="1"/>
  <c r="DB447" i="1"/>
  <c r="DB439" i="1"/>
  <c r="DB423" i="1"/>
  <c r="DB415" i="1"/>
  <c r="DB407" i="1"/>
  <c r="DB399" i="1"/>
  <c r="DB391" i="1"/>
  <c r="DB383" i="1"/>
  <c r="DB375" i="1"/>
  <c r="DB367" i="1"/>
  <c r="DB359" i="1"/>
  <c r="DB351" i="1"/>
  <c r="DB343" i="1"/>
  <c r="DB335" i="1"/>
  <c r="DB319" i="1"/>
  <c r="DB303" i="1"/>
  <c r="DB295" i="1"/>
  <c r="DB287" i="1"/>
  <c r="DB279" i="1"/>
  <c r="DB271" i="1"/>
  <c r="DB263" i="1"/>
  <c r="DB255" i="1"/>
  <c r="DB247" i="1"/>
  <c r="DB239" i="1"/>
  <c r="DB231" i="1"/>
  <c r="DB223" i="1"/>
  <c r="DB215" i="1"/>
  <c r="DB207" i="1"/>
  <c r="DB199" i="1"/>
  <c r="DB191" i="1"/>
  <c r="DB183" i="1"/>
  <c r="DB175" i="1"/>
  <c r="DB167" i="1"/>
  <c r="DB159" i="1"/>
  <c r="DB151" i="1"/>
  <c r="DB143" i="1"/>
  <c r="DB135" i="1"/>
  <c r="DB127" i="1"/>
  <c r="DB111" i="1"/>
  <c r="DB95" i="1"/>
  <c r="DB87" i="1"/>
  <c r="DB79" i="1"/>
  <c r="DB71" i="1"/>
  <c r="DB63" i="1"/>
  <c r="DB55" i="1"/>
  <c r="DB47" i="1"/>
  <c r="DB39" i="1"/>
  <c r="DB31" i="1"/>
  <c r="DB23" i="1"/>
  <c r="DB15" i="1"/>
  <c r="DB7" i="1"/>
  <c r="DA490" i="1"/>
  <c r="DA226" i="1"/>
  <c r="DB5" i="1"/>
  <c r="DA352" i="1"/>
  <c r="CZ328" i="1"/>
  <c r="DA418" i="1"/>
  <c r="DA250" i="1"/>
  <c r="DA213" i="1"/>
  <c r="DA431" i="1"/>
  <c r="DA311" i="1"/>
  <c r="CW119" i="1"/>
  <c r="DA417" i="1"/>
  <c r="N102" i="1"/>
  <c r="DA9" i="1"/>
  <c r="N355" i="1"/>
  <c r="N403" i="1"/>
  <c r="N408" i="1"/>
  <c r="N24" i="1"/>
  <c r="N148" i="1"/>
  <c r="N296" i="1"/>
  <c r="N243" i="1"/>
  <c r="CY430" i="1"/>
  <c r="DA326" i="1"/>
  <c r="CZ304" i="1"/>
  <c r="DA235" i="1"/>
  <c r="DA354" i="1"/>
  <c r="DA346" i="1"/>
  <c r="CW453" i="1"/>
  <c r="DA426" i="1"/>
  <c r="DA282" i="1"/>
  <c r="DA258" i="1"/>
  <c r="DA218" i="1"/>
  <c r="DA373" i="1"/>
  <c r="DA470" i="1"/>
  <c r="DA182" i="1"/>
  <c r="DA389" i="1"/>
  <c r="DA357" i="1"/>
  <c r="DA255" i="1"/>
  <c r="DA191" i="1"/>
  <c r="DA159" i="1"/>
  <c r="DA87" i="1"/>
  <c r="DA151" i="1"/>
  <c r="DA119" i="1"/>
  <c r="DA129" i="1"/>
  <c r="DA231" i="1"/>
  <c r="DA199" i="1"/>
  <c r="DA167" i="1"/>
  <c r="DA135" i="1"/>
  <c r="DA260" i="1"/>
  <c r="DA236" i="1"/>
  <c r="DA501" i="1"/>
  <c r="DA493" i="1"/>
  <c r="DA485" i="1"/>
  <c r="DA477" i="1"/>
  <c r="DA453" i="1"/>
  <c r="DA445" i="1"/>
  <c r="DA421" i="1"/>
  <c r="DA413" i="1"/>
  <c r="DA315" i="1"/>
  <c r="DA291" i="1"/>
  <c r="DA187" i="1"/>
  <c r="DA163" i="1"/>
  <c r="DA497" i="1"/>
  <c r="DA489" i="1"/>
  <c r="DA457" i="1"/>
  <c r="DA425" i="1"/>
  <c r="DA393" i="1"/>
  <c r="DA385" i="1"/>
  <c r="DA504" i="1"/>
  <c r="DA496" i="1"/>
  <c r="DA488" i="1"/>
  <c r="DA480" i="1"/>
  <c r="DA472" i="1"/>
  <c r="DA464" i="1"/>
  <c r="DA456" i="1"/>
  <c r="DA448" i="1"/>
  <c r="DA440" i="1"/>
  <c r="DA424" i="1"/>
  <c r="DA416" i="1"/>
  <c r="DA336" i="1"/>
  <c r="DA328" i="1"/>
  <c r="DA304" i="1"/>
  <c r="DA296" i="1"/>
  <c r="DA272" i="1"/>
  <c r="DA264" i="1"/>
  <c r="DA240" i="1"/>
  <c r="DA232" i="1"/>
  <c r="DA208" i="1"/>
  <c r="DA200" i="1"/>
  <c r="DA176" i="1"/>
  <c r="DA168" i="1"/>
  <c r="DA152" i="1"/>
  <c r="DA136" i="1"/>
  <c r="DA120" i="1"/>
  <c r="DA88" i="1"/>
  <c r="DA56" i="1"/>
  <c r="DA487" i="1"/>
  <c r="DA327" i="1"/>
  <c r="DA103" i="1"/>
  <c r="DA486" i="1"/>
  <c r="DA462" i="1"/>
  <c r="DA454" i="1"/>
  <c r="DA430" i="1"/>
  <c r="DA422" i="1"/>
  <c r="DA398" i="1"/>
  <c r="DA390" i="1"/>
  <c r="DA374" i="1"/>
  <c r="CY185" i="1"/>
  <c r="CY177" i="1"/>
  <c r="CY161" i="1"/>
  <c r="N57" i="1"/>
  <c r="CY129" i="1"/>
  <c r="N182" i="1"/>
  <c r="CY113" i="1"/>
  <c r="CY97" i="1"/>
  <c r="N346" i="1"/>
  <c r="CY473" i="1"/>
  <c r="CY283" i="1"/>
  <c r="N315" i="1"/>
  <c r="CY275" i="1"/>
  <c r="CZ259" i="1"/>
  <c r="CY251" i="1"/>
  <c r="CY243" i="1"/>
  <c r="CY235" i="1"/>
  <c r="CY227" i="1"/>
  <c r="N310" i="1"/>
  <c r="CZ219" i="1"/>
  <c r="CY211" i="1"/>
  <c r="CY203" i="1"/>
  <c r="CY195" i="1"/>
  <c r="CY179" i="1"/>
  <c r="CY171" i="1"/>
  <c r="CY155" i="1"/>
  <c r="CY147" i="1"/>
  <c r="CY139" i="1"/>
  <c r="CY131" i="1"/>
  <c r="CY123" i="1"/>
  <c r="CY115" i="1"/>
  <c r="CY107" i="1"/>
  <c r="CY99" i="1"/>
  <c r="CY91" i="1"/>
  <c r="CY83" i="1"/>
  <c r="CY75" i="1"/>
  <c r="CY67" i="1"/>
  <c r="CY51" i="1"/>
  <c r="CY35" i="1"/>
  <c r="CY19" i="1"/>
  <c r="CY300" i="1"/>
  <c r="CZ108" i="1"/>
  <c r="CZ92" i="1"/>
  <c r="CN13" i="1"/>
  <c r="CY481" i="1"/>
  <c r="N105" i="1"/>
  <c r="CY449" i="1"/>
  <c r="CY433" i="1"/>
  <c r="CY417" i="1"/>
  <c r="N220" i="1"/>
  <c r="CY345" i="1"/>
  <c r="CY337" i="1"/>
  <c r="N481" i="1"/>
  <c r="CY273" i="1"/>
  <c r="CY249" i="1"/>
  <c r="CY241" i="1"/>
  <c r="N146" i="1"/>
  <c r="N200" i="1"/>
  <c r="CY299" i="1"/>
  <c r="N444" i="1"/>
  <c r="N428" i="1"/>
  <c r="CZ452" i="1"/>
  <c r="CZ420" i="1"/>
  <c r="N179" i="1"/>
  <c r="CZ340" i="1"/>
  <c r="CY332" i="1"/>
  <c r="CY324" i="1"/>
  <c r="CY316" i="1"/>
  <c r="CY308" i="1"/>
  <c r="N406" i="1"/>
  <c r="CY292" i="1"/>
  <c r="CY284" i="1"/>
  <c r="CY276" i="1"/>
  <c r="CZ268" i="1"/>
  <c r="CY252" i="1"/>
  <c r="CY228" i="1"/>
  <c r="N97" i="1"/>
  <c r="CY220" i="1"/>
  <c r="CZ212" i="1"/>
  <c r="CZ204" i="1"/>
  <c r="N436" i="1"/>
  <c r="CZ196" i="1"/>
  <c r="CZ180" i="1"/>
  <c r="CZ172" i="1"/>
  <c r="CZ156" i="1"/>
  <c r="CZ140" i="1"/>
  <c r="CZ124" i="1"/>
  <c r="CW469" i="1"/>
  <c r="CW461" i="1"/>
  <c r="N45" i="1"/>
  <c r="CY437" i="1"/>
  <c r="CW405" i="1"/>
  <c r="CZ397" i="1"/>
  <c r="CZ381" i="1"/>
  <c r="N131" i="1"/>
  <c r="CZ365" i="1"/>
  <c r="CZ349" i="1"/>
  <c r="N192" i="1"/>
  <c r="CZ341" i="1"/>
  <c r="CZ333" i="1"/>
  <c r="CZ325" i="1"/>
  <c r="CZ317" i="1"/>
  <c r="CZ309" i="1"/>
  <c r="N40" i="1"/>
  <c r="CY301" i="1"/>
  <c r="CZ293" i="1"/>
  <c r="CZ285" i="1"/>
  <c r="CZ277" i="1"/>
  <c r="CZ269" i="1"/>
  <c r="CZ261" i="1"/>
  <c r="CZ253" i="1"/>
  <c r="CZ245" i="1"/>
  <c r="CS229" i="1"/>
  <c r="CP221" i="1"/>
  <c r="CW213" i="1"/>
  <c r="CO205" i="1"/>
  <c r="CQ197" i="1"/>
  <c r="CP189" i="1"/>
  <c r="N35" i="1"/>
  <c r="CY465" i="1"/>
  <c r="N36" i="1"/>
  <c r="CY409" i="1"/>
  <c r="CY401" i="1"/>
  <c r="CY377" i="1"/>
  <c r="CY369" i="1"/>
  <c r="CY361" i="1"/>
  <c r="CY353" i="1"/>
  <c r="N380" i="1"/>
  <c r="CY313" i="1"/>
  <c r="CY305" i="1"/>
  <c r="N99" i="1"/>
  <c r="CY217" i="1"/>
  <c r="CY307" i="1"/>
  <c r="CM5" i="1"/>
  <c r="N323" i="1"/>
  <c r="CY502" i="1"/>
  <c r="N6" i="1"/>
  <c r="CY478" i="1"/>
  <c r="CY470" i="1"/>
  <c r="CY446" i="1"/>
  <c r="N52" i="1"/>
  <c r="CZ438" i="1"/>
  <c r="CY414" i="1"/>
  <c r="N379" i="1"/>
  <c r="CY406" i="1"/>
  <c r="CY382" i="1"/>
  <c r="CY366" i="1"/>
  <c r="N282" i="1"/>
  <c r="CY358" i="1"/>
  <c r="N356" i="1"/>
  <c r="N18" i="1"/>
  <c r="N291" i="1"/>
  <c r="N267" i="1"/>
  <c r="N240" i="1"/>
  <c r="N290" i="1"/>
  <c r="N191" i="1"/>
  <c r="N338" i="1"/>
  <c r="N253" i="1"/>
  <c r="CY327" i="1"/>
  <c r="CY319" i="1"/>
  <c r="N305" i="1"/>
  <c r="N413" i="1"/>
  <c r="CY295" i="1"/>
  <c r="N449" i="1"/>
  <c r="CY287" i="1"/>
  <c r="CY263" i="1"/>
  <c r="N183" i="1"/>
  <c r="CW223" i="1"/>
  <c r="N202" i="1"/>
  <c r="CZ181" i="1"/>
  <c r="CG173" i="1"/>
  <c r="CE157" i="1"/>
  <c r="CQ141" i="1"/>
  <c r="CZ125" i="1"/>
  <c r="CA109" i="1"/>
  <c r="CE93" i="1"/>
  <c r="CP77" i="1"/>
  <c r="CS61" i="1"/>
  <c r="CA45" i="1"/>
  <c r="CF29" i="1"/>
  <c r="N260" i="1"/>
  <c r="N451" i="1"/>
  <c r="N221" i="1"/>
  <c r="CW103" i="1"/>
  <c r="N475" i="1"/>
  <c r="N119" i="1"/>
  <c r="N306" i="1"/>
  <c r="N466" i="1"/>
  <c r="CZ432" i="1"/>
  <c r="N187" i="1"/>
  <c r="N160" i="1"/>
  <c r="N482" i="1"/>
  <c r="CZ104" i="1"/>
  <c r="CZ72" i="1"/>
  <c r="CZ40" i="1"/>
  <c r="CZ24" i="1"/>
  <c r="CY441" i="1"/>
  <c r="CY209" i="1"/>
  <c r="CZ21" i="1"/>
  <c r="CZ5" i="1"/>
  <c r="CY494" i="1"/>
  <c r="CY350" i="1"/>
  <c r="CZ29" i="1"/>
  <c r="CY244" i="1"/>
  <c r="CZ188" i="1"/>
  <c r="CW429" i="1"/>
  <c r="CZ450" i="1"/>
  <c r="CZ266" i="1"/>
  <c r="CR154" i="1"/>
  <c r="N248" i="1"/>
  <c r="CZ498" i="1"/>
  <c r="N496" i="1"/>
  <c r="CZ482" i="1"/>
  <c r="CZ474" i="1"/>
  <c r="N174" i="1"/>
  <c r="CZ442" i="1"/>
  <c r="CZ434" i="1"/>
  <c r="CZ402" i="1"/>
  <c r="CZ394" i="1"/>
  <c r="CZ386" i="1"/>
  <c r="N348" i="1"/>
  <c r="CZ354" i="1"/>
  <c r="CZ330" i="1"/>
  <c r="CZ322" i="1"/>
  <c r="CZ314" i="1"/>
  <c r="CZ306" i="1"/>
  <c r="N134" i="1"/>
  <c r="CZ274" i="1"/>
  <c r="CZ250" i="1"/>
  <c r="CN242" i="1"/>
  <c r="CZ226" i="1"/>
  <c r="CN210" i="1"/>
  <c r="CS194" i="1"/>
  <c r="CN178" i="1"/>
  <c r="N165" i="1"/>
  <c r="CN122" i="1"/>
  <c r="CS114" i="1"/>
  <c r="CS98" i="1"/>
  <c r="CW90" i="1"/>
  <c r="CX82" i="1"/>
  <c r="CN58" i="1"/>
  <c r="CN50" i="1"/>
  <c r="CN34" i="1"/>
  <c r="CR26" i="1"/>
  <c r="N138" i="1"/>
  <c r="CZ418" i="1"/>
  <c r="CO218" i="1"/>
  <c r="CZ12" i="1"/>
  <c r="CZ490" i="1"/>
  <c r="CZ466" i="1"/>
  <c r="CZ458" i="1"/>
  <c r="N166" i="1"/>
  <c r="CZ426" i="1"/>
  <c r="CZ410" i="1"/>
  <c r="CZ378" i="1"/>
  <c r="CZ370" i="1"/>
  <c r="CZ362" i="1"/>
  <c r="CZ346" i="1"/>
  <c r="CZ338" i="1"/>
  <c r="N274" i="1"/>
  <c r="CZ298" i="1"/>
  <c r="CZ290" i="1"/>
  <c r="CZ282" i="1"/>
  <c r="CZ258" i="1"/>
  <c r="CS234" i="1"/>
  <c r="CN202" i="1"/>
  <c r="CQ186" i="1"/>
  <c r="CW170" i="1"/>
  <c r="CN162" i="1"/>
  <c r="CN146" i="1"/>
  <c r="CN138" i="1"/>
  <c r="CS130" i="1"/>
  <c r="N505" i="1"/>
  <c r="N32" i="1"/>
  <c r="CU106" i="1"/>
  <c r="CN74" i="1"/>
  <c r="CN66" i="1"/>
  <c r="CQ42" i="1"/>
  <c r="CN18" i="1"/>
  <c r="N302" i="1"/>
  <c r="N417" i="1"/>
  <c r="N359" i="1"/>
  <c r="N256" i="1"/>
  <c r="N254" i="1"/>
  <c r="N297" i="1"/>
  <c r="CY59" i="1"/>
  <c r="CY43" i="1"/>
  <c r="CY27" i="1"/>
  <c r="CZ404" i="1"/>
  <c r="CZ372" i="1"/>
  <c r="CZ356" i="1"/>
  <c r="CZ348" i="1"/>
  <c r="N458" i="1"/>
  <c r="CZ164" i="1"/>
  <c r="N387" i="1"/>
  <c r="CZ148" i="1"/>
  <c r="CZ132" i="1"/>
  <c r="CZ116" i="1"/>
  <c r="CZ100" i="1"/>
  <c r="N137" i="1"/>
  <c r="CZ84" i="1"/>
  <c r="CZ76" i="1"/>
  <c r="CZ68" i="1"/>
  <c r="CZ60" i="1"/>
  <c r="N327" i="1"/>
  <c r="CZ52" i="1"/>
  <c r="CZ44" i="1"/>
  <c r="N409" i="1"/>
  <c r="CZ36" i="1"/>
  <c r="N56" i="1"/>
  <c r="CZ28" i="1"/>
  <c r="CZ20" i="1"/>
  <c r="N46" i="1"/>
  <c r="CO237" i="1"/>
  <c r="CZ237" i="1"/>
  <c r="N486" i="1"/>
  <c r="CA165" i="1"/>
  <c r="CZ149" i="1"/>
  <c r="N11" i="1"/>
  <c r="CS133" i="1"/>
  <c r="CZ117" i="1"/>
  <c r="N344" i="1"/>
  <c r="CH101" i="1"/>
  <c r="CR85" i="1"/>
  <c r="CZ69" i="1"/>
  <c r="CA53" i="1"/>
  <c r="CA37" i="1"/>
  <c r="CS21" i="1"/>
  <c r="CZ445" i="1"/>
  <c r="CI166" i="1"/>
  <c r="CI158" i="1"/>
  <c r="CI142" i="1"/>
  <c r="CN134" i="1"/>
  <c r="CN126" i="1"/>
  <c r="CZ118" i="1"/>
  <c r="CI110" i="1"/>
  <c r="CS102" i="1"/>
  <c r="CK94" i="1"/>
  <c r="CI86" i="1"/>
  <c r="CN78" i="1"/>
  <c r="CI70" i="1"/>
  <c r="CI62" i="1"/>
  <c r="CK54" i="1"/>
  <c r="CI46" i="1"/>
  <c r="CI38" i="1"/>
  <c r="N352" i="1"/>
  <c r="CZ30" i="1"/>
  <c r="CI22" i="1"/>
  <c r="N13" i="1"/>
  <c r="CZ413" i="1"/>
  <c r="N94" i="1"/>
  <c r="N264" i="1"/>
  <c r="N48" i="1"/>
  <c r="N425" i="1"/>
  <c r="N231" i="1"/>
  <c r="CY16" i="1"/>
  <c r="CY8" i="1"/>
  <c r="CY342" i="1"/>
  <c r="CY334" i="1"/>
  <c r="CY326" i="1"/>
  <c r="CY318" i="1"/>
  <c r="CY310" i="1"/>
  <c r="CY302" i="1"/>
  <c r="N388" i="1"/>
  <c r="CY294" i="1"/>
  <c r="CY286" i="1"/>
  <c r="CY278" i="1"/>
  <c r="CY270" i="1"/>
  <c r="CY262" i="1"/>
  <c r="CY254" i="1"/>
  <c r="CZ246" i="1"/>
  <c r="CY238" i="1"/>
  <c r="CZ230" i="1"/>
  <c r="CY222" i="1"/>
  <c r="CY214" i="1"/>
  <c r="CV206" i="1"/>
  <c r="CS198" i="1"/>
  <c r="CP190" i="1"/>
  <c r="CI182" i="1"/>
  <c r="CI174" i="1"/>
  <c r="N396" i="1"/>
  <c r="CI150" i="1"/>
  <c r="N329" i="1"/>
  <c r="CY15" i="1"/>
  <c r="CZ7" i="1"/>
  <c r="CZ503" i="1"/>
  <c r="CW495" i="1"/>
  <c r="CW487" i="1"/>
  <c r="CW479" i="1"/>
  <c r="CW471" i="1"/>
  <c r="CW463" i="1"/>
  <c r="CY455" i="1"/>
  <c r="CW447" i="1"/>
  <c r="CW439" i="1"/>
  <c r="CW423" i="1"/>
  <c r="CW415" i="1"/>
  <c r="CW407" i="1"/>
  <c r="CW399" i="1"/>
  <c r="CW391" i="1"/>
  <c r="CY383" i="1"/>
  <c r="CY375" i="1"/>
  <c r="CY367" i="1"/>
  <c r="CY359" i="1"/>
  <c r="CY351" i="1"/>
  <c r="CY343" i="1"/>
  <c r="CY335" i="1"/>
  <c r="CY311" i="1"/>
  <c r="CY303" i="1"/>
  <c r="CY279" i="1"/>
  <c r="CY271" i="1"/>
  <c r="CW247" i="1"/>
  <c r="CZ239" i="1"/>
  <c r="CW215" i="1"/>
  <c r="CW207" i="1"/>
  <c r="CW183" i="1"/>
  <c r="CZ175" i="1"/>
  <c r="N350" i="1"/>
  <c r="CW143" i="1"/>
  <c r="CW127" i="1"/>
  <c r="N257" i="1"/>
  <c r="CW111" i="1"/>
  <c r="N318" i="1"/>
  <c r="CW95" i="1"/>
  <c r="CZ79" i="1"/>
  <c r="CW71" i="1"/>
  <c r="CW63" i="1"/>
  <c r="N123" i="1"/>
  <c r="CW55" i="1"/>
  <c r="CW47" i="1"/>
  <c r="CW39" i="1"/>
  <c r="N109" i="1"/>
  <c r="CW31" i="1"/>
  <c r="N308" i="1"/>
  <c r="CW23" i="1"/>
  <c r="CZ10" i="1"/>
  <c r="N457" i="1"/>
  <c r="CZ14" i="1"/>
  <c r="CZ6" i="1"/>
  <c r="CZ408" i="1"/>
  <c r="CZ400" i="1"/>
  <c r="CZ392" i="1"/>
  <c r="CZ384" i="1"/>
  <c r="CZ376" i="1"/>
  <c r="CZ368" i="1"/>
  <c r="CZ360" i="1"/>
  <c r="CZ352" i="1"/>
  <c r="CZ344" i="1"/>
  <c r="CZ320" i="1"/>
  <c r="CZ312" i="1"/>
  <c r="CZ288" i="1"/>
  <c r="CZ256" i="1"/>
  <c r="CZ248" i="1"/>
  <c r="CZ224" i="1"/>
  <c r="CZ216" i="1"/>
  <c r="CZ192" i="1"/>
  <c r="CZ184" i="1"/>
  <c r="CZ160" i="1"/>
  <c r="CZ144" i="1"/>
  <c r="CZ128" i="1"/>
  <c r="CZ112" i="1"/>
  <c r="N115" i="1"/>
  <c r="CZ96" i="1"/>
  <c r="CZ80" i="1"/>
  <c r="CZ64" i="1"/>
  <c r="CZ48" i="1"/>
  <c r="CZ32" i="1"/>
  <c r="N49" i="1"/>
  <c r="CY329" i="1"/>
  <c r="CY321" i="1"/>
  <c r="CY297" i="1"/>
  <c r="CY289" i="1"/>
  <c r="CY281" i="1"/>
  <c r="CZ265" i="1"/>
  <c r="CY257" i="1"/>
  <c r="CY233" i="1"/>
  <c r="CY225" i="1"/>
  <c r="CY201" i="1"/>
  <c r="CZ193" i="1"/>
  <c r="CY169" i="1"/>
  <c r="CY153" i="1"/>
  <c r="CY137" i="1"/>
  <c r="CY121" i="1"/>
  <c r="CZ105" i="1"/>
  <c r="CY89" i="1"/>
  <c r="CY81" i="1"/>
  <c r="CY73" i="1"/>
  <c r="CZ65" i="1"/>
  <c r="CY57" i="1"/>
  <c r="CY49" i="1"/>
  <c r="CY41" i="1"/>
  <c r="CY33" i="1"/>
  <c r="CZ25" i="1"/>
  <c r="CY17" i="1"/>
  <c r="CZ37" i="1"/>
  <c r="CZ189" i="1"/>
  <c r="CZ23" i="1"/>
  <c r="CY145" i="1"/>
  <c r="CZ173" i="1"/>
  <c r="CZ16" i="1"/>
  <c r="CY267" i="1"/>
  <c r="CZ109" i="1"/>
  <c r="CZ13" i="1"/>
  <c r="CZ61" i="1"/>
  <c r="CZ8" i="1"/>
  <c r="CZ477" i="1"/>
  <c r="CZ301" i="1"/>
  <c r="CZ45" i="1"/>
  <c r="CZ501" i="1"/>
  <c r="CZ469" i="1"/>
  <c r="CZ437" i="1"/>
  <c r="CZ405" i="1"/>
  <c r="CZ431" i="1"/>
  <c r="CZ229" i="1"/>
  <c r="CZ165" i="1"/>
  <c r="CZ101" i="1"/>
  <c r="CY280" i="1"/>
  <c r="CZ280" i="1"/>
  <c r="CZ493" i="1"/>
  <c r="CZ461" i="1"/>
  <c r="CZ429" i="1"/>
  <c r="CZ221" i="1"/>
  <c r="CZ157" i="1"/>
  <c r="CZ93" i="1"/>
  <c r="CZ456" i="1"/>
  <c r="CZ424" i="1"/>
  <c r="CZ213" i="1"/>
  <c r="CZ85" i="1"/>
  <c r="CZ485" i="1"/>
  <c r="CZ453" i="1"/>
  <c r="CZ421" i="1"/>
  <c r="CZ205" i="1"/>
  <c r="CZ141" i="1"/>
  <c r="CZ77" i="1"/>
  <c r="CY492" i="1"/>
  <c r="CZ492" i="1"/>
  <c r="CY428" i="1"/>
  <c r="CZ428" i="1"/>
  <c r="CY11" i="1"/>
  <c r="CZ11" i="1"/>
  <c r="CY499" i="1"/>
  <c r="CZ499" i="1"/>
  <c r="CY491" i="1"/>
  <c r="CZ491" i="1"/>
  <c r="CY483" i="1"/>
  <c r="CZ483" i="1"/>
  <c r="CY475" i="1"/>
  <c r="CZ475" i="1"/>
  <c r="CY467" i="1"/>
  <c r="CZ467" i="1"/>
  <c r="CY459" i="1"/>
  <c r="CZ459" i="1"/>
  <c r="CY451" i="1"/>
  <c r="CZ451" i="1"/>
  <c r="CY443" i="1"/>
  <c r="CZ443" i="1"/>
  <c r="CY435" i="1"/>
  <c r="CZ435" i="1"/>
  <c r="CY427" i="1"/>
  <c r="CZ427" i="1"/>
  <c r="CY419" i="1"/>
  <c r="CZ419" i="1"/>
  <c r="CY411" i="1"/>
  <c r="CZ411" i="1"/>
  <c r="CY403" i="1"/>
  <c r="CZ403" i="1"/>
  <c r="CY395" i="1"/>
  <c r="CZ395" i="1"/>
  <c r="CY387" i="1"/>
  <c r="CZ387" i="1"/>
  <c r="CY379" i="1"/>
  <c r="CZ379" i="1"/>
  <c r="CY371" i="1"/>
  <c r="CZ371" i="1"/>
  <c r="CY363" i="1"/>
  <c r="CZ363" i="1"/>
  <c r="CY355" i="1"/>
  <c r="CZ355" i="1"/>
  <c r="CY347" i="1"/>
  <c r="CZ347" i="1"/>
  <c r="CY339" i="1"/>
  <c r="CZ339" i="1"/>
  <c r="CY331" i="1"/>
  <c r="CZ331" i="1"/>
  <c r="CY323" i="1"/>
  <c r="CZ323" i="1"/>
  <c r="CZ197" i="1"/>
  <c r="CZ133" i="1"/>
  <c r="CY500" i="1"/>
  <c r="CZ500" i="1"/>
  <c r="CY484" i="1"/>
  <c r="CZ484" i="1"/>
  <c r="CY476" i="1"/>
  <c r="CZ476" i="1"/>
  <c r="CY468" i="1"/>
  <c r="CZ468" i="1"/>
  <c r="CY460" i="1"/>
  <c r="CZ460" i="1"/>
  <c r="CY444" i="1"/>
  <c r="CZ444" i="1"/>
  <c r="CY436" i="1"/>
  <c r="CZ436" i="1"/>
  <c r="CY412" i="1"/>
  <c r="CZ412" i="1"/>
  <c r="CY396" i="1"/>
  <c r="CZ396" i="1"/>
  <c r="CY388" i="1"/>
  <c r="CZ388" i="1"/>
  <c r="CY380" i="1"/>
  <c r="CZ380" i="1"/>
  <c r="CY364" i="1"/>
  <c r="CZ364" i="1"/>
  <c r="CY9" i="1"/>
  <c r="CZ9" i="1"/>
  <c r="CZ53" i="1"/>
  <c r="CZ332" i="1"/>
  <c r="CZ324" i="1"/>
  <c r="CZ316" i="1"/>
  <c r="CZ308" i="1"/>
  <c r="CZ300" i="1"/>
  <c r="CZ292" i="1"/>
  <c r="CZ284" i="1"/>
  <c r="CZ276" i="1"/>
  <c r="CZ252" i="1"/>
  <c r="CZ244" i="1"/>
  <c r="CZ236" i="1"/>
  <c r="CZ228" i="1"/>
  <c r="CZ220" i="1"/>
  <c r="CZ315" i="1"/>
  <c r="CZ307" i="1"/>
  <c r="CZ299" i="1"/>
  <c r="CZ283" i="1"/>
  <c r="CZ275" i="1"/>
  <c r="CZ267" i="1"/>
  <c r="CZ251" i="1"/>
  <c r="CZ243" i="1"/>
  <c r="CZ235" i="1"/>
  <c r="CZ227" i="1"/>
  <c r="CZ211" i="1"/>
  <c r="CZ203" i="1"/>
  <c r="CZ195" i="1"/>
  <c r="CZ187" i="1"/>
  <c r="CZ179" i="1"/>
  <c r="CZ171" i="1"/>
  <c r="CZ163" i="1"/>
  <c r="CZ155" i="1"/>
  <c r="CZ147" i="1"/>
  <c r="CZ139" i="1"/>
  <c r="CZ131" i="1"/>
  <c r="CZ123" i="1"/>
  <c r="CZ115" i="1"/>
  <c r="CZ107" i="1"/>
  <c r="CZ99" i="1"/>
  <c r="CZ91" i="1"/>
  <c r="CZ83" i="1"/>
  <c r="CZ75" i="1"/>
  <c r="CZ67" i="1"/>
  <c r="CZ59" i="1"/>
  <c r="CZ51" i="1"/>
  <c r="CZ43" i="1"/>
  <c r="CZ35" i="1"/>
  <c r="CZ27" i="1"/>
  <c r="CZ19" i="1"/>
  <c r="CZ242" i="1"/>
  <c r="CZ234" i="1"/>
  <c r="CZ218" i="1"/>
  <c r="CZ210" i="1"/>
  <c r="CZ202" i="1"/>
  <c r="CZ194" i="1"/>
  <c r="CZ186" i="1"/>
  <c r="CZ178" i="1"/>
  <c r="CZ170" i="1"/>
  <c r="CZ162" i="1"/>
  <c r="CZ154" i="1"/>
  <c r="CZ146" i="1"/>
  <c r="CZ138" i="1"/>
  <c r="CZ130" i="1"/>
  <c r="CZ122" i="1"/>
  <c r="CZ114" i="1"/>
  <c r="CZ106" i="1"/>
  <c r="CZ98" i="1"/>
  <c r="CZ90" i="1"/>
  <c r="CZ82" i="1"/>
  <c r="CZ74" i="1"/>
  <c r="CZ66" i="1"/>
  <c r="CZ58" i="1"/>
  <c r="CZ50" i="1"/>
  <c r="CZ42" i="1"/>
  <c r="CZ34" i="1"/>
  <c r="CZ26" i="1"/>
  <c r="CZ18" i="1"/>
  <c r="CZ497" i="1"/>
  <c r="CZ489" i="1"/>
  <c r="CZ481" i="1"/>
  <c r="CZ473" i="1"/>
  <c r="CZ465" i="1"/>
  <c r="CZ457" i="1"/>
  <c r="CZ449" i="1"/>
  <c r="CZ441" i="1"/>
  <c r="CZ433" i="1"/>
  <c r="CZ417" i="1"/>
  <c r="CZ409" i="1"/>
  <c r="CZ401" i="1"/>
  <c r="CZ393" i="1"/>
  <c r="CZ385" i="1"/>
  <c r="CZ377" i="1"/>
  <c r="CZ369" i="1"/>
  <c r="CZ361" i="1"/>
  <c r="CZ353" i="1"/>
  <c r="CZ345" i="1"/>
  <c r="CZ337" i="1"/>
  <c r="CZ329" i="1"/>
  <c r="CZ321" i="1"/>
  <c r="CZ313" i="1"/>
  <c r="CZ305" i="1"/>
  <c r="CZ297" i="1"/>
  <c r="CZ289" i="1"/>
  <c r="CZ281" i="1"/>
  <c r="CZ273" i="1"/>
  <c r="CZ257" i="1"/>
  <c r="CZ249" i="1"/>
  <c r="CZ241" i="1"/>
  <c r="CZ233" i="1"/>
  <c r="CZ225" i="1"/>
  <c r="CZ217" i="1"/>
  <c r="CZ209" i="1"/>
  <c r="CZ201" i="1"/>
  <c r="CZ185" i="1"/>
  <c r="CZ177" i="1"/>
  <c r="CZ169" i="1"/>
  <c r="CZ161" i="1"/>
  <c r="CZ153" i="1"/>
  <c r="CZ145" i="1"/>
  <c r="CZ137" i="1"/>
  <c r="CZ129" i="1"/>
  <c r="CZ121" i="1"/>
  <c r="CZ113" i="1"/>
  <c r="CZ97" i="1"/>
  <c r="CZ89" i="1"/>
  <c r="CZ81" i="1"/>
  <c r="CZ73" i="1"/>
  <c r="CZ57" i="1"/>
  <c r="CZ49" i="1"/>
  <c r="CZ41" i="1"/>
  <c r="CZ33" i="1"/>
  <c r="CZ17" i="1"/>
  <c r="CZ495" i="1"/>
  <c r="CZ487" i="1"/>
  <c r="CZ479" i="1"/>
  <c r="CZ471" i="1"/>
  <c r="CZ463" i="1"/>
  <c r="CZ455" i="1"/>
  <c r="CZ447" i="1"/>
  <c r="CZ439" i="1"/>
  <c r="CZ423" i="1"/>
  <c r="CZ415" i="1"/>
  <c r="CZ407" i="1"/>
  <c r="CZ399" i="1"/>
  <c r="CZ391" i="1"/>
  <c r="CZ383" i="1"/>
  <c r="CZ375" i="1"/>
  <c r="CZ367" i="1"/>
  <c r="CZ359" i="1"/>
  <c r="CZ351" i="1"/>
  <c r="CZ343" i="1"/>
  <c r="CZ335" i="1"/>
  <c r="CZ327" i="1"/>
  <c r="CZ319" i="1"/>
  <c r="CZ311" i="1"/>
  <c r="CZ303" i="1"/>
  <c r="CZ295" i="1"/>
  <c r="CZ287" i="1"/>
  <c r="CZ279" i="1"/>
  <c r="CZ271" i="1"/>
  <c r="CZ263" i="1"/>
  <c r="CZ255" i="1"/>
  <c r="CZ247" i="1"/>
  <c r="CZ231" i="1"/>
  <c r="CZ223" i="1"/>
  <c r="CZ215" i="1"/>
  <c r="CZ207" i="1"/>
  <c r="CZ199" i="1"/>
  <c r="CZ191" i="1"/>
  <c r="CZ183" i="1"/>
  <c r="CZ167" i="1"/>
  <c r="CZ159" i="1"/>
  <c r="CZ151" i="1"/>
  <c r="CZ143" i="1"/>
  <c r="CZ135" i="1"/>
  <c r="CZ127" i="1"/>
  <c r="CZ119" i="1"/>
  <c r="CZ111" i="1"/>
  <c r="CZ103" i="1"/>
  <c r="CZ95" i="1"/>
  <c r="CZ87" i="1"/>
  <c r="CZ71" i="1"/>
  <c r="CZ63" i="1"/>
  <c r="CZ55" i="1"/>
  <c r="CZ47" i="1"/>
  <c r="CZ39" i="1"/>
  <c r="CZ31" i="1"/>
  <c r="CZ15" i="1"/>
  <c r="CZ502" i="1"/>
  <c r="CZ494" i="1"/>
  <c r="CZ486" i="1"/>
  <c r="CZ478" i="1"/>
  <c r="CZ470" i="1"/>
  <c r="CZ462" i="1"/>
  <c r="CZ454" i="1"/>
  <c r="CZ446" i="1"/>
  <c r="CZ430" i="1"/>
  <c r="CZ422" i="1"/>
  <c r="CZ414" i="1"/>
  <c r="CZ406" i="1"/>
  <c r="CZ398" i="1"/>
  <c r="CZ390" i="1"/>
  <c r="CZ382" i="1"/>
  <c r="CZ374" i="1"/>
  <c r="CZ366" i="1"/>
  <c r="CZ358" i="1"/>
  <c r="CZ350" i="1"/>
  <c r="CZ342" i="1"/>
  <c r="CZ334" i="1"/>
  <c r="CZ326" i="1"/>
  <c r="CZ318" i="1"/>
  <c r="CZ310" i="1"/>
  <c r="CZ302" i="1"/>
  <c r="CZ294" i="1"/>
  <c r="CZ286" i="1"/>
  <c r="CZ278" i="1"/>
  <c r="CZ270" i="1"/>
  <c r="CZ262" i="1"/>
  <c r="CZ254" i="1"/>
  <c r="CZ238" i="1"/>
  <c r="CZ222" i="1"/>
  <c r="CZ214" i="1"/>
  <c r="CZ206" i="1"/>
  <c r="CZ198" i="1"/>
  <c r="CZ190" i="1"/>
  <c r="CZ182" i="1"/>
  <c r="CZ174" i="1"/>
  <c r="CZ166" i="1"/>
  <c r="CZ158" i="1"/>
  <c r="CZ150" i="1"/>
  <c r="CZ142" i="1"/>
  <c r="CZ134" i="1"/>
  <c r="CZ126" i="1"/>
  <c r="CZ110" i="1"/>
  <c r="CZ102" i="1"/>
  <c r="CZ94" i="1"/>
  <c r="CZ86" i="1"/>
  <c r="CZ78" i="1"/>
  <c r="CZ70" i="1"/>
  <c r="CZ62" i="1"/>
  <c r="CZ54" i="1"/>
  <c r="CZ46" i="1"/>
  <c r="CZ38" i="1"/>
  <c r="CZ22" i="1"/>
  <c r="CY246" i="1"/>
  <c r="CY230" i="1"/>
  <c r="CY118" i="1"/>
  <c r="CI30" i="1"/>
  <c r="CF125" i="1"/>
  <c r="CT117" i="1"/>
  <c r="CY438" i="1"/>
  <c r="CS181" i="1"/>
  <c r="CA69" i="1"/>
  <c r="CY425" i="1"/>
  <c r="CW503" i="1"/>
  <c r="CY10" i="1"/>
  <c r="CY452" i="1"/>
  <c r="CY348" i="1"/>
  <c r="CW431" i="1"/>
  <c r="CW79" i="1"/>
  <c r="CY193" i="1"/>
  <c r="CY105" i="1"/>
  <c r="CY25" i="1"/>
  <c r="CY291" i="1"/>
  <c r="CY5" i="1"/>
  <c r="CY420" i="1"/>
  <c r="CY268" i="1"/>
  <c r="CY65" i="1"/>
  <c r="CY404" i="1"/>
  <c r="CY372" i="1"/>
  <c r="CY356" i="1"/>
  <c r="CY260" i="1"/>
  <c r="CY157" i="1"/>
  <c r="CW239" i="1"/>
  <c r="CW175" i="1"/>
  <c r="CY125" i="1"/>
  <c r="CY259" i="1"/>
  <c r="CY29" i="1"/>
  <c r="CR149" i="1"/>
  <c r="CX39" i="1"/>
  <c r="CY229" i="1"/>
  <c r="CY197" i="1"/>
  <c r="CY165" i="1"/>
  <c r="CY133" i="1"/>
  <c r="CY101" i="1"/>
  <c r="CY69" i="1"/>
  <c r="CY37" i="1"/>
  <c r="CY340" i="1"/>
  <c r="CY212" i="1"/>
  <c r="CY93" i="1"/>
  <c r="CX149" i="1"/>
  <c r="CY7" i="1"/>
  <c r="CX85" i="1"/>
  <c r="CY213" i="1"/>
  <c r="CY181" i="1"/>
  <c r="CY149" i="1"/>
  <c r="CY117" i="1"/>
  <c r="CY85" i="1"/>
  <c r="CY53" i="1"/>
  <c r="CY21" i="1"/>
  <c r="CX21" i="1"/>
  <c r="CY205" i="1"/>
  <c r="CY173" i="1"/>
  <c r="CY141" i="1"/>
  <c r="CY109" i="1"/>
  <c r="CY77" i="1"/>
  <c r="CY45" i="1"/>
  <c r="CY13" i="1"/>
  <c r="CX213" i="1"/>
  <c r="CY221" i="1"/>
  <c r="CY189" i="1"/>
  <c r="CY61" i="1"/>
  <c r="CY265" i="1"/>
  <c r="CN226" i="1"/>
  <c r="CP12" i="1"/>
  <c r="CY12" i="1"/>
  <c r="CS498" i="1"/>
  <c r="CY498" i="1"/>
  <c r="CN490" i="1"/>
  <c r="CY490" i="1"/>
  <c r="CV482" i="1"/>
  <c r="CY482" i="1"/>
  <c r="CW474" i="1"/>
  <c r="CY474" i="1"/>
  <c r="CS466" i="1"/>
  <c r="CY466" i="1"/>
  <c r="CV458" i="1"/>
  <c r="CY458" i="1"/>
  <c r="CN450" i="1"/>
  <c r="CY450" i="1"/>
  <c r="CN442" i="1"/>
  <c r="CY442" i="1"/>
  <c r="CS434" i="1"/>
  <c r="CY434" i="1"/>
  <c r="CU426" i="1"/>
  <c r="CY426" i="1"/>
  <c r="CS418" i="1"/>
  <c r="CY418" i="1"/>
  <c r="CN410" i="1"/>
  <c r="CY410" i="1"/>
  <c r="CN402" i="1"/>
  <c r="CY402" i="1"/>
  <c r="CQ394" i="1"/>
  <c r="CY394" i="1"/>
  <c r="CN386" i="1"/>
  <c r="CY386" i="1"/>
  <c r="CN378" i="1"/>
  <c r="CY378" i="1"/>
  <c r="CN370" i="1"/>
  <c r="CY370" i="1"/>
  <c r="CN362" i="1"/>
  <c r="CY362" i="1"/>
  <c r="CN354" i="1"/>
  <c r="CY354" i="1"/>
  <c r="CP346" i="1"/>
  <c r="CY346" i="1"/>
  <c r="CP338" i="1"/>
  <c r="CY338" i="1"/>
  <c r="CP330" i="1"/>
  <c r="CY330" i="1"/>
  <c r="CP322" i="1"/>
  <c r="CY322" i="1"/>
  <c r="CP314" i="1"/>
  <c r="CY314" i="1"/>
  <c r="CU306" i="1"/>
  <c r="CY306" i="1"/>
  <c r="CS298" i="1"/>
  <c r="CY298" i="1"/>
  <c r="CN290" i="1"/>
  <c r="CY290" i="1"/>
  <c r="CN282" i="1"/>
  <c r="CY282" i="1"/>
  <c r="CS274" i="1"/>
  <c r="CY274" i="1"/>
  <c r="CN266" i="1"/>
  <c r="CY266" i="1"/>
  <c r="CU258" i="1"/>
  <c r="CY258" i="1"/>
  <c r="CN250" i="1"/>
  <c r="CY250" i="1"/>
  <c r="CY501" i="1"/>
  <c r="CY469" i="1"/>
  <c r="CY405" i="1"/>
  <c r="CY219" i="1"/>
  <c r="CN204" i="1"/>
  <c r="CY204" i="1"/>
  <c r="CN196" i="1"/>
  <c r="CY196" i="1"/>
  <c r="CO188" i="1"/>
  <c r="CY188" i="1"/>
  <c r="CN180" i="1"/>
  <c r="CY180" i="1"/>
  <c r="CN172" i="1"/>
  <c r="CY172" i="1"/>
  <c r="CR164" i="1"/>
  <c r="CY164" i="1"/>
  <c r="CO156" i="1"/>
  <c r="CY156" i="1"/>
  <c r="CQ148" i="1"/>
  <c r="CY148" i="1"/>
  <c r="CW140" i="1"/>
  <c r="CY140" i="1"/>
  <c r="CT132" i="1"/>
  <c r="CY132" i="1"/>
  <c r="CO124" i="1"/>
  <c r="CY124" i="1"/>
  <c r="CS116" i="1"/>
  <c r="CY116" i="1"/>
  <c r="CN108" i="1"/>
  <c r="CY108" i="1"/>
  <c r="CN100" i="1"/>
  <c r="CY100" i="1"/>
  <c r="CO92" i="1"/>
  <c r="CY92" i="1"/>
  <c r="CS84" i="1"/>
  <c r="CY84" i="1"/>
  <c r="CS76" i="1"/>
  <c r="CY76" i="1"/>
  <c r="CN68" i="1"/>
  <c r="CY68" i="1"/>
  <c r="CO60" i="1"/>
  <c r="CY60" i="1"/>
  <c r="CO52" i="1"/>
  <c r="CY52" i="1"/>
  <c r="CN44" i="1"/>
  <c r="CY44" i="1"/>
  <c r="CO36" i="1"/>
  <c r="CY36" i="1"/>
  <c r="CO28" i="1"/>
  <c r="CY28" i="1"/>
  <c r="CO20" i="1"/>
  <c r="CY20" i="1"/>
  <c r="CY493" i="1"/>
  <c r="CY461" i="1"/>
  <c r="CY429" i="1"/>
  <c r="CW437" i="1"/>
  <c r="CX437" i="1"/>
  <c r="CW397" i="1"/>
  <c r="CY397" i="1"/>
  <c r="CW389" i="1"/>
  <c r="CY389" i="1"/>
  <c r="CW381" i="1"/>
  <c r="CY381" i="1"/>
  <c r="CW373" i="1"/>
  <c r="CY373" i="1"/>
  <c r="CW365" i="1"/>
  <c r="CY365" i="1"/>
  <c r="CW357" i="1"/>
  <c r="CY357" i="1"/>
  <c r="CW349" i="1"/>
  <c r="CX349" i="1"/>
  <c r="CY349" i="1"/>
  <c r="CW341" i="1"/>
  <c r="CY341" i="1"/>
  <c r="CW333" i="1"/>
  <c r="CY333" i="1"/>
  <c r="CW325" i="1"/>
  <c r="CY325" i="1"/>
  <c r="CW317" i="1"/>
  <c r="CY317" i="1"/>
  <c r="CW309" i="1"/>
  <c r="CY309" i="1"/>
  <c r="CS293" i="1"/>
  <c r="CY293" i="1"/>
  <c r="CR285" i="1"/>
  <c r="CY285" i="1"/>
  <c r="CP277" i="1"/>
  <c r="CY277" i="1"/>
  <c r="CO269" i="1"/>
  <c r="CY269" i="1"/>
  <c r="CS261" i="1"/>
  <c r="CY261" i="1"/>
  <c r="CP253" i="1"/>
  <c r="CY253" i="1"/>
  <c r="CP245" i="1"/>
  <c r="CY245" i="1"/>
  <c r="CY485" i="1"/>
  <c r="CY453" i="1"/>
  <c r="CY421" i="1"/>
  <c r="CW14" i="1"/>
  <c r="CY14" i="1"/>
  <c r="CW6" i="1"/>
  <c r="CY6" i="1"/>
  <c r="CN504" i="1"/>
  <c r="CY504" i="1"/>
  <c r="CN496" i="1"/>
  <c r="CY496" i="1"/>
  <c r="CS488" i="1"/>
  <c r="CY488" i="1"/>
  <c r="CR480" i="1"/>
  <c r="CY480" i="1"/>
  <c r="CN472" i="1"/>
  <c r="CY472" i="1"/>
  <c r="CP464" i="1"/>
  <c r="CY464" i="1"/>
  <c r="CN448" i="1"/>
  <c r="CY448" i="1"/>
  <c r="CN440" i="1"/>
  <c r="CY440" i="1"/>
  <c r="CN432" i="1"/>
  <c r="CY432" i="1"/>
  <c r="CN416" i="1"/>
  <c r="CY416" i="1"/>
  <c r="CN408" i="1"/>
  <c r="CY408" i="1"/>
  <c r="CN400" i="1"/>
  <c r="CY400" i="1"/>
  <c r="CN392" i="1"/>
  <c r="CY392" i="1"/>
  <c r="CN384" i="1"/>
  <c r="CY384" i="1"/>
  <c r="CN376" i="1"/>
  <c r="CY376" i="1"/>
  <c r="CN368" i="1"/>
  <c r="CY368" i="1"/>
  <c r="CU360" i="1"/>
  <c r="CY360" i="1"/>
  <c r="CN352" i="1"/>
  <c r="CY352" i="1"/>
  <c r="CR344" i="1"/>
  <c r="CY344" i="1"/>
  <c r="CN336" i="1"/>
  <c r="CY336" i="1"/>
  <c r="CN328" i="1"/>
  <c r="CY328" i="1"/>
  <c r="CW320" i="1"/>
  <c r="CY320" i="1"/>
  <c r="CS312" i="1"/>
  <c r="CY312" i="1"/>
  <c r="CW304" i="1"/>
  <c r="CY304" i="1"/>
  <c r="CW296" i="1"/>
  <c r="CY296" i="1"/>
  <c r="CW288" i="1"/>
  <c r="CY288" i="1"/>
  <c r="CW272" i="1"/>
  <c r="CY272" i="1"/>
  <c r="CW264" i="1"/>
  <c r="CY264" i="1"/>
  <c r="CW256" i="1"/>
  <c r="CY256" i="1"/>
  <c r="CW248" i="1"/>
  <c r="CY248" i="1"/>
  <c r="CW240" i="1"/>
  <c r="CY240" i="1"/>
  <c r="CW232" i="1"/>
  <c r="CY232" i="1"/>
  <c r="CW224" i="1"/>
  <c r="CY224" i="1"/>
  <c r="CW216" i="1"/>
  <c r="CY216" i="1"/>
  <c r="CW208" i="1"/>
  <c r="CY208" i="1"/>
  <c r="CW200" i="1"/>
  <c r="CY200" i="1"/>
  <c r="CW192" i="1"/>
  <c r="CY192" i="1"/>
  <c r="CW184" i="1"/>
  <c r="CY184" i="1"/>
  <c r="CW176" i="1"/>
  <c r="CY176" i="1"/>
  <c r="CW168" i="1"/>
  <c r="CY168" i="1"/>
  <c r="CW160" i="1"/>
  <c r="CY160" i="1"/>
  <c r="CW152" i="1"/>
  <c r="CY152" i="1"/>
  <c r="CW144" i="1"/>
  <c r="CY144" i="1"/>
  <c r="CW136" i="1"/>
  <c r="CY136" i="1"/>
  <c r="CW128" i="1"/>
  <c r="CY128" i="1"/>
  <c r="CX120" i="1"/>
  <c r="CY120" i="1"/>
  <c r="CW112" i="1"/>
  <c r="CY112" i="1"/>
  <c r="CW104" i="1"/>
  <c r="CY104" i="1"/>
  <c r="CW96" i="1"/>
  <c r="CY96" i="1"/>
  <c r="CW88" i="1"/>
  <c r="CY88" i="1"/>
  <c r="CW80" i="1"/>
  <c r="CY80" i="1"/>
  <c r="CW72" i="1"/>
  <c r="CY72" i="1"/>
  <c r="CW64" i="1"/>
  <c r="CY64" i="1"/>
  <c r="CW56" i="1"/>
  <c r="CY56" i="1"/>
  <c r="CW48" i="1"/>
  <c r="CY48" i="1"/>
  <c r="CW40" i="1"/>
  <c r="CY40" i="1"/>
  <c r="CW32" i="1"/>
  <c r="CY32" i="1"/>
  <c r="CW24" i="1"/>
  <c r="CY24" i="1"/>
  <c r="CY477" i="1"/>
  <c r="CY445" i="1"/>
  <c r="CY413" i="1"/>
  <c r="CY237" i="1"/>
  <c r="CX199" i="1"/>
  <c r="CX71" i="1"/>
  <c r="CX181" i="1"/>
  <c r="CX53" i="1"/>
  <c r="CY187" i="1"/>
  <c r="CX167" i="1"/>
  <c r="CY242" i="1"/>
  <c r="CY234" i="1"/>
  <c r="CY226" i="1"/>
  <c r="CY218" i="1"/>
  <c r="CY210" i="1"/>
  <c r="CY202" i="1"/>
  <c r="CY194" i="1"/>
  <c r="CY186" i="1"/>
  <c r="CY178" i="1"/>
  <c r="CY170" i="1"/>
  <c r="CY162" i="1"/>
  <c r="CY154" i="1"/>
  <c r="CY146" i="1"/>
  <c r="CY138" i="1"/>
  <c r="CY130" i="1"/>
  <c r="CY122" i="1"/>
  <c r="CY114" i="1"/>
  <c r="CY106" i="1"/>
  <c r="CY98" i="1"/>
  <c r="CY90" i="1"/>
  <c r="CY82" i="1"/>
  <c r="CY74" i="1"/>
  <c r="CY66" i="1"/>
  <c r="CY58" i="1"/>
  <c r="CY50" i="1"/>
  <c r="CY42" i="1"/>
  <c r="CY34" i="1"/>
  <c r="CY26" i="1"/>
  <c r="CY18" i="1"/>
  <c r="CX135" i="1"/>
  <c r="CX117" i="1"/>
  <c r="CY503" i="1"/>
  <c r="CY495" i="1"/>
  <c r="CY487" i="1"/>
  <c r="CY479" i="1"/>
  <c r="CY471" i="1"/>
  <c r="CY463" i="1"/>
  <c r="CY447" i="1"/>
  <c r="CY439" i="1"/>
  <c r="CY431" i="1"/>
  <c r="CY423" i="1"/>
  <c r="CY415" i="1"/>
  <c r="CY407" i="1"/>
  <c r="CY399" i="1"/>
  <c r="CY391" i="1"/>
  <c r="CY255" i="1"/>
  <c r="CY247" i="1"/>
  <c r="CY239" i="1"/>
  <c r="CY231" i="1"/>
  <c r="CY223" i="1"/>
  <c r="CY215" i="1"/>
  <c r="CY207" i="1"/>
  <c r="CY199" i="1"/>
  <c r="CY191" i="1"/>
  <c r="CY183" i="1"/>
  <c r="CY175" i="1"/>
  <c r="CY167" i="1"/>
  <c r="CY159" i="1"/>
  <c r="CY151" i="1"/>
  <c r="CY143" i="1"/>
  <c r="CY135" i="1"/>
  <c r="CY127" i="1"/>
  <c r="CY119" i="1"/>
  <c r="CY111" i="1"/>
  <c r="CY103" i="1"/>
  <c r="CY95" i="1"/>
  <c r="CY87" i="1"/>
  <c r="CY79" i="1"/>
  <c r="CY71" i="1"/>
  <c r="CY63" i="1"/>
  <c r="CY55" i="1"/>
  <c r="CY47" i="1"/>
  <c r="CY39" i="1"/>
  <c r="CY31" i="1"/>
  <c r="CY23" i="1"/>
  <c r="CW293" i="1"/>
  <c r="CW455" i="1"/>
  <c r="CX239" i="1"/>
  <c r="CX103" i="1"/>
  <c r="CY206" i="1"/>
  <c r="CY198" i="1"/>
  <c r="CY190" i="1"/>
  <c r="CY182" i="1"/>
  <c r="CY174" i="1"/>
  <c r="CY166" i="1"/>
  <c r="CY158" i="1"/>
  <c r="CY150" i="1"/>
  <c r="CY142" i="1"/>
  <c r="CY134" i="1"/>
  <c r="CY126" i="1"/>
  <c r="CY110" i="1"/>
  <c r="CY102" i="1"/>
  <c r="CY94" i="1"/>
  <c r="CY86" i="1"/>
  <c r="CY78" i="1"/>
  <c r="CY70" i="1"/>
  <c r="CY62" i="1"/>
  <c r="CY54" i="1"/>
  <c r="CY46" i="1"/>
  <c r="CY38" i="1"/>
  <c r="CY30" i="1"/>
  <c r="CY22" i="1"/>
  <c r="CX463" i="1"/>
  <c r="CX285" i="1"/>
  <c r="CX205" i="1"/>
  <c r="CX173" i="1"/>
  <c r="CX141" i="1"/>
  <c r="CX109" i="1"/>
  <c r="CX77" i="1"/>
  <c r="CX45" i="1"/>
  <c r="CX431" i="1"/>
  <c r="CX237" i="1"/>
  <c r="CX197" i="1"/>
  <c r="CX165" i="1"/>
  <c r="CX133" i="1"/>
  <c r="CX101" i="1"/>
  <c r="CX69" i="1"/>
  <c r="CX37" i="1"/>
  <c r="CX405" i="1"/>
  <c r="CX231" i="1"/>
  <c r="CX191" i="1"/>
  <c r="CX159" i="1"/>
  <c r="CX127" i="1"/>
  <c r="CX95" i="1"/>
  <c r="CX63" i="1"/>
  <c r="CX31" i="1"/>
  <c r="CW165" i="1"/>
  <c r="CX399" i="1"/>
  <c r="CX223" i="1"/>
  <c r="CX189" i="1"/>
  <c r="CX157" i="1"/>
  <c r="CX125" i="1"/>
  <c r="CX93" i="1"/>
  <c r="CX61" i="1"/>
  <c r="CX29" i="1"/>
  <c r="CX501" i="1"/>
  <c r="CX357" i="1"/>
  <c r="CX215" i="1"/>
  <c r="CX183" i="1"/>
  <c r="CX151" i="1"/>
  <c r="CX119" i="1"/>
  <c r="CX87" i="1"/>
  <c r="CX55" i="1"/>
  <c r="CX23" i="1"/>
  <c r="CX495" i="1"/>
  <c r="CV456" i="1"/>
  <c r="CN424" i="1"/>
  <c r="CW280" i="1"/>
  <c r="CX469" i="1"/>
  <c r="CX293" i="1"/>
  <c r="CX207" i="1"/>
  <c r="CX175" i="1"/>
  <c r="CX143" i="1"/>
  <c r="CX111" i="1"/>
  <c r="CX79" i="1"/>
  <c r="CX47" i="1"/>
  <c r="CP377" i="1"/>
  <c r="CX377" i="1"/>
  <c r="CP265" i="1"/>
  <c r="CX265" i="1"/>
  <c r="CQ209" i="1"/>
  <c r="CX209" i="1"/>
  <c r="CQ161" i="1"/>
  <c r="CX161" i="1"/>
  <c r="CS153" i="1"/>
  <c r="CX153" i="1"/>
  <c r="CP145" i="1"/>
  <c r="CX145" i="1"/>
  <c r="CS137" i="1"/>
  <c r="CX137" i="1"/>
  <c r="CP129" i="1"/>
  <c r="CX129" i="1"/>
  <c r="CP121" i="1"/>
  <c r="CX121" i="1"/>
  <c r="CP113" i="1"/>
  <c r="CX113" i="1"/>
  <c r="CP105" i="1"/>
  <c r="CX105" i="1"/>
  <c r="CP97" i="1"/>
  <c r="CX97" i="1"/>
  <c r="CP89" i="1"/>
  <c r="CX89" i="1"/>
  <c r="CP81" i="1"/>
  <c r="CX81" i="1"/>
  <c r="CP73" i="1"/>
  <c r="CX73" i="1"/>
  <c r="CW65" i="1"/>
  <c r="CX65" i="1"/>
  <c r="CP57" i="1"/>
  <c r="CX57" i="1"/>
  <c r="CP49" i="1"/>
  <c r="CX49" i="1"/>
  <c r="CP41" i="1"/>
  <c r="CX41" i="1"/>
  <c r="CP33" i="1"/>
  <c r="CX33" i="1"/>
  <c r="CQ25" i="1"/>
  <c r="CX25" i="1"/>
  <c r="CP17" i="1"/>
  <c r="CX17" i="1"/>
  <c r="CX493" i="1"/>
  <c r="CX461" i="1"/>
  <c r="CX429" i="1"/>
  <c r="CX397" i="1"/>
  <c r="CX341" i="1"/>
  <c r="CX277" i="1"/>
  <c r="CX229" i="1"/>
  <c r="CP353" i="1"/>
  <c r="CX353" i="1"/>
  <c r="CP257" i="1"/>
  <c r="CX257" i="1"/>
  <c r="CP225" i="1"/>
  <c r="CX225" i="1"/>
  <c r="CM483" i="1"/>
  <c r="CX483" i="1"/>
  <c r="CM243" i="1"/>
  <c r="CX243" i="1"/>
  <c r="CM235" i="1"/>
  <c r="CX235" i="1"/>
  <c r="CM227" i="1"/>
  <c r="CX227" i="1"/>
  <c r="CM219" i="1"/>
  <c r="CX219" i="1"/>
  <c r="CQ211" i="1"/>
  <c r="CX211" i="1"/>
  <c r="CB203" i="1"/>
  <c r="CX203" i="1"/>
  <c r="CB195" i="1"/>
  <c r="CX195" i="1"/>
  <c r="CS179" i="1"/>
  <c r="CX179" i="1"/>
  <c r="CB171" i="1"/>
  <c r="CX171" i="1"/>
  <c r="CS163" i="1"/>
  <c r="CX163" i="1"/>
  <c r="CB155" i="1"/>
  <c r="CX155" i="1"/>
  <c r="CB147" i="1"/>
  <c r="CX147" i="1"/>
  <c r="CB139" i="1"/>
  <c r="CX139" i="1"/>
  <c r="CB131" i="1"/>
  <c r="CX131" i="1"/>
  <c r="CI123" i="1"/>
  <c r="CX123" i="1"/>
  <c r="CB115" i="1"/>
  <c r="CX115" i="1"/>
  <c r="CB107" i="1"/>
  <c r="CX107" i="1"/>
  <c r="CI99" i="1"/>
  <c r="CX99" i="1"/>
  <c r="CB91" i="1"/>
  <c r="CX91" i="1"/>
  <c r="CB83" i="1"/>
  <c r="CX83" i="1"/>
  <c r="CB75" i="1"/>
  <c r="CX75" i="1"/>
  <c r="CB67" i="1"/>
  <c r="CX67" i="1"/>
  <c r="CS59" i="1"/>
  <c r="CX59" i="1"/>
  <c r="CB51" i="1"/>
  <c r="CX51" i="1"/>
  <c r="CB43" i="1"/>
  <c r="CX43" i="1"/>
  <c r="CO35" i="1"/>
  <c r="CX35" i="1"/>
  <c r="CB27" i="1"/>
  <c r="CX27" i="1"/>
  <c r="CS19" i="1"/>
  <c r="CX19" i="1"/>
  <c r="CX487" i="1"/>
  <c r="CX455" i="1"/>
  <c r="CX423" i="1"/>
  <c r="CX391" i="1"/>
  <c r="CX333" i="1"/>
  <c r="CX269" i="1"/>
  <c r="CP185" i="1"/>
  <c r="CX185" i="1"/>
  <c r="CP169" i="1"/>
  <c r="CX169" i="1"/>
  <c r="CM395" i="1"/>
  <c r="CX395" i="1"/>
  <c r="CM347" i="1"/>
  <c r="CX347" i="1"/>
  <c r="CW324" i="1"/>
  <c r="CX324" i="1"/>
  <c r="CW316" i="1"/>
  <c r="CX316" i="1"/>
  <c r="CW308" i="1"/>
  <c r="CX308" i="1"/>
  <c r="CN300" i="1"/>
  <c r="CX300" i="1"/>
  <c r="CP292" i="1"/>
  <c r="CX292" i="1"/>
  <c r="CO284" i="1"/>
  <c r="CX284" i="1"/>
  <c r="CN276" i="1"/>
  <c r="CX276" i="1"/>
  <c r="CN268" i="1"/>
  <c r="CX268" i="1"/>
  <c r="CN260" i="1"/>
  <c r="CX260" i="1"/>
  <c r="CR252" i="1"/>
  <c r="CX252" i="1"/>
  <c r="CN244" i="1"/>
  <c r="CX244" i="1"/>
  <c r="CR236" i="1"/>
  <c r="CX236" i="1"/>
  <c r="CN228" i="1"/>
  <c r="CX228" i="1"/>
  <c r="CO220" i="1"/>
  <c r="CX220" i="1"/>
  <c r="CN212" i="1"/>
  <c r="CX212" i="1"/>
  <c r="CX485" i="1"/>
  <c r="CX453" i="1"/>
  <c r="CX421" i="1"/>
  <c r="CX389" i="1"/>
  <c r="CX325" i="1"/>
  <c r="CX261" i="1"/>
  <c r="CX221" i="1"/>
  <c r="CP497" i="1"/>
  <c r="CX497" i="1"/>
  <c r="CP465" i="1"/>
  <c r="CX465" i="1"/>
  <c r="CP441" i="1"/>
  <c r="CX441" i="1"/>
  <c r="CP425" i="1"/>
  <c r="CX425" i="1"/>
  <c r="CP401" i="1"/>
  <c r="CX401" i="1"/>
  <c r="CU369" i="1"/>
  <c r="CX369" i="1"/>
  <c r="CP329" i="1"/>
  <c r="CX329" i="1"/>
  <c r="CP313" i="1"/>
  <c r="CX313" i="1"/>
  <c r="CR289" i="1"/>
  <c r="CX289" i="1"/>
  <c r="CP273" i="1"/>
  <c r="CX273" i="1"/>
  <c r="CU249" i="1"/>
  <c r="CX249" i="1"/>
  <c r="CP201" i="1"/>
  <c r="CX201" i="1"/>
  <c r="CS11" i="1"/>
  <c r="CX11" i="1"/>
  <c r="CM499" i="1"/>
  <c r="CX499" i="1"/>
  <c r="CM475" i="1"/>
  <c r="CX475" i="1"/>
  <c r="CQ467" i="1"/>
  <c r="CX467" i="1"/>
  <c r="CM435" i="1"/>
  <c r="CX435" i="1"/>
  <c r="CM427" i="1"/>
  <c r="CX427" i="1"/>
  <c r="CM403" i="1"/>
  <c r="CX403" i="1"/>
  <c r="CM379" i="1"/>
  <c r="CX379" i="1"/>
  <c r="CM371" i="1"/>
  <c r="CX371" i="1"/>
  <c r="CM339" i="1"/>
  <c r="CX339" i="1"/>
  <c r="CM323" i="1"/>
  <c r="CX323" i="1"/>
  <c r="CM315" i="1"/>
  <c r="CX315" i="1"/>
  <c r="CM307" i="1"/>
  <c r="CX307" i="1"/>
  <c r="CM299" i="1"/>
  <c r="CX299" i="1"/>
  <c r="CM291" i="1"/>
  <c r="CX291" i="1"/>
  <c r="CM283" i="1"/>
  <c r="CX283" i="1"/>
  <c r="CM275" i="1"/>
  <c r="CX275" i="1"/>
  <c r="CM267" i="1"/>
  <c r="CX267" i="1"/>
  <c r="CW468" i="1"/>
  <c r="CX468" i="1"/>
  <c r="CW452" i="1"/>
  <c r="CX452" i="1"/>
  <c r="CW444" i="1"/>
  <c r="CX444" i="1"/>
  <c r="CW436" i="1"/>
  <c r="CX436" i="1"/>
  <c r="CW428" i="1"/>
  <c r="CX428" i="1"/>
  <c r="CW420" i="1"/>
  <c r="CX420" i="1"/>
  <c r="CW412" i="1"/>
  <c r="CX412" i="1"/>
  <c r="CW404" i="1"/>
  <c r="CX404" i="1"/>
  <c r="CW396" i="1"/>
  <c r="CX396" i="1"/>
  <c r="CW388" i="1"/>
  <c r="CX388" i="1"/>
  <c r="CW380" i="1"/>
  <c r="CX380" i="1"/>
  <c r="CW372" i="1"/>
  <c r="CX372" i="1"/>
  <c r="CW364" i="1"/>
  <c r="CX364" i="1"/>
  <c r="CW356" i="1"/>
  <c r="CX356" i="1"/>
  <c r="CW348" i="1"/>
  <c r="CX348" i="1"/>
  <c r="CW340" i="1"/>
  <c r="CX340" i="1"/>
  <c r="CW332" i="1"/>
  <c r="CX332" i="1"/>
  <c r="CW9" i="1"/>
  <c r="CX9" i="1"/>
  <c r="CN301" i="1"/>
  <c r="CW301" i="1"/>
  <c r="CW229" i="1"/>
  <c r="CX479" i="1"/>
  <c r="CX447" i="1"/>
  <c r="CX415" i="1"/>
  <c r="CX381" i="1"/>
  <c r="CX317" i="1"/>
  <c r="CX253" i="1"/>
  <c r="CP345" i="1"/>
  <c r="CX345" i="1"/>
  <c r="CP193" i="1"/>
  <c r="CX193" i="1"/>
  <c r="CM363" i="1"/>
  <c r="CX363" i="1"/>
  <c r="CV446" i="1"/>
  <c r="CX446" i="1"/>
  <c r="CW374" i="1"/>
  <c r="CX374" i="1"/>
  <c r="CW366" i="1"/>
  <c r="CX366" i="1"/>
  <c r="CW358" i="1"/>
  <c r="CX358" i="1"/>
  <c r="CW350" i="1"/>
  <c r="CX350" i="1"/>
  <c r="CW342" i="1"/>
  <c r="CX342" i="1"/>
  <c r="CW318" i="1"/>
  <c r="CX318" i="1"/>
  <c r="CW302" i="1"/>
  <c r="CX302" i="1"/>
  <c r="CP286" i="1"/>
  <c r="CX286" i="1"/>
  <c r="CP278" i="1"/>
  <c r="CX278" i="1"/>
  <c r="CP270" i="1"/>
  <c r="CX270" i="1"/>
  <c r="CP262" i="1"/>
  <c r="CX262" i="1"/>
  <c r="CP254" i="1"/>
  <c r="CX254" i="1"/>
  <c r="CW246" i="1"/>
  <c r="CX246" i="1"/>
  <c r="CP238" i="1"/>
  <c r="CX238" i="1"/>
  <c r="CP230" i="1"/>
  <c r="CX230" i="1"/>
  <c r="CP222" i="1"/>
  <c r="CX222" i="1"/>
  <c r="CP214" i="1"/>
  <c r="CX214" i="1"/>
  <c r="CX477" i="1"/>
  <c r="CX445" i="1"/>
  <c r="CX413" i="1"/>
  <c r="CX373" i="1"/>
  <c r="CX309" i="1"/>
  <c r="CX245" i="1"/>
  <c r="CP489" i="1"/>
  <c r="CX489" i="1"/>
  <c r="CP481" i="1"/>
  <c r="CX481" i="1"/>
  <c r="CS473" i="1"/>
  <c r="CX473" i="1"/>
  <c r="CP457" i="1"/>
  <c r="CX457" i="1"/>
  <c r="CP449" i="1"/>
  <c r="CX449" i="1"/>
  <c r="CP433" i="1"/>
  <c r="CX433" i="1"/>
  <c r="CP417" i="1"/>
  <c r="CX417" i="1"/>
  <c r="CP409" i="1"/>
  <c r="CX409" i="1"/>
  <c r="CP393" i="1"/>
  <c r="CX393" i="1"/>
  <c r="CP385" i="1"/>
  <c r="CX385" i="1"/>
  <c r="CU361" i="1"/>
  <c r="CX361" i="1"/>
  <c r="CP337" i="1"/>
  <c r="CX337" i="1"/>
  <c r="CU321" i="1"/>
  <c r="CX321" i="1"/>
  <c r="CU305" i="1"/>
  <c r="CX305" i="1"/>
  <c r="CP297" i="1"/>
  <c r="CX297" i="1"/>
  <c r="CP281" i="1"/>
  <c r="CX281" i="1"/>
  <c r="CP241" i="1"/>
  <c r="CX241" i="1"/>
  <c r="CP233" i="1"/>
  <c r="CX233" i="1"/>
  <c r="CP217" i="1"/>
  <c r="CX217" i="1"/>
  <c r="CP177" i="1"/>
  <c r="CX177" i="1"/>
  <c r="CM491" i="1"/>
  <c r="CX491" i="1"/>
  <c r="CM459" i="1"/>
  <c r="CX459" i="1"/>
  <c r="CS451" i="1"/>
  <c r="CX451" i="1"/>
  <c r="CN443" i="1"/>
  <c r="CX443" i="1"/>
  <c r="CM419" i="1"/>
  <c r="CX419" i="1"/>
  <c r="CM411" i="1"/>
  <c r="CX411" i="1"/>
  <c r="CM387" i="1"/>
  <c r="CX387" i="1"/>
  <c r="CM355" i="1"/>
  <c r="CX355" i="1"/>
  <c r="CM331" i="1"/>
  <c r="CX331" i="1"/>
  <c r="CM259" i="1"/>
  <c r="CX259" i="1"/>
  <c r="CM251" i="1"/>
  <c r="CX251" i="1"/>
  <c r="CW10" i="1"/>
  <c r="CX10" i="1"/>
  <c r="CW500" i="1"/>
  <c r="CX500" i="1"/>
  <c r="CW492" i="1"/>
  <c r="CX492" i="1"/>
  <c r="CW484" i="1"/>
  <c r="CX484" i="1"/>
  <c r="CW476" i="1"/>
  <c r="CX476" i="1"/>
  <c r="CW460" i="1"/>
  <c r="CX460" i="1"/>
  <c r="CW16" i="1"/>
  <c r="CX16" i="1"/>
  <c r="CW8" i="1"/>
  <c r="CX8" i="1"/>
  <c r="CW502" i="1"/>
  <c r="CX502" i="1"/>
  <c r="CW494" i="1"/>
  <c r="CX494" i="1"/>
  <c r="CW486" i="1"/>
  <c r="CX486" i="1"/>
  <c r="CW478" i="1"/>
  <c r="CX478" i="1"/>
  <c r="CW470" i="1"/>
  <c r="CX470" i="1"/>
  <c r="CW462" i="1"/>
  <c r="CX462" i="1"/>
  <c r="CW454" i="1"/>
  <c r="CX454" i="1"/>
  <c r="CW438" i="1"/>
  <c r="CX438" i="1"/>
  <c r="CW430" i="1"/>
  <c r="CX430" i="1"/>
  <c r="CW422" i="1"/>
  <c r="CX422" i="1"/>
  <c r="CW414" i="1"/>
  <c r="CX414" i="1"/>
  <c r="CW406" i="1"/>
  <c r="CX406" i="1"/>
  <c r="CW398" i="1"/>
  <c r="CX398" i="1"/>
  <c r="CW390" i="1"/>
  <c r="CX390" i="1"/>
  <c r="CW382" i="1"/>
  <c r="CX382" i="1"/>
  <c r="CW334" i="1"/>
  <c r="CX334" i="1"/>
  <c r="CW326" i="1"/>
  <c r="CX326" i="1"/>
  <c r="CW310" i="1"/>
  <c r="CX310" i="1"/>
  <c r="CP294" i="1"/>
  <c r="CX294" i="1"/>
  <c r="CW15" i="1"/>
  <c r="CX15" i="1"/>
  <c r="CW7" i="1"/>
  <c r="CX7" i="1"/>
  <c r="CW383" i="1"/>
  <c r="CX383" i="1"/>
  <c r="CW375" i="1"/>
  <c r="CX375" i="1"/>
  <c r="CW367" i="1"/>
  <c r="CX367" i="1"/>
  <c r="CW359" i="1"/>
  <c r="CX359" i="1"/>
  <c r="CW351" i="1"/>
  <c r="CX351" i="1"/>
  <c r="CW343" i="1"/>
  <c r="CX343" i="1"/>
  <c r="CW335" i="1"/>
  <c r="CX335" i="1"/>
  <c r="CW327" i="1"/>
  <c r="CX327" i="1"/>
  <c r="CW319" i="1"/>
  <c r="CX319" i="1"/>
  <c r="CW311" i="1"/>
  <c r="CX311" i="1"/>
  <c r="CW303" i="1"/>
  <c r="CX303" i="1"/>
  <c r="CW295" i="1"/>
  <c r="CX295" i="1"/>
  <c r="CW287" i="1"/>
  <c r="CX287" i="1"/>
  <c r="CW279" i="1"/>
  <c r="CX279" i="1"/>
  <c r="CW271" i="1"/>
  <c r="CX271" i="1"/>
  <c r="CW263" i="1"/>
  <c r="CX263" i="1"/>
  <c r="CX503" i="1"/>
  <c r="CX471" i="1"/>
  <c r="CX439" i="1"/>
  <c r="CX407" i="1"/>
  <c r="CX365" i="1"/>
  <c r="CX301" i="1"/>
  <c r="CX13" i="1"/>
  <c r="CW133" i="1"/>
  <c r="CX204" i="1"/>
  <c r="CX196" i="1"/>
  <c r="CX188" i="1"/>
  <c r="CX180" i="1"/>
  <c r="CX172" i="1"/>
  <c r="CX164" i="1"/>
  <c r="CX156" i="1"/>
  <c r="CX148" i="1"/>
  <c r="CX140" i="1"/>
  <c r="CX132" i="1"/>
  <c r="CX124" i="1"/>
  <c r="CX116" i="1"/>
  <c r="CX108" i="1"/>
  <c r="CX100" i="1"/>
  <c r="CX92" i="1"/>
  <c r="CX84" i="1"/>
  <c r="CX76" i="1"/>
  <c r="CX68" i="1"/>
  <c r="CX60" i="1"/>
  <c r="CX52" i="1"/>
  <c r="CX44" i="1"/>
  <c r="CX36" i="1"/>
  <c r="CX28" i="1"/>
  <c r="CX20" i="1"/>
  <c r="CX12" i="1"/>
  <c r="CW101" i="1"/>
  <c r="CI118" i="1"/>
  <c r="CW69" i="1"/>
  <c r="CX498" i="1"/>
  <c r="CX490" i="1"/>
  <c r="CX482" i="1"/>
  <c r="CX474" i="1"/>
  <c r="CX466" i="1"/>
  <c r="CX458" i="1"/>
  <c r="CX450" i="1"/>
  <c r="CX442" i="1"/>
  <c r="CX434" i="1"/>
  <c r="CX426" i="1"/>
  <c r="CX418" i="1"/>
  <c r="CX410" i="1"/>
  <c r="CX402" i="1"/>
  <c r="CX394" i="1"/>
  <c r="CX386" i="1"/>
  <c r="CX378" i="1"/>
  <c r="CX370" i="1"/>
  <c r="CX362" i="1"/>
  <c r="CX354" i="1"/>
  <c r="CX346" i="1"/>
  <c r="CX338" i="1"/>
  <c r="CX330" i="1"/>
  <c r="CX322" i="1"/>
  <c r="CX314" i="1"/>
  <c r="CX306" i="1"/>
  <c r="CX298" i="1"/>
  <c r="CX290" i="1"/>
  <c r="CX282" i="1"/>
  <c r="CX274" i="1"/>
  <c r="CX266" i="1"/>
  <c r="CX258" i="1"/>
  <c r="CX250" i="1"/>
  <c r="CX242" i="1"/>
  <c r="CX234" i="1"/>
  <c r="CX226" i="1"/>
  <c r="CX218" i="1"/>
  <c r="CX210" i="1"/>
  <c r="CX202" i="1"/>
  <c r="CX194" i="1"/>
  <c r="CX186" i="1"/>
  <c r="CX178" i="1"/>
  <c r="CX170" i="1"/>
  <c r="CX162" i="1"/>
  <c r="CX154" i="1"/>
  <c r="CX146" i="1"/>
  <c r="CX138" i="1"/>
  <c r="CX130" i="1"/>
  <c r="CX122" i="1"/>
  <c r="CX114" i="1"/>
  <c r="CX106" i="1"/>
  <c r="CX98" i="1"/>
  <c r="CX90" i="1"/>
  <c r="CX74" i="1"/>
  <c r="CX66" i="1"/>
  <c r="CX58" i="1"/>
  <c r="CX50" i="1"/>
  <c r="CX42" i="1"/>
  <c r="CX34" i="1"/>
  <c r="CX26" i="1"/>
  <c r="CX18" i="1"/>
  <c r="CW37" i="1"/>
  <c r="CX504" i="1"/>
  <c r="CX496" i="1"/>
  <c r="CX488" i="1"/>
  <c r="CX480" i="1"/>
  <c r="CX472" i="1"/>
  <c r="CX464" i="1"/>
  <c r="CX456" i="1"/>
  <c r="CX448" i="1"/>
  <c r="CX440" i="1"/>
  <c r="CX432" i="1"/>
  <c r="CX424" i="1"/>
  <c r="CX416" i="1"/>
  <c r="CX408" i="1"/>
  <c r="CX400" i="1"/>
  <c r="CX392" i="1"/>
  <c r="CX384" i="1"/>
  <c r="CX376" i="1"/>
  <c r="CX368" i="1"/>
  <c r="CX360" i="1"/>
  <c r="CX352" i="1"/>
  <c r="CX344" i="1"/>
  <c r="CX336" i="1"/>
  <c r="CX328" i="1"/>
  <c r="CX320" i="1"/>
  <c r="CX312" i="1"/>
  <c r="CX304" i="1"/>
  <c r="CX296" i="1"/>
  <c r="CX288" i="1"/>
  <c r="CX280" i="1"/>
  <c r="CX272" i="1"/>
  <c r="CX264" i="1"/>
  <c r="CX256" i="1"/>
  <c r="CX248" i="1"/>
  <c r="CX240" i="1"/>
  <c r="CX232" i="1"/>
  <c r="CX224" i="1"/>
  <c r="CX216" i="1"/>
  <c r="CX208" i="1"/>
  <c r="CX200" i="1"/>
  <c r="CX192" i="1"/>
  <c r="CX184" i="1"/>
  <c r="CX176" i="1"/>
  <c r="CX168" i="1"/>
  <c r="CX160" i="1"/>
  <c r="CX152" i="1"/>
  <c r="CX144" i="1"/>
  <c r="CX136" i="1"/>
  <c r="CX128" i="1"/>
  <c r="CX112" i="1"/>
  <c r="CX104" i="1"/>
  <c r="CX96" i="1"/>
  <c r="CX88" i="1"/>
  <c r="CX80" i="1"/>
  <c r="CX72" i="1"/>
  <c r="CX64" i="1"/>
  <c r="CX56" i="1"/>
  <c r="CX48" i="1"/>
  <c r="CX40" i="1"/>
  <c r="CX32" i="1"/>
  <c r="CX24" i="1"/>
  <c r="CX255" i="1"/>
  <c r="CX247" i="1"/>
  <c r="CN82" i="1"/>
  <c r="CW197" i="1"/>
  <c r="CX206" i="1"/>
  <c r="CX198" i="1"/>
  <c r="CX190" i="1"/>
  <c r="CX182" i="1"/>
  <c r="CX174" i="1"/>
  <c r="CX166" i="1"/>
  <c r="CX158" i="1"/>
  <c r="CX150" i="1"/>
  <c r="CX142" i="1"/>
  <c r="CX134" i="1"/>
  <c r="CX126" i="1"/>
  <c r="CX118" i="1"/>
  <c r="CX110" i="1"/>
  <c r="CX102" i="1"/>
  <c r="CX94" i="1"/>
  <c r="CX86" i="1"/>
  <c r="CX78" i="1"/>
  <c r="CX70" i="1"/>
  <c r="CX62" i="1"/>
  <c r="CX54" i="1"/>
  <c r="CX46" i="1"/>
  <c r="CX38" i="1"/>
  <c r="CX30" i="1"/>
  <c r="CX22" i="1"/>
  <c r="CX14" i="1"/>
  <c r="CX6" i="1"/>
  <c r="CW209" i="1"/>
  <c r="CW297" i="1"/>
  <c r="CW261" i="1"/>
  <c r="CW193" i="1"/>
  <c r="CW161" i="1"/>
  <c r="CW129" i="1"/>
  <c r="CW97" i="1"/>
  <c r="CW33" i="1"/>
  <c r="CB187" i="1"/>
  <c r="CW289" i="1"/>
  <c r="CW257" i="1"/>
  <c r="CW225" i="1"/>
  <c r="CW189" i="1"/>
  <c r="CW157" i="1"/>
  <c r="CW125" i="1"/>
  <c r="CW93" i="1"/>
  <c r="CW61" i="1"/>
  <c r="CW29" i="1"/>
  <c r="CW285" i="1"/>
  <c r="CW253" i="1"/>
  <c r="CW221" i="1"/>
  <c r="CW185" i="1"/>
  <c r="CW153" i="1"/>
  <c r="CW121" i="1"/>
  <c r="CW89" i="1"/>
  <c r="CW57" i="1"/>
  <c r="CW25" i="1"/>
  <c r="CV273" i="1"/>
  <c r="CW281" i="1"/>
  <c r="CW249" i="1"/>
  <c r="CW217" i="1"/>
  <c r="CW181" i="1"/>
  <c r="CW149" i="1"/>
  <c r="CW117" i="1"/>
  <c r="CW85" i="1"/>
  <c r="CW53" i="1"/>
  <c r="CW21" i="1"/>
  <c r="CV145" i="1"/>
  <c r="CW277" i="1"/>
  <c r="CW245" i="1"/>
  <c r="CW177" i="1"/>
  <c r="CW145" i="1"/>
  <c r="CW113" i="1"/>
  <c r="CW81" i="1"/>
  <c r="CW49" i="1"/>
  <c r="CW17" i="1"/>
  <c r="CV17" i="1"/>
  <c r="CW273" i="1"/>
  <c r="CW241" i="1"/>
  <c r="CW205" i="1"/>
  <c r="CW173" i="1"/>
  <c r="CW141" i="1"/>
  <c r="CW109" i="1"/>
  <c r="CW77" i="1"/>
  <c r="CW45" i="1"/>
  <c r="CW265" i="1"/>
  <c r="CW233" i="1"/>
  <c r="CW269" i="1"/>
  <c r="CW237" i="1"/>
  <c r="CW201" i="1"/>
  <c r="CW169" i="1"/>
  <c r="CW137" i="1"/>
  <c r="CW105" i="1"/>
  <c r="CW73" i="1"/>
  <c r="CW41" i="1"/>
  <c r="CV417" i="1"/>
  <c r="CV129" i="1"/>
  <c r="CW300" i="1"/>
  <c r="CW292" i="1"/>
  <c r="CW284" i="1"/>
  <c r="CW276" i="1"/>
  <c r="CW268" i="1"/>
  <c r="CW260" i="1"/>
  <c r="CW252" i="1"/>
  <c r="CW244" i="1"/>
  <c r="CW236" i="1"/>
  <c r="CW228" i="1"/>
  <c r="CW220" i="1"/>
  <c r="CW212" i="1"/>
  <c r="CW204" i="1"/>
  <c r="CW196" i="1"/>
  <c r="CW188" i="1"/>
  <c r="CW180" i="1"/>
  <c r="CW172" i="1"/>
  <c r="CW164" i="1"/>
  <c r="CW156" i="1"/>
  <c r="CW148" i="1"/>
  <c r="CW132" i="1"/>
  <c r="CW124" i="1"/>
  <c r="CW116" i="1"/>
  <c r="CW108" i="1"/>
  <c r="CW100" i="1"/>
  <c r="CW92" i="1"/>
  <c r="CW84" i="1"/>
  <c r="CW76" i="1"/>
  <c r="CW68" i="1"/>
  <c r="CW60" i="1"/>
  <c r="CW52" i="1"/>
  <c r="CW44" i="1"/>
  <c r="CW36" i="1"/>
  <c r="CW28" i="1"/>
  <c r="CW20" i="1"/>
  <c r="CW12" i="1"/>
  <c r="CV481" i="1"/>
  <c r="CW13" i="1"/>
  <c r="CU120" i="1"/>
  <c r="CV369" i="1"/>
  <c r="CV81" i="1"/>
  <c r="CW499" i="1"/>
  <c r="CW491" i="1"/>
  <c r="CW483" i="1"/>
  <c r="CW475" i="1"/>
  <c r="CW467" i="1"/>
  <c r="CW459" i="1"/>
  <c r="CW451" i="1"/>
  <c r="CW443" i="1"/>
  <c r="CW435" i="1"/>
  <c r="CW427" i="1"/>
  <c r="CW419" i="1"/>
  <c r="CW411" i="1"/>
  <c r="CW403" i="1"/>
  <c r="CW395" i="1"/>
  <c r="CW387" i="1"/>
  <c r="CW379" i="1"/>
  <c r="CW371" i="1"/>
  <c r="CW363" i="1"/>
  <c r="CW355" i="1"/>
  <c r="CW347" i="1"/>
  <c r="CW339" i="1"/>
  <c r="CW331" i="1"/>
  <c r="CW323" i="1"/>
  <c r="CW315" i="1"/>
  <c r="CW307" i="1"/>
  <c r="CW299" i="1"/>
  <c r="CW291" i="1"/>
  <c r="CW283" i="1"/>
  <c r="CW275" i="1"/>
  <c r="CW267" i="1"/>
  <c r="CW259" i="1"/>
  <c r="CW251" i="1"/>
  <c r="CW243" i="1"/>
  <c r="CW235" i="1"/>
  <c r="CW227" i="1"/>
  <c r="CW219" i="1"/>
  <c r="CW211" i="1"/>
  <c r="CW203" i="1"/>
  <c r="CW195" i="1"/>
  <c r="CW187" i="1"/>
  <c r="CW179" i="1"/>
  <c r="CW171" i="1"/>
  <c r="CW163" i="1"/>
  <c r="CW155" i="1"/>
  <c r="CW147" i="1"/>
  <c r="CW139" i="1"/>
  <c r="CW131" i="1"/>
  <c r="CW123" i="1"/>
  <c r="CW115" i="1"/>
  <c r="CW107" i="1"/>
  <c r="CW99" i="1"/>
  <c r="CW91" i="1"/>
  <c r="CW83" i="1"/>
  <c r="CW75" i="1"/>
  <c r="CW67" i="1"/>
  <c r="CW59" i="1"/>
  <c r="CW51" i="1"/>
  <c r="CW43" i="1"/>
  <c r="CW35" i="1"/>
  <c r="CW27" i="1"/>
  <c r="CW19" i="1"/>
  <c r="CW11" i="1"/>
  <c r="CP65" i="1"/>
  <c r="CV313" i="1"/>
  <c r="CV65" i="1"/>
  <c r="CW498" i="1"/>
  <c r="CW490" i="1"/>
  <c r="CW482" i="1"/>
  <c r="CW466" i="1"/>
  <c r="CW458" i="1"/>
  <c r="CW450" i="1"/>
  <c r="CW442" i="1"/>
  <c r="CW434" i="1"/>
  <c r="CW426" i="1"/>
  <c r="CW418" i="1"/>
  <c r="CW410" i="1"/>
  <c r="CW402" i="1"/>
  <c r="CW394" i="1"/>
  <c r="CW386" i="1"/>
  <c r="CW378" i="1"/>
  <c r="CW370" i="1"/>
  <c r="CW362" i="1"/>
  <c r="CW354" i="1"/>
  <c r="CW346" i="1"/>
  <c r="CW338" i="1"/>
  <c r="CW330" i="1"/>
  <c r="CW322" i="1"/>
  <c r="CW314" i="1"/>
  <c r="CW306" i="1"/>
  <c r="CW298" i="1"/>
  <c r="CW290" i="1"/>
  <c r="CW282" i="1"/>
  <c r="CW274" i="1"/>
  <c r="CW266" i="1"/>
  <c r="CW258" i="1"/>
  <c r="CW250" i="1"/>
  <c r="CW242" i="1"/>
  <c r="CW234" i="1"/>
  <c r="CW226" i="1"/>
  <c r="CW218" i="1"/>
  <c r="CW210" i="1"/>
  <c r="CW202" i="1"/>
  <c r="CW194" i="1"/>
  <c r="CW186" i="1"/>
  <c r="CW178" i="1"/>
  <c r="CW162" i="1"/>
  <c r="CW154" i="1"/>
  <c r="CW146" i="1"/>
  <c r="CW138" i="1"/>
  <c r="CW130" i="1"/>
  <c r="CW122" i="1"/>
  <c r="CW114" i="1"/>
  <c r="CW106" i="1"/>
  <c r="CW98" i="1"/>
  <c r="CW82" i="1"/>
  <c r="CW74" i="1"/>
  <c r="CW66" i="1"/>
  <c r="CW58" i="1"/>
  <c r="CW50" i="1"/>
  <c r="CW42" i="1"/>
  <c r="CW34" i="1"/>
  <c r="CW26" i="1"/>
  <c r="CW18" i="1"/>
  <c r="CW473" i="1"/>
  <c r="CW441" i="1"/>
  <c r="CW409" i="1"/>
  <c r="CW385" i="1"/>
  <c r="CW361" i="1"/>
  <c r="CW329" i="1"/>
  <c r="CW313" i="1"/>
  <c r="CV257" i="1"/>
  <c r="CW504" i="1"/>
  <c r="CW496" i="1"/>
  <c r="CW488" i="1"/>
  <c r="CW480" i="1"/>
  <c r="CW472" i="1"/>
  <c r="CW464" i="1"/>
  <c r="CW456" i="1"/>
  <c r="CW448" i="1"/>
  <c r="CW440" i="1"/>
  <c r="CW432" i="1"/>
  <c r="CW424" i="1"/>
  <c r="CW416" i="1"/>
  <c r="CW408" i="1"/>
  <c r="CW400" i="1"/>
  <c r="CW392" i="1"/>
  <c r="CW384" i="1"/>
  <c r="CW376" i="1"/>
  <c r="CW368" i="1"/>
  <c r="CW360" i="1"/>
  <c r="CW352" i="1"/>
  <c r="CW344" i="1"/>
  <c r="CW336" i="1"/>
  <c r="CW328" i="1"/>
  <c r="CW312" i="1"/>
  <c r="CW120" i="1"/>
  <c r="CW465" i="1"/>
  <c r="CW433" i="1"/>
  <c r="CW401" i="1"/>
  <c r="CW377" i="1"/>
  <c r="CW345" i="1"/>
  <c r="CW321" i="1"/>
  <c r="CV209" i="1"/>
  <c r="CW497" i="1"/>
  <c r="CW489" i="1"/>
  <c r="CW481" i="1"/>
  <c r="CW457" i="1"/>
  <c r="CW449" i="1"/>
  <c r="CW425" i="1"/>
  <c r="CW417" i="1"/>
  <c r="CW393" i="1"/>
  <c r="CW369" i="1"/>
  <c r="CW353" i="1"/>
  <c r="CW337" i="1"/>
  <c r="CW305" i="1"/>
  <c r="CP213" i="1"/>
  <c r="CU442" i="1"/>
  <c r="CV193" i="1"/>
  <c r="CW446" i="1"/>
  <c r="CW294" i="1"/>
  <c r="CW286" i="1"/>
  <c r="CW278" i="1"/>
  <c r="CW270" i="1"/>
  <c r="CW262" i="1"/>
  <c r="CW254" i="1"/>
  <c r="CW238" i="1"/>
  <c r="CW230" i="1"/>
  <c r="CW222" i="1"/>
  <c r="CW214" i="1"/>
  <c r="CW206" i="1"/>
  <c r="CW198" i="1"/>
  <c r="CW190" i="1"/>
  <c r="CW182" i="1"/>
  <c r="CW174" i="1"/>
  <c r="CW166" i="1"/>
  <c r="CW158" i="1"/>
  <c r="CW150" i="1"/>
  <c r="CW142" i="1"/>
  <c r="CW134" i="1"/>
  <c r="CW126" i="1"/>
  <c r="CW118" i="1"/>
  <c r="CW110" i="1"/>
  <c r="CW102" i="1"/>
  <c r="CW94" i="1"/>
  <c r="CW86" i="1"/>
  <c r="CW78" i="1"/>
  <c r="CW70" i="1"/>
  <c r="CW62" i="1"/>
  <c r="CW54" i="1"/>
  <c r="CW46" i="1"/>
  <c r="CW38" i="1"/>
  <c r="CW30" i="1"/>
  <c r="CW22" i="1"/>
  <c r="CP246" i="1"/>
  <c r="CV473" i="1"/>
  <c r="CV416" i="1"/>
  <c r="CV361" i="1"/>
  <c r="CV312" i="1"/>
  <c r="CV249" i="1"/>
  <c r="CV185" i="1"/>
  <c r="CV121" i="1"/>
  <c r="CV57" i="1"/>
  <c r="CV465" i="1"/>
  <c r="CV409" i="1"/>
  <c r="CV353" i="1"/>
  <c r="CV305" i="1"/>
  <c r="CV241" i="1"/>
  <c r="CV177" i="1"/>
  <c r="CV113" i="1"/>
  <c r="CV49" i="1"/>
  <c r="CU250" i="1"/>
  <c r="CV457" i="1"/>
  <c r="CV401" i="1"/>
  <c r="CV352" i="1"/>
  <c r="CV297" i="1"/>
  <c r="CV233" i="1"/>
  <c r="CV169" i="1"/>
  <c r="CV105" i="1"/>
  <c r="CV41" i="1"/>
  <c r="CV449" i="1"/>
  <c r="CV393" i="1"/>
  <c r="CV345" i="1"/>
  <c r="CV289" i="1"/>
  <c r="CV225" i="1"/>
  <c r="CV161" i="1"/>
  <c r="CV97" i="1"/>
  <c r="CV33" i="1"/>
  <c r="CN474" i="1"/>
  <c r="CN426" i="1"/>
  <c r="CN258" i="1"/>
  <c r="CN170" i="1"/>
  <c r="CS90" i="1"/>
  <c r="CU18" i="1"/>
  <c r="CV441" i="1"/>
  <c r="CV385" i="1"/>
  <c r="CV337" i="1"/>
  <c r="CV281" i="1"/>
  <c r="CV217" i="1"/>
  <c r="CV153" i="1"/>
  <c r="CV89" i="1"/>
  <c r="CV25" i="1"/>
  <c r="CV497" i="1"/>
  <c r="CV433" i="1"/>
  <c r="CV384" i="1"/>
  <c r="CV329" i="1"/>
  <c r="CN140" i="1"/>
  <c r="CV489" i="1"/>
  <c r="CV425" i="1"/>
  <c r="CV377" i="1"/>
  <c r="CV321" i="1"/>
  <c r="CV265" i="1"/>
  <c r="CV201" i="1"/>
  <c r="CV137" i="1"/>
  <c r="CV73" i="1"/>
  <c r="CP15" i="1"/>
  <c r="CV15" i="1"/>
  <c r="CP495" i="1"/>
  <c r="CV495" i="1"/>
  <c r="CP487" i="1"/>
  <c r="CV487" i="1"/>
  <c r="CP479" i="1"/>
  <c r="CV479" i="1"/>
  <c r="CS463" i="1"/>
  <c r="CV463" i="1"/>
  <c r="CP455" i="1"/>
  <c r="CV455" i="1"/>
  <c r="CP447" i="1"/>
  <c r="CV447" i="1"/>
  <c r="CP439" i="1"/>
  <c r="CV439" i="1"/>
  <c r="CP423" i="1"/>
  <c r="CV423" i="1"/>
  <c r="CU415" i="1"/>
  <c r="CV415" i="1"/>
  <c r="CP407" i="1"/>
  <c r="CV407" i="1"/>
  <c r="CP391" i="1"/>
  <c r="CV391" i="1"/>
  <c r="CP375" i="1"/>
  <c r="CV375" i="1"/>
  <c r="CS367" i="1"/>
  <c r="CV367" i="1"/>
  <c r="CP351" i="1"/>
  <c r="CV351" i="1"/>
  <c r="CP335" i="1"/>
  <c r="CV335" i="1"/>
  <c r="CP319" i="1"/>
  <c r="CV319" i="1"/>
  <c r="CP295" i="1"/>
  <c r="CV295" i="1"/>
  <c r="CP279" i="1"/>
  <c r="CV279" i="1"/>
  <c r="CP255" i="1"/>
  <c r="CV255" i="1"/>
  <c r="CQ247" i="1"/>
  <c r="CV247" i="1"/>
  <c r="CN14" i="1"/>
  <c r="CV14" i="1"/>
  <c r="CV480" i="1"/>
  <c r="CV448" i="1"/>
  <c r="CN10" i="1"/>
  <c r="CV10" i="1"/>
  <c r="CN500" i="1"/>
  <c r="CV500" i="1"/>
  <c r="CN492" i="1"/>
  <c r="CV492" i="1"/>
  <c r="CN484" i="1"/>
  <c r="CV484" i="1"/>
  <c r="CO476" i="1"/>
  <c r="CV476" i="1"/>
  <c r="CN468" i="1"/>
  <c r="CV468" i="1"/>
  <c r="CN460" i="1"/>
  <c r="CV460" i="1"/>
  <c r="CN452" i="1"/>
  <c r="CV452" i="1"/>
  <c r="CT444" i="1"/>
  <c r="CV444" i="1"/>
  <c r="CN436" i="1"/>
  <c r="CV436" i="1"/>
  <c r="CR428" i="1"/>
  <c r="CV428" i="1"/>
  <c r="CN420" i="1"/>
  <c r="CV420" i="1"/>
  <c r="CO412" i="1"/>
  <c r="CV412" i="1"/>
  <c r="CN404" i="1"/>
  <c r="CV404" i="1"/>
  <c r="CN396" i="1"/>
  <c r="CV396" i="1"/>
  <c r="CN388" i="1"/>
  <c r="CV388" i="1"/>
  <c r="CS380" i="1"/>
  <c r="CV380" i="1"/>
  <c r="CN372" i="1"/>
  <c r="CV372" i="1"/>
  <c r="CN364" i="1"/>
  <c r="CV364" i="1"/>
  <c r="CN356" i="1"/>
  <c r="CV356" i="1"/>
  <c r="CO348" i="1"/>
  <c r="CV348" i="1"/>
  <c r="CN340" i="1"/>
  <c r="CV340" i="1"/>
  <c r="CN332" i="1"/>
  <c r="CV332" i="1"/>
  <c r="CN324" i="1"/>
  <c r="CV324" i="1"/>
  <c r="CO316" i="1"/>
  <c r="CV316" i="1"/>
  <c r="CN308" i="1"/>
  <c r="CV308" i="1"/>
  <c r="CV504" i="1"/>
  <c r="CV472" i="1"/>
  <c r="CV440" i="1"/>
  <c r="CV408" i="1"/>
  <c r="CV376" i="1"/>
  <c r="CV344" i="1"/>
  <c r="CP9" i="1"/>
  <c r="CV9" i="1"/>
  <c r="CS501" i="1"/>
  <c r="CV501" i="1"/>
  <c r="CP493" i="1"/>
  <c r="CV493" i="1"/>
  <c r="CO485" i="1"/>
  <c r="CV485" i="1"/>
  <c r="CP477" i="1"/>
  <c r="CV477" i="1"/>
  <c r="CS469" i="1"/>
  <c r="CV469" i="1"/>
  <c r="CO461" i="1"/>
  <c r="CV461" i="1"/>
  <c r="CO453" i="1"/>
  <c r="CV453" i="1"/>
  <c r="CS445" i="1"/>
  <c r="CV445" i="1"/>
  <c r="CP437" i="1"/>
  <c r="CV437" i="1"/>
  <c r="CN429" i="1"/>
  <c r="CV429" i="1"/>
  <c r="CN421" i="1"/>
  <c r="CV421" i="1"/>
  <c r="CP413" i="1"/>
  <c r="CV413" i="1"/>
  <c r="CR405" i="1"/>
  <c r="CV405" i="1"/>
  <c r="CN397" i="1"/>
  <c r="CV397" i="1"/>
  <c r="CN389" i="1"/>
  <c r="CV389" i="1"/>
  <c r="CP381" i="1"/>
  <c r="CV381" i="1"/>
  <c r="CP373" i="1"/>
  <c r="CV373" i="1"/>
  <c r="CS365" i="1"/>
  <c r="CV365" i="1"/>
  <c r="CN357" i="1"/>
  <c r="CV357" i="1"/>
  <c r="CP349" i="1"/>
  <c r="CV349" i="1"/>
  <c r="CP341" i="1"/>
  <c r="CV341" i="1"/>
  <c r="CP333" i="1"/>
  <c r="CV333" i="1"/>
  <c r="CN325" i="1"/>
  <c r="CV325" i="1"/>
  <c r="CP317" i="1"/>
  <c r="CV317" i="1"/>
  <c r="CP309" i="1"/>
  <c r="CV309" i="1"/>
  <c r="CS16" i="1"/>
  <c r="CV16" i="1"/>
  <c r="CM8" i="1"/>
  <c r="CV8" i="1"/>
  <c r="CP502" i="1"/>
  <c r="CV502" i="1"/>
  <c r="CP494" i="1"/>
  <c r="CV494" i="1"/>
  <c r="CP486" i="1"/>
  <c r="CV486" i="1"/>
  <c r="CP478" i="1"/>
  <c r="CV478" i="1"/>
  <c r="CP470" i="1"/>
  <c r="CV470" i="1"/>
  <c r="CR462" i="1"/>
  <c r="CV462" i="1"/>
  <c r="CP454" i="1"/>
  <c r="CV454" i="1"/>
  <c r="CP438" i="1"/>
  <c r="CV438" i="1"/>
  <c r="CP430" i="1"/>
  <c r="CV430" i="1"/>
  <c r="CP422" i="1"/>
  <c r="CV422" i="1"/>
  <c r="CP414" i="1"/>
  <c r="CV414" i="1"/>
  <c r="CP406" i="1"/>
  <c r="CV406" i="1"/>
  <c r="CP398" i="1"/>
  <c r="CV398" i="1"/>
  <c r="CP390" i="1"/>
  <c r="CV390" i="1"/>
  <c r="CP382" i="1"/>
  <c r="CV382" i="1"/>
  <c r="CP374" i="1"/>
  <c r="CV374" i="1"/>
  <c r="CP366" i="1"/>
  <c r="CV366" i="1"/>
  <c r="CP358" i="1"/>
  <c r="CV358" i="1"/>
  <c r="CP350" i="1"/>
  <c r="CV350" i="1"/>
  <c r="CP342" i="1"/>
  <c r="CV342" i="1"/>
  <c r="CP334" i="1"/>
  <c r="CV334" i="1"/>
  <c r="CP326" i="1"/>
  <c r="CV326" i="1"/>
  <c r="CP318" i="1"/>
  <c r="CV318" i="1"/>
  <c r="CP310" i="1"/>
  <c r="CV310" i="1"/>
  <c r="CP302" i="1"/>
  <c r="CV302" i="1"/>
  <c r="CV496" i="1"/>
  <c r="CV464" i="1"/>
  <c r="CV432" i="1"/>
  <c r="CV400" i="1"/>
  <c r="CV368" i="1"/>
  <c r="CV336" i="1"/>
  <c r="CS359" i="1"/>
  <c r="CV359" i="1"/>
  <c r="CQ239" i="1"/>
  <c r="CV239" i="1"/>
  <c r="CQ231" i="1"/>
  <c r="CV231" i="1"/>
  <c r="CP223" i="1"/>
  <c r="CV223" i="1"/>
  <c r="CP215" i="1"/>
  <c r="CV215" i="1"/>
  <c r="CP207" i="1"/>
  <c r="CV207" i="1"/>
  <c r="CP199" i="1"/>
  <c r="CV199" i="1"/>
  <c r="CP191" i="1"/>
  <c r="CV191" i="1"/>
  <c r="CP183" i="1"/>
  <c r="CV183" i="1"/>
  <c r="CS175" i="1"/>
  <c r="CV175" i="1"/>
  <c r="CP167" i="1"/>
  <c r="CV167" i="1"/>
  <c r="CP159" i="1"/>
  <c r="CV159" i="1"/>
  <c r="CP151" i="1"/>
  <c r="CV151" i="1"/>
  <c r="CP143" i="1"/>
  <c r="CV143" i="1"/>
  <c r="CP135" i="1"/>
  <c r="CV135" i="1"/>
  <c r="CP127" i="1"/>
  <c r="CV127" i="1"/>
  <c r="CP119" i="1"/>
  <c r="CV119" i="1"/>
  <c r="CQ111" i="1"/>
  <c r="CV111" i="1"/>
  <c r="CQ103" i="1"/>
  <c r="CV103" i="1"/>
  <c r="CQ95" i="1"/>
  <c r="CV95" i="1"/>
  <c r="CP87" i="1"/>
  <c r="CV87" i="1"/>
  <c r="CP79" i="1"/>
  <c r="CV79" i="1"/>
  <c r="CP71" i="1"/>
  <c r="CV71" i="1"/>
  <c r="CP63" i="1"/>
  <c r="CV63" i="1"/>
  <c r="CP55" i="1"/>
  <c r="CV55" i="1"/>
  <c r="CP47" i="1"/>
  <c r="CV47" i="1"/>
  <c r="CP39" i="1"/>
  <c r="CV39" i="1"/>
  <c r="CT39" i="1"/>
  <c r="CP31" i="1"/>
  <c r="CV31" i="1"/>
  <c r="CP23" i="1"/>
  <c r="CV23" i="1"/>
  <c r="CP471" i="1"/>
  <c r="CV471" i="1"/>
  <c r="CP383" i="1"/>
  <c r="CV383" i="1"/>
  <c r="CS271" i="1"/>
  <c r="CV271" i="1"/>
  <c r="CN280" i="1"/>
  <c r="CV280" i="1"/>
  <c r="CH184" i="1"/>
  <c r="CU184" i="1"/>
  <c r="CV184" i="1"/>
  <c r="CH176" i="1"/>
  <c r="CV176" i="1"/>
  <c r="CH88" i="1"/>
  <c r="CU88" i="1"/>
  <c r="CV88" i="1"/>
  <c r="CH24" i="1"/>
  <c r="CU24" i="1"/>
  <c r="CV488" i="1"/>
  <c r="CV424" i="1"/>
  <c r="CV392" i="1"/>
  <c r="CV360" i="1"/>
  <c r="CV328" i="1"/>
  <c r="CV24" i="1"/>
  <c r="CP7" i="1"/>
  <c r="CV7" i="1"/>
  <c r="CP503" i="1"/>
  <c r="CV503" i="1"/>
  <c r="CP431" i="1"/>
  <c r="CV431" i="1"/>
  <c r="CS399" i="1"/>
  <c r="CV399" i="1"/>
  <c r="CS343" i="1"/>
  <c r="CV343" i="1"/>
  <c r="CP327" i="1"/>
  <c r="CV327" i="1"/>
  <c r="CS311" i="1"/>
  <c r="CV311" i="1"/>
  <c r="CP303" i="1"/>
  <c r="CV303" i="1"/>
  <c r="CS287" i="1"/>
  <c r="CV287" i="1"/>
  <c r="CP263" i="1"/>
  <c r="CV263" i="1"/>
  <c r="CN6" i="1"/>
  <c r="CV6" i="1"/>
  <c r="CN320" i="1"/>
  <c r="CV320" i="1"/>
  <c r="CN304" i="1"/>
  <c r="CV304" i="1"/>
  <c r="CN296" i="1"/>
  <c r="CV296" i="1"/>
  <c r="CN288" i="1"/>
  <c r="CV288" i="1"/>
  <c r="CN272" i="1"/>
  <c r="CV272" i="1"/>
  <c r="CN264" i="1"/>
  <c r="CV264" i="1"/>
  <c r="CR256" i="1"/>
  <c r="CV256" i="1"/>
  <c r="CN248" i="1"/>
  <c r="CV248" i="1"/>
  <c r="CT240" i="1"/>
  <c r="CV240" i="1"/>
  <c r="CN232" i="1"/>
  <c r="CV232" i="1"/>
  <c r="CN224" i="1"/>
  <c r="CV224" i="1"/>
  <c r="CU224" i="1"/>
  <c r="CN216" i="1"/>
  <c r="CU216" i="1"/>
  <c r="CV216" i="1"/>
  <c r="CN208" i="1"/>
  <c r="CV208" i="1"/>
  <c r="CN200" i="1"/>
  <c r="CV200" i="1"/>
  <c r="CH192" i="1"/>
  <c r="CV192" i="1"/>
  <c r="CU192" i="1"/>
  <c r="CU168" i="1"/>
  <c r="CV168" i="1"/>
  <c r="CH160" i="1"/>
  <c r="CV160" i="1"/>
  <c r="CU160" i="1"/>
  <c r="CH152" i="1"/>
  <c r="CU152" i="1"/>
  <c r="CV152" i="1"/>
  <c r="CH144" i="1"/>
  <c r="CV144" i="1"/>
  <c r="CR136" i="1"/>
  <c r="CV136" i="1"/>
  <c r="CH128" i="1"/>
  <c r="CV128" i="1"/>
  <c r="CH120" i="1"/>
  <c r="CV120" i="1"/>
  <c r="CO112" i="1"/>
  <c r="CV112" i="1"/>
  <c r="CH104" i="1"/>
  <c r="CV104" i="1"/>
  <c r="CT96" i="1"/>
  <c r="CV96" i="1"/>
  <c r="CU96" i="1"/>
  <c r="CH80" i="1"/>
  <c r="CV80" i="1"/>
  <c r="CH72" i="1"/>
  <c r="CV72" i="1"/>
  <c r="CH64" i="1"/>
  <c r="CV64" i="1"/>
  <c r="CU64" i="1"/>
  <c r="CP56" i="1"/>
  <c r="CU56" i="1"/>
  <c r="CV56" i="1"/>
  <c r="CH48" i="1"/>
  <c r="CV48" i="1"/>
  <c r="CH40" i="1"/>
  <c r="CV40" i="1"/>
  <c r="CH32" i="1"/>
  <c r="CV32" i="1"/>
  <c r="CU32" i="1"/>
  <c r="CU128" i="1"/>
  <c r="CU322" i="1"/>
  <c r="CV301" i="1"/>
  <c r="CV293" i="1"/>
  <c r="CV285" i="1"/>
  <c r="CV277" i="1"/>
  <c r="CV269" i="1"/>
  <c r="CV261" i="1"/>
  <c r="CV253" i="1"/>
  <c r="CV245" i="1"/>
  <c r="CV237" i="1"/>
  <c r="CV229" i="1"/>
  <c r="CV221" i="1"/>
  <c r="CV213" i="1"/>
  <c r="CV205" i="1"/>
  <c r="CV197" i="1"/>
  <c r="CV189" i="1"/>
  <c r="CV181" i="1"/>
  <c r="CV173" i="1"/>
  <c r="CV165" i="1"/>
  <c r="CV157" i="1"/>
  <c r="CV149" i="1"/>
  <c r="CV141" i="1"/>
  <c r="CV133" i="1"/>
  <c r="CV125" i="1"/>
  <c r="CV117" i="1"/>
  <c r="CV109" i="1"/>
  <c r="CV101" i="1"/>
  <c r="CV93" i="1"/>
  <c r="CV85" i="1"/>
  <c r="CV77" i="1"/>
  <c r="CV69" i="1"/>
  <c r="CV61" i="1"/>
  <c r="CV53" i="1"/>
  <c r="CV45" i="1"/>
  <c r="CV37" i="1"/>
  <c r="CV29" i="1"/>
  <c r="CV21" i="1"/>
  <c r="CV13" i="1"/>
  <c r="CU314" i="1"/>
  <c r="CV300" i="1"/>
  <c r="CV292" i="1"/>
  <c r="CV284" i="1"/>
  <c r="CV276" i="1"/>
  <c r="CV268" i="1"/>
  <c r="CV260" i="1"/>
  <c r="CV252" i="1"/>
  <c r="CV244" i="1"/>
  <c r="CV236" i="1"/>
  <c r="CV228" i="1"/>
  <c r="CV220" i="1"/>
  <c r="CV212" i="1"/>
  <c r="CV204" i="1"/>
  <c r="CV196" i="1"/>
  <c r="CV188" i="1"/>
  <c r="CV180" i="1"/>
  <c r="CV172" i="1"/>
  <c r="CV164" i="1"/>
  <c r="CV156" i="1"/>
  <c r="CV148" i="1"/>
  <c r="CV140" i="1"/>
  <c r="CV132" i="1"/>
  <c r="CV124" i="1"/>
  <c r="CV116" i="1"/>
  <c r="CV108" i="1"/>
  <c r="CV100" i="1"/>
  <c r="CV92" i="1"/>
  <c r="CV84" i="1"/>
  <c r="CV76" i="1"/>
  <c r="CV68" i="1"/>
  <c r="CV60" i="1"/>
  <c r="CV52" i="1"/>
  <c r="CV44" i="1"/>
  <c r="CV36" i="1"/>
  <c r="CV28" i="1"/>
  <c r="CV20" i="1"/>
  <c r="CV12" i="1"/>
  <c r="CU290" i="1"/>
  <c r="CV499" i="1"/>
  <c r="CV491" i="1"/>
  <c r="CV483" i="1"/>
  <c r="CV475" i="1"/>
  <c r="CV467" i="1"/>
  <c r="CV459" i="1"/>
  <c r="CV451" i="1"/>
  <c r="CV443" i="1"/>
  <c r="CV435" i="1"/>
  <c r="CV427" i="1"/>
  <c r="CV419" i="1"/>
  <c r="CV411" i="1"/>
  <c r="CV403" i="1"/>
  <c r="CV395" i="1"/>
  <c r="CV387" i="1"/>
  <c r="CV379" i="1"/>
  <c r="CV371" i="1"/>
  <c r="CV363" i="1"/>
  <c r="CV355" i="1"/>
  <c r="CV347" i="1"/>
  <c r="CV339" i="1"/>
  <c r="CV331" i="1"/>
  <c r="CV323" i="1"/>
  <c r="CV315" i="1"/>
  <c r="CV307" i="1"/>
  <c r="CV299" i="1"/>
  <c r="CV291" i="1"/>
  <c r="CV283" i="1"/>
  <c r="CV275" i="1"/>
  <c r="CV267" i="1"/>
  <c r="CV259" i="1"/>
  <c r="CV251" i="1"/>
  <c r="CV243" i="1"/>
  <c r="CV235" i="1"/>
  <c r="CV227" i="1"/>
  <c r="CV219" i="1"/>
  <c r="CV211" i="1"/>
  <c r="CV203" i="1"/>
  <c r="CV195" i="1"/>
  <c r="CV187" i="1"/>
  <c r="CV179" i="1"/>
  <c r="CV171" i="1"/>
  <c r="CV163" i="1"/>
  <c r="CV155" i="1"/>
  <c r="CV147" i="1"/>
  <c r="CV139" i="1"/>
  <c r="CV131" i="1"/>
  <c r="CV123" i="1"/>
  <c r="CV115" i="1"/>
  <c r="CV107" i="1"/>
  <c r="CV99" i="1"/>
  <c r="CV91" i="1"/>
  <c r="CV83" i="1"/>
  <c r="CV75" i="1"/>
  <c r="CV67" i="1"/>
  <c r="CV59" i="1"/>
  <c r="CV51" i="1"/>
  <c r="CV43" i="1"/>
  <c r="CV35" i="1"/>
  <c r="CV27" i="1"/>
  <c r="CV19" i="1"/>
  <c r="CV11" i="1"/>
  <c r="CU490" i="1"/>
  <c r="CU282" i="1"/>
  <c r="CV498" i="1"/>
  <c r="CV490" i="1"/>
  <c r="CV474" i="1"/>
  <c r="CV466" i="1"/>
  <c r="CV450" i="1"/>
  <c r="CV442" i="1"/>
  <c r="CV434" i="1"/>
  <c r="CV426" i="1"/>
  <c r="CV418" i="1"/>
  <c r="CV410" i="1"/>
  <c r="CV402" i="1"/>
  <c r="CV394" i="1"/>
  <c r="CV386" i="1"/>
  <c r="CV378" i="1"/>
  <c r="CV370" i="1"/>
  <c r="CV362" i="1"/>
  <c r="CV354" i="1"/>
  <c r="CV346" i="1"/>
  <c r="CV338" i="1"/>
  <c r="CV330" i="1"/>
  <c r="CV322" i="1"/>
  <c r="CV314" i="1"/>
  <c r="CV306" i="1"/>
  <c r="CV298" i="1"/>
  <c r="CV290" i="1"/>
  <c r="CV282" i="1"/>
  <c r="CV274" i="1"/>
  <c r="CV266" i="1"/>
  <c r="CV258" i="1"/>
  <c r="CV250" i="1"/>
  <c r="CV242" i="1"/>
  <c r="CV234" i="1"/>
  <c r="CV226" i="1"/>
  <c r="CV218" i="1"/>
  <c r="CV210" i="1"/>
  <c r="CV202" i="1"/>
  <c r="CV194" i="1"/>
  <c r="CV186" i="1"/>
  <c r="CV178" i="1"/>
  <c r="CV170" i="1"/>
  <c r="CV162" i="1"/>
  <c r="CV154" i="1"/>
  <c r="CV146" i="1"/>
  <c r="CV138" i="1"/>
  <c r="CV130" i="1"/>
  <c r="CV122" i="1"/>
  <c r="CV114" i="1"/>
  <c r="CV106" i="1"/>
  <c r="CV98" i="1"/>
  <c r="CV90" i="1"/>
  <c r="CV82" i="1"/>
  <c r="CV74" i="1"/>
  <c r="CV66" i="1"/>
  <c r="CV58" i="1"/>
  <c r="CV50" i="1"/>
  <c r="CV42" i="1"/>
  <c r="CV34" i="1"/>
  <c r="CV26" i="1"/>
  <c r="CV18" i="1"/>
  <c r="CU378" i="1"/>
  <c r="CU362" i="1"/>
  <c r="CV294" i="1"/>
  <c r="CV286" i="1"/>
  <c r="CV278" i="1"/>
  <c r="CV270" i="1"/>
  <c r="CV262" i="1"/>
  <c r="CV254" i="1"/>
  <c r="CV246" i="1"/>
  <c r="CV238" i="1"/>
  <c r="CV230" i="1"/>
  <c r="CV222" i="1"/>
  <c r="CV214" i="1"/>
  <c r="CV198" i="1"/>
  <c r="CV190" i="1"/>
  <c r="CV182" i="1"/>
  <c r="CV174" i="1"/>
  <c r="CV166" i="1"/>
  <c r="CV158" i="1"/>
  <c r="CV150" i="1"/>
  <c r="CV142" i="1"/>
  <c r="CV134" i="1"/>
  <c r="CV126" i="1"/>
  <c r="CV118" i="1"/>
  <c r="CV110" i="1"/>
  <c r="CV102" i="1"/>
  <c r="CV94" i="1"/>
  <c r="CV86" i="1"/>
  <c r="CV78" i="1"/>
  <c r="CV70" i="1"/>
  <c r="CV62" i="1"/>
  <c r="CV54" i="1"/>
  <c r="CV46" i="1"/>
  <c r="CV38" i="1"/>
  <c r="CV30" i="1"/>
  <c r="CV22" i="1"/>
  <c r="CN482" i="1"/>
  <c r="CN458" i="1"/>
  <c r="CU498" i="1"/>
  <c r="CU434" i="1"/>
  <c r="CU370" i="1"/>
  <c r="CU320" i="1"/>
  <c r="CU288" i="1"/>
  <c r="CU256" i="1"/>
  <c r="CU218" i="1"/>
  <c r="CU186" i="1"/>
  <c r="CU154" i="1"/>
  <c r="CU122" i="1"/>
  <c r="CU90" i="1"/>
  <c r="CU58" i="1"/>
  <c r="CU26" i="1"/>
  <c r="CU482" i="1"/>
  <c r="CU418" i="1"/>
  <c r="CU354" i="1"/>
  <c r="CU312" i="1"/>
  <c r="CU280" i="1"/>
  <c r="CU242" i="1"/>
  <c r="CU210" i="1"/>
  <c r="CU178" i="1"/>
  <c r="CU146" i="1"/>
  <c r="CU114" i="1"/>
  <c r="CU82" i="1"/>
  <c r="CU50" i="1"/>
  <c r="CT419" i="1"/>
  <c r="CU474" i="1"/>
  <c r="CU410" i="1"/>
  <c r="CU346" i="1"/>
  <c r="CU274" i="1"/>
  <c r="CU240" i="1"/>
  <c r="CU208" i="1"/>
  <c r="CU176" i="1"/>
  <c r="CU144" i="1"/>
  <c r="CU112" i="1"/>
  <c r="CU80" i="1"/>
  <c r="CU48" i="1"/>
  <c r="CU16" i="1"/>
  <c r="CT291" i="1"/>
  <c r="CU466" i="1"/>
  <c r="CU402" i="1"/>
  <c r="CU338" i="1"/>
  <c r="CU304" i="1"/>
  <c r="CU272" i="1"/>
  <c r="CU234" i="1"/>
  <c r="CU202" i="1"/>
  <c r="CU170" i="1"/>
  <c r="CU138" i="1"/>
  <c r="CU74" i="1"/>
  <c r="CU42" i="1"/>
  <c r="CU10" i="1"/>
  <c r="CT163" i="1"/>
  <c r="CU458" i="1"/>
  <c r="CU394" i="1"/>
  <c r="CU330" i="1"/>
  <c r="CU298" i="1"/>
  <c r="CU266" i="1"/>
  <c r="CU232" i="1"/>
  <c r="CU200" i="1"/>
  <c r="CU136" i="1"/>
  <c r="CU104" i="1"/>
  <c r="CU72" i="1"/>
  <c r="CU40" i="1"/>
  <c r="CU8" i="1"/>
  <c r="CH168" i="1"/>
  <c r="CT135" i="1"/>
  <c r="CU450" i="1"/>
  <c r="CU386" i="1"/>
  <c r="CU328" i="1"/>
  <c r="CU296" i="1"/>
  <c r="CU264" i="1"/>
  <c r="CU226" i="1"/>
  <c r="CU194" i="1"/>
  <c r="CU162" i="1"/>
  <c r="CU130" i="1"/>
  <c r="CU98" i="1"/>
  <c r="CU66" i="1"/>
  <c r="CU34" i="1"/>
  <c r="CU496" i="1"/>
  <c r="CU472" i="1"/>
  <c r="CU448" i="1"/>
  <c r="CU432" i="1"/>
  <c r="CU416" i="1"/>
  <c r="CU392" i="1"/>
  <c r="CU376" i="1"/>
  <c r="CU336" i="1"/>
  <c r="CP446" i="1"/>
  <c r="CR206" i="1"/>
  <c r="CT479" i="1"/>
  <c r="CT351" i="1"/>
  <c r="CT223" i="1"/>
  <c r="CT87" i="1"/>
  <c r="CU501" i="1"/>
  <c r="CU493" i="1"/>
  <c r="CU485" i="1"/>
  <c r="CU477" i="1"/>
  <c r="CU469" i="1"/>
  <c r="CU461" i="1"/>
  <c r="CU453" i="1"/>
  <c r="CU445" i="1"/>
  <c r="CU437" i="1"/>
  <c r="CU429" i="1"/>
  <c r="CU421" i="1"/>
  <c r="CU413" i="1"/>
  <c r="CU405" i="1"/>
  <c r="CU397" i="1"/>
  <c r="CU389" i="1"/>
  <c r="CU381" i="1"/>
  <c r="CU373" i="1"/>
  <c r="CU365" i="1"/>
  <c r="CU357" i="1"/>
  <c r="CU349" i="1"/>
  <c r="CU341" i="1"/>
  <c r="CU333" i="1"/>
  <c r="CU325" i="1"/>
  <c r="CU317" i="1"/>
  <c r="CU309" i="1"/>
  <c r="CU301" i="1"/>
  <c r="CU293" i="1"/>
  <c r="CU285" i="1"/>
  <c r="CU277" i="1"/>
  <c r="CU269" i="1"/>
  <c r="CU261" i="1"/>
  <c r="CU253" i="1"/>
  <c r="CU245" i="1"/>
  <c r="CU237" i="1"/>
  <c r="CU229" i="1"/>
  <c r="CU221" i="1"/>
  <c r="CU213" i="1"/>
  <c r="CU205" i="1"/>
  <c r="CU197" i="1"/>
  <c r="CU189" i="1"/>
  <c r="CU181" i="1"/>
  <c r="CU173" i="1"/>
  <c r="CU165" i="1"/>
  <c r="CU157" i="1"/>
  <c r="CU149" i="1"/>
  <c r="CU141" i="1"/>
  <c r="CU133" i="1"/>
  <c r="CU125" i="1"/>
  <c r="CU117" i="1"/>
  <c r="CU109" i="1"/>
  <c r="CU101" i="1"/>
  <c r="CU93" i="1"/>
  <c r="CU85" i="1"/>
  <c r="CU77" i="1"/>
  <c r="CU69" i="1"/>
  <c r="CU61" i="1"/>
  <c r="CU53" i="1"/>
  <c r="CU45" i="1"/>
  <c r="CU37" i="1"/>
  <c r="CU29" i="1"/>
  <c r="CU21" i="1"/>
  <c r="CU13" i="1"/>
  <c r="CT451" i="1"/>
  <c r="CT323" i="1"/>
  <c r="CT195" i="1"/>
  <c r="CT67" i="1"/>
  <c r="CU500" i="1"/>
  <c r="CU492" i="1"/>
  <c r="CU484" i="1"/>
  <c r="CU476" i="1"/>
  <c r="CU468" i="1"/>
  <c r="CU460" i="1"/>
  <c r="CU452" i="1"/>
  <c r="CU444" i="1"/>
  <c r="CU436" i="1"/>
  <c r="CU428" i="1"/>
  <c r="CU420" i="1"/>
  <c r="CU412" i="1"/>
  <c r="CU404" i="1"/>
  <c r="CU396" i="1"/>
  <c r="CU388" i="1"/>
  <c r="CU380" i="1"/>
  <c r="CU372" i="1"/>
  <c r="CU364" i="1"/>
  <c r="CU356" i="1"/>
  <c r="CU348" i="1"/>
  <c r="CU340" i="1"/>
  <c r="CU332" i="1"/>
  <c r="CU324" i="1"/>
  <c r="CU316" i="1"/>
  <c r="CU308" i="1"/>
  <c r="CU300" i="1"/>
  <c r="CU292" i="1"/>
  <c r="CU284" i="1"/>
  <c r="CU276" i="1"/>
  <c r="CU268" i="1"/>
  <c r="CU260" i="1"/>
  <c r="CU252" i="1"/>
  <c r="CU244" i="1"/>
  <c r="CU236" i="1"/>
  <c r="CU228" i="1"/>
  <c r="CU220" i="1"/>
  <c r="CU212" i="1"/>
  <c r="CU204" i="1"/>
  <c r="CU196" i="1"/>
  <c r="CU188" i="1"/>
  <c r="CU180" i="1"/>
  <c r="CU172" i="1"/>
  <c r="CU164" i="1"/>
  <c r="CU156" i="1"/>
  <c r="CU148" i="1"/>
  <c r="CU140" i="1"/>
  <c r="CU132" i="1"/>
  <c r="CU124" i="1"/>
  <c r="CU116" i="1"/>
  <c r="CU108" i="1"/>
  <c r="CU100" i="1"/>
  <c r="CU92" i="1"/>
  <c r="CU84" i="1"/>
  <c r="CU76" i="1"/>
  <c r="CU68" i="1"/>
  <c r="CU60" i="1"/>
  <c r="CU52" i="1"/>
  <c r="CU44" i="1"/>
  <c r="CU36" i="1"/>
  <c r="CU28" i="1"/>
  <c r="CU20" i="1"/>
  <c r="CU12" i="1"/>
  <c r="CN456" i="1"/>
  <c r="CT447" i="1"/>
  <c r="CT319" i="1"/>
  <c r="CT191" i="1"/>
  <c r="CT64" i="1"/>
  <c r="CU499" i="1"/>
  <c r="CU491" i="1"/>
  <c r="CU483" i="1"/>
  <c r="CU475" i="1"/>
  <c r="CU467" i="1"/>
  <c r="CU459" i="1"/>
  <c r="CU451" i="1"/>
  <c r="CU443" i="1"/>
  <c r="CU435" i="1"/>
  <c r="CU427" i="1"/>
  <c r="CU419" i="1"/>
  <c r="CU411" i="1"/>
  <c r="CU403" i="1"/>
  <c r="CU395" i="1"/>
  <c r="CU387" i="1"/>
  <c r="CU379" i="1"/>
  <c r="CU371" i="1"/>
  <c r="CU363" i="1"/>
  <c r="CU355" i="1"/>
  <c r="CU347" i="1"/>
  <c r="CU339" i="1"/>
  <c r="CU331" i="1"/>
  <c r="CU323" i="1"/>
  <c r="CU315" i="1"/>
  <c r="CU307" i="1"/>
  <c r="CU299" i="1"/>
  <c r="CU291" i="1"/>
  <c r="CU283" i="1"/>
  <c r="CU275" i="1"/>
  <c r="CU267" i="1"/>
  <c r="CU259" i="1"/>
  <c r="CU251" i="1"/>
  <c r="CU243" i="1"/>
  <c r="CU235" i="1"/>
  <c r="CU227" i="1"/>
  <c r="CU219" i="1"/>
  <c r="CU211" i="1"/>
  <c r="CU203" i="1"/>
  <c r="CU195" i="1"/>
  <c r="CU187" i="1"/>
  <c r="CU179" i="1"/>
  <c r="CU171" i="1"/>
  <c r="CU163" i="1"/>
  <c r="CU155" i="1"/>
  <c r="CU147" i="1"/>
  <c r="CU139" i="1"/>
  <c r="CU131" i="1"/>
  <c r="CU123" i="1"/>
  <c r="CU115" i="1"/>
  <c r="CU107" i="1"/>
  <c r="CU99" i="1"/>
  <c r="CU91" i="1"/>
  <c r="CU83" i="1"/>
  <c r="CU75" i="1"/>
  <c r="CU67" i="1"/>
  <c r="CU59" i="1"/>
  <c r="CU51" i="1"/>
  <c r="CU43" i="1"/>
  <c r="CU35" i="1"/>
  <c r="CU27" i="1"/>
  <c r="CU19" i="1"/>
  <c r="CU11" i="1"/>
  <c r="CP306" i="1"/>
  <c r="CN106" i="1"/>
  <c r="CT415" i="1"/>
  <c r="CT287" i="1"/>
  <c r="CT159" i="1"/>
  <c r="CT35" i="1"/>
  <c r="CU497" i="1"/>
  <c r="CU489" i="1"/>
  <c r="CU481" i="1"/>
  <c r="CU473" i="1"/>
  <c r="CU465" i="1"/>
  <c r="CU457" i="1"/>
  <c r="CU449" i="1"/>
  <c r="CU441" i="1"/>
  <c r="CU433" i="1"/>
  <c r="CU425" i="1"/>
  <c r="CU417" i="1"/>
  <c r="CU409" i="1"/>
  <c r="CU401" i="1"/>
  <c r="CU393" i="1"/>
  <c r="CU385" i="1"/>
  <c r="CU377" i="1"/>
  <c r="CU353" i="1"/>
  <c r="CU345" i="1"/>
  <c r="CU337" i="1"/>
  <c r="CU329" i="1"/>
  <c r="CU313" i="1"/>
  <c r="CU297" i="1"/>
  <c r="CU289" i="1"/>
  <c r="CU281" i="1"/>
  <c r="CU273" i="1"/>
  <c r="CU265" i="1"/>
  <c r="CU257" i="1"/>
  <c r="CU241" i="1"/>
  <c r="CU233" i="1"/>
  <c r="CU225" i="1"/>
  <c r="CU217" i="1"/>
  <c r="CU209" i="1"/>
  <c r="CU201" i="1"/>
  <c r="CU193" i="1"/>
  <c r="CU185" i="1"/>
  <c r="CU177" i="1"/>
  <c r="CU169" i="1"/>
  <c r="CU161" i="1"/>
  <c r="CU153" i="1"/>
  <c r="CU145" i="1"/>
  <c r="CU137" i="1"/>
  <c r="CU129" i="1"/>
  <c r="CU121" i="1"/>
  <c r="CU113" i="1"/>
  <c r="CU105" i="1"/>
  <c r="CU97" i="1"/>
  <c r="CU89" i="1"/>
  <c r="CU81" i="1"/>
  <c r="CU73" i="1"/>
  <c r="CU65" i="1"/>
  <c r="CU57" i="1"/>
  <c r="CU49" i="1"/>
  <c r="CU41" i="1"/>
  <c r="CU33" i="1"/>
  <c r="CU25" i="1"/>
  <c r="CU17" i="1"/>
  <c r="CU9" i="1"/>
  <c r="CT387" i="1"/>
  <c r="CU464" i="1"/>
  <c r="CU408" i="1"/>
  <c r="CU352" i="1"/>
  <c r="CU248" i="1"/>
  <c r="CT383" i="1"/>
  <c r="CT255" i="1"/>
  <c r="CT111" i="1"/>
  <c r="CU503" i="1"/>
  <c r="CU495" i="1"/>
  <c r="CU487" i="1"/>
  <c r="CU479" i="1"/>
  <c r="CU471" i="1"/>
  <c r="CU463" i="1"/>
  <c r="CU455" i="1"/>
  <c r="CU447" i="1"/>
  <c r="CU439" i="1"/>
  <c r="CU431" i="1"/>
  <c r="CU423" i="1"/>
  <c r="CU407" i="1"/>
  <c r="CU399" i="1"/>
  <c r="CU391" i="1"/>
  <c r="CU383" i="1"/>
  <c r="CU375" i="1"/>
  <c r="CU367" i="1"/>
  <c r="CU359" i="1"/>
  <c r="CU351" i="1"/>
  <c r="CU343" i="1"/>
  <c r="CU335" i="1"/>
  <c r="CU327" i="1"/>
  <c r="CU319" i="1"/>
  <c r="CU311" i="1"/>
  <c r="CU303" i="1"/>
  <c r="CU295" i="1"/>
  <c r="CU287" i="1"/>
  <c r="CU279" i="1"/>
  <c r="CU271" i="1"/>
  <c r="CU263" i="1"/>
  <c r="CU255" i="1"/>
  <c r="CU247" i="1"/>
  <c r="CU239" i="1"/>
  <c r="CU231" i="1"/>
  <c r="CU223" i="1"/>
  <c r="CU215" i="1"/>
  <c r="CU207" i="1"/>
  <c r="CU199" i="1"/>
  <c r="CU191" i="1"/>
  <c r="CU183" i="1"/>
  <c r="CU175" i="1"/>
  <c r="CU167" i="1"/>
  <c r="CU159" i="1"/>
  <c r="CU151" i="1"/>
  <c r="CU143" i="1"/>
  <c r="CU135" i="1"/>
  <c r="CU127" i="1"/>
  <c r="CU119" i="1"/>
  <c r="CU111" i="1"/>
  <c r="CU103" i="1"/>
  <c r="CU95" i="1"/>
  <c r="CU87" i="1"/>
  <c r="CU79" i="1"/>
  <c r="CU71" i="1"/>
  <c r="CU63" i="1"/>
  <c r="CU55" i="1"/>
  <c r="CU47" i="1"/>
  <c r="CU39" i="1"/>
  <c r="CU31" i="1"/>
  <c r="CU23" i="1"/>
  <c r="CU15" i="1"/>
  <c r="CU7" i="1"/>
  <c r="CT259" i="1"/>
  <c r="CU504" i="1"/>
  <c r="CU488" i="1"/>
  <c r="CU480" i="1"/>
  <c r="CU456" i="1"/>
  <c r="CU440" i="1"/>
  <c r="CU424" i="1"/>
  <c r="CU400" i="1"/>
  <c r="CU384" i="1"/>
  <c r="CU368" i="1"/>
  <c r="CU344" i="1"/>
  <c r="CT483" i="1"/>
  <c r="CT355" i="1"/>
  <c r="CT227" i="1"/>
  <c r="CT88" i="1"/>
  <c r="CU502" i="1"/>
  <c r="CU494" i="1"/>
  <c r="CU486" i="1"/>
  <c r="CU478" i="1"/>
  <c r="CU470" i="1"/>
  <c r="CU462" i="1"/>
  <c r="CU454" i="1"/>
  <c r="CU446" i="1"/>
  <c r="CU438" i="1"/>
  <c r="CU430" i="1"/>
  <c r="CU422" i="1"/>
  <c r="CU414" i="1"/>
  <c r="CU406" i="1"/>
  <c r="CU398" i="1"/>
  <c r="CU390" i="1"/>
  <c r="CU382" i="1"/>
  <c r="CU374" i="1"/>
  <c r="CU366" i="1"/>
  <c r="CU358" i="1"/>
  <c r="CU350" i="1"/>
  <c r="CU342" i="1"/>
  <c r="CU334" i="1"/>
  <c r="CU326" i="1"/>
  <c r="CU318" i="1"/>
  <c r="CU310" i="1"/>
  <c r="CU302" i="1"/>
  <c r="CU294" i="1"/>
  <c r="CU286" i="1"/>
  <c r="CU278" i="1"/>
  <c r="CU270" i="1"/>
  <c r="CU262" i="1"/>
  <c r="CU254" i="1"/>
  <c r="CU246" i="1"/>
  <c r="CU238" i="1"/>
  <c r="CU230" i="1"/>
  <c r="CU222" i="1"/>
  <c r="CU214" i="1"/>
  <c r="CU206" i="1"/>
  <c r="CU198" i="1"/>
  <c r="CU190" i="1"/>
  <c r="CU182" i="1"/>
  <c r="CU174" i="1"/>
  <c r="CU166" i="1"/>
  <c r="CU158" i="1"/>
  <c r="CU150" i="1"/>
  <c r="CU142" i="1"/>
  <c r="CU134" i="1"/>
  <c r="CU126" i="1"/>
  <c r="CU118" i="1"/>
  <c r="CU110" i="1"/>
  <c r="CU102" i="1"/>
  <c r="CU94" i="1"/>
  <c r="CU86" i="1"/>
  <c r="CU78" i="1"/>
  <c r="CU70" i="1"/>
  <c r="CU62" i="1"/>
  <c r="CU54" i="1"/>
  <c r="CU46" i="1"/>
  <c r="CU38" i="1"/>
  <c r="CU30" i="1"/>
  <c r="CU22" i="1"/>
  <c r="CU14" i="1"/>
  <c r="CU6" i="1"/>
  <c r="CT107" i="1"/>
  <c r="CT475" i="1"/>
  <c r="CT443" i="1"/>
  <c r="CT411" i="1"/>
  <c r="CT379" i="1"/>
  <c r="CT347" i="1"/>
  <c r="CT315" i="1"/>
  <c r="CT283" i="1"/>
  <c r="CT251" i="1"/>
  <c r="CT219" i="1"/>
  <c r="CT187" i="1"/>
  <c r="CT155" i="1"/>
  <c r="CT128" i="1"/>
  <c r="CT104" i="1"/>
  <c r="CT83" i="1"/>
  <c r="CT63" i="1"/>
  <c r="CT31" i="1"/>
  <c r="CT503" i="1"/>
  <c r="CT471" i="1"/>
  <c r="CT439" i="1"/>
  <c r="CT407" i="1"/>
  <c r="CT375" i="1"/>
  <c r="CT343" i="1"/>
  <c r="CT311" i="1"/>
  <c r="CT279" i="1"/>
  <c r="CT247" i="1"/>
  <c r="CT215" i="1"/>
  <c r="CT183" i="1"/>
  <c r="CT151" i="1"/>
  <c r="CT127" i="1"/>
  <c r="CT103" i="1"/>
  <c r="CT80" i="1"/>
  <c r="CT59" i="1"/>
  <c r="CT27" i="1"/>
  <c r="CT499" i="1"/>
  <c r="CT467" i="1"/>
  <c r="CT435" i="1"/>
  <c r="CT403" i="1"/>
  <c r="CT371" i="1"/>
  <c r="CT339" i="1"/>
  <c r="CT307" i="1"/>
  <c r="CT275" i="1"/>
  <c r="CT243" i="1"/>
  <c r="CT211" i="1"/>
  <c r="CT179" i="1"/>
  <c r="CT147" i="1"/>
  <c r="CT123" i="1"/>
  <c r="CT99" i="1"/>
  <c r="CT79" i="1"/>
  <c r="CT55" i="1"/>
  <c r="CT23" i="1"/>
  <c r="CP415" i="1"/>
  <c r="CT495" i="1"/>
  <c r="CT463" i="1"/>
  <c r="CT431" i="1"/>
  <c r="CT399" i="1"/>
  <c r="CT367" i="1"/>
  <c r="CT335" i="1"/>
  <c r="CT303" i="1"/>
  <c r="CT271" i="1"/>
  <c r="CT239" i="1"/>
  <c r="CT207" i="1"/>
  <c r="CT175" i="1"/>
  <c r="CT143" i="1"/>
  <c r="CT120" i="1"/>
  <c r="CT75" i="1"/>
  <c r="CT51" i="1"/>
  <c r="CT19" i="1"/>
  <c r="CT131" i="1"/>
  <c r="CT491" i="1"/>
  <c r="CT459" i="1"/>
  <c r="CT427" i="1"/>
  <c r="CT395" i="1"/>
  <c r="CT363" i="1"/>
  <c r="CT331" i="1"/>
  <c r="CT299" i="1"/>
  <c r="CT267" i="1"/>
  <c r="CT235" i="1"/>
  <c r="CT203" i="1"/>
  <c r="CT171" i="1"/>
  <c r="CT139" i="1"/>
  <c r="CT119" i="1"/>
  <c r="CT95" i="1"/>
  <c r="CT72" i="1"/>
  <c r="CT47" i="1"/>
  <c r="CT11" i="1"/>
  <c r="CP305" i="1"/>
  <c r="CT112" i="1"/>
  <c r="CT487" i="1"/>
  <c r="CT455" i="1"/>
  <c r="CT423" i="1"/>
  <c r="CT391" i="1"/>
  <c r="CT359" i="1"/>
  <c r="CT327" i="1"/>
  <c r="CT295" i="1"/>
  <c r="CT263" i="1"/>
  <c r="CT231" i="1"/>
  <c r="CT199" i="1"/>
  <c r="CT167" i="1"/>
  <c r="CT136" i="1"/>
  <c r="CT115" i="1"/>
  <c r="CT91" i="1"/>
  <c r="CT71" i="1"/>
  <c r="CT43" i="1"/>
  <c r="CN360" i="1"/>
  <c r="CT501" i="1"/>
  <c r="CT493" i="1"/>
  <c r="CT485" i="1"/>
  <c r="CT477" i="1"/>
  <c r="CT469" i="1"/>
  <c r="CT461" i="1"/>
  <c r="CT453" i="1"/>
  <c r="CT445" i="1"/>
  <c r="CT437" i="1"/>
  <c r="CT429" i="1"/>
  <c r="CT421" i="1"/>
  <c r="CT413" i="1"/>
  <c r="CT405" i="1"/>
  <c r="CT397" i="1"/>
  <c r="CT389" i="1"/>
  <c r="CT381" i="1"/>
  <c r="CT373" i="1"/>
  <c r="CT365" i="1"/>
  <c r="CT357" i="1"/>
  <c r="CT349" i="1"/>
  <c r="CT341" i="1"/>
  <c r="CT333" i="1"/>
  <c r="CT325" i="1"/>
  <c r="CT317" i="1"/>
  <c r="CT309" i="1"/>
  <c r="CT301" i="1"/>
  <c r="CT293" i="1"/>
  <c r="CT285" i="1"/>
  <c r="CT277" i="1"/>
  <c r="CT269" i="1"/>
  <c r="CT261" i="1"/>
  <c r="CT253" i="1"/>
  <c r="CT245" i="1"/>
  <c r="CT237" i="1"/>
  <c r="CT229" i="1"/>
  <c r="CT221" i="1"/>
  <c r="CT213" i="1"/>
  <c r="CT205" i="1"/>
  <c r="CT197" i="1"/>
  <c r="CT189" i="1"/>
  <c r="CT181" i="1"/>
  <c r="CT173" i="1"/>
  <c r="CT165" i="1"/>
  <c r="CT157" i="1"/>
  <c r="CT149" i="1"/>
  <c r="CT141" i="1"/>
  <c r="CT133" i="1"/>
  <c r="CT125" i="1"/>
  <c r="CT109" i="1"/>
  <c r="CT101" i="1"/>
  <c r="CT93" i="1"/>
  <c r="CT85" i="1"/>
  <c r="CT77" i="1"/>
  <c r="CT69" i="1"/>
  <c r="CT61" i="1"/>
  <c r="CT53" i="1"/>
  <c r="CT45" i="1"/>
  <c r="CT37" i="1"/>
  <c r="CT29" i="1"/>
  <c r="CT21" i="1"/>
  <c r="CT13" i="1"/>
  <c r="CP369" i="1"/>
  <c r="CS361" i="1"/>
  <c r="CR321" i="1"/>
  <c r="CP249" i="1"/>
  <c r="CT500" i="1"/>
  <c r="CT492" i="1"/>
  <c r="CT484" i="1"/>
  <c r="CT476" i="1"/>
  <c r="CT468" i="1"/>
  <c r="CT460" i="1"/>
  <c r="CT452" i="1"/>
  <c r="CT436" i="1"/>
  <c r="CT428" i="1"/>
  <c r="CT420" i="1"/>
  <c r="CT412" i="1"/>
  <c r="CT404" i="1"/>
  <c r="CT396" i="1"/>
  <c r="CT388" i="1"/>
  <c r="CT380" i="1"/>
  <c r="CT372" i="1"/>
  <c r="CT364" i="1"/>
  <c r="CT356" i="1"/>
  <c r="CT348" i="1"/>
  <c r="CT340" i="1"/>
  <c r="CT332" i="1"/>
  <c r="CT324" i="1"/>
  <c r="CT316" i="1"/>
  <c r="CT308" i="1"/>
  <c r="CT300" i="1"/>
  <c r="CT292" i="1"/>
  <c r="CT284" i="1"/>
  <c r="CT276" i="1"/>
  <c r="CT268" i="1"/>
  <c r="CT260" i="1"/>
  <c r="CT252" i="1"/>
  <c r="CT244" i="1"/>
  <c r="CT236" i="1"/>
  <c r="CT228" i="1"/>
  <c r="CT220" i="1"/>
  <c r="CT212" i="1"/>
  <c r="CT204" i="1"/>
  <c r="CT196" i="1"/>
  <c r="CT188" i="1"/>
  <c r="CT180" i="1"/>
  <c r="CT172" i="1"/>
  <c r="CT164" i="1"/>
  <c r="CT156" i="1"/>
  <c r="CT148" i="1"/>
  <c r="CT140" i="1"/>
  <c r="CT124" i="1"/>
  <c r="CT116" i="1"/>
  <c r="CT108" i="1"/>
  <c r="CT100" i="1"/>
  <c r="CT92" i="1"/>
  <c r="CT84" i="1"/>
  <c r="CT76" i="1"/>
  <c r="CT68" i="1"/>
  <c r="CT60" i="1"/>
  <c r="CT52" i="1"/>
  <c r="CT44" i="1"/>
  <c r="CT36" i="1"/>
  <c r="CT28" i="1"/>
  <c r="CT20" i="1"/>
  <c r="CT12" i="1"/>
  <c r="CT498" i="1"/>
  <c r="CT490" i="1"/>
  <c r="CT482" i="1"/>
  <c r="CT474" i="1"/>
  <c r="CT466" i="1"/>
  <c r="CT458" i="1"/>
  <c r="CT450" i="1"/>
  <c r="CT442" i="1"/>
  <c r="CT434" i="1"/>
  <c r="CT426" i="1"/>
  <c r="CT418" i="1"/>
  <c r="CT410" i="1"/>
  <c r="CT402" i="1"/>
  <c r="CT394" i="1"/>
  <c r="CT386" i="1"/>
  <c r="CT378" i="1"/>
  <c r="CT370" i="1"/>
  <c r="CT362" i="1"/>
  <c r="CT354" i="1"/>
  <c r="CT346" i="1"/>
  <c r="CT338" i="1"/>
  <c r="CT330" i="1"/>
  <c r="CT322" i="1"/>
  <c r="CT314" i="1"/>
  <c r="CT306" i="1"/>
  <c r="CT298" i="1"/>
  <c r="CT290" i="1"/>
  <c r="CT282" i="1"/>
  <c r="CT274" i="1"/>
  <c r="CT266" i="1"/>
  <c r="CT258" i="1"/>
  <c r="CT250" i="1"/>
  <c r="CT242" i="1"/>
  <c r="CT234" i="1"/>
  <c r="CT226" i="1"/>
  <c r="CT218" i="1"/>
  <c r="CT210" i="1"/>
  <c r="CT202" i="1"/>
  <c r="CT194" i="1"/>
  <c r="CT186" i="1"/>
  <c r="CT178" i="1"/>
  <c r="CT170" i="1"/>
  <c r="CT162" i="1"/>
  <c r="CT154" i="1"/>
  <c r="CT146" i="1"/>
  <c r="CT138" i="1"/>
  <c r="CT130" i="1"/>
  <c r="CT122" i="1"/>
  <c r="CT114" i="1"/>
  <c r="CT106" i="1"/>
  <c r="CT98" i="1"/>
  <c r="CT90" i="1"/>
  <c r="CT82" i="1"/>
  <c r="CT74" i="1"/>
  <c r="CT66" i="1"/>
  <c r="CT58" i="1"/>
  <c r="CT50" i="1"/>
  <c r="CT42" i="1"/>
  <c r="CT34" i="1"/>
  <c r="CT26" i="1"/>
  <c r="CT18" i="1"/>
  <c r="CT10" i="1"/>
  <c r="CS444" i="1"/>
  <c r="CM132" i="1"/>
  <c r="CT497" i="1"/>
  <c r="CT489" i="1"/>
  <c r="CT481" i="1"/>
  <c r="CT473" i="1"/>
  <c r="CT465" i="1"/>
  <c r="CT457" i="1"/>
  <c r="CT449" i="1"/>
  <c r="CT441" i="1"/>
  <c r="CT433" i="1"/>
  <c r="CT425" i="1"/>
  <c r="CT417" i="1"/>
  <c r="CT409" i="1"/>
  <c r="CT401" i="1"/>
  <c r="CT393" i="1"/>
  <c r="CT385" i="1"/>
  <c r="CT377" i="1"/>
  <c r="CT369" i="1"/>
  <c r="CT361" i="1"/>
  <c r="CT353" i="1"/>
  <c r="CT345" i="1"/>
  <c r="CT337" i="1"/>
  <c r="CT329" i="1"/>
  <c r="CT321" i="1"/>
  <c r="CT313" i="1"/>
  <c r="CT305" i="1"/>
  <c r="CT297" i="1"/>
  <c r="CT289" i="1"/>
  <c r="CT281" i="1"/>
  <c r="CT273" i="1"/>
  <c r="CT265" i="1"/>
  <c r="CT257" i="1"/>
  <c r="CT249" i="1"/>
  <c r="CT241" i="1"/>
  <c r="CT233" i="1"/>
  <c r="CT225" i="1"/>
  <c r="CT217" i="1"/>
  <c r="CT209" i="1"/>
  <c r="CT201" i="1"/>
  <c r="CT193" i="1"/>
  <c r="CT185" i="1"/>
  <c r="CT177" i="1"/>
  <c r="CT169" i="1"/>
  <c r="CT161" i="1"/>
  <c r="CT153" i="1"/>
  <c r="CT145" i="1"/>
  <c r="CT137" i="1"/>
  <c r="CT129" i="1"/>
  <c r="CT121" i="1"/>
  <c r="CT113" i="1"/>
  <c r="CT105" i="1"/>
  <c r="CT97" i="1"/>
  <c r="CT89" i="1"/>
  <c r="CT81" i="1"/>
  <c r="CT73" i="1"/>
  <c r="CT65" i="1"/>
  <c r="CT57" i="1"/>
  <c r="CT49" i="1"/>
  <c r="CT41" i="1"/>
  <c r="CT33" i="1"/>
  <c r="CT25" i="1"/>
  <c r="CT17" i="1"/>
  <c r="CT9" i="1"/>
  <c r="CG117" i="1"/>
  <c r="CT504" i="1"/>
  <c r="CT496" i="1"/>
  <c r="CT488" i="1"/>
  <c r="CT480" i="1"/>
  <c r="CT472" i="1"/>
  <c r="CT464" i="1"/>
  <c r="CT456" i="1"/>
  <c r="CT448" i="1"/>
  <c r="CT440" i="1"/>
  <c r="CT432" i="1"/>
  <c r="CT424" i="1"/>
  <c r="CT416" i="1"/>
  <c r="CT408" i="1"/>
  <c r="CT400" i="1"/>
  <c r="CT392" i="1"/>
  <c r="CT384" i="1"/>
  <c r="CT376" i="1"/>
  <c r="CT368" i="1"/>
  <c r="CT360" i="1"/>
  <c r="CT352" i="1"/>
  <c r="CT344" i="1"/>
  <c r="CT336" i="1"/>
  <c r="CT328" i="1"/>
  <c r="CT320" i="1"/>
  <c r="CT312" i="1"/>
  <c r="CT304" i="1"/>
  <c r="CT296" i="1"/>
  <c r="CT288" i="1"/>
  <c r="CT280" i="1"/>
  <c r="CT272" i="1"/>
  <c r="CT264" i="1"/>
  <c r="CT256" i="1"/>
  <c r="CT248" i="1"/>
  <c r="CT232" i="1"/>
  <c r="CT224" i="1"/>
  <c r="CT216" i="1"/>
  <c r="CT208" i="1"/>
  <c r="CT200" i="1"/>
  <c r="CT192" i="1"/>
  <c r="CT184" i="1"/>
  <c r="CT176" i="1"/>
  <c r="CT168" i="1"/>
  <c r="CT160" i="1"/>
  <c r="CT152" i="1"/>
  <c r="CT144" i="1"/>
  <c r="CT56" i="1"/>
  <c r="CT48" i="1"/>
  <c r="CT40" i="1"/>
  <c r="CT32" i="1"/>
  <c r="CT24" i="1"/>
  <c r="CT16" i="1"/>
  <c r="CT8" i="1"/>
  <c r="CT15" i="1"/>
  <c r="CT7" i="1"/>
  <c r="CT502" i="1"/>
  <c r="CT494" i="1"/>
  <c r="CT486" i="1"/>
  <c r="CT478" i="1"/>
  <c r="CT470" i="1"/>
  <c r="CT462" i="1"/>
  <c r="CT454" i="1"/>
  <c r="CT446" i="1"/>
  <c r="CT438" i="1"/>
  <c r="CT430" i="1"/>
  <c r="CT422" i="1"/>
  <c r="CT414" i="1"/>
  <c r="CT406" i="1"/>
  <c r="CT398" i="1"/>
  <c r="CT390" i="1"/>
  <c r="CT382" i="1"/>
  <c r="CT374" i="1"/>
  <c r="CT366" i="1"/>
  <c r="CT358" i="1"/>
  <c r="CT350" i="1"/>
  <c r="CT342" i="1"/>
  <c r="CT334" i="1"/>
  <c r="CT326" i="1"/>
  <c r="CT318" i="1"/>
  <c r="CT310" i="1"/>
  <c r="CT302" i="1"/>
  <c r="CT294" i="1"/>
  <c r="CT286" i="1"/>
  <c r="CT278" i="1"/>
  <c r="CT270" i="1"/>
  <c r="CT262" i="1"/>
  <c r="CT254" i="1"/>
  <c r="CT246" i="1"/>
  <c r="CT238" i="1"/>
  <c r="CT230" i="1"/>
  <c r="CT222" i="1"/>
  <c r="CT214" i="1"/>
  <c r="CT206" i="1"/>
  <c r="CT198" i="1"/>
  <c r="CT190" i="1"/>
  <c r="CT182" i="1"/>
  <c r="CT174" i="1"/>
  <c r="CT166" i="1"/>
  <c r="CT158" i="1"/>
  <c r="CT150" i="1"/>
  <c r="CT142" i="1"/>
  <c r="CT134" i="1"/>
  <c r="CT126" i="1"/>
  <c r="CT118" i="1"/>
  <c r="CT110" i="1"/>
  <c r="CT102" i="1"/>
  <c r="CT94" i="1"/>
  <c r="CT86" i="1"/>
  <c r="CT78" i="1"/>
  <c r="CT70" i="1"/>
  <c r="CT62" i="1"/>
  <c r="CT54" i="1"/>
  <c r="CT46" i="1"/>
  <c r="CT38" i="1"/>
  <c r="CT30" i="1"/>
  <c r="CT22" i="1"/>
  <c r="CT14" i="1"/>
  <c r="CT6" i="1"/>
  <c r="CS484" i="1"/>
  <c r="CS452" i="1"/>
  <c r="CS420" i="1"/>
  <c r="CS388" i="1"/>
  <c r="CS356" i="1"/>
  <c r="CS324" i="1"/>
  <c r="CS292" i="1"/>
  <c r="CS260" i="1"/>
  <c r="CS228" i="1"/>
  <c r="CS196" i="1"/>
  <c r="CS164" i="1"/>
  <c r="CS132" i="1"/>
  <c r="CS100" i="1"/>
  <c r="CS68" i="1"/>
  <c r="CS36" i="1"/>
  <c r="CS477" i="1"/>
  <c r="CS413" i="1"/>
  <c r="CS381" i="1"/>
  <c r="CS349" i="1"/>
  <c r="CS317" i="1"/>
  <c r="CS285" i="1"/>
  <c r="CS253" i="1"/>
  <c r="CS221" i="1"/>
  <c r="CS189" i="1"/>
  <c r="CS157" i="1"/>
  <c r="CS125" i="1"/>
  <c r="CS93" i="1"/>
  <c r="CS29" i="1"/>
  <c r="CS476" i="1"/>
  <c r="CS412" i="1"/>
  <c r="CS348" i="1"/>
  <c r="CS316" i="1"/>
  <c r="CS284" i="1"/>
  <c r="CS252" i="1"/>
  <c r="CS220" i="1"/>
  <c r="CS188" i="1"/>
  <c r="CS156" i="1"/>
  <c r="CS124" i="1"/>
  <c r="CS92" i="1"/>
  <c r="CS60" i="1"/>
  <c r="CS28" i="1"/>
  <c r="CS437" i="1"/>
  <c r="CS405" i="1"/>
  <c r="CS373" i="1"/>
  <c r="CS341" i="1"/>
  <c r="CS309" i="1"/>
  <c r="CS277" i="1"/>
  <c r="CS245" i="1"/>
  <c r="CS213" i="1"/>
  <c r="CS149" i="1"/>
  <c r="CS117" i="1"/>
  <c r="CS85" i="1"/>
  <c r="CS53" i="1"/>
  <c r="CS500" i="1"/>
  <c r="CS468" i="1"/>
  <c r="CS436" i="1"/>
  <c r="CS404" i="1"/>
  <c r="CS372" i="1"/>
  <c r="CS340" i="1"/>
  <c r="CS308" i="1"/>
  <c r="CS276" i="1"/>
  <c r="CS244" i="1"/>
  <c r="CS212" i="1"/>
  <c r="CS180" i="1"/>
  <c r="CS148" i="1"/>
  <c r="CS52" i="1"/>
  <c r="CS20" i="1"/>
  <c r="CS493" i="1"/>
  <c r="CS461" i="1"/>
  <c r="CS429" i="1"/>
  <c r="CS397" i="1"/>
  <c r="CS333" i="1"/>
  <c r="CS301" i="1"/>
  <c r="CS269" i="1"/>
  <c r="CS237" i="1"/>
  <c r="CS205" i="1"/>
  <c r="CS173" i="1"/>
  <c r="CS141" i="1"/>
  <c r="CS109" i="1"/>
  <c r="CS77" i="1"/>
  <c r="CS45" i="1"/>
  <c r="CS13" i="1"/>
  <c r="CN240" i="1"/>
  <c r="CP96" i="1"/>
  <c r="CS492" i="1"/>
  <c r="CS460" i="1"/>
  <c r="CS428" i="1"/>
  <c r="CS396" i="1"/>
  <c r="CS364" i="1"/>
  <c r="CS332" i="1"/>
  <c r="CS300" i="1"/>
  <c r="CS268" i="1"/>
  <c r="CS236" i="1"/>
  <c r="CS204" i="1"/>
  <c r="CS172" i="1"/>
  <c r="CS140" i="1"/>
  <c r="CS108" i="1"/>
  <c r="CS44" i="1"/>
  <c r="CS12" i="1"/>
  <c r="CS485" i="1"/>
  <c r="CS453" i="1"/>
  <c r="CS421" i="1"/>
  <c r="CS389" i="1"/>
  <c r="CS357" i="1"/>
  <c r="CS325" i="1"/>
  <c r="CS197" i="1"/>
  <c r="CS165" i="1"/>
  <c r="CS101" i="1"/>
  <c r="CS69" i="1"/>
  <c r="CS37" i="1"/>
  <c r="CS499" i="1"/>
  <c r="CS491" i="1"/>
  <c r="CS483" i="1"/>
  <c r="CS475" i="1"/>
  <c r="CS467" i="1"/>
  <c r="CS459" i="1"/>
  <c r="CS443" i="1"/>
  <c r="CS435" i="1"/>
  <c r="CS427" i="1"/>
  <c r="CS419" i="1"/>
  <c r="CS411" i="1"/>
  <c r="CS403" i="1"/>
  <c r="CS395" i="1"/>
  <c r="CS387" i="1"/>
  <c r="CS379" i="1"/>
  <c r="CS371" i="1"/>
  <c r="CS363" i="1"/>
  <c r="CS355" i="1"/>
  <c r="CS347" i="1"/>
  <c r="CS339" i="1"/>
  <c r="CS331" i="1"/>
  <c r="CS323" i="1"/>
  <c r="CS315" i="1"/>
  <c r="CS307" i="1"/>
  <c r="CS299" i="1"/>
  <c r="CS291" i="1"/>
  <c r="CS283" i="1"/>
  <c r="CS275" i="1"/>
  <c r="CS267" i="1"/>
  <c r="CS259" i="1"/>
  <c r="CS251" i="1"/>
  <c r="CS243" i="1"/>
  <c r="CS235" i="1"/>
  <c r="CS227" i="1"/>
  <c r="CS219" i="1"/>
  <c r="CS211" i="1"/>
  <c r="CS203" i="1"/>
  <c r="CS195" i="1"/>
  <c r="CS187" i="1"/>
  <c r="CS171" i="1"/>
  <c r="CS155" i="1"/>
  <c r="CS147" i="1"/>
  <c r="CS139" i="1"/>
  <c r="CS131" i="1"/>
  <c r="CS123" i="1"/>
  <c r="CS115" i="1"/>
  <c r="CS107" i="1"/>
  <c r="CS99" i="1"/>
  <c r="CS91" i="1"/>
  <c r="CS83" i="1"/>
  <c r="CS75" i="1"/>
  <c r="CS67" i="1"/>
  <c r="CS51" i="1"/>
  <c r="CS43" i="1"/>
  <c r="CS35" i="1"/>
  <c r="CS27" i="1"/>
  <c r="CS490" i="1"/>
  <c r="CS482" i="1"/>
  <c r="CS474" i="1"/>
  <c r="CS458" i="1"/>
  <c r="CS450" i="1"/>
  <c r="CS442" i="1"/>
  <c r="CS426" i="1"/>
  <c r="CS410" i="1"/>
  <c r="CS402" i="1"/>
  <c r="CS394" i="1"/>
  <c r="CS386" i="1"/>
  <c r="CS378" i="1"/>
  <c r="CS370" i="1"/>
  <c r="CS362" i="1"/>
  <c r="CS354" i="1"/>
  <c r="CS346" i="1"/>
  <c r="CS338" i="1"/>
  <c r="CS330" i="1"/>
  <c r="CS322" i="1"/>
  <c r="CS314" i="1"/>
  <c r="CS306" i="1"/>
  <c r="CS290" i="1"/>
  <c r="CS282" i="1"/>
  <c r="CS266" i="1"/>
  <c r="CS258" i="1"/>
  <c r="CS250" i="1"/>
  <c r="CS242" i="1"/>
  <c r="CS226" i="1"/>
  <c r="CS218" i="1"/>
  <c r="CS210" i="1"/>
  <c r="CS202" i="1"/>
  <c r="CS186" i="1"/>
  <c r="CS178" i="1"/>
  <c r="CS170" i="1"/>
  <c r="CS162" i="1"/>
  <c r="CS154" i="1"/>
  <c r="CS146" i="1"/>
  <c r="CS138" i="1"/>
  <c r="CS122" i="1"/>
  <c r="CS106" i="1"/>
  <c r="CS82" i="1"/>
  <c r="CS74" i="1"/>
  <c r="CS66" i="1"/>
  <c r="CS58" i="1"/>
  <c r="CS50" i="1"/>
  <c r="CS42" i="1"/>
  <c r="CS34" i="1"/>
  <c r="CS26" i="1"/>
  <c r="CS18" i="1"/>
  <c r="CS10" i="1"/>
  <c r="CO444" i="1"/>
  <c r="CS497" i="1"/>
  <c r="CS489" i="1"/>
  <c r="CS481" i="1"/>
  <c r="CS465" i="1"/>
  <c r="CS457" i="1"/>
  <c r="CS449" i="1"/>
  <c r="CS441" i="1"/>
  <c r="CS433" i="1"/>
  <c r="CS425" i="1"/>
  <c r="CS417" i="1"/>
  <c r="CS409" i="1"/>
  <c r="CS401" i="1"/>
  <c r="CS393" i="1"/>
  <c r="CS385" i="1"/>
  <c r="CS377" i="1"/>
  <c r="CS369" i="1"/>
  <c r="CS353" i="1"/>
  <c r="CS345" i="1"/>
  <c r="CS337" i="1"/>
  <c r="CS329" i="1"/>
  <c r="CS321" i="1"/>
  <c r="CS313" i="1"/>
  <c r="CS305" i="1"/>
  <c r="CS297" i="1"/>
  <c r="CS289" i="1"/>
  <c r="CS281" i="1"/>
  <c r="CS273" i="1"/>
  <c r="CS265" i="1"/>
  <c r="CS257" i="1"/>
  <c r="CS249" i="1"/>
  <c r="CS241" i="1"/>
  <c r="CS233" i="1"/>
  <c r="CS225" i="1"/>
  <c r="CS217" i="1"/>
  <c r="CS209" i="1"/>
  <c r="CS201" i="1"/>
  <c r="CS193" i="1"/>
  <c r="CS185" i="1"/>
  <c r="CS177" i="1"/>
  <c r="CS169" i="1"/>
  <c r="CS161" i="1"/>
  <c r="CS145" i="1"/>
  <c r="CS129" i="1"/>
  <c r="CS121" i="1"/>
  <c r="CS113" i="1"/>
  <c r="CS105" i="1"/>
  <c r="CS97" i="1"/>
  <c r="CS89" i="1"/>
  <c r="CS81" i="1"/>
  <c r="CS73" i="1"/>
  <c r="CS65" i="1"/>
  <c r="CS57" i="1"/>
  <c r="CS49" i="1"/>
  <c r="CS41" i="1"/>
  <c r="CS33" i="1"/>
  <c r="CS25" i="1"/>
  <c r="CS17" i="1"/>
  <c r="CS9" i="1"/>
  <c r="CS504" i="1"/>
  <c r="CS496" i="1"/>
  <c r="CS480" i="1"/>
  <c r="CS472" i="1"/>
  <c r="CS464" i="1"/>
  <c r="CS456" i="1"/>
  <c r="CS448" i="1"/>
  <c r="CS440" i="1"/>
  <c r="CS432" i="1"/>
  <c r="CS424" i="1"/>
  <c r="CS416" i="1"/>
  <c r="CS408" i="1"/>
  <c r="CS400" i="1"/>
  <c r="CS392" i="1"/>
  <c r="CS384" i="1"/>
  <c r="CS376" i="1"/>
  <c r="CS368" i="1"/>
  <c r="CS360" i="1"/>
  <c r="CS352" i="1"/>
  <c r="CS344" i="1"/>
  <c r="CS336" i="1"/>
  <c r="CS328" i="1"/>
  <c r="CS320" i="1"/>
  <c r="CS304" i="1"/>
  <c r="CS296" i="1"/>
  <c r="CS288" i="1"/>
  <c r="CS280" i="1"/>
  <c r="CS272" i="1"/>
  <c r="CS264" i="1"/>
  <c r="CS256" i="1"/>
  <c r="CS248" i="1"/>
  <c r="CS240" i="1"/>
  <c r="CS232" i="1"/>
  <c r="CS224" i="1"/>
  <c r="CS216" i="1"/>
  <c r="CS208" i="1"/>
  <c r="CS200" i="1"/>
  <c r="CS192" i="1"/>
  <c r="CS184" i="1"/>
  <c r="CS176" i="1"/>
  <c r="CS168" i="1"/>
  <c r="CS160" i="1"/>
  <c r="CS152" i="1"/>
  <c r="CS144" i="1"/>
  <c r="CS136" i="1"/>
  <c r="CS128" i="1"/>
  <c r="CS120" i="1"/>
  <c r="CS112" i="1"/>
  <c r="CS104" i="1"/>
  <c r="CS96" i="1"/>
  <c r="CS88" i="1"/>
  <c r="CS80" i="1"/>
  <c r="CS72" i="1"/>
  <c r="CS64" i="1"/>
  <c r="CS56" i="1"/>
  <c r="CS48" i="1"/>
  <c r="CS40" i="1"/>
  <c r="CS32" i="1"/>
  <c r="CS24" i="1"/>
  <c r="CS8" i="1"/>
  <c r="CM16" i="1"/>
  <c r="CS503" i="1"/>
  <c r="CS495" i="1"/>
  <c r="CS487" i="1"/>
  <c r="CS479" i="1"/>
  <c r="CS471" i="1"/>
  <c r="CS455" i="1"/>
  <c r="CS447" i="1"/>
  <c r="CS439" i="1"/>
  <c r="CS431" i="1"/>
  <c r="CS423" i="1"/>
  <c r="CS415" i="1"/>
  <c r="CS407" i="1"/>
  <c r="CS391" i="1"/>
  <c r="CS383" i="1"/>
  <c r="CS375" i="1"/>
  <c r="CS351" i="1"/>
  <c r="CS335" i="1"/>
  <c r="CS327" i="1"/>
  <c r="CS319" i="1"/>
  <c r="CS303" i="1"/>
  <c r="CS295" i="1"/>
  <c r="CS279" i="1"/>
  <c r="CS263" i="1"/>
  <c r="CS255" i="1"/>
  <c r="CS247" i="1"/>
  <c r="CS239" i="1"/>
  <c r="CS231" i="1"/>
  <c r="CS223" i="1"/>
  <c r="CS215" i="1"/>
  <c r="CS207" i="1"/>
  <c r="CS199" i="1"/>
  <c r="CS191" i="1"/>
  <c r="CS183" i="1"/>
  <c r="CS167" i="1"/>
  <c r="CS159" i="1"/>
  <c r="CS151" i="1"/>
  <c r="CS143" i="1"/>
  <c r="CS135" i="1"/>
  <c r="CS127" i="1"/>
  <c r="CS119" i="1"/>
  <c r="CS111" i="1"/>
  <c r="CS103" i="1"/>
  <c r="CS95" i="1"/>
  <c r="CS87" i="1"/>
  <c r="CS79" i="1"/>
  <c r="CS71" i="1"/>
  <c r="CS63" i="1"/>
  <c r="CS55" i="1"/>
  <c r="CS47" i="1"/>
  <c r="CS39" i="1"/>
  <c r="CS31" i="1"/>
  <c r="CS23" i="1"/>
  <c r="CS15" i="1"/>
  <c r="CS7" i="1"/>
  <c r="CS502" i="1"/>
  <c r="CS494" i="1"/>
  <c r="CS486" i="1"/>
  <c r="CS478" i="1"/>
  <c r="CS470" i="1"/>
  <c r="CS462" i="1"/>
  <c r="CS454" i="1"/>
  <c r="CS446" i="1"/>
  <c r="CS438" i="1"/>
  <c r="CS430" i="1"/>
  <c r="CS422" i="1"/>
  <c r="CS414" i="1"/>
  <c r="CS406" i="1"/>
  <c r="CS398" i="1"/>
  <c r="CS390" i="1"/>
  <c r="CS382" i="1"/>
  <c r="CS374" i="1"/>
  <c r="CS366" i="1"/>
  <c r="CS358" i="1"/>
  <c r="CS350" i="1"/>
  <c r="CS342" i="1"/>
  <c r="CS334" i="1"/>
  <c r="CS326" i="1"/>
  <c r="CS318" i="1"/>
  <c r="CS310" i="1"/>
  <c r="CS302" i="1"/>
  <c r="CS294" i="1"/>
  <c r="CS286" i="1"/>
  <c r="CS278" i="1"/>
  <c r="CS270" i="1"/>
  <c r="CS262" i="1"/>
  <c r="CS254" i="1"/>
  <c r="CS246" i="1"/>
  <c r="CS238" i="1"/>
  <c r="CS230" i="1"/>
  <c r="CS222" i="1"/>
  <c r="CS214" i="1"/>
  <c r="CS206" i="1"/>
  <c r="CS190" i="1"/>
  <c r="CS182" i="1"/>
  <c r="CS174" i="1"/>
  <c r="CS166" i="1"/>
  <c r="CS158" i="1"/>
  <c r="CS150" i="1"/>
  <c r="CS142" i="1"/>
  <c r="CS134" i="1"/>
  <c r="CS126" i="1"/>
  <c r="CS118" i="1"/>
  <c r="CS110" i="1"/>
  <c r="CS94" i="1"/>
  <c r="CS86" i="1"/>
  <c r="CS78" i="1"/>
  <c r="CS70" i="1"/>
  <c r="CS62" i="1"/>
  <c r="CS54" i="1"/>
  <c r="CS46" i="1"/>
  <c r="CS38" i="1"/>
  <c r="CS30" i="1"/>
  <c r="CS22" i="1"/>
  <c r="CS14" i="1"/>
  <c r="CS6" i="1"/>
  <c r="CP153" i="1"/>
  <c r="CB163" i="1"/>
  <c r="CN298" i="1"/>
  <c r="CM21" i="1"/>
  <c r="CX5" i="1"/>
  <c r="CQ137" i="1"/>
  <c r="CM451" i="1"/>
  <c r="CP179" i="1"/>
  <c r="CP501" i="1"/>
  <c r="CQ445" i="1"/>
  <c r="CM181" i="1"/>
  <c r="CW5" i="1"/>
  <c r="CV5" i="1"/>
  <c r="CI102" i="1"/>
  <c r="CP473" i="1"/>
  <c r="CN293" i="1"/>
  <c r="CU5" i="1"/>
  <c r="CQ61" i="1"/>
  <c r="CP287" i="1"/>
  <c r="CN488" i="1"/>
  <c r="CN312" i="1"/>
  <c r="CN84" i="1"/>
  <c r="CO229" i="1"/>
  <c r="CP399" i="1"/>
  <c r="CP367" i="1"/>
  <c r="CP343" i="1"/>
  <c r="CP175" i="1"/>
  <c r="CT5" i="1"/>
  <c r="CP463" i="1"/>
  <c r="CN466" i="1"/>
  <c r="CN434" i="1"/>
  <c r="CN114" i="1"/>
  <c r="CM11" i="1"/>
  <c r="CS5" i="1"/>
  <c r="CP361" i="1"/>
  <c r="CN234" i="1"/>
  <c r="CR5" i="1"/>
  <c r="CP469" i="1"/>
  <c r="CP365" i="1"/>
  <c r="CP271" i="1"/>
  <c r="CN76" i="1"/>
  <c r="CO261" i="1"/>
  <c r="CM133" i="1"/>
  <c r="CN498" i="1"/>
  <c r="CN418" i="1"/>
  <c r="CN274" i="1"/>
  <c r="CN194" i="1"/>
  <c r="CN130" i="1"/>
  <c r="CO380" i="1"/>
  <c r="CP359" i="1"/>
  <c r="CP311" i="1"/>
  <c r="CN98" i="1"/>
  <c r="CN90" i="1"/>
  <c r="CN116" i="1"/>
  <c r="CR484" i="1"/>
  <c r="CR356" i="1"/>
  <c r="CR228" i="1"/>
  <c r="CR100" i="1"/>
  <c r="CR365" i="1"/>
  <c r="CR461" i="1"/>
  <c r="CR333" i="1"/>
  <c r="CR205" i="1"/>
  <c r="CR77" i="1"/>
  <c r="CR388" i="1"/>
  <c r="CR452" i="1"/>
  <c r="CR324" i="1"/>
  <c r="CR196" i="1"/>
  <c r="CR68" i="1"/>
  <c r="CR493" i="1"/>
  <c r="CR429" i="1"/>
  <c r="CR301" i="1"/>
  <c r="CR173" i="1"/>
  <c r="CR45" i="1"/>
  <c r="CR260" i="1"/>
  <c r="CR109" i="1"/>
  <c r="CR420" i="1"/>
  <c r="CR292" i="1"/>
  <c r="CR36" i="1"/>
  <c r="CR132" i="1"/>
  <c r="CR237" i="1"/>
  <c r="CB59" i="1"/>
  <c r="CN19" i="1"/>
  <c r="CR397" i="1"/>
  <c r="CR269" i="1"/>
  <c r="CR141" i="1"/>
  <c r="CR13" i="1"/>
  <c r="CR477" i="1"/>
  <c r="CR445" i="1"/>
  <c r="CR413" i="1"/>
  <c r="CR381" i="1"/>
  <c r="CR349" i="1"/>
  <c r="CR317" i="1"/>
  <c r="CR253" i="1"/>
  <c r="CR221" i="1"/>
  <c r="CR189" i="1"/>
  <c r="CR157" i="1"/>
  <c r="CR125" i="1"/>
  <c r="CR93" i="1"/>
  <c r="CR61" i="1"/>
  <c r="CR29" i="1"/>
  <c r="CR476" i="1"/>
  <c r="CR444" i="1"/>
  <c r="CR412" i="1"/>
  <c r="CR380" i="1"/>
  <c r="CR348" i="1"/>
  <c r="CR316" i="1"/>
  <c r="CR284" i="1"/>
  <c r="CR220" i="1"/>
  <c r="CR188" i="1"/>
  <c r="CR156" i="1"/>
  <c r="CR124" i="1"/>
  <c r="CR92" i="1"/>
  <c r="CR60" i="1"/>
  <c r="CR28" i="1"/>
  <c r="CR501" i="1"/>
  <c r="CR469" i="1"/>
  <c r="CR437" i="1"/>
  <c r="CR373" i="1"/>
  <c r="CR341" i="1"/>
  <c r="CR309" i="1"/>
  <c r="CR277" i="1"/>
  <c r="CR245" i="1"/>
  <c r="CR213" i="1"/>
  <c r="CR181" i="1"/>
  <c r="CR117" i="1"/>
  <c r="CR53" i="1"/>
  <c r="CR21" i="1"/>
  <c r="CP198" i="1"/>
  <c r="CR500" i="1"/>
  <c r="CR468" i="1"/>
  <c r="CR436" i="1"/>
  <c r="CR404" i="1"/>
  <c r="CR372" i="1"/>
  <c r="CR340" i="1"/>
  <c r="CR308" i="1"/>
  <c r="CR276" i="1"/>
  <c r="CR244" i="1"/>
  <c r="CR212" i="1"/>
  <c r="CR180" i="1"/>
  <c r="CR148" i="1"/>
  <c r="CR116" i="1"/>
  <c r="CR84" i="1"/>
  <c r="CR52" i="1"/>
  <c r="CR20" i="1"/>
  <c r="CR492" i="1"/>
  <c r="CR460" i="1"/>
  <c r="CR396" i="1"/>
  <c r="CR364" i="1"/>
  <c r="CR332" i="1"/>
  <c r="CR300" i="1"/>
  <c r="CR268" i="1"/>
  <c r="CR204" i="1"/>
  <c r="CR172" i="1"/>
  <c r="CR140" i="1"/>
  <c r="CR108" i="1"/>
  <c r="CR76" i="1"/>
  <c r="CR44" i="1"/>
  <c r="CR12" i="1"/>
  <c r="CR485" i="1"/>
  <c r="CR453" i="1"/>
  <c r="CR421" i="1"/>
  <c r="CR389" i="1"/>
  <c r="CR357" i="1"/>
  <c r="CR325" i="1"/>
  <c r="CR293" i="1"/>
  <c r="CR261" i="1"/>
  <c r="CR229" i="1"/>
  <c r="CR197" i="1"/>
  <c r="CR165" i="1"/>
  <c r="CR133" i="1"/>
  <c r="CR101" i="1"/>
  <c r="CR69" i="1"/>
  <c r="CR37" i="1"/>
  <c r="CR499" i="1"/>
  <c r="CR491" i="1"/>
  <c r="CR483" i="1"/>
  <c r="CR475" i="1"/>
  <c r="CR467" i="1"/>
  <c r="CR459" i="1"/>
  <c r="CR451" i="1"/>
  <c r="CR443" i="1"/>
  <c r="CR435" i="1"/>
  <c r="CR427" i="1"/>
  <c r="CR419" i="1"/>
  <c r="CR411" i="1"/>
  <c r="CR403" i="1"/>
  <c r="CR395" i="1"/>
  <c r="CR387" i="1"/>
  <c r="CR379" i="1"/>
  <c r="CR371" i="1"/>
  <c r="CR363" i="1"/>
  <c r="CR355" i="1"/>
  <c r="CR347" i="1"/>
  <c r="CR339" i="1"/>
  <c r="CR331" i="1"/>
  <c r="CR323" i="1"/>
  <c r="CR315" i="1"/>
  <c r="CR307" i="1"/>
  <c r="CR299" i="1"/>
  <c r="CR291" i="1"/>
  <c r="CR283" i="1"/>
  <c r="CR275" i="1"/>
  <c r="CR267" i="1"/>
  <c r="CR259" i="1"/>
  <c r="CR251" i="1"/>
  <c r="CR243" i="1"/>
  <c r="CR235" i="1"/>
  <c r="CR227" i="1"/>
  <c r="CR219" i="1"/>
  <c r="CR211" i="1"/>
  <c r="CR203" i="1"/>
  <c r="CR195" i="1"/>
  <c r="CR187" i="1"/>
  <c r="CR179" i="1"/>
  <c r="CR171" i="1"/>
  <c r="CR163" i="1"/>
  <c r="CR155" i="1"/>
  <c r="CR147" i="1"/>
  <c r="CR139" i="1"/>
  <c r="CR131" i="1"/>
  <c r="CR123" i="1"/>
  <c r="CR115" i="1"/>
  <c r="CR107" i="1"/>
  <c r="CR99" i="1"/>
  <c r="CR91" i="1"/>
  <c r="CR83" i="1"/>
  <c r="CR75" i="1"/>
  <c r="CR67" i="1"/>
  <c r="CR59" i="1"/>
  <c r="CR51" i="1"/>
  <c r="CR43" i="1"/>
  <c r="CR35" i="1"/>
  <c r="CR27" i="1"/>
  <c r="CR19" i="1"/>
  <c r="CR11" i="1"/>
  <c r="CR498" i="1"/>
  <c r="CR490" i="1"/>
  <c r="CR482" i="1"/>
  <c r="CR474" i="1"/>
  <c r="CR466" i="1"/>
  <c r="CR458" i="1"/>
  <c r="CR450" i="1"/>
  <c r="CR442" i="1"/>
  <c r="CR434" i="1"/>
  <c r="CR426" i="1"/>
  <c r="CR418" i="1"/>
  <c r="CR410" i="1"/>
  <c r="CR402" i="1"/>
  <c r="CR394" i="1"/>
  <c r="CR386" i="1"/>
  <c r="CR378" i="1"/>
  <c r="CR370" i="1"/>
  <c r="CR362" i="1"/>
  <c r="CR354" i="1"/>
  <c r="CR346" i="1"/>
  <c r="CR338" i="1"/>
  <c r="CR330" i="1"/>
  <c r="CR322" i="1"/>
  <c r="CR314" i="1"/>
  <c r="CR306" i="1"/>
  <c r="CR298" i="1"/>
  <c r="CR290" i="1"/>
  <c r="CR282" i="1"/>
  <c r="CR274" i="1"/>
  <c r="CR266" i="1"/>
  <c r="CR258" i="1"/>
  <c r="CR250" i="1"/>
  <c r="CR242" i="1"/>
  <c r="CR234" i="1"/>
  <c r="CR226" i="1"/>
  <c r="CR218" i="1"/>
  <c r="CR210" i="1"/>
  <c r="CR202" i="1"/>
  <c r="CR194" i="1"/>
  <c r="CR186" i="1"/>
  <c r="CR178" i="1"/>
  <c r="CR170" i="1"/>
  <c r="CR162" i="1"/>
  <c r="CR146" i="1"/>
  <c r="CR138" i="1"/>
  <c r="CR130" i="1"/>
  <c r="CR122" i="1"/>
  <c r="CR114" i="1"/>
  <c r="CR106" i="1"/>
  <c r="CR98" i="1"/>
  <c r="CR90" i="1"/>
  <c r="CR82" i="1"/>
  <c r="CR74" i="1"/>
  <c r="CR66" i="1"/>
  <c r="CR58" i="1"/>
  <c r="CR50" i="1"/>
  <c r="CR42" i="1"/>
  <c r="CR34" i="1"/>
  <c r="CR18" i="1"/>
  <c r="CR10" i="1"/>
  <c r="CR497" i="1"/>
  <c r="CR489" i="1"/>
  <c r="CR481" i="1"/>
  <c r="CR473" i="1"/>
  <c r="CR465" i="1"/>
  <c r="CR457" i="1"/>
  <c r="CR449" i="1"/>
  <c r="CR441" i="1"/>
  <c r="CR433" i="1"/>
  <c r="CR425" i="1"/>
  <c r="CR417" i="1"/>
  <c r="CR409" i="1"/>
  <c r="CR401" i="1"/>
  <c r="CR393" i="1"/>
  <c r="CR385" i="1"/>
  <c r="CR377" i="1"/>
  <c r="CR369" i="1"/>
  <c r="CR361" i="1"/>
  <c r="CR353" i="1"/>
  <c r="CR345" i="1"/>
  <c r="CR337" i="1"/>
  <c r="CR329" i="1"/>
  <c r="CR313" i="1"/>
  <c r="CR305" i="1"/>
  <c r="CR297" i="1"/>
  <c r="CR281" i="1"/>
  <c r="CR273" i="1"/>
  <c r="CR265" i="1"/>
  <c r="CR257" i="1"/>
  <c r="CR249" i="1"/>
  <c r="CR241" i="1"/>
  <c r="CR233" i="1"/>
  <c r="CR225" i="1"/>
  <c r="CR217" i="1"/>
  <c r="CR209" i="1"/>
  <c r="CR201" i="1"/>
  <c r="CR193" i="1"/>
  <c r="CR185" i="1"/>
  <c r="CR177" i="1"/>
  <c r="CR169" i="1"/>
  <c r="CR161" i="1"/>
  <c r="CR153" i="1"/>
  <c r="CR145" i="1"/>
  <c r="CR137" i="1"/>
  <c r="CR129" i="1"/>
  <c r="CR121" i="1"/>
  <c r="CR113" i="1"/>
  <c r="CR105" i="1"/>
  <c r="CR97" i="1"/>
  <c r="CR89" i="1"/>
  <c r="CR81" i="1"/>
  <c r="CR73" i="1"/>
  <c r="CR65" i="1"/>
  <c r="CR57" i="1"/>
  <c r="CR49" i="1"/>
  <c r="CR41" i="1"/>
  <c r="CR33" i="1"/>
  <c r="CR25" i="1"/>
  <c r="CR17" i="1"/>
  <c r="CR9" i="1"/>
  <c r="CR504" i="1"/>
  <c r="CR496" i="1"/>
  <c r="CR488" i="1"/>
  <c r="CR472" i="1"/>
  <c r="CR464" i="1"/>
  <c r="CR456" i="1"/>
  <c r="CR448" i="1"/>
  <c r="CR440" i="1"/>
  <c r="CR432" i="1"/>
  <c r="CR424" i="1"/>
  <c r="CR416" i="1"/>
  <c r="CR408" i="1"/>
  <c r="CR400" i="1"/>
  <c r="CR392" i="1"/>
  <c r="CR384" i="1"/>
  <c r="CR376" i="1"/>
  <c r="CR368" i="1"/>
  <c r="CR360" i="1"/>
  <c r="CR352" i="1"/>
  <c r="CR336" i="1"/>
  <c r="CR328" i="1"/>
  <c r="CR320" i="1"/>
  <c r="CR312" i="1"/>
  <c r="CR304" i="1"/>
  <c r="CR296" i="1"/>
  <c r="CR288" i="1"/>
  <c r="CR280" i="1"/>
  <c r="CR272" i="1"/>
  <c r="CR264" i="1"/>
  <c r="CR248" i="1"/>
  <c r="CR240" i="1"/>
  <c r="CR232" i="1"/>
  <c r="CR224" i="1"/>
  <c r="CR216" i="1"/>
  <c r="CR208" i="1"/>
  <c r="CR200" i="1"/>
  <c r="CR192" i="1"/>
  <c r="CR184" i="1"/>
  <c r="CR176" i="1"/>
  <c r="CR168" i="1"/>
  <c r="CR160" i="1"/>
  <c r="CR152" i="1"/>
  <c r="CR144" i="1"/>
  <c r="CR128" i="1"/>
  <c r="CR120" i="1"/>
  <c r="CR112" i="1"/>
  <c r="CR104" i="1"/>
  <c r="CR96" i="1"/>
  <c r="CR88" i="1"/>
  <c r="CR80" i="1"/>
  <c r="CR72" i="1"/>
  <c r="CR64" i="1"/>
  <c r="CR56" i="1"/>
  <c r="CR48" i="1"/>
  <c r="CR40" i="1"/>
  <c r="CR32" i="1"/>
  <c r="CR24" i="1"/>
  <c r="CR16" i="1"/>
  <c r="CR8" i="1"/>
  <c r="CR503" i="1"/>
  <c r="CR495" i="1"/>
  <c r="CR487" i="1"/>
  <c r="CR479" i="1"/>
  <c r="CR471" i="1"/>
  <c r="CR463" i="1"/>
  <c r="CR455" i="1"/>
  <c r="CR447" i="1"/>
  <c r="CR439" i="1"/>
  <c r="CR431" i="1"/>
  <c r="CR423" i="1"/>
  <c r="CR415" i="1"/>
  <c r="CR407" i="1"/>
  <c r="CR399" i="1"/>
  <c r="CR391" i="1"/>
  <c r="CR383" i="1"/>
  <c r="CR375" i="1"/>
  <c r="CR367" i="1"/>
  <c r="CR359" i="1"/>
  <c r="CR351" i="1"/>
  <c r="CR343" i="1"/>
  <c r="CR335" i="1"/>
  <c r="CR327" i="1"/>
  <c r="CR319" i="1"/>
  <c r="CR311" i="1"/>
  <c r="CR303" i="1"/>
  <c r="CR295" i="1"/>
  <c r="CR287" i="1"/>
  <c r="CR279" i="1"/>
  <c r="CR271" i="1"/>
  <c r="CR263" i="1"/>
  <c r="CR255" i="1"/>
  <c r="CR247" i="1"/>
  <c r="CR239" i="1"/>
  <c r="CR231" i="1"/>
  <c r="CR223" i="1"/>
  <c r="CR215" i="1"/>
  <c r="CR207" i="1"/>
  <c r="CR199" i="1"/>
  <c r="CR191" i="1"/>
  <c r="CR183" i="1"/>
  <c r="CR175" i="1"/>
  <c r="CR167" i="1"/>
  <c r="CR159" i="1"/>
  <c r="CR151" i="1"/>
  <c r="CR143" i="1"/>
  <c r="CR135" i="1"/>
  <c r="CR127" i="1"/>
  <c r="CR119" i="1"/>
  <c r="CR111" i="1"/>
  <c r="CR103" i="1"/>
  <c r="CR95" i="1"/>
  <c r="CR87" i="1"/>
  <c r="CR79" i="1"/>
  <c r="CR71" i="1"/>
  <c r="CR63" i="1"/>
  <c r="CR55" i="1"/>
  <c r="CR47" i="1"/>
  <c r="CR39" i="1"/>
  <c r="CR31" i="1"/>
  <c r="CR23" i="1"/>
  <c r="CR15" i="1"/>
  <c r="CR7" i="1"/>
  <c r="CR502" i="1"/>
  <c r="CR494" i="1"/>
  <c r="CR486" i="1"/>
  <c r="CR478" i="1"/>
  <c r="CR470" i="1"/>
  <c r="CR454" i="1"/>
  <c r="CR446" i="1"/>
  <c r="CR438" i="1"/>
  <c r="CR430" i="1"/>
  <c r="CR422" i="1"/>
  <c r="CR414" i="1"/>
  <c r="CR406" i="1"/>
  <c r="CR398" i="1"/>
  <c r="CR390" i="1"/>
  <c r="CR382" i="1"/>
  <c r="CR374" i="1"/>
  <c r="CR366" i="1"/>
  <c r="CR358" i="1"/>
  <c r="CR350" i="1"/>
  <c r="CR342" i="1"/>
  <c r="CR334" i="1"/>
  <c r="CR326" i="1"/>
  <c r="CR318" i="1"/>
  <c r="CR310" i="1"/>
  <c r="CR302" i="1"/>
  <c r="CR294" i="1"/>
  <c r="CR286" i="1"/>
  <c r="CR278" i="1"/>
  <c r="CR270" i="1"/>
  <c r="CR262" i="1"/>
  <c r="CR254" i="1"/>
  <c r="CR246" i="1"/>
  <c r="CR238" i="1"/>
  <c r="CR230" i="1"/>
  <c r="CR222" i="1"/>
  <c r="CR214" i="1"/>
  <c r="CR198" i="1"/>
  <c r="CR190" i="1"/>
  <c r="CR182" i="1"/>
  <c r="CR174" i="1"/>
  <c r="CR166" i="1"/>
  <c r="CR158" i="1"/>
  <c r="CR150" i="1"/>
  <c r="CR142" i="1"/>
  <c r="CR134" i="1"/>
  <c r="CR126" i="1"/>
  <c r="CR118" i="1"/>
  <c r="CR110" i="1"/>
  <c r="CR102" i="1"/>
  <c r="CR94" i="1"/>
  <c r="CR86" i="1"/>
  <c r="CR78" i="1"/>
  <c r="CR70" i="1"/>
  <c r="CR62" i="1"/>
  <c r="CR54" i="1"/>
  <c r="CR46" i="1"/>
  <c r="CR38" i="1"/>
  <c r="CR30" i="1"/>
  <c r="CR22" i="1"/>
  <c r="CR14" i="1"/>
  <c r="CR6" i="1"/>
  <c r="CN428" i="1"/>
  <c r="CN236" i="1"/>
  <c r="CN164" i="1"/>
  <c r="CQ129" i="1"/>
  <c r="CP462" i="1"/>
  <c r="CQ377" i="1"/>
  <c r="CP154" i="1"/>
  <c r="CN26" i="1"/>
  <c r="CA85" i="1"/>
  <c r="CQ191" i="1"/>
  <c r="CQ17" i="1"/>
  <c r="CP405" i="1"/>
  <c r="CP285" i="1"/>
  <c r="CA149" i="1"/>
  <c r="CQ345" i="1"/>
  <c r="CQ153" i="1"/>
  <c r="CQ313" i="1"/>
  <c r="CQ281" i="1"/>
  <c r="CQ105" i="1"/>
  <c r="CQ249" i="1"/>
  <c r="CQ73" i="1"/>
  <c r="CP321" i="1"/>
  <c r="CP289" i="1"/>
  <c r="CQ217" i="1"/>
  <c r="CQ41" i="1"/>
  <c r="CQ185" i="1"/>
  <c r="CQ9" i="1"/>
  <c r="CO252" i="1"/>
  <c r="CQ159" i="1"/>
  <c r="CQ7" i="1"/>
  <c r="CQ463" i="1"/>
  <c r="CQ401" i="1"/>
  <c r="CQ369" i="1"/>
  <c r="CQ337" i="1"/>
  <c r="CQ305" i="1"/>
  <c r="CQ273" i="1"/>
  <c r="CQ241" i="1"/>
  <c r="CQ177" i="1"/>
  <c r="CQ145" i="1"/>
  <c r="CQ121" i="1"/>
  <c r="CQ63" i="1"/>
  <c r="CQ31" i="1"/>
  <c r="CQ455" i="1"/>
  <c r="CQ399" i="1"/>
  <c r="CQ367" i="1"/>
  <c r="CQ335" i="1"/>
  <c r="CQ303" i="1"/>
  <c r="CQ271" i="1"/>
  <c r="CQ207" i="1"/>
  <c r="CQ175" i="1"/>
  <c r="CQ143" i="1"/>
  <c r="CQ119" i="1"/>
  <c r="CQ89" i="1"/>
  <c r="CQ57" i="1"/>
  <c r="CQ447" i="1"/>
  <c r="CQ393" i="1"/>
  <c r="CQ361" i="1"/>
  <c r="CQ329" i="1"/>
  <c r="CQ297" i="1"/>
  <c r="CQ265" i="1"/>
  <c r="CQ233" i="1"/>
  <c r="CQ201" i="1"/>
  <c r="CQ169" i="1"/>
  <c r="CQ114" i="1"/>
  <c r="CQ87" i="1"/>
  <c r="CQ55" i="1"/>
  <c r="CQ23" i="1"/>
  <c r="CQ503" i="1"/>
  <c r="CQ439" i="1"/>
  <c r="CQ391" i="1"/>
  <c r="CQ359" i="1"/>
  <c r="CQ327" i="1"/>
  <c r="CQ295" i="1"/>
  <c r="CQ263" i="1"/>
  <c r="CQ199" i="1"/>
  <c r="CQ167" i="1"/>
  <c r="CQ135" i="1"/>
  <c r="CQ113" i="1"/>
  <c r="CQ81" i="1"/>
  <c r="CQ49" i="1"/>
  <c r="CP206" i="1"/>
  <c r="CQ495" i="1"/>
  <c r="CQ431" i="1"/>
  <c r="CQ385" i="1"/>
  <c r="CQ353" i="1"/>
  <c r="CQ321" i="1"/>
  <c r="CQ289" i="1"/>
  <c r="CQ257" i="1"/>
  <c r="CQ225" i="1"/>
  <c r="CQ193" i="1"/>
  <c r="CQ130" i="1"/>
  <c r="CQ79" i="1"/>
  <c r="CQ47" i="1"/>
  <c r="CQ15" i="1"/>
  <c r="CQ487" i="1"/>
  <c r="CQ423" i="1"/>
  <c r="CQ383" i="1"/>
  <c r="CQ351" i="1"/>
  <c r="CQ319" i="1"/>
  <c r="CQ287" i="1"/>
  <c r="CQ255" i="1"/>
  <c r="CQ223" i="1"/>
  <c r="CQ479" i="1"/>
  <c r="CQ415" i="1"/>
  <c r="CQ127" i="1"/>
  <c r="CQ71" i="1"/>
  <c r="CQ39" i="1"/>
  <c r="CP209" i="1"/>
  <c r="CP161" i="1"/>
  <c r="CP25" i="1"/>
  <c r="CQ471" i="1"/>
  <c r="CQ407" i="1"/>
  <c r="CQ375" i="1"/>
  <c r="CQ343" i="1"/>
  <c r="CQ311" i="1"/>
  <c r="CQ279" i="1"/>
  <c r="CQ215" i="1"/>
  <c r="CQ183" i="1"/>
  <c r="CQ151" i="1"/>
  <c r="CQ122" i="1"/>
  <c r="CQ97" i="1"/>
  <c r="CQ65" i="1"/>
  <c r="CQ33" i="1"/>
  <c r="CQ473" i="1"/>
  <c r="CQ449" i="1"/>
  <c r="CQ433" i="1"/>
  <c r="CQ417" i="1"/>
  <c r="CN480" i="1"/>
  <c r="CN344" i="1"/>
  <c r="CN256" i="1"/>
  <c r="CH136" i="1"/>
  <c r="CQ501" i="1"/>
  <c r="CQ493" i="1"/>
  <c r="CQ485" i="1"/>
  <c r="CQ477" i="1"/>
  <c r="CQ469" i="1"/>
  <c r="CQ461" i="1"/>
  <c r="CQ453" i="1"/>
  <c r="CQ437" i="1"/>
  <c r="CQ429" i="1"/>
  <c r="CQ421" i="1"/>
  <c r="CQ413" i="1"/>
  <c r="CQ405" i="1"/>
  <c r="CQ397" i="1"/>
  <c r="CQ389" i="1"/>
  <c r="CQ381" i="1"/>
  <c r="CQ373" i="1"/>
  <c r="CQ365" i="1"/>
  <c r="CQ357" i="1"/>
  <c r="CQ349" i="1"/>
  <c r="CQ341" i="1"/>
  <c r="CQ333" i="1"/>
  <c r="CQ325" i="1"/>
  <c r="CQ317" i="1"/>
  <c r="CQ309" i="1"/>
  <c r="CQ301" i="1"/>
  <c r="CQ293" i="1"/>
  <c r="CQ285" i="1"/>
  <c r="CQ277" i="1"/>
  <c r="CQ269" i="1"/>
  <c r="CQ261" i="1"/>
  <c r="CQ253" i="1"/>
  <c r="CQ245" i="1"/>
  <c r="CQ237" i="1"/>
  <c r="CQ229" i="1"/>
  <c r="CQ221" i="1"/>
  <c r="CQ213" i="1"/>
  <c r="CQ205" i="1"/>
  <c r="CQ189" i="1"/>
  <c r="CQ181" i="1"/>
  <c r="CQ173" i="1"/>
  <c r="CQ165" i="1"/>
  <c r="CQ157" i="1"/>
  <c r="CQ149" i="1"/>
  <c r="CQ133" i="1"/>
  <c r="CQ125" i="1"/>
  <c r="CQ117" i="1"/>
  <c r="CQ109" i="1"/>
  <c r="CQ101" i="1"/>
  <c r="CQ93" i="1"/>
  <c r="CQ85" i="1"/>
  <c r="CQ77" i="1"/>
  <c r="CQ69" i="1"/>
  <c r="CQ53" i="1"/>
  <c r="CQ45" i="1"/>
  <c r="CQ37" i="1"/>
  <c r="CQ29" i="1"/>
  <c r="CQ21" i="1"/>
  <c r="CQ13" i="1"/>
  <c r="CQ500" i="1"/>
  <c r="CQ492" i="1"/>
  <c r="CQ484" i="1"/>
  <c r="CQ476" i="1"/>
  <c r="CQ468" i="1"/>
  <c r="CQ460" i="1"/>
  <c r="CQ452" i="1"/>
  <c r="CQ444" i="1"/>
  <c r="CQ436" i="1"/>
  <c r="CQ428" i="1"/>
  <c r="CQ420" i="1"/>
  <c r="CQ412" i="1"/>
  <c r="CQ404" i="1"/>
  <c r="CQ396" i="1"/>
  <c r="CQ388" i="1"/>
  <c r="CQ380" i="1"/>
  <c r="CQ372" i="1"/>
  <c r="CQ364" i="1"/>
  <c r="CQ356" i="1"/>
  <c r="CQ348" i="1"/>
  <c r="CQ340" i="1"/>
  <c r="CQ332" i="1"/>
  <c r="CQ324" i="1"/>
  <c r="CQ316" i="1"/>
  <c r="CQ308" i="1"/>
  <c r="CQ300" i="1"/>
  <c r="CQ292" i="1"/>
  <c r="CQ284" i="1"/>
  <c r="CQ276" i="1"/>
  <c r="CQ268" i="1"/>
  <c r="CQ260" i="1"/>
  <c r="CQ252" i="1"/>
  <c r="CQ244" i="1"/>
  <c r="CQ236" i="1"/>
  <c r="CQ228" i="1"/>
  <c r="CQ220" i="1"/>
  <c r="CQ212" i="1"/>
  <c r="CQ204" i="1"/>
  <c r="CQ196" i="1"/>
  <c r="CQ188" i="1"/>
  <c r="CQ180" i="1"/>
  <c r="CQ172" i="1"/>
  <c r="CQ164" i="1"/>
  <c r="CQ156" i="1"/>
  <c r="CQ140" i="1"/>
  <c r="CQ132" i="1"/>
  <c r="CQ124" i="1"/>
  <c r="CQ116" i="1"/>
  <c r="CQ108" i="1"/>
  <c r="CQ100" i="1"/>
  <c r="CQ92" i="1"/>
  <c r="CQ84" i="1"/>
  <c r="CQ76" i="1"/>
  <c r="CQ68" i="1"/>
  <c r="CQ60" i="1"/>
  <c r="CQ52" i="1"/>
  <c r="CQ44" i="1"/>
  <c r="CQ36" i="1"/>
  <c r="CQ28" i="1"/>
  <c r="CQ20" i="1"/>
  <c r="CQ12" i="1"/>
  <c r="CQ499" i="1"/>
  <c r="CQ491" i="1"/>
  <c r="CQ483" i="1"/>
  <c r="CQ475" i="1"/>
  <c r="CQ459" i="1"/>
  <c r="CQ451" i="1"/>
  <c r="CQ443" i="1"/>
  <c r="CQ435" i="1"/>
  <c r="CQ427" i="1"/>
  <c r="CQ419" i="1"/>
  <c r="CQ411" i="1"/>
  <c r="CQ403" i="1"/>
  <c r="CQ395" i="1"/>
  <c r="CQ387" i="1"/>
  <c r="CQ379" i="1"/>
  <c r="CQ371" i="1"/>
  <c r="CQ363" i="1"/>
  <c r="CQ355" i="1"/>
  <c r="CQ347" i="1"/>
  <c r="CQ339" i="1"/>
  <c r="CQ331" i="1"/>
  <c r="CQ323" i="1"/>
  <c r="CQ315" i="1"/>
  <c r="CQ307" i="1"/>
  <c r="CQ299" i="1"/>
  <c r="CQ291" i="1"/>
  <c r="CQ283" i="1"/>
  <c r="CQ275" i="1"/>
  <c r="CQ267" i="1"/>
  <c r="CQ259" i="1"/>
  <c r="CQ251" i="1"/>
  <c r="CQ243" i="1"/>
  <c r="CQ235" i="1"/>
  <c r="CQ227" i="1"/>
  <c r="CQ219" i="1"/>
  <c r="CQ203" i="1"/>
  <c r="CQ195" i="1"/>
  <c r="CQ187" i="1"/>
  <c r="CQ179" i="1"/>
  <c r="CQ171" i="1"/>
  <c r="CQ163" i="1"/>
  <c r="CQ155" i="1"/>
  <c r="CQ147" i="1"/>
  <c r="CQ139" i="1"/>
  <c r="CQ131" i="1"/>
  <c r="CQ123" i="1"/>
  <c r="CQ115" i="1"/>
  <c r="CQ107" i="1"/>
  <c r="CQ99" i="1"/>
  <c r="CQ91" i="1"/>
  <c r="CQ83" i="1"/>
  <c r="CQ75" i="1"/>
  <c r="CQ67" i="1"/>
  <c r="CQ59" i="1"/>
  <c r="CQ51" i="1"/>
  <c r="CQ43" i="1"/>
  <c r="CQ35" i="1"/>
  <c r="CQ27" i="1"/>
  <c r="CQ19" i="1"/>
  <c r="CQ11" i="1"/>
  <c r="CQ498" i="1"/>
  <c r="CQ490" i="1"/>
  <c r="CQ482" i="1"/>
  <c r="CQ474" i="1"/>
  <c r="CQ466" i="1"/>
  <c r="CQ458" i="1"/>
  <c r="CQ450" i="1"/>
  <c r="CQ442" i="1"/>
  <c r="CQ434" i="1"/>
  <c r="CQ426" i="1"/>
  <c r="CQ418" i="1"/>
  <c r="CQ410" i="1"/>
  <c r="CQ402" i="1"/>
  <c r="CQ386" i="1"/>
  <c r="CQ378" i="1"/>
  <c r="CQ370" i="1"/>
  <c r="CQ362" i="1"/>
  <c r="CQ354" i="1"/>
  <c r="CQ346" i="1"/>
  <c r="CQ338" i="1"/>
  <c r="CQ330" i="1"/>
  <c r="CQ322" i="1"/>
  <c r="CQ314" i="1"/>
  <c r="CQ306" i="1"/>
  <c r="CQ298" i="1"/>
  <c r="CQ290" i="1"/>
  <c r="CQ282" i="1"/>
  <c r="CQ274" i="1"/>
  <c r="CQ266" i="1"/>
  <c r="CQ258" i="1"/>
  <c r="CQ250" i="1"/>
  <c r="CQ242" i="1"/>
  <c r="CQ234" i="1"/>
  <c r="CQ226" i="1"/>
  <c r="CQ218" i="1"/>
  <c r="CQ210" i="1"/>
  <c r="CQ202" i="1"/>
  <c r="CQ194" i="1"/>
  <c r="CQ178" i="1"/>
  <c r="CQ170" i="1"/>
  <c r="CQ162" i="1"/>
  <c r="CQ154" i="1"/>
  <c r="CQ146" i="1"/>
  <c r="CQ138" i="1"/>
  <c r="CQ106" i="1"/>
  <c r="CQ98" i="1"/>
  <c r="CQ90" i="1"/>
  <c r="CQ82" i="1"/>
  <c r="CQ74" i="1"/>
  <c r="CQ66" i="1"/>
  <c r="CQ58" i="1"/>
  <c r="CQ50" i="1"/>
  <c r="CQ34" i="1"/>
  <c r="CQ26" i="1"/>
  <c r="CQ18" i="1"/>
  <c r="CQ10" i="1"/>
  <c r="CP197" i="1"/>
  <c r="CQ504" i="1"/>
  <c r="CQ496" i="1"/>
  <c r="CQ488" i="1"/>
  <c r="CQ480" i="1"/>
  <c r="CQ472" i="1"/>
  <c r="CQ464" i="1"/>
  <c r="CQ456" i="1"/>
  <c r="CQ448" i="1"/>
  <c r="CQ440" i="1"/>
  <c r="CQ432" i="1"/>
  <c r="CQ424" i="1"/>
  <c r="CQ416" i="1"/>
  <c r="CQ408" i="1"/>
  <c r="CQ400" i="1"/>
  <c r="CQ392" i="1"/>
  <c r="CQ384" i="1"/>
  <c r="CQ376" i="1"/>
  <c r="CQ368" i="1"/>
  <c r="CQ360" i="1"/>
  <c r="CQ352" i="1"/>
  <c r="CQ344" i="1"/>
  <c r="CQ336" i="1"/>
  <c r="CQ328" i="1"/>
  <c r="CQ320" i="1"/>
  <c r="CQ312" i="1"/>
  <c r="CQ304" i="1"/>
  <c r="CQ296" i="1"/>
  <c r="CQ288" i="1"/>
  <c r="CQ280" i="1"/>
  <c r="CQ272" i="1"/>
  <c r="CQ264" i="1"/>
  <c r="CQ256" i="1"/>
  <c r="CQ248" i="1"/>
  <c r="CQ240" i="1"/>
  <c r="CQ232" i="1"/>
  <c r="CQ224" i="1"/>
  <c r="CQ216" i="1"/>
  <c r="CQ208" i="1"/>
  <c r="CQ200" i="1"/>
  <c r="CQ192" i="1"/>
  <c r="CQ184" i="1"/>
  <c r="CQ176" i="1"/>
  <c r="CQ168" i="1"/>
  <c r="CQ160" i="1"/>
  <c r="CQ152" i="1"/>
  <c r="CQ144" i="1"/>
  <c r="CQ136" i="1"/>
  <c r="CQ128" i="1"/>
  <c r="CQ120" i="1"/>
  <c r="CQ112" i="1"/>
  <c r="CQ104" i="1"/>
  <c r="CQ96" i="1"/>
  <c r="CQ88" i="1"/>
  <c r="CQ80" i="1"/>
  <c r="CQ72" i="1"/>
  <c r="CQ64" i="1"/>
  <c r="CQ56" i="1"/>
  <c r="CQ48" i="1"/>
  <c r="CQ40" i="1"/>
  <c r="CQ32" i="1"/>
  <c r="CQ24" i="1"/>
  <c r="CQ16" i="1"/>
  <c r="CQ8" i="1"/>
  <c r="CQ497" i="1"/>
  <c r="CQ489" i="1"/>
  <c r="CQ481" i="1"/>
  <c r="CQ465" i="1"/>
  <c r="CQ457" i="1"/>
  <c r="CQ441" i="1"/>
  <c r="CQ425" i="1"/>
  <c r="CQ409" i="1"/>
  <c r="CP103" i="1"/>
  <c r="CP95" i="1"/>
  <c r="CQ502" i="1"/>
  <c r="CQ494" i="1"/>
  <c r="CQ486" i="1"/>
  <c r="CQ478" i="1"/>
  <c r="CQ470" i="1"/>
  <c r="CQ462" i="1"/>
  <c r="CQ454" i="1"/>
  <c r="CQ446" i="1"/>
  <c r="CQ438" i="1"/>
  <c r="CQ430" i="1"/>
  <c r="CQ422" i="1"/>
  <c r="CQ414" i="1"/>
  <c r="CQ406" i="1"/>
  <c r="CQ398" i="1"/>
  <c r="CQ390" i="1"/>
  <c r="CQ382" i="1"/>
  <c r="CQ374" i="1"/>
  <c r="CQ366" i="1"/>
  <c r="CQ358" i="1"/>
  <c r="CQ350" i="1"/>
  <c r="CQ342" i="1"/>
  <c r="CQ334" i="1"/>
  <c r="CQ326" i="1"/>
  <c r="CQ318" i="1"/>
  <c r="CQ310" i="1"/>
  <c r="CQ302" i="1"/>
  <c r="CQ294" i="1"/>
  <c r="CQ286" i="1"/>
  <c r="CQ278" i="1"/>
  <c r="CQ270" i="1"/>
  <c r="CQ262" i="1"/>
  <c r="CQ254" i="1"/>
  <c r="CQ246" i="1"/>
  <c r="CQ238" i="1"/>
  <c r="CQ230" i="1"/>
  <c r="CQ222" i="1"/>
  <c r="CQ214" i="1"/>
  <c r="CQ206" i="1"/>
  <c r="CQ198" i="1"/>
  <c r="CQ190" i="1"/>
  <c r="CQ182" i="1"/>
  <c r="CQ174" i="1"/>
  <c r="CQ166" i="1"/>
  <c r="CQ158" i="1"/>
  <c r="CQ150" i="1"/>
  <c r="CQ142" i="1"/>
  <c r="CQ134" i="1"/>
  <c r="CQ126" i="1"/>
  <c r="CQ118" i="1"/>
  <c r="CQ110" i="1"/>
  <c r="CQ102" i="1"/>
  <c r="CQ94" i="1"/>
  <c r="CQ86" i="1"/>
  <c r="CQ78" i="1"/>
  <c r="CQ70" i="1"/>
  <c r="CQ62" i="1"/>
  <c r="CQ54" i="1"/>
  <c r="CQ46" i="1"/>
  <c r="CQ38" i="1"/>
  <c r="CQ30" i="1"/>
  <c r="CQ22" i="1"/>
  <c r="CQ14" i="1"/>
  <c r="CQ6" i="1"/>
  <c r="CP239" i="1"/>
  <c r="CP231" i="1"/>
  <c r="CP445" i="1"/>
  <c r="CA61" i="1"/>
  <c r="CQ5" i="1"/>
  <c r="CM467" i="1"/>
  <c r="CM211" i="1"/>
  <c r="CA141" i="1"/>
  <c r="CP247" i="1"/>
  <c r="CP111" i="1"/>
  <c r="CP157" i="1"/>
  <c r="CP125" i="1"/>
  <c r="CP137" i="1"/>
  <c r="CP93" i="1"/>
  <c r="CP29" i="1"/>
  <c r="CP61" i="1"/>
  <c r="CN148" i="1"/>
  <c r="CP28" i="1"/>
  <c r="CN394" i="1"/>
  <c r="CN186" i="1"/>
  <c r="CN42" i="1"/>
  <c r="CP484" i="1"/>
  <c r="CP452" i="1"/>
  <c r="CP420" i="1"/>
  <c r="CP388" i="1"/>
  <c r="CP356" i="1"/>
  <c r="CP324" i="1"/>
  <c r="CP260" i="1"/>
  <c r="CP228" i="1"/>
  <c r="CP196" i="1"/>
  <c r="CP164" i="1"/>
  <c r="CP132" i="1"/>
  <c r="CP100" i="1"/>
  <c r="CP68" i="1"/>
  <c r="CP36" i="1"/>
  <c r="CP476" i="1"/>
  <c r="CP444" i="1"/>
  <c r="CP412" i="1"/>
  <c r="CP380" i="1"/>
  <c r="CP348" i="1"/>
  <c r="CP316" i="1"/>
  <c r="CP284" i="1"/>
  <c r="CP252" i="1"/>
  <c r="CP220" i="1"/>
  <c r="CP188" i="1"/>
  <c r="CP156" i="1"/>
  <c r="CP124" i="1"/>
  <c r="CP92" i="1"/>
  <c r="CP181" i="1"/>
  <c r="CP149" i="1"/>
  <c r="CP117" i="1"/>
  <c r="CP85" i="1"/>
  <c r="CP53" i="1"/>
  <c r="CP21" i="1"/>
  <c r="CP60" i="1"/>
  <c r="CP500" i="1"/>
  <c r="CP468" i="1"/>
  <c r="CP436" i="1"/>
  <c r="CP404" i="1"/>
  <c r="CP372" i="1"/>
  <c r="CP340" i="1"/>
  <c r="CP308" i="1"/>
  <c r="CP276" i="1"/>
  <c r="CP244" i="1"/>
  <c r="CP212" i="1"/>
  <c r="CP180" i="1"/>
  <c r="CP148" i="1"/>
  <c r="CP116" i="1"/>
  <c r="CP84" i="1"/>
  <c r="CP52" i="1"/>
  <c r="CP20" i="1"/>
  <c r="CP461" i="1"/>
  <c r="CP429" i="1"/>
  <c r="CP397" i="1"/>
  <c r="CP301" i="1"/>
  <c r="CP269" i="1"/>
  <c r="CP237" i="1"/>
  <c r="CP205" i="1"/>
  <c r="CP173" i="1"/>
  <c r="CP141" i="1"/>
  <c r="CP109" i="1"/>
  <c r="CP45" i="1"/>
  <c r="CP13" i="1"/>
  <c r="CP492" i="1"/>
  <c r="CP460" i="1"/>
  <c r="CP428" i="1"/>
  <c r="CP396" i="1"/>
  <c r="CP364" i="1"/>
  <c r="CP332" i="1"/>
  <c r="CP300" i="1"/>
  <c r="CP268" i="1"/>
  <c r="CP236" i="1"/>
  <c r="CP204" i="1"/>
  <c r="CP172" i="1"/>
  <c r="CP140" i="1"/>
  <c r="CP108" i="1"/>
  <c r="CP76" i="1"/>
  <c r="CP44" i="1"/>
  <c r="CP485" i="1"/>
  <c r="CP453" i="1"/>
  <c r="CP421" i="1"/>
  <c r="CP389" i="1"/>
  <c r="CP357" i="1"/>
  <c r="CP325" i="1"/>
  <c r="CP293" i="1"/>
  <c r="CP261" i="1"/>
  <c r="CP229" i="1"/>
  <c r="CP165" i="1"/>
  <c r="CP133" i="1"/>
  <c r="CP101" i="1"/>
  <c r="CP69" i="1"/>
  <c r="CP37" i="1"/>
  <c r="CP499" i="1"/>
  <c r="CP491" i="1"/>
  <c r="CP483" i="1"/>
  <c r="CP475" i="1"/>
  <c r="CP467" i="1"/>
  <c r="CP459" i="1"/>
  <c r="CP451" i="1"/>
  <c r="CP443" i="1"/>
  <c r="CP435" i="1"/>
  <c r="CP427" i="1"/>
  <c r="CP419" i="1"/>
  <c r="CP411" i="1"/>
  <c r="CP403" i="1"/>
  <c r="CP395" i="1"/>
  <c r="CP387" i="1"/>
  <c r="CP379" i="1"/>
  <c r="CP371" i="1"/>
  <c r="CP363" i="1"/>
  <c r="CP355" i="1"/>
  <c r="CP347" i="1"/>
  <c r="CP339" i="1"/>
  <c r="CP331" i="1"/>
  <c r="CP323" i="1"/>
  <c r="CP315" i="1"/>
  <c r="CP307" i="1"/>
  <c r="CP299" i="1"/>
  <c r="CP291" i="1"/>
  <c r="CP283" i="1"/>
  <c r="CP275" i="1"/>
  <c r="CP267" i="1"/>
  <c r="CP259" i="1"/>
  <c r="CP251" i="1"/>
  <c r="CP243" i="1"/>
  <c r="CP235" i="1"/>
  <c r="CP227" i="1"/>
  <c r="CP219" i="1"/>
  <c r="CP211" i="1"/>
  <c r="CP203" i="1"/>
  <c r="CP195" i="1"/>
  <c r="CP187" i="1"/>
  <c r="CP171" i="1"/>
  <c r="CP163" i="1"/>
  <c r="CP155" i="1"/>
  <c r="CP147" i="1"/>
  <c r="CP139" i="1"/>
  <c r="CP131" i="1"/>
  <c r="CP123" i="1"/>
  <c r="CP115" i="1"/>
  <c r="CP107" i="1"/>
  <c r="CP99" i="1"/>
  <c r="CP91" i="1"/>
  <c r="CP83" i="1"/>
  <c r="CP75" i="1"/>
  <c r="CP67" i="1"/>
  <c r="CP59" i="1"/>
  <c r="CP51" i="1"/>
  <c r="CP43" i="1"/>
  <c r="CP35" i="1"/>
  <c r="CP27" i="1"/>
  <c r="CP19" i="1"/>
  <c r="CP11" i="1"/>
  <c r="CP498" i="1"/>
  <c r="CP490" i="1"/>
  <c r="CP482" i="1"/>
  <c r="CP474" i="1"/>
  <c r="CP466" i="1"/>
  <c r="CP458" i="1"/>
  <c r="CP450" i="1"/>
  <c r="CP442" i="1"/>
  <c r="CP434" i="1"/>
  <c r="CP426" i="1"/>
  <c r="CP418" i="1"/>
  <c r="CP410" i="1"/>
  <c r="CP402" i="1"/>
  <c r="CP394" i="1"/>
  <c r="CP386" i="1"/>
  <c r="CP378" i="1"/>
  <c r="CP370" i="1"/>
  <c r="CP362" i="1"/>
  <c r="CP354" i="1"/>
  <c r="CP298" i="1"/>
  <c r="CP290" i="1"/>
  <c r="CP282" i="1"/>
  <c r="CP274" i="1"/>
  <c r="CP266" i="1"/>
  <c r="CP258" i="1"/>
  <c r="CP250" i="1"/>
  <c r="CP242" i="1"/>
  <c r="CP234" i="1"/>
  <c r="CP226" i="1"/>
  <c r="CP218" i="1"/>
  <c r="CP210" i="1"/>
  <c r="CP202" i="1"/>
  <c r="CP194" i="1"/>
  <c r="CP186" i="1"/>
  <c r="CP178" i="1"/>
  <c r="CP170" i="1"/>
  <c r="CP162" i="1"/>
  <c r="CP146" i="1"/>
  <c r="CP138" i="1"/>
  <c r="CP130" i="1"/>
  <c r="CP122" i="1"/>
  <c r="CP114" i="1"/>
  <c r="CP106" i="1"/>
  <c r="CP98" i="1"/>
  <c r="CP90" i="1"/>
  <c r="CP82" i="1"/>
  <c r="CP74" i="1"/>
  <c r="CP66" i="1"/>
  <c r="CP58" i="1"/>
  <c r="CP50" i="1"/>
  <c r="CP42" i="1"/>
  <c r="CP34" i="1"/>
  <c r="CP26" i="1"/>
  <c r="CP18" i="1"/>
  <c r="CP10" i="1"/>
  <c r="CN292" i="1"/>
  <c r="CP504" i="1"/>
  <c r="CP496" i="1"/>
  <c r="CP488" i="1"/>
  <c r="CP480" i="1"/>
  <c r="CP472" i="1"/>
  <c r="CP456" i="1"/>
  <c r="CP448" i="1"/>
  <c r="CP440" i="1"/>
  <c r="CP432" i="1"/>
  <c r="CP424" i="1"/>
  <c r="CP416" i="1"/>
  <c r="CP408" i="1"/>
  <c r="CP400" i="1"/>
  <c r="CP392" i="1"/>
  <c r="CP384" i="1"/>
  <c r="CP376" i="1"/>
  <c r="CP368" i="1"/>
  <c r="CP360" i="1"/>
  <c r="CP352" i="1"/>
  <c r="CP344" i="1"/>
  <c r="CP336" i="1"/>
  <c r="CP328" i="1"/>
  <c r="CP320" i="1"/>
  <c r="CP312" i="1"/>
  <c r="CP304" i="1"/>
  <c r="CP296" i="1"/>
  <c r="CP288" i="1"/>
  <c r="CP280" i="1"/>
  <c r="CP272" i="1"/>
  <c r="CP264" i="1"/>
  <c r="CP256" i="1"/>
  <c r="CP248" i="1"/>
  <c r="CP240" i="1"/>
  <c r="CP232" i="1"/>
  <c r="CP224" i="1"/>
  <c r="CP216" i="1"/>
  <c r="CP208" i="1"/>
  <c r="CP200" i="1"/>
  <c r="CP192" i="1"/>
  <c r="CP184" i="1"/>
  <c r="CP176" i="1"/>
  <c r="CP168" i="1"/>
  <c r="CP160" i="1"/>
  <c r="CP152" i="1"/>
  <c r="CP144" i="1"/>
  <c r="CP136" i="1"/>
  <c r="CP128" i="1"/>
  <c r="CP120" i="1"/>
  <c r="CP112" i="1"/>
  <c r="CP104" i="1"/>
  <c r="CP88" i="1"/>
  <c r="CP80" i="1"/>
  <c r="CP72" i="1"/>
  <c r="CP64" i="1"/>
  <c r="CP48" i="1"/>
  <c r="CP40" i="1"/>
  <c r="CP32" i="1"/>
  <c r="CP24" i="1"/>
  <c r="CP16" i="1"/>
  <c r="CP8" i="1"/>
  <c r="CP182" i="1"/>
  <c r="CP174" i="1"/>
  <c r="CP166" i="1"/>
  <c r="CP158" i="1"/>
  <c r="CP150" i="1"/>
  <c r="CP142" i="1"/>
  <c r="CP134" i="1"/>
  <c r="CP126" i="1"/>
  <c r="CP118" i="1"/>
  <c r="CP110" i="1"/>
  <c r="CP102" i="1"/>
  <c r="CP94" i="1"/>
  <c r="CP86" i="1"/>
  <c r="CP78" i="1"/>
  <c r="CP70" i="1"/>
  <c r="CP62" i="1"/>
  <c r="CP54" i="1"/>
  <c r="CP46" i="1"/>
  <c r="CP38" i="1"/>
  <c r="CP30" i="1"/>
  <c r="CP22" i="1"/>
  <c r="CP14" i="1"/>
  <c r="CP6" i="1"/>
  <c r="CN154" i="1"/>
  <c r="CN333" i="1"/>
  <c r="CA77" i="1"/>
  <c r="CP5" i="1"/>
  <c r="CO416" i="1"/>
  <c r="CO242" i="1"/>
  <c r="CH96" i="1"/>
  <c r="CO114" i="1"/>
  <c r="CO90" i="1"/>
  <c r="CN101" i="1"/>
  <c r="CB179" i="1"/>
  <c r="CO58" i="1"/>
  <c r="CO384" i="1"/>
  <c r="CN197" i="1"/>
  <c r="CN133" i="1"/>
  <c r="CO376" i="1"/>
  <c r="CO210" i="1"/>
  <c r="CO82" i="1"/>
  <c r="CO336" i="1"/>
  <c r="CO186" i="1"/>
  <c r="CN36" i="1"/>
  <c r="CO320" i="1"/>
  <c r="CO178" i="1"/>
  <c r="CO50" i="1"/>
  <c r="CO472" i="1"/>
  <c r="CO282" i="1"/>
  <c r="CO154" i="1"/>
  <c r="CO24" i="1"/>
  <c r="CO48" i="1"/>
  <c r="CO456" i="1"/>
  <c r="CO274" i="1"/>
  <c r="CO146" i="1"/>
  <c r="CO10" i="1"/>
  <c r="CO312" i="1"/>
  <c r="CN218" i="1"/>
  <c r="CO424" i="1"/>
  <c r="CO250" i="1"/>
  <c r="CO122" i="1"/>
  <c r="CO5" i="1"/>
  <c r="CN69" i="1"/>
  <c r="CO488" i="1"/>
  <c r="CO448" i="1"/>
  <c r="CO408" i="1"/>
  <c r="CO360" i="1"/>
  <c r="CO298" i="1"/>
  <c r="CO266" i="1"/>
  <c r="CO234" i="1"/>
  <c r="CO202" i="1"/>
  <c r="CO170" i="1"/>
  <c r="CO138" i="1"/>
  <c r="CO106" i="1"/>
  <c r="CO74" i="1"/>
  <c r="CO40" i="1"/>
  <c r="CN173" i="1"/>
  <c r="CN52" i="1"/>
  <c r="CO482" i="1"/>
  <c r="CO442" i="1"/>
  <c r="CO400" i="1"/>
  <c r="CO354" i="1"/>
  <c r="CO296" i="1"/>
  <c r="CO264" i="1"/>
  <c r="CO232" i="1"/>
  <c r="CO200" i="1"/>
  <c r="CO168" i="1"/>
  <c r="CO136" i="1"/>
  <c r="CO104" i="1"/>
  <c r="CO72" i="1"/>
  <c r="CO34" i="1"/>
  <c r="CN485" i="1"/>
  <c r="CN165" i="1"/>
  <c r="CN45" i="1"/>
  <c r="CO480" i="1"/>
  <c r="CO440" i="1"/>
  <c r="CO392" i="1"/>
  <c r="CO352" i="1"/>
  <c r="CO290" i="1"/>
  <c r="CO258" i="1"/>
  <c r="CO226" i="1"/>
  <c r="CO194" i="1"/>
  <c r="CO162" i="1"/>
  <c r="CO130" i="1"/>
  <c r="CO98" i="1"/>
  <c r="CO66" i="1"/>
  <c r="CO32" i="1"/>
  <c r="CN141" i="1"/>
  <c r="CN37" i="1"/>
  <c r="CO474" i="1"/>
  <c r="CO432" i="1"/>
  <c r="CO386" i="1"/>
  <c r="CO344" i="1"/>
  <c r="CO288" i="1"/>
  <c r="CO256" i="1"/>
  <c r="CO224" i="1"/>
  <c r="CO192" i="1"/>
  <c r="CO160" i="1"/>
  <c r="CO128" i="1"/>
  <c r="CO96" i="1"/>
  <c r="CO64" i="1"/>
  <c r="CO26" i="1"/>
  <c r="CN464" i="1"/>
  <c r="CH56" i="1"/>
  <c r="CN261" i="1"/>
  <c r="CN109" i="1"/>
  <c r="CN20" i="1"/>
  <c r="CO464" i="1"/>
  <c r="CO418" i="1"/>
  <c r="CO378" i="1"/>
  <c r="CO328" i="1"/>
  <c r="CO280" i="1"/>
  <c r="CO248" i="1"/>
  <c r="CO216" i="1"/>
  <c r="CO184" i="1"/>
  <c r="CO152" i="1"/>
  <c r="CO120" i="1"/>
  <c r="CO88" i="1"/>
  <c r="CO56" i="1"/>
  <c r="CO18" i="1"/>
  <c r="CN229" i="1"/>
  <c r="CN205" i="1"/>
  <c r="CN77" i="1"/>
  <c r="CO496" i="1"/>
  <c r="CO450" i="1"/>
  <c r="CO410" i="1"/>
  <c r="CO368" i="1"/>
  <c r="CO304" i="1"/>
  <c r="CO272" i="1"/>
  <c r="CO240" i="1"/>
  <c r="CO208" i="1"/>
  <c r="CO176" i="1"/>
  <c r="CO144" i="1"/>
  <c r="CO80" i="1"/>
  <c r="CO42" i="1"/>
  <c r="CM326" i="1"/>
  <c r="CO326" i="1"/>
  <c r="CM294" i="1"/>
  <c r="CO294" i="1"/>
  <c r="CI214" i="1"/>
  <c r="CO214" i="1"/>
  <c r="CM383" i="1"/>
  <c r="CO383" i="1"/>
  <c r="CM343" i="1"/>
  <c r="CO343" i="1"/>
  <c r="CM311" i="1"/>
  <c r="CO311" i="1"/>
  <c r="CM303" i="1"/>
  <c r="CO303" i="1"/>
  <c r="CN279" i="1"/>
  <c r="CO279" i="1"/>
  <c r="CM271" i="1"/>
  <c r="CO271" i="1"/>
  <c r="CM263" i="1"/>
  <c r="CO263" i="1"/>
  <c r="CN223" i="1"/>
  <c r="CO223" i="1"/>
  <c r="CN199" i="1"/>
  <c r="CO199" i="1"/>
  <c r="CM191" i="1"/>
  <c r="CO191" i="1"/>
  <c r="CM159" i="1"/>
  <c r="CO159" i="1"/>
  <c r="CM151" i="1"/>
  <c r="CO151" i="1"/>
  <c r="CM135" i="1"/>
  <c r="CO135" i="1"/>
  <c r="CM127" i="1"/>
  <c r="CO127" i="1"/>
  <c r="CM119" i="1"/>
  <c r="CO119" i="1"/>
  <c r="CM103" i="1"/>
  <c r="CO103" i="1"/>
  <c r="CM95" i="1"/>
  <c r="CO95" i="1"/>
  <c r="CM87" i="1"/>
  <c r="CO87" i="1"/>
  <c r="CM79" i="1"/>
  <c r="CO79" i="1"/>
  <c r="CM71" i="1"/>
  <c r="CO71" i="1"/>
  <c r="CM63" i="1"/>
  <c r="CO63" i="1"/>
  <c r="CM55" i="1"/>
  <c r="CO55" i="1"/>
  <c r="CM47" i="1"/>
  <c r="CO47" i="1"/>
  <c r="CM39" i="1"/>
  <c r="CO39" i="1"/>
  <c r="CM31" i="1"/>
  <c r="CO31" i="1"/>
  <c r="CM23" i="1"/>
  <c r="CO23" i="1"/>
  <c r="CN461" i="1"/>
  <c r="CO504" i="1"/>
  <c r="CM478" i="1"/>
  <c r="CO478" i="1"/>
  <c r="CM382" i="1"/>
  <c r="CO382" i="1"/>
  <c r="CM262" i="1"/>
  <c r="CO262" i="1"/>
  <c r="CN246" i="1"/>
  <c r="CO246" i="1"/>
  <c r="CM335" i="1"/>
  <c r="CO335" i="1"/>
  <c r="CM327" i="1"/>
  <c r="CO327" i="1"/>
  <c r="CM319" i="1"/>
  <c r="CO319" i="1"/>
  <c r="CM295" i="1"/>
  <c r="CO295" i="1"/>
  <c r="CM287" i="1"/>
  <c r="CO287" i="1"/>
  <c r="CM255" i="1"/>
  <c r="CO255" i="1"/>
  <c r="CM247" i="1"/>
  <c r="CO247" i="1"/>
  <c r="CM239" i="1"/>
  <c r="CO239" i="1"/>
  <c r="CM231" i="1"/>
  <c r="CO231" i="1"/>
  <c r="CN215" i="1"/>
  <c r="CO215" i="1"/>
  <c r="CN207" i="1"/>
  <c r="CO207" i="1"/>
  <c r="CM183" i="1"/>
  <c r="CO183" i="1"/>
  <c r="CM175" i="1"/>
  <c r="CO175" i="1"/>
  <c r="CM167" i="1"/>
  <c r="CO167" i="1"/>
  <c r="CM143" i="1"/>
  <c r="CO143" i="1"/>
  <c r="CM111" i="1"/>
  <c r="CO111" i="1"/>
  <c r="CN453" i="1"/>
  <c r="CO498" i="1"/>
  <c r="CO466" i="1"/>
  <c r="CO434" i="1"/>
  <c r="CO402" i="1"/>
  <c r="CO370" i="1"/>
  <c r="CN7" i="1"/>
  <c r="CO7" i="1"/>
  <c r="CN481" i="1"/>
  <c r="CO481" i="1"/>
  <c r="CN393" i="1"/>
  <c r="CO393" i="1"/>
  <c r="CN249" i="1"/>
  <c r="CO249" i="1"/>
  <c r="CN217" i="1"/>
  <c r="CO217" i="1"/>
  <c r="CN129" i="1"/>
  <c r="CO129" i="1"/>
  <c r="CM121" i="1"/>
  <c r="CO121" i="1"/>
  <c r="CN113" i="1"/>
  <c r="CO113" i="1"/>
  <c r="CN105" i="1"/>
  <c r="CO105" i="1"/>
  <c r="CM97" i="1"/>
  <c r="CO97" i="1"/>
  <c r="CM89" i="1"/>
  <c r="CO89" i="1"/>
  <c r="CM81" i="1"/>
  <c r="CO81" i="1"/>
  <c r="CM73" i="1"/>
  <c r="CO73" i="1"/>
  <c r="CM65" i="1"/>
  <c r="CO65" i="1"/>
  <c r="CM57" i="1"/>
  <c r="CO57" i="1"/>
  <c r="CM49" i="1"/>
  <c r="CO49" i="1"/>
  <c r="CM41" i="1"/>
  <c r="CO41" i="1"/>
  <c r="CM33" i="1"/>
  <c r="CO33" i="1"/>
  <c r="CM25" i="1"/>
  <c r="CO25" i="1"/>
  <c r="CM17" i="1"/>
  <c r="CO17" i="1"/>
  <c r="CM374" i="1"/>
  <c r="CO374" i="1"/>
  <c r="CN369" i="1"/>
  <c r="CO369" i="1"/>
  <c r="CN345" i="1"/>
  <c r="CO345" i="1"/>
  <c r="CN289" i="1"/>
  <c r="CO289" i="1"/>
  <c r="CN257" i="1"/>
  <c r="CO257" i="1"/>
  <c r="CN209" i="1"/>
  <c r="CO209" i="1"/>
  <c r="CN177" i="1"/>
  <c r="CO177" i="1"/>
  <c r="CN169" i="1"/>
  <c r="CO169" i="1"/>
  <c r="CO490" i="1"/>
  <c r="CO458" i="1"/>
  <c r="CO426" i="1"/>
  <c r="CO394" i="1"/>
  <c r="CO362" i="1"/>
  <c r="CM502" i="1"/>
  <c r="CO502" i="1"/>
  <c r="CM462" i="1"/>
  <c r="CO462" i="1"/>
  <c r="CM446" i="1"/>
  <c r="CO446" i="1"/>
  <c r="CM438" i="1"/>
  <c r="CO438" i="1"/>
  <c r="CN430" i="1"/>
  <c r="CO430" i="1"/>
  <c r="CM406" i="1"/>
  <c r="CO406" i="1"/>
  <c r="CM358" i="1"/>
  <c r="CO358" i="1"/>
  <c r="CM350" i="1"/>
  <c r="CO350" i="1"/>
  <c r="CM334" i="1"/>
  <c r="CO334" i="1"/>
  <c r="CM318" i="1"/>
  <c r="CO318" i="1"/>
  <c r="CM310" i="1"/>
  <c r="CO310" i="1"/>
  <c r="CM286" i="1"/>
  <c r="CO286" i="1"/>
  <c r="CI206" i="1"/>
  <c r="CO206" i="1"/>
  <c r="CN15" i="1"/>
  <c r="CO15" i="1"/>
  <c r="CM503" i="1"/>
  <c r="CO503" i="1"/>
  <c r="CM495" i="1"/>
  <c r="CO495" i="1"/>
  <c r="CM479" i="1"/>
  <c r="CO479" i="1"/>
  <c r="CN471" i="1"/>
  <c r="CO471" i="1"/>
  <c r="CM447" i="1"/>
  <c r="CO447" i="1"/>
  <c r="CM423" i="1"/>
  <c r="CO423" i="1"/>
  <c r="CM399" i="1"/>
  <c r="CO399" i="1"/>
  <c r="CM375" i="1"/>
  <c r="CO375" i="1"/>
  <c r="CM359" i="1"/>
  <c r="CO359" i="1"/>
  <c r="CN497" i="1"/>
  <c r="CO497" i="1"/>
  <c r="CN465" i="1"/>
  <c r="CO465" i="1"/>
  <c r="CN433" i="1"/>
  <c r="CO433" i="1"/>
  <c r="CN425" i="1"/>
  <c r="CO425" i="1"/>
  <c r="CN409" i="1"/>
  <c r="CO409" i="1"/>
  <c r="CN401" i="1"/>
  <c r="CO401" i="1"/>
  <c r="CN377" i="1"/>
  <c r="CO377" i="1"/>
  <c r="CN361" i="1"/>
  <c r="CO361" i="1"/>
  <c r="CN329" i="1"/>
  <c r="CO329" i="1"/>
  <c r="CN321" i="1"/>
  <c r="CO321" i="1"/>
  <c r="CN281" i="1"/>
  <c r="CO281" i="1"/>
  <c r="CN273" i="1"/>
  <c r="CO273" i="1"/>
  <c r="CN265" i="1"/>
  <c r="CO265" i="1"/>
  <c r="CN241" i="1"/>
  <c r="CO241" i="1"/>
  <c r="CN233" i="1"/>
  <c r="CO233" i="1"/>
  <c r="CN225" i="1"/>
  <c r="CO225" i="1"/>
  <c r="CN201" i="1"/>
  <c r="CO201" i="1"/>
  <c r="CN193" i="1"/>
  <c r="CO193" i="1"/>
  <c r="CN185" i="1"/>
  <c r="CO185" i="1"/>
  <c r="CN161" i="1"/>
  <c r="CO161" i="1"/>
  <c r="CN153" i="1"/>
  <c r="CO153" i="1"/>
  <c r="CN145" i="1"/>
  <c r="CO145" i="1"/>
  <c r="CN137" i="1"/>
  <c r="CO137" i="1"/>
  <c r="CN12" i="1"/>
  <c r="CO12" i="1"/>
  <c r="CN346" i="1"/>
  <c r="CO346" i="1"/>
  <c r="CN338" i="1"/>
  <c r="CO338" i="1"/>
  <c r="CN330" i="1"/>
  <c r="CO330" i="1"/>
  <c r="CN322" i="1"/>
  <c r="CO322" i="1"/>
  <c r="CN314" i="1"/>
  <c r="CO314" i="1"/>
  <c r="CN306" i="1"/>
  <c r="CO306" i="1"/>
  <c r="CN269" i="1"/>
  <c r="CO16" i="1"/>
  <c r="CM494" i="1"/>
  <c r="CO494" i="1"/>
  <c r="CN486" i="1"/>
  <c r="CO486" i="1"/>
  <c r="CM470" i="1"/>
  <c r="CO470" i="1"/>
  <c r="CM454" i="1"/>
  <c r="CO454" i="1"/>
  <c r="CM422" i="1"/>
  <c r="CO422" i="1"/>
  <c r="CM414" i="1"/>
  <c r="CO414" i="1"/>
  <c r="CM398" i="1"/>
  <c r="CO398" i="1"/>
  <c r="CM390" i="1"/>
  <c r="CO390" i="1"/>
  <c r="CM366" i="1"/>
  <c r="CO366" i="1"/>
  <c r="CM342" i="1"/>
  <c r="CO342" i="1"/>
  <c r="CM302" i="1"/>
  <c r="CO302" i="1"/>
  <c r="CM278" i="1"/>
  <c r="CO278" i="1"/>
  <c r="CN270" i="1"/>
  <c r="CO270" i="1"/>
  <c r="CM254" i="1"/>
  <c r="CO254" i="1"/>
  <c r="CM238" i="1"/>
  <c r="CO238" i="1"/>
  <c r="CM230" i="1"/>
  <c r="CO230" i="1"/>
  <c r="CM222" i="1"/>
  <c r="CO222" i="1"/>
  <c r="CI198" i="1"/>
  <c r="CO198" i="1"/>
  <c r="CI190" i="1"/>
  <c r="CO190" i="1"/>
  <c r="CM487" i="1"/>
  <c r="CO487" i="1"/>
  <c r="CM463" i="1"/>
  <c r="CO463" i="1"/>
  <c r="CM455" i="1"/>
  <c r="CO455" i="1"/>
  <c r="CM439" i="1"/>
  <c r="CO439" i="1"/>
  <c r="CM431" i="1"/>
  <c r="CO431" i="1"/>
  <c r="CM415" i="1"/>
  <c r="CO415" i="1"/>
  <c r="CN407" i="1"/>
  <c r="CO407" i="1"/>
  <c r="CL391" i="1"/>
  <c r="CO391" i="1"/>
  <c r="CM367" i="1"/>
  <c r="CO367" i="1"/>
  <c r="CM351" i="1"/>
  <c r="CO351" i="1"/>
  <c r="CM13" i="1"/>
  <c r="CO13" i="1"/>
  <c r="CN489" i="1"/>
  <c r="CO489" i="1"/>
  <c r="CN473" i="1"/>
  <c r="CO473" i="1"/>
  <c r="CN457" i="1"/>
  <c r="CO457" i="1"/>
  <c r="CN449" i="1"/>
  <c r="CO449" i="1"/>
  <c r="CN441" i="1"/>
  <c r="CO441" i="1"/>
  <c r="CN417" i="1"/>
  <c r="CO417" i="1"/>
  <c r="CN385" i="1"/>
  <c r="CO385" i="1"/>
  <c r="CN353" i="1"/>
  <c r="CO353" i="1"/>
  <c r="CN337" i="1"/>
  <c r="CO337" i="1"/>
  <c r="CN313" i="1"/>
  <c r="CO313" i="1"/>
  <c r="CN305" i="1"/>
  <c r="CO305" i="1"/>
  <c r="CN297" i="1"/>
  <c r="CO297" i="1"/>
  <c r="CN9" i="1"/>
  <c r="CO9" i="1"/>
  <c r="CN501" i="1"/>
  <c r="CO501" i="1"/>
  <c r="CM493" i="1"/>
  <c r="CO493" i="1"/>
  <c r="CN477" i="1"/>
  <c r="CO477" i="1"/>
  <c r="CN469" i="1"/>
  <c r="CO469" i="1"/>
  <c r="CN445" i="1"/>
  <c r="CO445" i="1"/>
  <c r="CM437" i="1"/>
  <c r="CN437" i="1"/>
  <c r="CO437" i="1"/>
  <c r="CM429" i="1"/>
  <c r="CO429" i="1"/>
  <c r="CM421" i="1"/>
  <c r="CO421" i="1"/>
  <c r="CM413" i="1"/>
  <c r="CN413" i="1"/>
  <c r="CO413" i="1"/>
  <c r="CM405" i="1"/>
  <c r="CN405" i="1"/>
  <c r="CO405" i="1"/>
  <c r="CM397" i="1"/>
  <c r="CO397" i="1"/>
  <c r="CM389" i="1"/>
  <c r="CO389" i="1"/>
  <c r="CM381" i="1"/>
  <c r="CN381" i="1"/>
  <c r="CO381" i="1"/>
  <c r="CM373" i="1"/>
  <c r="CN373" i="1"/>
  <c r="CO373" i="1"/>
  <c r="CM365" i="1"/>
  <c r="CO365" i="1"/>
  <c r="CM357" i="1"/>
  <c r="CO357" i="1"/>
  <c r="CM349" i="1"/>
  <c r="CN349" i="1"/>
  <c r="CO349" i="1"/>
  <c r="CM341" i="1"/>
  <c r="CN341" i="1"/>
  <c r="CO341" i="1"/>
  <c r="CM333" i="1"/>
  <c r="CO333" i="1"/>
  <c r="CM325" i="1"/>
  <c r="CO325" i="1"/>
  <c r="CM317" i="1"/>
  <c r="CN317" i="1"/>
  <c r="CO317" i="1"/>
  <c r="CM309" i="1"/>
  <c r="CN309" i="1"/>
  <c r="CO309" i="1"/>
  <c r="CM301" i="1"/>
  <c r="CO301" i="1"/>
  <c r="CM293" i="1"/>
  <c r="CO293" i="1"/>
  <c r="CN285" i="1"/>
  <c r="CO285" i="1"/>
  <c r="CN277" i="1"/>
  <c r="CO277" i="1"/>
  <c r="CM253" i="1"/>
  <c r="CN253" i="1"/>
  <c r="CO253" i="1"/>
  <c r="CM245" i="1"/>
  <c r="CN245" i="1"/>
  <c r="CO245" i="1"/>
  <c r="CN221" i="1"/>
  <c r="CO221" i="1"/>
  <c r="CN213" i="1"/>
  <c r="CO213" i="1"/>
  <c r="CA197" i="1"/>
  <c r="CO197" i="1"/>
  <c r="CA189" i="1"/>
  <c r="CN189" i="1"/>
  <c r="CO189" i="1"/>
  <c r="CN493" i="1"/>
  <c r="CN365" i="1"/>
  <c r="CN237" i="1"/>
  <c r="CO8" i="1"/>
  <c r="CN476" i="1"/>
  <c r="CN444" i="1"/>
  <c r="CN412" i="1"/>
  <c r="CN380" i="1"/>
  <c r="CN348" i="1"/>
  <c r="CN316" i="1"/>
  <c r="CN284" i="1"/>
  <c r="CN252" i="1"/>
  <c r="CN220" i="1"/>
  <c r="CN188" i="1"/>
  <c r="CN156" i="1"/>
  <c r="CN124" i="1"/>
  <c r="CN92" i="1"/>
  <c r="CN60" i="1"/>
  <c r="CN28" i="1"/>
  <c r="CO181" i="1"/>
  <c r="CO173" i="1"/>
  <c r="CO165" i="1"/>
  <c r="CO157" i="1"/>
  <c r="CO149" i="1"/>
  <c r="CO141" i="1"/>
  <c r="CO133" i="1"/>
  <c r="CO125" i="1"/>
  <c r="CO117" i="1"/>
  <c r="CO109" i="1"/>
  <c r="CO101" i="1"/>
  <c r="CO93" i="1"/>
  <c r="CO85" i="1"/>
  <c r="CO77" i="1"/>
  <c r="CO69" i="1"/>
  <c r="CO61" i="1"/>
  <c r="CO53" i="1"/>
  <c r="CO45" i="1"/>
  <c r="CO37" i="1"/>
  <c r="CO29" i="1"/>
  <c r="CO21" i="1"/>
  <c r="CN181" i="1"/>
  <c r="CN149" i="1"/>
  <c r="CN117" i="1"/>
  <c r="CN85" i="1"/>
  <c r="CN53" i="1"/>
  <c r="CN21" i="1"/>
  <c r="CO500" i="1"/>
  <c r="CO492" i="1"/>
  <c r="CO484" i="1"/>
  <c r="CO468" i="1"/>
  <c r="CO460" i="1"/>
  <c r="CO452" i="1"/>
  <c r="CO436" i="1"/>
  <c r="CO428" i="1"/>
  <c r="CO420" i="1"/>
  <c r="CO404" i="1"/>
  <c r="CO396" i="1"/>
  <c r="CO388" i="1"/>
  <c r="CO372" i="1"/>
  <c r="CO364" i="1"/>
  <c r="CO356" i="1"/>
  <c r="CO340" i="1"/>
  <c r="CO332" i="1"/>
  <c r="CO324" i="1"/>
  <c r="CO308" i="1"/>
  <c r="CO300" i="1"/>
  <c r="CO292" i="1"/>
  <c r="CO276" i="1"/>
  <c r="CO268" i="1"/>
  <c r="CO260" i="1"/>
  <c r="CO244" i="1"/>
  <c r="CO236" i="1"/>
  <c r="CO228" i="1"/>
  <c r="CO212" i="1"/>
  <c r="CO204" i="1"/>
  <c r="CO196" i="1"/>
  <c r="CO180" i="1"/>
  <c r="CO172" i="1"/>
  <c r="CO164" i="1"/>
  <c r="CO148" i="1"/>
  <c r="CO140" i="1"/>
  <c r="CO132" i="1"/>
  <c r="CO116" i="1"/>
  <c r="CO108" i="1"/>
  <c r="CO100" i="1"/>
  <c r="CO84" i="1"/>
  <c r="CO76" i="1"/>
  <c r="CO68" i="1"/>
  <c r="CO44" i="1"/>
  <c r="CO499" i="1"/>
  <c r="CO491" i="1"/>
  <c r="CO483" i="1"/>
  <c r="CO475" i="1"/>
  <c r="CO467" i="1"/>
  <c r="CO459" i="1"/>
  <c r="CO451" i="1"/>
  <c r="CO443" i="1"/>
  <c r="CO435" i="1"/>
  <c r="CO427" i="1"/>
  <c r="CO419" i="1"/>
  <c r="CO411" i="1"/>
  <c r="CO403" i="1"/>
  <c r="CO395" i="1"/>
  <c r="CO387" i="1"/>
  <c r="CO379" i="1"/>
  <c r="CO371" i="1"/>
  <c r="CO363" i="1"/>
  <c r="CO355" i="1"/>
  <c r="CO347" i="1"/>
  <c r="CO339" i="1"/>
  <c r="CO331" i="1"/>
  <c r="CO323" i="1"/>
  <c r="CO315" i="1"/>
  <c r="CO307" i="1"/>
  <c r="CO299" i="1"/>
  <c r="CO291" i="1"/>
  <c r="CO283" i="1"/>
  <c r="CO275" i="1"/>
  <c r="CO267" i="1"/>
  <c r="CO259" i="1"/>
  <c r="CO251" i="1"/>
  <c r="CO243" i="1"/>
  <c r="CO235" i="1"/>
  <c r="CO227" i="1"/>
  <c r="CO219" i="1"/>
  <c r="CO211" i="1"/>
  <c r="CO203" i="1"/>
  <c r="CO195" i="1"/>
  <c r="CO187" i="1"/>
  <c r="CO179" i="1"/>
  <c r="CO171" i="1"/>
  <c r="CO163" i="1"/>
  <c r="CO155" i="1"/>
  <c r="CO147" i="1"/>
  <c r="CO139" i="1"/>
  <c r="CO131" i="1"/>
  <c r="CO123" i="1"/>
  <c r="CO115" i="1"/>
  <c r="CO107" i="1"/>
  <c r="CO99" i="1"/>
  <c r="CO91" i="1"/>
  <c r="CO83" i="1"/>
  <c r="CO75" i="1"/>
  <c r="CO67" i="1"/>
  <c r="CO59" i="1"/>
  <c r="CO51" i="1"/>
  <c r="CO43" i="1"/>
  <c r="CO27" i="1"/>
  <c r="CO19" i="1"/>
  <c r="CO11" i="1"/>
  <c r="CH112" i="1"/>
  <c r="CN132" i="1"/>
  <c r="CB35" i="1"/>
  <c r="CN157" i="1"/>
  <c r="CN125" i="1"/>
  <c r="CN93" i="1"/>
  <c r="CN61" i="1"/>
  <c r="CN29" i="1"/>
  <c r="CO182" i="1"/>
  <c r="CO174" i="1"/>
  <c r="CO166" i="1"/>
  <c r="CO158" i="1"/>
  <c r="CO150" i="1"/>
  <c r="CO142" i="1"/>
  <c r="CO134" i="1"/>
  <c r="CO126" i="1"/>
  <c r="CO118" i="1"/>
  <c r="CO110" i="1"/>
  <c r="CO102" i="1"/>
  <c r="CO94" i="1"/>
  <c r="CO86" i="1"/>
  <c r="CO78" i="1"/>
  <c r="CO70" i="1"/>
  <c r="CO62" i="1"/>
  <c r="CO54" i="1"/>
  <c r="CO46" i="1"/>
  <c r="CO38" i="1"/>
  <c r="CO30" i="1"/>
  <c r="CO22" i="1"/>
  <c r="CO14" i="1"/>
  <c r="CO6" i="1"/>
  <c r="CN499" i="1"/>
  <c r="CN491" i="1"/>
  <c r="CN483" i="1"/>
  <c r="CN475" i="1"/>
  <c r="CN467" i="1"/>
  <c r="CN459" i="1"/>
  <c r="CN451" i="1"/>
  <c r="CN435" i="1"/>
  <c r="CN427" i="1"/>
  <c r="CN419" i="1"/>
  <c r="CN411" i="1"/>
  <c r="CN403" i="1"/>
  <c r="CN395" i="1"/>
  <c r="CN387" i="1"/>
  <c r="CN379" i="1"/>
  <c r="CN371" i="1"/>
  <c r="CN363" i="1"/>
  <c r="CN355" i="1"/>
  <c r="CN347" i="1"/>
  <c r="CN339" i="1"/>
  <c r="CN331" i="1"/>
  <c r="CN323" i="1"/>
  <c r="CN315" i="1"/>
  <c r="CN307" i="1"/>
  <c r="CN299" i="1"/>
  <c r="CN291" i="1"/>
  <c r="CN283" i="1"/>
  <c r="CN275" i="1"/>
  <c r="CN267" i="1"/>
  <c r="CN259" i="1"/>
  <c r="CN251" i="1"/>
  <c r="CN243" i="1"/>
  <c r="CN235" i="1"/>
  <c r="CN227" i="1"/>
  <c r="CN219" i="1"/>
  <c r="CN211" i="1"/>
  <c r="CN203" i="1"/>
  <c r="CN195" i="1"/>
  <c r="CN187" i="1"/>
  <c r="CN179" i="1"/>
  <c r="CN171" i="1"/>
  <c r="CN163" i="1"/>
  <c r="CN155" i="1"/>
  <c r="CN147" i="1"/>
  <c r="CN139" i="1"/>
  <c r="CN131" i="1"/>
  <c r="CN123" i="1"/>
  <c r="CN115" i="1"/>
  <c r="CN107" i="1"/>
  <c r="CN99" i="1"/>
  <c r="CN91" i="1"/>
  <c r="CN83" i="1"/>
  <c r="CN75" i="1"/>
  <c r="CN67" i="1"/>
  <c r="CN59" i="1"/>
  <c r="CN51" i="1"/>
  <c r="CN43" i="1"/>
  <c r="CN35" i="1"/>
  <c r="CN27" i="1"/>
  <c r="CN11" i="1"/>
  <c r="CN121" i="1"/>
  <c r="CN97" i="1"/>
  <c r="CN89" i="1"/>
  <c r="CN81" i="1"/>
  <c r="CN73" i="1"/>
  <c r="CN65" i="1"/>
  <c r="CN57" i="1"/>
  <c r="CN49" i="1"/>
  <c r="CN41" i="1"/>
  <c r="CN33" i="1"/>
  <c r="CN25" i="1"/>
  <c r="CN17" i="1"/>
  <c r="CN192" i="1"/>
  <c r="CN184" i="1"/>
  <c r="CN176" i="1"/>
  <c r="CN168" i="1"/>
  <c r="CN160" i="1"/>
  <c r="CN152" i="1"/>
  <c r="CN144" i="1"/>
  <c r="CN136" i="1"/>
  <c r="CN128" i="1"/>
  <c r="CN120" i="1"/>
  <c r="CN112" i="1"/>
  <c r="CN104" i="1"/>
  <c r="CN96" i="1"/>
  <c r="CN88" i="1"/>
  <c r="CN80" i="1"/>
  <c r="CN72" i="1"/>
  <c r="CN64" i="1"/>
  <c r="CN56" i="1"/>
  <c r="CN48" i="1"/>
  <c r="CN40" i="1"/>
  <c r="CN32" i="1"/>
  <c r="CN24" i="1"/>
  <c r="CN16" i="1"/>
  <c r="CN8" i="1"/>
  <c r="CN503" i="1"/>
  <c r="CN495" i="1"/>
  <c r="CN487" i="1"/>
  <c r="CN479" i="1"/>
  <c r="CN463" i="1"/>
  <c r="CN455" i="1"/>
  <c r="CN447" i="1"/>
  <c r="CN439" i="1"/>
  <c r="CN431" i="1"/>
  <c r="CN423" i="1"/>
  <c r="CN415" i="1"/>
  <c r="CN399" i="1"/>
  <c r="CN391" i="1"/>
  <c r="CN383" i="1"/>
  <c r="CN375" i="1"/>
  <c r="CN367" i="1"/>
  <c r="CN359" i="1"/>
  <c r="CN351" i="1"/>
  <c r="CN343" i="1"/>
  <c r="CN335" i="1"/>
  <c r="CN327" i="1"/>
  <c r="CN319" i="1"/>
  <c r="CN311" i="1"/>
  <c r="CN303" i="1"/>
  <c r="CN295" i="1"/>
  <c r="CN287" i="1"/>
  <c r="CN271" i="1"/>
  <c r="CN263" i="1"/>
  <c r="CN255" i="1"/>
  <c r="CN247" i="1"/>
  <c r="CN239" i="1"/>
  <c r="CN231" i="1"/>
  <c r="CN191" i="1"/>
  <c r="CN183" i="1"/>
  <c r="CN175" i="1"/>
  <c r="CN167" i="1"/>
  <c r="CN159" i="1"/>
  <c r="CN151" i="1"/>
  <c r="CN143" i="1"/>
  <c r="CN135" i="1"/>
  <c r="CN127" i="1"/>
  <c r="CN119" i="1"/>
  <c r="CN111" i="1"/>
  <c r="CN103" i="1"/>
  <c r="CN95" i="1"/>
  <c r="CN87" i="1"/>
  <c r="CN79" i="1"/>
  <c r="CN71" i="1"/>
  <c r="CN63" i="1"/>
  <c r="CN55" i="1"/>
  <c r="CN47" i="1"/>
  <c r="CN39" i="1"/>
  <c r="CN31" i="1"/>
  <c r="CN23" i="1"/>
  <c r="CM471" i="1"/>
  <c r="CN502" i="1"/>
  <c r="CN494" i="1"/>
  <c r="CN478" i="1"/>
  <c r="CN470" i="1"/>
  <c r="CN462" i="1"/>
  <c r="CN454" i="1"/>
  <c r="CN446" i="1"/>
  <c r="CN438" i="1"/>
  <c r="CN422" i="1"/>
  <c r="CN414" i="1"/>
  <c r="CN406" i="1"/>
  <c r="CN398" i="1"/>
  <c r="CN390" i="1"/>
  <c r="CN382" i="1"/>
  <c r="CN374" i="1"/>
  <c r="CN366" i="1"/>
  <c r="CN358" i="1"/>
  <c r="CN350" i="1"/>
  <c r="CN342" i="1"/>
  <c r="CN334" i="1"/>
  <c r="CN326" i="1"/>
  <c r="CN318" i="1"/>
  <c r="CN310" i="1"/>
  <c r="CN302" i="1"/>
  <c r="CN294" i="1"/>
  <c r="CN286" i="1"/>
  <c r="CN278" i="1"/>
  <c r="CN262" i="1"/>
  <c r="CN254" i="1"/>
  <c r="CN238" i="1"/>
  <c r="CN230" i="1"/>
  <c r="CN222" i="1"/>
  <c r="CN214" i="1"/>
  <c r="CN206" i="1"/>
  <c r="CN198" i="1"/>
  <c r="CN190" i="1"/>
  <c r="CN182" i="1"/>
  <c r="CN174" i="1"/>
  <c r="CN166" i="1"/>
  <c r="CN158" i="1"/>
  <c r="CN150" i="1"/>
  <c r="CN142" i="1"/>
  <c r="CN118" i="1"/>
  <c r="CN110" i="1"/>
  <c r="CN102" i="1"/>
  <c r="CN94" i="1"/>
  <c r="CN86" i="1"/>
  <c r="CN70" i="1"/>
  <c r="CN62" i="1"/>
  <c r="CN54" i="1"/>
  <c r="CN46" i="1"/>
  <c r="CN38" i="1"/>
  <c r="CN30" i="1"/>
  <c r="CN22" i="1"/>
  <c r="CM430" i="1"/>
  <c r="CM246" i="1"/>
  <c r="CM126" i="1"/>
  <c r="CM113" i="1"/>
  <c r="CM105" i="1"/>
  <c r="CN5" i="1"/>
  <c r="CM407" i="1"/>
  <c r="CM279" i="1"/>
  <c r="CM223" i="1"/>
  <c r="CM388" i="1"/>
  <c r="CM486" i="1"/>
  <c r="CM270" i="1"/>
  <c r="CI78" i="1"/>
  <c r="CM260" i="1"/>
  <c r="CM428" i="1"/>
  <c r="CM268" i="1"/>
  <c r="CM10" i="1"/>
  <c r="CM460" i="1"/>
  <c r="CM404" i="1"/>
  <c r="CM396" i="1"/>
  <c r="CM372" i="1"/>
  <c r="CM364" i="1"/>
  <c r="CM340" i="1"/>
  <c r="CM332" i="1"/>
  <c r="CM308" i="1"/>
  <c r="CM300" i="1"/>
  <c r="CM276" i="1"/>
  <c r="CM244" i="1"/>
  <c r="CM236" i="1"/>
  <c r="CH212" i="1"/>
  <c r="CM212" i="1"/>
  <c r="CH204" i="1"/>
  <c r="CM204" i="1"/>
  <c r="CD196" i="1"/>
  <c r="CJ188" i="1"/>
  <c r="CD180" i="1"/>
  <c r="CM180" i="1"/>
  <c r="CD172" i="1"/>
  <c r="CM172" i="1"/>
  <c r="CD164" i="1"/>
  <c r="CD156" i="1"/>
  <c r="CD148" i="1"/>
  <c r="CM148" i="1"/>
  <c r="CD140" i="1"/>
  <c r="CM140" i="1"/>
  <c r="CF132" i="1"/>
  <c r="CF124" i="1"/>
  <c r="CF116" i="1"/>
  <c r="CM116" i="1"/>
  <c r="CF108" i="1"/>
  <c r="CM108" i="1"/>
  <c r="CF100" i="1"/>
  <c r="CF92" i="1"/>
  <c r="CF84" i="1"/>
  <c r="CM84" i="1"/>
  <c r="CF76" i="1"/>
  <c r="CM76" i="1"/>
  <c r="CF68" i="1"/>
  <c r="CF60" i="1"/>
  <c r="CF52" i="1"/>
  <c r="CM52" i="1"/>
  <c r="CF44" i="1"/>
  <c r="CM44" i="1"/>
  <c r="CJ36" i="1"/>
  <c r="CF28" i="1"/>
  <c r="CF20" i="1"/>
  <c r="CM20" i="1"/>
  <c r="CM380" i="1"/>
  <c r="CM252" i="1"/>
  <c r="CM124" i="1"/>
  <c r="CM9" i="1"/>
  <c r="CA501" i="1"/>
  <c r="CM501" i="1"/>
  <c r="CA485" i="1"/>
  <c r="CM485" i="1"/>
  <c r="CA477" i="1"/>
  <c r="CM477" i="1"/>
  <c r="CA469" i="1"/>
  <c r="CM469" i="1"/>
  <c r="CA461" i="1"/>
  <c r="CM461" i="1"/>
  <c r="CA453" i="1"/>
  <c r="CM453" i="1"/>
  <c r="CA445" i="1"/>
  <c r="CM445" i="1"/>
  <c r="CH285" i="1"/>
  <c r="CM285" i="1"/>
  <c r="CH277" i="1"/>
  <c r="CM277" i="1"/>
  <c r="CH269" i="1"/>
  <c r="CM269" i="1"/>
  <c r="CH261" i="1"/>
  <c r="CM261" i="1"/>
  <c r="CH237" i="1"/>
  <c r="CM237" i="1"/>
  <c r="CH229" i="1"/>
  <c r="CM229" i="1"/>
  <c r="CH221" i="1"/>
  <c r="CM221" i="1"/>
  <c r="CH213" i="1"/>
  <c r="CM213" i="1"/>
  <c r="CH205" i="1"/>
  <c r="CM205" i="1"/>
  <c r="CM484" i="1"/>
  <c r="CM356" i="1"/>
  <c r="CM228" i="1"/>
  <c r="CM100" i="1"/>
  <c r="CM476" i="1"/>
  <c r="CM348" i="1"/>
  <c r="CM220" i="1"/>
  <c r="CM92" i="1"/>
  <c r="CM15" i="1"/>
  <c r="CM215" i="1"/>
  <c r="CM207" i="1"/>
  <c r="CM199" i="1"/>
  <c r="CM452" i="1"/>
  <c r="CM324" i="1"/>
  <c r="CM196" i="1"/>
  <c r="CM68" i="1"/>
  <c r="CH440" i="1"/>
  <c r="CH416" i="1"/>
  <c r="CH408" i="1"/>
  <c r="CH400" i="1"/>
  <c r="CH392" i="1"/>
  <c r="CH384" i="1"/>
  <c r="CH376" i="1"/>
  <c r="CH368" i="1"/>
  <c r="CM360" i="1"/>
  <c r="CH352" i="1"/>
  <c r="CM344" i="1"/>
  <c r="CH336" i="1"/>
  <c r="CH328" i="1"/>
  <c r="CM320" i="1"/>
  <c r="CH312" i="1"/>
  <c r="CH304" i="1"/>
  <c r="CH296" i="1"/>
  <c r="CH288" i="1"/>
  <c r="CH280" i="1"/>
  <c r="CH272" i="1"/>
  <c r="CM264" i="1"/>
  <c r="CH256" i="1"/>
  <c r="CH248" i="1"/>
  <c r="CH240" i="1"/>
  <c r="CH232" i="1"/>
  <c r="CH224" i="1"/>
  <c r="CJ216" i="1"/>
  <c r="CH208" i="1"/>
  <c r="CH200" i="1"/>
  <c r="CM444" i="1"/>
  <c r="CM316" i="1"/>
  <c r="CM188" i="1"/>
  <c r="CM60" i="1"/>
  <c r="CM7" i="1"/>
  <c r="CH504" i="1"/>
  <c r="CH488" i="1"/>
  <c r="CM473" i="1"/>
  <c r="CM441" i="1"/>
  <c r="CM401" i="1"/>
  <c r="CM369" i="1"/>
  <c r="CM321" i="1"/>
  <c r="CM273" i="1"/>
  <c r="CM241" i="1"/>
  <c r="CM233" i="1"/>
  <c r="CM225" i="1"/>
  <c r="CM217" i="1"/>
  <c r="CM209" i="1"/>
  <c r="CM201" i="1"/>
  <c r="CM193" i="1"/>
  <c r="CM185" i="1"/>
  <c r="CM177" i="1"/>
  <c r="CM169" i="1"/>
  <c r="CM161" i="1"/>
  <c r="CM153" i="1"/>
  <c r="CM145" i="1"/>
  <c r="CM137" i="1"/>
  <c r="CM129" i="1"/>
  <c r="CM420" i="1"/>
  <c r="CM292" i="1"/>
  <c r="CM164" i="1"/>
  <c r="CM36" i="1"/>
  <c r="CM500" i="1"/>
  <c r="CM492" i="1"/>
  <c r="CM468" i="1"/>
  <c r="CM436" i="1"/>
  <c r="CM14" i="1"/>
  <c r="CM6" i="1"/>
  <c r="CM496" i="1"/>
  <c r="CH480" i="1"/>
  <c r="CH472" i="1"/>
  <c r="CH464" i="1"/>
  <c r="CH456" i="1"/>
  <c r="CH448" i="1"/>
  <c r="CJ432" i="1"/>
  <c r="CK424" i="1"/>
  <c r="CM497" i="1"/>
  <c r="CM489" i="1"/>
  <c r="CM481" i="1"/>
  <c r="CM465" i="1"/>
  <c r="CM457" i="1"/>
  <c r="CM449" i="1"/>
  <c r="CM433" i="1"/>
  <c r="CM425" i="1"/>
  <c r="CM417" i="1"/>
  <c r="CM409" i="1"/>
  <c r="CM393" i="1"/>
  <c r="CM385" i="1"/>
  <c r="CM377" i="1"/>
  <c r="CM361" i="1"/>
  <c r="CM353" i="1"/>
  <c r="CM345" i="1"/>
  <c r="CM337" i="1"/>
  <c r="CM329" i="1"/>
  <c r="CM313" i="1"/>
  <c r="CM305" i="1"/>
  <c r="CM297" i="1"/>
  <c r="CM289" i="1"/>
  <c r="CM281" i="1"/>
  <c r="CM265" i="1"/>
  <c r="CM257" i="1"/>
  <c r="CM249" i="1"/>
  <c r="CM12" i="1"/>
  <c r="CM498" i="1"/>
  <c r="CM490" i="1"/>
  <c r="CM482" i="1"/>
  <c r="CM474" i="1"/>
  <c r="CM466" i="1"/>
  <c r="CM458" i="1"/>
  <c r="CM450" i="1"/>
  <c r="CM442" i="1"/>
  <c r="CM434" i="1"/>
  <c r="CM426" i="1"/>
  <c r="CM418" i="1"/>
  <c r="CM410" i="1"/>
  <c r="CM402" i="1"/>
  <c r="CM394" i="1"/>
  <c r="CM386" i="1"/>
  <c r="CM378" i="1"/>
  <c r="CK370" i="1"/>
  <c r="CM362" i="1"/>
  <c r="CM354" i="1"/>
  <c r="CM346" i="1"/>
  <c r="CM338" i="1"/>
  <c r="CM330" i="1"/>
  <c r="CM322" i="1"/>
  <c r="CM314" i="1"/>
  <c r="CM306" i="1"/>
  <c r="CM298" i="1"/>
  <c r="CM290" i="1"/>
  <c r="CM282" i="1"/>
  <c r="CM274" i="1"/>
  <c r="CM266" i="1"/>
  <c r="CM258" i="1"/>
  <c r="CM250" i="1"/>
  <c r="CM242" i="1"/>
  <c r="CM234" i="1"/>
  <c r="CH218" i="1"/>
  <c r="CH202" i="1"/>
  <c r="CH194" i="1"/>
  <c r="CH186" i="1"/>
  <c r="CH178" i="1"/>
  <c r="CH170" i="1"/>
  <c r="CH162" i="1"/>
  <c r="CH154" i="1"/>
  <c r="CM146" i="1"/>
  <c r="CH138" i="1"/>
  <c r="CH130" i="1"/>
  <c r="CH122" i="1"/>
  <c r="CH114" i="1"/>
  <c r="CH106" i="1"/>
  <c r="CH98" i="1"/>
  <c r="CM90" i="1"/>
  <c r="CH82" i="1"/>
  <c r="CH74" i="1"/>
  <c r="CH66" i="1"/>
  <c r="CH58" i="1"/>
  <c r="CH50" i="1"/>
  <c r="CH42" i="1"/>
  <c r="CH34" i="1"/>
  <c r="CH26" i="1"/>
  <c r="CM18" i="1"/>
  <c r="CM412" i="1"/>
  <c r="CM284" i="1"/>
  <c r="CM156" i="1"/>
  <c r="CM28" i="1"/>
  <c r="CM149" i="1"/>
  <c r="CM117" i="1"/>
  <c r="CM85" i="1"/>
  <c r="CM53" i="1"/>
  <c r="CI134" i="1"/>
  <c r="CM173" i="1"/>
  <c r="CM141" i="1"/>
  <c r="CM109" i="1"/>
  <c r="CM77" i="1"/>
  <c r="CM45" i="1"/>
  <c r="CM197" i="1"/>
  <c r="CM165" i="1"/>
  <c r="CM101" i="1"/>
  <c r="CM69" i="1"/>
  <c r="CM37" i="1"/>
  <c r="CM443" i="1"/>
  <c r="CB19" i="1"/>
  <c r="CM189" i="1"/>
  <c r="CM157" i="1"/>
  <c r="CM125" i="1"/>
  <c r="CM93" i="1"/>
  <c r="CM61" i="1"/>
  <c r="CM29" i="1"/>
  <c r="CH226" i="1"/>
  <c r="CH210" i="1"/>
  <c r="CM203" i="1"/>
  <c r="CM195" i="1"/>
  <c r="CM187" i="1"/>
  <c r="CM179" i="1"/>
  <c r="CM171" i="1"/>
  <c r="CM163" i="1"/>
  <c r="CM155" i="1"/>
  <c r="CM147" i="1"/>
  <c r="CM139" i="1"/>
  <c r="CM131" i="1"/>
  <c r="CM123" i="1"/>
  <c r="CM115" i="1"/>
  <c r="CM107" i="1"/>
  <c r="CM99" i="1"/>
  <c r="CM91" i="1"/>
  <c r="CM83" i="1"/>
  <c r="CM75" i="1"/>
  <c r="CM67" i="1"/>
  <c r="CM59" i="1"/>
  <c r="CM51" i="1"/>
  <c r="CM43" i="1"/>
  <c r="CM35" i="1"/>
  <c r="CM27" i="1"/>
  <c r="CM19" i="1"/>
  <c r="CM370" i="1"/>
  <c r="CM226" i="1"/>
  <c r="CM218" i="1"/>
  <c r="CM210" i="1"/>
  <c r="CM202" i="1"/>
  <c r="CM194" i="1"/>
  <c r="CM186" i="1"/>
  <c r="CM178" i="1"/>
  <c r="CM170" i="1"/>
  <c r="CM162" i="1"/>
  <c r="CM154" i="1"/>
  <c r="CM138" i="1"/>
  <c r="CM130" i="1"/>
  <c r="CM122" i="1"/>
  <c r="CM114" i="1"/>
  <c r="CM106" i="1"/>
  <c r="CM98" i="1"/>
  <c r="CM82" i="1"/>
  <c r="CM74" i="1"/>
  <c r="CM66" i="1"/>
  <c r="CM58" i="1"/>
  <c r="CM50" i="1"/>
  <c r="CM42" i="1"/>
  <c r="CM34" i="1"/>
  <c r="CM26" i="1"/>
  <c r="CE21" i="1"/>
  <c r="CM504" i="1"/>
  <c r="CM488" i="1"/>
  <c r="CM480" i="1"/>
  <c r="CM472" i="1"/>
  <c r="CM464" i="1"/>
  <c r="CM456" i="1"/>
  <c r="CM448" i="1"/>
  <c r="CM440" i="1"/>
  <c r="CM432" i="1"/>
  <c r="CM424" i="1"/>
  <c r="CM416" i="1"/>
  <c r="CM408" i="1"/>
  <c r="CM400" i="1"/>
  <c r="CM392" i="1"/>
  <c r="CM384" i="1"/>
  <c r="CM376" i="1"/>
  <c r="CM368" i="1"/>
  <c r="CM352" i="1"/>
  <c r="CM336" i="1"/>
  <c r="CM328" i="1"/>
  <c r="CM312" i="1"/>
  <c r="CM304" i="1"/>
  <c r="CM296" i="1"/>
  <c r="CM288" i="1"/>
  <c r="CM280" i="1"/>
  <c r="CM272" i="1"/>
  <c r="CM256" i="1"/>
  <c r="CM248" i="1"/>
  <c r="CM240" i="1"/>
  <c r="CM232" i="1"/>
  <c r="CM224" i="1"/>
  <c r="CM216" i="1"/>
  <c r="CM208" i="1"/>
  <c r="CM200" i="1"/>
  <c r="CM192" i="1"/>
  <c r="CM184" i="1"/>
  <c r="CM176" i="1"/>
  <c r="CM168" i="1"/>
  <c r="CM160" i="1"/>
  <c r="CM152" i="1"/>
  <c r="CM144" i="1"/>
  <c r="CM136" i="1"/>
  <c r="CM128" i="1"/>
  <c r="CM120" i="1"/>
  <c r="CM112" i="1"/>
  <c r="CM104" i="1"/>
  <c r="CM96" i="1"/>
  <c r="CM88" i="1"/>
  <c r="CM80" i="1"/>
  <c r="CM72" i="1"/>
  <c r="CM64" i="1"/>
  <c r="CM56" i="1"/>
  <c r="CM48" i="1"/>
  <c r="CM40" i="1"/>
  <c r="CM32" i="1"/>
  <c r="CM24" i="1"/>
  <c r="CM391" i="1"/>
  <c r="CM214" i="1"/>
  <c r="CM206" i="1"/>
  <c r="CM198" i="1"/>
  <c r="CM190" i="1"/>
  <c r="CM182" i="1"/>
  <c r="CM174" i="1"/>
  <c r="CM166" i="1"/>
  <c r="CM158" i="1"/>
  <c r="CM150" i="1"/>
  <c r="CM142" i="1"/>
  <c r="CM134" i="1"/>
  <c r="CM118" i="1"/>
  <c r="CM110" i="1"/>
  <c r="CM102" i="1"/>
  <c r="CM94" i="1"/>
  <c r="CM86" i="1"/>
  <c r="CM78" i="1"/>
  <c r="CM70" i="1"/>
  <c r="CM62" i="1"/>
  <c r="CM54" i="1"/>
  <c r="CM46" i="1"/>
  <c r="CM38" i="1"/>
  <c r="CM30" i="1"/>
  <c r="CM22" i="1"/>
  <c r="CA493" i="1"/>
  <c r="CH301" i="1"/>
  <c r="CH146" i="1"/>
  <c r="CH90" i="1"/>
  <c r="CH293" i="1"/>
  <c r="CA133" i="1"/>
  <c r="CH14" i="1"/>
  <c r="CL149" i="1"/>
  <c r="CI126" i="1"/>
  <c r="CI363" i="1"/>
  <c r="CI339" i="1"/>
  <c r="CI323" i="1"/>
  <c r="CI243" i="1"/>
  <c r="CH220" i="1"/>
  <c r="CH253" i="1"/>
  <c r="CL253" i="1"/>
  <c r="CH245" i="1"/>
  <c r="CL245" i="1"/>
  <c r="CA181" i="1"/>
  <c r="CL181" i="1"/>
  <c r="CL213" i="1"/>
  <c r="CH374" i="1"/>
  <c r="CH366" i="1"/>
  <c r="CH358" i="1"/>
  <c r="CH350" i="1"/>
  <c r="CJ342" i="1"/>
  <c r="CH334" i="1"/>
  <c r="CK326" i="1"/>
  <c r="CH318" i="1"/>
  <c r="CH310" i="1"/>
  <c r="CH302" i="1"/>
  <c r="CH294" i="1"/>
  <c r="CH286" i="1"/>
  <c r="CH278" i="1"/>
  <c r="CH270" i="1"/>
  <c r="CH254" i="1"/>
  <c r="CH246" i="1"/>
  <c r="CH238" i="1"/>
  <c r="CI230" i="1"/>
  <c r="CI222" i="1"/>
  <c r="CI443" i="1"/>
  <c r="CI211" i="1"/>
  <c r="CI499" i="1"/>
  <c r="CI491" i="1"/>
  <c r="CI435" i="1"/>
  <c r="CI427" i="1"/>
  <c r="CI419" i="1"/>
  <c r="CI395" i="1"/>
  <c r="CI387" i="1"/>
  <c r="CI379" i="1"/>
  <c r="CK347" i="1"/>
  <c r="CK331" i="1"/>
  <c r="CI307" i="1"/>
  <c r="CI283" i="1"/>
  <c r="CI275" i="1"/>
  <c r="CI259" i="1"/>
  <c r="CI235" i="1"/>
  <c r="CI8" i="1"/>
  <c r="CH494" i="1"/>
  <c r="CH478" i="1"/>
  <c r="CH430" i="1"/>
  <c r="CH414" i="1"/>
  <c r="CH406" i="1"/>
  <c r="CH398" i="1"/>
  <c r="CH390" i="1"/>
  <c r="CI11" i="1"/>
  <c r="CI483" i="1"/>
  <c r="CI475" i="1"/>
  <c r="CI467" i="1"/>
  <c r="CI459" i="1"/>
  <c r="CI451" i="1"/>
  <c r="CI411" i="1"/>
  <c r="CI403" i="1"/>
  <c r="CI371" i="1"/>
  <c r="CI355" i="1"/>
  <c r="CI315" i="1"/>
  <c r="CI299" i="1"/>
  <c r="CI291" i="1"/>
  <c r="CI267" i="1"/>
  <c r="CI251" i="1"/>
  <c r="CI227" i="1"/>
  <c r="CI219" i="1"/>
  <c r="CH16" i="1"/>
  <c r="CH502" i="1"/>
  <c r="CJ486" i="1"/>
  <c r="CH462" i="1"/>
  <c r="CH454" i="1"/>
  <c r="CH446" i="1"/>
  <c r="CH438" i="1"/>
  <c r="CH422" i="1"/>
  <c r="CH382" i="1"/>
  <c r="CL117" i="1"/>
  <c r="CL85" i="1"/>
  <c r="CL53" i="1"/>
  <c r="CL21" i="1"/>
  <c r="CH6" i="1"/>
  <c r="CH360" i="1"/>
  <c r="CH320" i="1"/>
  <c r="CH264" i="1"/>
  <c r="CL501" i="1"/>
  <c r="CL307" i="1"/>
  <c r="CL235" i="1"/>
  <c r="CL203" i="1"/>
  <c r="CL171" i="1"/>
  <c r="CL139" i="1"/>
  <c r="CL107" i="1"/>
  <c r="CL75" i="1"/>
  <c r="CL43" i="1"/>
  <c r="CL475" i="1"/>
  <c r="CL285" i="1"/>
  <c r="CL229" i="1"/>
  <c r="CL197" i="1"/>
  <c r="CL165" i="1"/>
  <c r="CL133" i="1"/>
  <c r="CL101" i="1"/>
  <c r="CL69" i="1"/>
  <c r="CL37" i="1"/>
  <c r="CH496" i="1"/>
  <c r="CL469" i="1"/>
  <c r="CL269" i="1"/>
  <c r="CL227" i="1"/>
  <c r="CL195" i="1"/>
  <c r="CL163" i="1"/>
  <c r="CL131" i="1"/>
  <c r="CL99" i="1"/>
  <c r="CL67" i="1"/>
  <c r="CL35" i="1"/>
  <c r="CL443" i="1"/>
  <c r="CL267" i="1"/>
  <c r="CL221" i="1"/>
  <c r="CL189" i="1"/>
  <c r="CL157" i="1"/>
  <c r="CL125" i="1"/>
  <c r="CL93" i="1"/>
  <c r="CL61" i="1"/>
  <c r="CL29" i="1"/>
  <c r="CH18" i="1"/>
  <c r="CL435" i="1"/>
  <c r="CL261" i="1"/>
  <c r="CL219" i="1"/>
  <c r="CL187" i="1"/>
  <c r="CL155" i="1"/>
  <c r="CL123" i="1"/>
  <c r="CL91" i="1"/>
  <c r="CL59" i="1"/>
  <c r="CL27" i="1"/>
  <c r="CL379" i="1"/>
  <c r="CL371" i="1"/>
  <c r="CL211" i="1"/>
  <c r="CL179" i="1"/>
  <c r="CL147" i="1"/>
  <c r="CL115" i="1"/>
  <c r="CL83" i="1"/>
  <c r="CL51" i="1"/>
  <c r="CL19" i="1"/>
  <c r="CL315" i="1"/>
  <c r="CL237" i="1"/>
  <c r="CL205" i="1"/>
  <c r="CL173" i="1"/>
  <c r="CL141" i="1"/>
  <c r="CL109" i="1"/>
  <c r="CL77" i="1"/>
  <c r="CL45" i="1"/>
  <c r="BV127" i="1"/>
  <c r="CL127" i="1"/>
  <c r="BV111" i="1"/>
  <c r="CL111" i="1"/>
  <c r="BW103" i="1"/>
  <c r="CL103" i="1"/>
  <c r="BV95" i="1"/>
  <c r="CL95" i="1"/>
  <c r="BV87" i="1"/>
  <c r="CL87" i="1"/>
  <c r="CJ23" i="1"/>
  <c r="CL23" i="1"/>
  <c r="CL499" i="1"/>
  <c r="CL467" i="1"/>
  <c r="CL427" i="1"/>
  <c r="CL363" i="1"/>
  <c r="CL299" i="1"/>
  <c r="CL259" i="1"/>
  <c r="CF7" i="1"/>
  <c r="CL7" i="1"/>
  <c r="CF503" i="1"/>
  <c r="CL503" i="1"/>
  <c r="CF479" i="1"/>
  <c r="CL479" i="1"/>
  <c r="CG471" i="1"/>
  <c r="CL471" i="1"/>
  <c r="CF455" i="1"/>
  <c r="CL455" i="1"/>
  <c r="CF447" i="1"/>
  <c r="CL447" i="1"/>
  <c r="CH431" i="1"/>
  <c r="CL431" i="1"/>
  <c r="CF415" i="1"/>
  <c r="CL415" i="1"/>
  <c r="CF399" i="1"/>
  <c r="CL399" i="1"/>
  <c r="CF335" i="1"/>
  <c r="CL335" i="1"/>
  <c r="CF303" i="1"/>
  <c r="CL303" i="1"/>
  <c r="CF295" i="1"/>
  <c r="CL295" i="1"/>
  <c r="CF271" i="1"/>
  <c r="CL271" i="1"/>
  <c r="CF239" i="1"/>
  <c r="CL239" i="1"/>
  <c r="CF223" i="1"/>
  <c r="CL223" i="1"/>
  <c r="CC215" i="1"/>
  <c r="CL215" i="1"/>
  <c r="CB207" i="1"/>
  <c r="CL207" i="1"/>
  <c r="BV143" i="1"/>
  <c r="CL143" i="1"/>
  <c r="BV119" i="1"/>
  <c r="CL119" i="1"/>
  <c r="BV79" i="1"/>
  <c r="CL79" i="1"/>
  <c r="BX71" i="1"/>
  <c r="CL71" i="1"/>
  <c r="BY63" i="1"/>
  <c r="CL63" i="1"/>
  <c r="BV55" i="1"/>
  <c r="CL55" i="1"/>
  <c r="BV47" i="1"/>
  <c r="CL47" i="1"/>
  <c r="CJ39" i="1"/>
  <c r="CL39" i="1"/>
  <c r="BV31" i="1"/>
  <c r="CL31" i="1"/>
  <c r="CB13" i="1"/>
  <c r="CL13" i="1"/>
  <c r="CF497" i="1"/>
  <c r="CL497" i="1"/>
  <c r="CF489" i="1"/>
  <c r="CL489" i="1"/>
  <c r="CF481" i="1"/>
  <c r="CL481" i="1"/>
  <c r="CF473" i="1"/>
  <c r="CL473" i="1"/>
  <c r="CF465" i="1"/>
  <c r="CL465" i="1"/>
  <c r="CF457" i="1"/>
  <c r="CL457" i="1"/>
  <c r="CF449" i="1"/>
  <c r="CL449" i="1"/>
  <c r="CF441" i="1"/>
  <c r="CL441" i="1"/>
  <c r="CF433" i="1"/>
  <c r="CL433" i="1"/>
  <c r="CF425" i="1"/>
  <c r="CL425" i="1"/>
  <c r="CF417" i="1"/>
  <c r="CL417" i="1"/>
  <c r="CF409" i="1"/>
  <c r="CL409" i="1"/>
  <c r="CF401" i="1"/>
  <c r="CL401" i="1"/>
  <c r="CF393" i="1"/>
  <c r="CL393" i="1"/>
  <c r="CF385" i="1"/>
  <c r="CL385" i="1"/>
  <c r="CF377" i="1"/>
  <c r="CL377" i="1"/>
  <c r="CF369" i="1"/>
  <c r="CL369" i="1"/>
  <c r="CF361" i="1"/>
  <c r="CL361" i="1"/>
  <c r="CF353" i="1"/>
  <c r="CL353" i="1"/>
  <c r="CF345" i="1"/>
  <c r="CL345" i="1"/>
  <c r="CF337" i="1"/>
  <c r="CL337" i="1"/>
  <c r="CF329" i="1"/>
  <c r="CL329" i="1"/>
  <c r="CF321" i="1"/>
  <c r="CL321" i="1"/>
  <c r="CF313" i="1"/>
  <c r="CL313" i="1"/>
  <c r="CF305" i="1"/>
  <c r="CL305" i="1"/>
  <c r="CF297" i="1"/>
  <c r="CL297" i="1"/>
  <c r="CF289" i="1"/>
  <c r="CL289" i="1"/>
  <c r="CF281" i="1"/>
  <c r="CL281" i="1"/>
  <c r="CF273" i="1"/>
  <c r="CL273" i="1"/>
  <c r="CI265" i="1"/>
  <c r="CL265" i="1"/>
  <c r="CF257" i="1"/>
  <c r="CL257" i="1"/>
  <c r="CF249" i="1"/>
  <c r="CL249" i="1"/>
  <c r="CF241" i="1"/>
  <c r="CL241" i="1"/>
  <c r="CF233" i="1"/>
  <c r="CL233" i="1"/>
  <c r="CF225" i="1"/>
  <c r="CL225" i="1"/>
  <c r="CI217" i="1"/>
  <c r="CL217" i="1"/>
  <c r="CB209" i="1"/>
  <c r="CL209" i="1"/>
  <c r="CB201" i="1"/>
  <c r="CL201" i="1"/>
  <c r="CB193" i="1"/>
  <c r="CL193" i="1"/>
  <c r="CB185" i="1"/>
  <c r="CL185" i="1"/>
  <c r="CB177" i="1"/>
  <c r="CL177" i="1"/>
  <c r="CB169" i="1"/>
  <c r="CL169" i="1"/>
  <c r="CC161" i="1"/>
  <c r="CL161" i="1"/>
  <c r="CB153" i="1"/>
  <c r="CL153" i="1"/>
  <c r="BX145" i="1"/>
  <c r="CL145" i="1"/>
  <c r="BX137" i="1"/>
  <c r="CL137" i="1"/>
  <c r="BX129" i="1"/>
  <c r="CL129" i="1"/>
  <c r="BX121" i="1"/>
  <c r="CL121" i="1"/>
  <c r="BX113" i="1"/>
  <c r="CL113" i="1"/>
  <c r="CE105" i="1"/>
  <c r="CL105" i="1"/>
  <c r="CE97" i="1"/>
  <c r="CL97" i="1"/>
  <c r="BX89" i="1"/>
  <c r="CL89" i="1"/>
  <c r="CG81" i="1"/>
  <c r="CL81" i="1"/>
  <c r="BX73" i="1"/>
  <c r="CL73" i="1"/>
  <c r="BX65" i="1"/>
  <c r="CL65" i="1"/>
  <c r="BX57" i="1"/>
  <c r="CL57" i="1"/>
  <c r="BX49" i="1"/>
  <c r="CL49" i="1"/>
  <c r="BX41" i="1"/>
  <c r="CL41" i="1"/>
  <c r="BP33" i="1"/>
  <c r="CL33" i="1"/>
  <c r="BP25" i="1"/>
  <c r="CL25" i="1"/>
  <c r="BX17" i="1"/>
  <c r="CL17" i="1"/>
  <c r="CL493" i="1"/>
  <c r="CL461" i="1"/>
  <c r="CL419" i="1"/>
  <c r="CL355" i="1"/>
  <c r="CL291" i="1"/>
  <c r="BG199" i="1"/>
  <c r="CL199" i="1"/>
  <c r="BG183" i="1"/>
  <c r="CL183" i="1"/>
  <c r="CH490" i="1"/>
  <c r="CL490" i="1"/>
  <c r="CH362" i="1"/>
  <c r="CL362" i="1"/>
  <c r="CH354" i="1"/>
  <c r="CL354" i="1"/>
  <c r="CH346" i="1"/>
  <c r="CL346" i="1"/>
  <c r="CH338" i="1"/>
  <c r="CL338" i="1"/>
  <c r="CH330" i="1"/>
  <c r="CL330" i="1"/>
  <c r="CH322" i="1"/>
  <c r="CL322" i="1"/>
  <c r="CK322" i="1"/>
  <c r="CH314" i="1"/>
  <c r="CL314" i="1"/>
  <c r="CH306" i="1"/>
  <c r="CK306" i="1"/>
  <c r="CL306" i="1"/>
  <c r="CH298" i="1"/>
  <c r="CL298" i="1"/>
  <c r="CH290" i="1"/>
  <c r="CL290" i="1"/>
  <c r="CH282" i="1"/>
  <c r="CL282" i="1"/>
  <c r="CH274" i="1"/>
  <c r="CL274" i="1"/>
  <c r="CH266" i="1"/>
  <c r="CL266" i="1"/>
  <c r="CH258" i="1"/>
  <c r="CL258" i="1"/>
  <c r="CH250" i="1"/>
  <c r="CL250" i="1"/>
  <c r="CH242" i="1"/>
  <c r="CL242" i="1"/>
  <c r="CH234" i="1"/>
  <c r="CL234" i="1"/>
  <c r="CL491" i="1"/>
  <c r="CL459" i="1"/>
  <c r="CL411" i="1"/>
  <c r="CL347" i="1"/>
  <c r="CL251" i="1"/>
  <c r="BV167" i="1"/>
  <c r="CL167" i="1"/>
  <c r="BW135" i="1"/>
  <c r="CL135" i="1"/>
  <c r="CH458" i="1"/>
  <c r="CL458" i="1"/>
  <c r="CH450" i="1"/>
  <c r="CK450" i="1"/>
  <c r="CL450" i="1"/>
  <c r="CH442" i="1"/>
  <c r="CL442" i="1"/>
  <c r="CL485" i="1"/>
  <c r="CL453" i="1"/>
  <c r="CL403" i="1"/>
  <c r="CL339" i="1"/>
  <c r="CL283" i="1"/>
  <c r="CF351" i="1"/>
  <c r="CL351" i="1"/>
  <c r="CF327" i="1"/>
  <c r="CL327" i="1"/>
  <c r="BV151" i="1"/>
  <c r="CL151" i="1"/>
  <c r="CH12" i="1"/>
  <c r="CL12" i="1"/>
  <c r="CH434" i="1"/>
  <c r="CL434" i="1"/>
  <c r="CH426" i="1"/>
  <c r="CL426" i="1"/>
  <c r="CH292" i="1"/>
  <c r="CL292" i="1"/>
  <c r="CH276" i="1"/>
  <c r="CL276" i="1"/>
  <c r="CH268" i="1"/>
  <c r="CL268" i="1"/>
  <c r="CH260" i="1"/>
  <c r="CL260" i="1"/>
  <c r="CH252" i="1"/>
  <c r="CL252" i="1"/>
  <c r="CH244" i="1"/>
  <c r="CL244" i="1"/>
  <c r="CH236" i="1"/>
  <c r="CL236" i="1"/>
  <c r="CH228" i="1"/>
  <c r="CL228" i="1"/>
  <c r="CL483" i="1"/>
  <c r="CL451" i="1"/>
  <c r="CL395" i="1"/>
  <c r="CL331" i="1"/>
  <c r="CL275" i="1"/>
  <c r="CL243" i="1"/>
  <c r="CF15" i="1"/>
  <c r="CL15" i="1"/>
  <c r="CF495" i="1"/>
  <c r="CL495" i="1"/>
  <c r="CF487" i="1"/>
  <c r="CL487" i="1"/>
  <c r="CF463" i="1"/>
  <c r="CL463" i="1"/>
  <c r="CF439" i="1"/>
  <c r="CL439" i="1"/>
  <c r="CF423" i="1"/>
  <c r="CL423" i="1"/>
  <c r="CH407" i="1"/>
  <c r="CL407" i="1"/>
  <c r="CF383" i="1"/>
  <c r="CL383" i="1"/>
  <c r="CF375" i="1"/>
  <c r="CL375" i="1"/>
  <c r="CF367" i="1"/>
  <c r="CL367" i="1"/>
  <c r="CF359" i="1"/>
  <c r="CL359" i="1"/>
  <c r="CF343" i="1"/>
  <c r="CL343" i="1"/>
  <c r="CF319" i="1"/>
  <c r="CL319" i="1"/>
  <c r="CF311" i="1"/>
  <c r="CL311" i="1"/>
  <c r="CF287" i="1"/>
  <c r="CL287" i="1"/>
  <c r="CF279" i="1"/>
  <c r="CL279" i="1"/>
  <c r="CF263" i="1"/>
  <c r="CL263" i="1"/>
  <c r="CF255" i="1"/>
  <c r="CL255" i="1"/>
  <c r="CF247" i="1"/>
  <c r="CL247" i="1"/>
  <c r="CH231" i="1"/>
  <c r="CL231" i="1"/>
  <c r="BM191" i="1"/>
  <c r="CL191" i="1"/>
  <c r="BY175" i="1"/>
  <c r="CL175" i="1"/>
  <c r="BH159" i="1"/>
  <c r="CL159" i="1"/>
  <c r="CH498" i="1"/>
  <c r="CK498" i="1"/>
  <c r="CL498" i="1"/>
  <c r="CH482" i="1"/>
  <c r="CL482" i="1"/>
  <c r="CH474" i="1"/>
  <c r="CL474" i="1"/>
  <c r="CH466" i="1"/>
  <c r="CL466" i="1"/>
  <c r="CH418" i="1"/>
  <c r="CL418" i="1"/>
  <c r="CH410" i="1"/>
  <c r="CL410" i="1"/>
  <c r="CH402" i="1"/>
  <c r="CL402" i="1"/>
  <c r="CH394" i="1"/>
  <c r="CL394" i="1"/>
  <c r="CI386" i="1"/>
  <c r="CL386" i="1"/>
  <c r="CK386" i="1"/>
  <c r="CH378" i="1"/>
  <c r="CL378" i="1"/>
  <c r="CH370" i="1"/>
  <c r="CL370" i="1"/>
  <c r="CH10" i="1"/>
  <c r="CL10" i="1"/>
  <c r="CH500" i="1"/>
  <c r="CL500" i="1"/>
  <c r="CH492" i="1"/>
  <c r="CL492" i="1"/>
  <c r="CH484" i="1"/>
  <c r="CL484" i="1"/>
  <c r="CH476" i="1"/>
  <c r="CL476" i="1"/>
  <c r="CH468" i="1"/>
  <c r="CL468" i="1"/>
  <c r="CH460" i="1"/>
  <c r="CL460" i="1"/>
  <c r="CH452" i="1"/>
  <c r="CL452" i="1"/>
  <c r="CH444" i="1"/>
  <c r="CL444" i="1"/>
  <c r="CH436" i="1"/>
  <c r="CL436" i="1"/>
  <c r="CH428" i="1"/>
  <c r="CL428" i="1"/>
  <c r="CH420" i="1"/>
  <c r="CL420" i="1"/>
  <c r="CH412" i="1"/>
  <c r="CL412" i="1"/>
  <c r="CH404" i="1"/>
  <c r="CL404" i="1"/>
  <c r="CH396" i="1"/>
  <c r="CL396" i="1"/>
  <c r="CH388" i="1"/>
  <c r="CL388" i="1"/>
  <c r="CH380" i="1"/>
  <c r="CL380" i="1"/>
  <c r="CH372" i="1"/>
  <c r="CL372" i="1"/>
  <c r="CH364" i="1"/>
  <c r="CL364" i="1"/>
  <c r="CH356" i="1"/>
  <c r="CL356" i="1"/>
  <c r="CH348" i="1"/>
  <c r="CL348" i="1"/>
  <c r="CH340" i="1"/>
  <c r="CL340" i="1"/>
  <c r="CH332" i="1"/>
  <c r="CL332" i="1"/>
  <c r="CH324" i="1"/>
  <c r="CL324" i="1"/>
  <c r="CH316" i="1"/>
  <c r="CL316" i="1"/>
  <c r="CH308" i="1"/>
  <c r="CL308" i="1"/>
  <c r="CH300" i="1"/>
  <c r="CL300" i="1"/>
  <c r="CH284" i="1"/>
  <c r="CL284" i="1"/>
  <c r="CH9" i="1"/>
  <c r="CL9" i="1"/>
  <c r="CA437" i="1"/>
  <c r="CL437" i="1"/>
  <c r="CD429" i="1"/>
  <c r="CL429" i="1"/>
  <c r="CA421" i="1"/>
  <c r="CL421" i="1"/>
  <c r="CA413" i="1"/>
  <c r="CL413" i="1"/>
  <c r="CA405" i="1"/>
  <c r="CL405" i="1"/>
  <c r="CA397" i="1"/>
  <c r="CL397" i="1"/>
  <c r="CF389" i="1"/>
  <c r="CL389" i="1"/>
  <c r="CI381" i="1"/>
  <c r="CL381" i="1"/>
  <c r="CH373" i="1"/>
  <c r="CL373" i="1"/>
  <c r="CH365" i="1"/>
  <c r="CL365" i="1"/>
  <c r="CH357" i="1"/>
  <c r="CL357" i="1"/>
  <c r="CH349" i="1"/>
  <c r="CL349" i="1"/>
  <c r="CH341" i="1"/>
  <c r="CL341" i="1"/>
  <c r="CH333" i="1"/>
  <c r="CL333" i="1"/>
  <c r="CH325" i="1"/>
  <c r="CL325" i="1"/>
  <c r="CH317" i="1"/>
  <c r="CL317" i="1"/>
  <c r="CH309" i="1"/>
  <c r="CL309" i="1"/>
  <c r="CK434" i="1"/>
  <c r="CL477" i="1"/>
  <c r="CL445" i="1"/>
  <c r="CL387" i="1"/>
  <c r="CL323" i="1"/>
  <c r="CL11" i="1"/>
  <c r="CL301" i="1"/>
  <c r="CL293" i="1"/>
  <c r="CL277" i="1"/>
  <c r="CH344" i="1"/>
  <c r="CL220" i="1"/>
  <c r="CL212" i="1"/>
  <c r="CL204" i="1"/>
  <c r="CL196" i="1"/>
  <c r="CL188" i="1"/>
  <c r="CL180" i="1"/>
  <c r="CL172" i="1"/>
  <c r="CL164" i="1"/>
  <c r="CL156" i="1"/>
  <c r="CL148" i="1"/>
  <c r="CL140" i="1"/>
  <c r="CL132" i="1"/>
  <c r="CL124" i="1"/>
  <c r="CL116" i="1"/>
  <c r="CL108" i="1"/>
  <c r="CL100" i="1"/>
  <c r="CL92" i="1"/>
  <c r="CL84" i="1"/>
  <c r="CL76" i="1"/>
  <c r="CL68" i="1"/>
  <c r="CL60" i="1"/>
  <c r="CL52" i="1"/>
  <c r="CL44" i="1"/>
  <c r="CL36" i="1"/>
  <c r="CL28" i="1"/>
  <c r="CL20" i="1"/>
  <c r="CL226" i="1"/>
  <c r="CL218" i="1"/>
  <c r="CL210" i="1"/>
  <c r="CL202" i="1"/>
  <c r="CL194" i="1"/>
  <c r="CL186" i="1"/>
  <c r="CL178" i="1"/>
  <c r="CL170" i="1"/>
  <c r="CL162" i="1"/>
  <c r="CL154" i="1"/>
  <c r="CL146" i="1"/>
  <c r="CL138" i="1"/>
  <c r="CL130" i="1"/>
  <c r="CL122" i="1"/>
  <c r="CL114" i="1"/>
  <c r="CL106" i="1"/>
  <c r="CL98" i="1"/>
  <c r="CL90" i="1"/>
  <c r="CL82" i="1"/>
  <c r="CL74" i="1"/>
  <c r="CL66" i="1"/>
  <c r="CL58" i="1"/>
  <c r="CL50" i="1"/>
  <c r="CL42" i="1"/>
  <c r="CL34" i="1"/>
  <c r="CL26" i="1"/>
  <c r="CL18" i="1"/>
  <c r="CL504" i="1"/>
  <c r="CL496" i="1"/>
  <c r="CL488" i="1"/>
  <c r="CL480" i="1"/>
  <c r="CL472" i="1"/>
  <c r="CL464" i="1"/>
  <c r="CL456" i="1"/>
  <c r="CL448" i="1"/>
  <c r="CL440" i="1"/>
  <c r="CL432" i="1"/>
  <c r="CL424" i="1"/>
  <c r="CL416" i="1"/>
  <c r="CL408" i="1"/>
  <c r="CL400" i="1"/>
  <c r="CL392" i="1"/>
  <c r="CL384" i="1"/>
  <c r="CL376" i="1"/>
  <c r="CL368" i="1"/>
  <c r="CL360" i="1"/>
  <c r="CL352" i="1"/>
  <c r="CL344" i="1"/>
  <c r="CL336" i="1"/>
  <c r="CL328" i="1"/>
  <c r="CL320" i="1"/>
  <c r="CL312" i="1"/>
  <c r="CL304" i="1"/>
  <c r="CL296" i="1"/>
  <c r="CL288" i="1"/>
  <c r="CL280" i="1"/>
  <c r="CL272" i="1"/>
  <c r="CL264" i="1"/>
  <c r="CL256" i="1"/>
  <c r="CL248" i="1"/>
  <c r="CL240" i="1"/>
  <c r="CL232" i="1"/>
  <c r="CL224" i="1"/>
  <c r="CL216" i="1"/>
  <c r="CL208" i="1"/>
  <c r="CL200" i="1"/>
  <c r="CL192" i="1"/>
  <c r="CL184" i="1"/>
  <c r="CL176" i="1"/>
  <c r="CL168" i="1"/>
  <c r="CL160" i="1"/>
  <c r="CL152" i="1"/>
  <c r="CL144" i="1"/>
  <c r="CL136" i="1"/>
  <c r="CL128" i="1"/>
  <c r="CL120" i="1"/>
  <c r="CL112" i="1"/>
  <c r="CL104" i="1"/>
  <c r="CL96" i="1"/>
  <c r="CL88" i="1"/>
  <c r="CL80" i="1"/>
  <c r="CL72" i="1"/>
  <c r="CL64" i="1"/>
  <c r="CL56" i="1"/>
  <c r="CL48" i="1"/>
  <c r="CL40" i="1"/>
  <c r="CL32" i="1"/>
  <c r="CL24" i="1"/>
  <c r="CL16" i="1"/>
  <c r="CL8" i="1"/>
  <c r="CH470" i="1"/>
  <c r="CH262" i="1"/>
  <c r="CL502" i="1"/>
  <c r="CL494" i="1"/>
  <c r="CL486" i="1"/>
  <c r="CL478" i="1"/>
  <c r="CL470" i="1"/>
  <c r="CL462" i="1"/>
  <c r="CL454" i="1"/>
  <c r="CL446" i="1"/>
  <c r="CL438" i="1"/>
  <c r="CL430" i="1"/>
  <c r="CL422" i="1"/>
  <c r="CL414" i="1"/>
  <c r="CL406" i="1"/>
  <c r="CL398" i="1"/>
  <c r="CL390" i="1"/>
  <c r="CL382" i="1"/>
  <c r="CL374" i="1"/>
  <c r="CL366" i="1"/>
  <c r="CL358" i="1"/>
  <c r="CL350" i="1"/>
  <c r="CL342" i="1"/>
  <c r="CL334" i="1"/>
  <c r="CL326" i="1"/>
  <c r="CL318" i="1"/>
  <c r="CL310" i="1"/>
  <c r="CL302" i="1"/>
  <c r="CL294" i="1"/>
  <c r="CL286" i="1"/>
  <c r="CL278" i="1"/>
  <c r="CL270" i="1"/>
  <c r="CL262" i="1"/>
  <c r="CL254" i="1"/>
  <c r="CL246" i="1"/>
  <c r="CL238" i="1"/>
  <c r="CL230" i="1"/>
  <c r="CL222" i="1"/>
  <c r="CL214" i="1"/>
  <c r="CL206" i="1"/>
  <c r="CL198" i="1"/>
  <c r="CL190" i="1"/>
  <c r="CL182" i="1"/>
  <c r="CL174" i="1"/>
  <c r="CL166" i="1"/>
  <c r="CL158" i="1"/>
  <c r="CL150" i="1"/>
  <c r="CL142" i="1"/>
  <c r="CL134" i="1"/>
  <c r="CL126" i="1"/>
  <c r="CL118" i="1"/>
  <c r="CL110" i="1"/>
  <c r="CL102" i="1"/>
  <c r="CL94" i="1"/>
  <c r="CL86" i="1"/>
  <c r="CL78" i="1"/>
  <c r="CL70" i="1"/>
  <c r="CL62" i="1"/>
  <c r="CL54" i="1"/>
  <c r="CL46" i="1"/>
  <c r="CL38" i="1"/>
  <c r="CL30" i="1"/>
  <c r="CL22" i="1"/>
  <c r="CL14" i="1"/>
  <c r="CL6" i="1"/>
  <c r="CK442" i="1"/>
  <c r="CK378" i="1"/>
  <c r="CK314" i="1"/>
  <c r="CK490" i="1"/>
  <c r="CK426" i="1"/>
  <c r="CK362" i="1"/>
  <c r="CK298" i="1"/>
  <c r="CK482" i="1"/>
  <c r="CK418" i="1"/>
  <c r="CK354" i="1"/>
  <c r="CK290" i="1"/>
  <c r="CK474" i="1"/>
  <c r="CK410" i="1"/>
  <c r="CK346" i="1"/>
  <c r="CK282" i="1"/>
  <c r="CK466" i="1"/>
  <c r="CK402" i="1"/>
  <c r="CK338" i="1"/>
  <c r="CK274" i="1"/>
  <c r="CK458" i="1"/>
  <c r="CK394" i="1"/>
  <c r="CK330" i="1"/>
  <c r="CJ40" i="1"/>
  <c r="CJ488" i="1"/>
  <c r="CJ352" i="1"/>
  <c r="CJ224" i="1"/>
  <c r="CJ96" i="1"/>
  <c r="CK501" i="1"/>
  <c r="CK493" i="1"/>
  <c r="CK485" i="1"/>
  <c r="CK477" i="1"/>
  <c r="CK469" i="1"/>
  <c r="CK461" i="1"/>
  <c r="CK453" i="1"/>
  <c r="CK445" i="1"/>
  <c r="CK437" i="1"/>
  <c r="CK429" i="1"/>
  <c r="CK421" i="1"/>
  <c r="CK413" i="1"/>
  <c r="CK405" i="1"/>
  <c r="CK397" i="1"/>
  <c r="CK389" i="1"/>
  <c r="CK381" i="1"/>
  <c r="CK373" i="1"/>
  <c r="CK365" i="1"/>
  <c r="CK357" i="1"/>
  <c r="CK349" i="1"/>
  <c r="CK341" i="1"/>
  <c r="CK333" i="1"/>
  <c r="CK325" i="1"/>
  <c r="CK317" i="1"/>
  <c r="CK309" i="1"/>
  <c r="CK301" i="1"/>
  <c r="CK293" i="1"/>
  <c r="CK285" i="1"/>
  <c r="CK277" i="1"/>
  <c r="CK269" i="1"/>
  <c r="CK261" i="1"/>
  <c r="CK253" i="1"/>
  <c r="CK245" i="1"/>
  <c r="CK237" i="1"/>
  <c r="CK229" i="1"/>
  <c r="CK221" i="1"/>
  <c r="CK213" i="1"/>
  <c r="CK205" i="1"/>
  <c r="CK197" i="1"/>
  <c r="CK189" i="1"/>
  <c r="CK181" i="1"/>
  <c r="CK173" i="1"/>
  <c r="CK165" i="1"/>
  <c r="CK157" i="1"/>
  <c r="CK149" i="1"/>
  <c r="CK141" i="1"/>
  <c r="CK133" i="1"/>
  <c r="CK125" i="1"/>
  <c r="CK117" i="1"/>
  <c r="CK109" i="1"/>
  <c r="CK101" i="1"/>
  <c r="CK93" i="1"/>
  <c r="CK85" i="1"/>
  <c r="CK77" i="1"/>
  <c r="CK69" i="1"/>
  <c r="CK61" i="1"/>
  <c r="CK53" i="1"/>
  <c r="CK45" i="1"/>
  <c r="CK37" i="1"/>
  <c r="CK29" i="1"/>
  <c r="CK21" i="1"/>
  <c r="CK13" i="1"/>
  <c r="CJ296" i="1"/>
  <c r="CJ392" i="1"/>
  <c r="CJ480" i="1"/>
  <c r="CJ328" i="1"/>
  <c r="CJ200" i="1"/>
  <c r="CJ72" i="1"/>
  <c r="CK500" i="1"/>
  <c r="CK492" i="1"/>
  <c r="CK484" i="1"/>
  <c r="CK476" i="1"/>
  <c r="CK468" i="1"/>
  <c r="CK460" i="1"/>
  <c r="CK452" i="1"/>
  <c r="CK444" i="1"/>
  <c r="CK436" i="1"/>
  <c r="CK428" i="1"/>
  <c r="CK420" i="1"/>
  <c r="CK412" i="1"/>
  <c r="CK404" i="1"/>
  <c r="CK396" i="1"/>
  <c r="CK388" i="1"/>
  <c r="CK380" i="1"/>
  <c r="CK372" i="1"/>
  <c r="CK364" i="1"/>
  <c r="CK356" i="1"/>
  <c r="CK348" i="1"/>
  <c r="CK340" i="1"/>
  <c r="CK332" i="1"/>
  <c r="CK324" i="1"/>
  <c r="CK316" i="1"/>
  <c r="CK308" i="1"/>
  <c r="CK300" i="1"/>
  <c r="CK292" i="1"/>
  <c r="CK284" i="1"/>
  <c r="CK276" i="1"/>
  <c r="CK268" i="1"/>
  <c r="CK260" i="1"/>
  <c r="CK252" i="1"/>
  <c r="CK244" i="1"/>
  <c r="CK236" i="1"/>
  <c r="CK228" i="1"/>
  <c r="CK220" i="1"/>
  <c r="CK212" i="1"/>
  <c r="CK204" i="1"/>
  <c r="CK196" i="1"/>
  <c r="CK188" i="1"/>
  <c r="CK180" i="1"/>
  <c r="CK172" i="1"/>
  <c r="CK164" i="1"/>
  <c r="CK156" i="1"/>
  <c r="CK148" i="1"/>
  <c r="CK140" i="1"/>
  <c r="CK132" i="1"/>
  <c r="CK124" i="1"/>
  <c r="CK116" i="1"/>
  <c r="CK108" i="1"/>
  <c r="CK100" i="1"/>
  <c r="CK92" i="1"/>
  <c r="CK84" i="1"/>
  <c r="CK76" i="1"/>
  <c r="CK68" i="1"/>
  <c r="CK60" i="1"/>
  <c r="CK52" i="1"/>
  <c r="CK44" i="1"/>
  <c r="CK36" i="1"/>
  <c r="CK28" i="1"/>
  <c r="CK20" i="1"/>
  <c r="CK12" i="1"/>
  <c r="CJ168" i="1"/>
  <c r="CF391" i="1"/>
  <c r="CJ456" i="1"/>
  <c r="CJ320" i="1"/>
  <c r="CJ192" i="1"/>
  <c r="CJ64" i="1"/>
  <c r="CK499" i="1"/>
  <c r="CK491" i="1"/>
  <c r="CK483" i="1"/>
  <c r="CK475" i="1"/>
  <c r="CK467" i="1"/>
  <c r="CK459" i="1"/>
  <c r="CK451" i="1"/>
  <c r="CK443" i="1"/>
  <c r="CK435" i="1"/>
  <c r="CK427" i="1"/>
  <c r="CK419" i="1"/>
  <c r="CK411" i="1"/>
  <c r="CK403" i="1"/>
  <c r="CK395" i="1"/>
  <c r="CK387" i="1"/>
  <c r="CK379" i="1"/>
  <c r="CK371" i="1"/>
  <c r="CK363" i="1"/>
  <c r="CK355" i="1"/>
  <c r="CK339" i="1"/>
  <c r="CK323" i="1"/>
  <c r="CK315" i="1"/>
  <c r="CK307" i="1"/>
  <c r="CK299" i="1"/>
  <c r="CK291" i="1"/>
  <c r="CK283" i="1"/>
  <c r="CK275" i="1"/>
  <c r="CK267" i="1"/>
  <c r="CK259" i="1"/>
  <c r="CK251" i="1"/>
  <c r="CK243" i="1"/>
  <c r="CK235" i="1"/>
  <c r="CK227" i="1"/>
  <c r="CK219" i="1"/>
  <c r="CK211" i="1"/>
  <c r="CK203" i="1"/>
  <c r="CK195" i="1"/>
  <c r="CK187" i="1"/>
  <c r="CK179" i="1"/>
  <c r="CK171" i="1"/>
  <c r="CK163" i="1"/>
  <c r="CK155" i="1"/>
  <c r="CK147" i="1"/>
  <c r="CK139" i="1"/>
  <c r="CK131" i="1"/>
  <c r="CK123" i="1"/>
  <c r="CK115" i="1"/>
  <c r="CK107" i="1"/>
  <c r="CK99" i="1"/>
  <c r="CK91" i="1"/>
  <c r="CK83" i="1"/>
  <c r="CK75" i="1"/>
  <c r="CK67" i="1"/>
  <c r="CK59" i="1"/>
  <c r="CK51" i="1"/>
  <c r="CK43" i="1"/>
  <c r="CK35" i="1"/>
  <c r="CK27" i="1"/>
  <c r="CK19" i="1"/>
  <c r="CK11" i="1"/>
  <c r="CK266" i="1"/>
  <c r="CK258" i="1"/>
  <c r="CK250" i="1"/>
  <c r="CK242" i="1"/>
  <c r="CK234" i="1"/>
  <c r="CK226" i="1"/>
  <c r="CK218" i="1"/>
  <c r="CK210" i="1"/>
  <c r="CK202" i="1"/>
  <c r="CK194" i="1"/>
  <c r="CK186" i="1"/>
  <c r="CK178" i="1"/>
  <c r="CK170" i="1"/>
  <c r="CK162" i="1"/>
  <c r="CK154" i="1"/>
  <c r="CK146" i="1"/>
  <c r="CK138" i="1"/>
  <c r="CK130" i="1"/>
  <c r="CK122" i="1"/>
  <c r="CK114" i="1"/>
  <c r="CK106" i="1"/>
  <c r="CK98" i="1"/>
  <c r="CK90" i="1"/>
  <c r="CK82" i="1"/>
  <c r="CK74" i="1"/>
  <c r="CK66" i="1"/>
  <c r="CK58" i="1"/>
  <c r="CK50" i="1"/>
  <c r="CK42" i="1"/>
  <c r="CK34" i="1"/>
  <c r="CK26" i="1"/>
  <c r="CK18" i="1"/>
  <c r="CK10" i="1"/>
  <c r="CJ424" i="1"/>
  <c r="CJ288" i="1"/>
  <c r="CJ160" i="1"/>
  <c r="CJ32" i="1"/>
  <c r="CK497" i="1"/>
  <c r="CK489" i="1"/>
  <c r="CK481" i="1"/>
  <c r="CK473" i="1"/>
  <c r="CK465" i="1"/>
  <c r="CK457" i="1"/>
  <c r="CK449" i="1"/>
  <c r="CK441" i="1"/>
  <c r="CK433" i="1"/>
  <c r="CK425" i="1"/>
  <c r="CK417" i="1"/>
  <c r="CK409" i="1"/>
  <c r="CK401" i="1"/>
  <c r="CK393" i="1"/>
  <c r="CK385" i="1"/>
  <c r="CK377" i="1"/>
  <c r="CK369" i="1"/>
  <c r="CK361" i="1"/>
  <c r="CK353" i="1"/>
  <c r="CK345" i="1"/>
  <c r="CK337" i="1"/>
  <c r="CK329" i="1"/>
  <c r="CK321" i="1"/>
  <c r="CK313" i="1"/>
  <c r="CK305" i="1"/>
  <c r="CK297" i="1"/>
  <c r="CK289" i="1"/>
  <c r="CK281" i="1"/>
  <c r="CK273" i="1"/>
  <c r="CK265" i="1"/>
  <c r="CK257" i="1"/>
  <c r="CK249" i="1"/>
  <c r="CK241" i="1"/>
  <c r="CK233" i="1"/>
  <c r="CK225" i="1"/>
  <c r="CK217" i="1"/>
  <c r="CK209" i="1"/>
  <c r="CK201" i="1"/>
  <c r="CK193" i="1"/>
  <c r="CK185" i="1"/>
  <c r="CK177" i="1"/>
  <c r="CK169" i="1"/>
  <c r="CK161" i="1"/>
  <c r="CK153" i="1"/>
  <c r="CK145" i="1"/>
  <c r="CK137" i="1"/>
  <c r="CK129" i="1"/>
  <c r="CK121" i="1"/>
  <c r="CK113" i="1"/>
  <c r="CK105" i="1"/>
  <c r="CK97" i="1"/>
  <c r="CK89" i="1"/>
  <c r="CK81" i="1"/>
  <c r="CK73" i="1"/>
  <c r="CK65" i="1"/>
  <c r="CK57" i="1"/>
  <c r="CK49" i="1"/>
  <c r="CK41" i="1"/>
  <c r="CK33" i="1"/>
  <c r="CK25" i="1"/>
  <c r="CK17" i="1"/>
  <c r="CK9" i="1"/>
  <c r="CJ416" i="1"/>
  <c r="CJ264" i="1"/>
  <c r="CJ136" i="1"/>
  <c r="CK504" i="1"/>
  <c r="CK496" i="1"/>
  <c r="CK488" i="1"/>
  <c r="CK480" i="1"/>
  <c r="CK472" i="1"/>
  <c r="CK464" i="1"/>
  <c r="CK456" i="1"/>
  <c r="CK448" i="1"/>
  <c r="CK440" i="1"/>
  <c r="CK432" i="1"/>
  <c r="CK416" i="1"/>
  <c r="CK408" i="1"/>
  <c r="CK400" i="1"/>
  <c r="CK392" i="1"/>
  <c r="CK384" i="1"/>
  <c r="CK376" i="1"/>
  <c r="CK368" i="1"/>
  <c r="CK360" i="1"/>
  <c r="CK352" i="1"/>
  <c r="CK344" i="1"/>
  <c r="CK336" i="1"/>
  <c r="CK328" i="1"/>
  <c r="CK320" i="1"/>
  <c r="CK312" i="1"/>
  <c r="CK304" i="1"/>
  <c r="CK296" i="1"/>
  <c r="CK288" i="1"/>
  <c r="CK280" i="1"/>
  <c r="CK272" i="1"/>
  <c r="CK264" i="1"/>
  <c r="CK256" i="1"/>
  <c r="CK248" i="1"/>
  <c r="CK240" i="1"/>
  <c r="CK232" i="1"/>
  <c r="CK224" i="1"/>
  <c r="CK216" i="1"/>
  <c r="CK208" i="1"/>
  <c r="CK200" i="1"/>
  <c r="CK192" i="1"/>
  <c r="CK184" i="1"/>
  <c r="CK176" i="1"/>
  <c r="CK168" i="1"/>
  <c r="CK160" i="1"/>
  <c r="CK152" i="1"/>
  <c r="CK144" i="1"/>
  <c r="CK136" i="1"/>
  <c r="CK128" i="1"/>
  <c r="CK120" i="1"/>
  <c r="CK112" i="1"/>
  <c r="CK104" i="1"/>
  <c r="CK96" i="1"/>
  <c r="CK88" i="1"/>
  <c r="CK80" i="1"/>
  <c r="CK72" i="1"/>
  <c r="CK64" i="1"/>
  <c r="CK56" i="1"/>
  <c r="CK48" i="1"/>
  <c r="CK40" i="1"/>
  <c r="CK32" i="1"/>
  <c r="CK24" i="1"/>
  <c r="CK16" i="1"/>
  <c r="CK8" i="1"/>
  <c r="CJ448" i="1"/>
  <c r="CI331" i="1"/>
  <c r="CJ384" i="1"/>
  <c r="CJ256" i="1"/>
  <c r="CJ128" i="1"/>
  <c r="CK503" i="1"/>
  <c r="CK495" i="1"/>
  <c r="CK487" i="1"/>
  <c r="CK479" i="1"/>
  <c r="CK471" i="1"/>
  <c r="CK463" i="1"/>
  <c r="CK455" i="1"/>
  <c r="CK447" i="1"/>
  <c r="CK439" i="1"/>
  <c r="CK431" i="1"/>
  <c r="CK423" i="1"/>
  <c r="CK415" i="1"/>
  <c r="CK407" i="1"/>
  <c r="CK399" i="1"/>
  <c r="CK391" i="1"/>
  <c r="CK383" i="1"/>
  <c r="CK375" i="1"/>
  <c r="CK367" i="1"/>
  <c r="CK359" i="1"/>
  <c r="CK351" i="1"/>
  <c r="CK343" i="1"/>
  <c r="CK335" i="1"/>
  <c r="CK327" i="1"/>
  <c r="CK319" i="1"/>
  <c r="CK311" i="1"/>
  <c r="CK303" i="1"/>
  <c r="CK295" i="1"/>
  <c r="CK287" i="1"/>
  <c r="CK279" i="1"/>
  <c r="CK271" i="1"/>
  <c r="CK263" i="1"/>
  <c r="CK255" i="1"/>
  <c r="CK247" i="1"/>
  <c r="CK239" i="1"/>
  <c r="CK231" i="1"/>
  <c r="CK223" i="1"/>
  <c r="CK215" i="1"/>
  <c r="CK207" i="1"/>
  <c r="CK199" i="1"/>
  <c r="CK191" i="1"/>
  <c r="CK183" i="1"/>
  <c r="CK175" i="1"/>
  <c r="CK167" i="1"/>
  <c r="CK159" i="1"/>
  <c r="CK151" i="1"/>
  <c r="CK143" i="1"/>
  <c r="CK135" i="1"/>
  <c r="CK127" i="1"/>
  <c r="CK119" i="1"/>
  <c r="CK111" i="1"/>
  <c r="CK103" i="1"/>
  <c r="CK95" i="1"/>
  <c r="CK87" i="1"/>
  <c r="CK79" i="1"/>
  <c r="CK71" i="1"/>
  <c r="CK63" i="1"/>
  <c r="CK55" i="1"/>
  <c r="CK47" i="1"/>
  <c r="CK39" i="1"/>
  <c r="CK31" i="1"/>
  <c r="CK23" i="1"/>
  <c r="CK15" i="1"/>
  <c r="CK7" i="1"/>
  <c r="CJ360" i="1"/>
  <c r="CJ232" i="1"/>
  <c r="CJ104" i="1"/>
  <c r="CK502" i="1"/>
  <c r="CK494" i="1"/>
  <c r="CK486" i="1"/>
  <c r="CK478" i="1"/>
  <c r="CK470" i="1"/>
  <c r="CK462" i="1"/>
  <c r="CK454" i="1"/>
  <c r="CK446" i="1"/>
  <c r="CK438" i="1"/>
  <c r="CK430" i="1"/>
  <c r="CK422" i="1"/>
  <c r="CK414" i="1"/>
  <c r="CK406" i="1"/>
  <c r="CK398" i="1"/>
  <c r="CK390" i="1"/>
  <c r="CK382" i="1"/>
  <c r="CK374" i="1"/>
  <c r="CK366" i="1"/>
  <c r="CK358" i="1"/>
  <c r="CK350" i="1"/>
  <c r="CK342" i="1"/>
  <c r="CK334" i="1"/>
  <c r="CK318" i="1"/>
  <c r="CK310" i="1"/>
  <c r="CK302" i="1"/>
  <c r="CK294" i="1"/>
  <c r="CK286" i="1"/>
  <c r="CK278" i="1"/>
  <c r="CK270" i="1"/>
  <c r="CK262" i="1"/>
  <c r="CK254" i="1"/>
  <c r="CK246" i="1"/>
  <c r="CK238" i="1"/>
  <c r="CK230" i="1"/>
  <c r="CK222" i="1"/>
  <c r="CK214" i="1"/>
  <c r="CK206" i="1"/>
  <c r="CK198" i="1"/>
  <c r="CK190" i="1"/>
  <c r="CK182" i="1"/>
  <c r="CK174" i="1"/>
  <c r="CK166" i="1"/>
  <c r="CK158" i="1"/>
  <c r="CK150" i="1"/>
  <c r="CK142" i="1"/>
  <c r="CK134" i="1"/>
  <c r="CK126" i="1"/>
  <c r="CK118" i="1"/>
  <c r="CK110" i="1"/>
  <c r="CK102" i="1"/>
  <c r="CK86" i="1"/>
  <c r="CK78" i="1"/>
  <c r="CK70" i="1"/>
  <c r="CK62" i="1"/>
  <c r="CK46" i="1"/>
  <c r="CK38" i="1"/>
  <c r="CK30" i="1"/>
  <c r="CK22" i="1"/>
  <c r="CK14" i="1"/>
  <c r="CK6" i="1"/>
  <c r="CJ474" i="1"/>
  <c r="CJ442" i="1"/>
  <c r="CJ410" i="1"/>
  <c r="CJ378" i="1"/>
  <c r="CJ346" i="1"/>
  <c r="CJ314" i="1"/>
  <c r="CJ282" i="1"/>
  <c r="CJ250" i="1"/>
  <c r="CJ218" i="1"/>
  <c r="CJ186" i="1"/>
  <c r="CJ154" i="1"/>
  <c r="CJ122" i="1"/>
  <c r="CJ90" i="1"/>
  <c r="CJ58" i="1"/>
  <c r="CJ26" i="1"/>
  <c r="CH347" i="1"/>
  <c r="CJ472" i="1"/>
  <c r="CJ440" i="1"/>
  <c r="CJ408" i="1"/>
  <c r="CJ376" i="1"/>
  <c r="CJ344" i="1"/>
  <c r="CJ312" i="1"/>
  <c r="CJ280" i="1"/>
  <c r="CJ248" i="1"/>
  <c r="CJ184" i="1"/>
  <c r="CJ152" i="1"/>
  <c r="CJ120" i="1"/>
  <c r="CJ88" i="1"/>
  <c r="CJ56" i="1"/>
  <c r="CJ24" i="1"/>
  <c r="CJ466" i="1"/>
  <c r="CJ434" i="1"/>
  <c r="CJ402" i="1"/>
  <c r="CJ370" i="1"/>
  <c r="CJ338" i="1"/>
  <c r="CJ306" i="1"/>
  <c r="CJ274" i="1"/>
  <c r="CJ242" i="1"/>
  <c r="CJ210" i="1"/>
  <c r="CJ178" i="1"/>
  <c r="CJ146" i="1"/>
  <c r="CJ114" i="1"/>
  <c r="CJ82" i="1"/>
  <c r="CJ50" i="1"/>
  <c r="CJ18" i="1"/>
  <c r="CJ504" i="1"/>
  <c r="CJ464" i="1"/>
  <c r="CJ400" i="1"/>
  <c r="CJ368" i="1"/>
  <c r="CJ336" i="1"/>
  <c r="CJ304" i="1"/>
  <c r="CJ272" i="1"/>
  <c r="CJ240" i="1"/>
  <c r="CJ208" i="1"/>
  <c r="CJ176" i="1"/>
  <c r="CJ144" i="1"/>
  <c r="CJ112" i="1"/>
  <c r="CJ80" i="1"/>
  <c r="CJ48" i="1"/>
  <c r="CJ16" i="1"/>
  <c r="CH326" i="1"/>
  <c r="CI94" i="1"/>
  <c r="CI54" i="1"/>
  <c r="CJ496" i="1"/>
  <c r="CJ458" i="1"/>
  <c r="CJ426" i="1"/>
  <c r="CJ394" i="1"/>
  <c r="CJ362" i="1"/>
  <c r="CJ330" i="1"/>
  <c r="CJ298" i="1"/>
  <c r="CJ266" i="1"/>
  <c r="CJ234" i="1"/>
  <c r="CJ202" i="1"/>
  <c r="CJ170" i="1"/>
  <c r="CJ138" i="1"/>
  <c r="CJ106" i="1"/>
  <c r="CJ74" i="1"/>
  <c r="CJ42" i="1"/>
  <c r="CJ10" i="1"/>
  <c r="CJ8" i="1"/>
  <c r="CH432" i="1"/>
  <c r="CH424" i="1"/>
  <c r="CH216" i="1"/>
  <c r="CJ482" i="1"/>
  <c r="CJ450" i="1"/>
  <c r="CJ418" i="1"/>
  <c r="CJ386" i="1"/>
  <c r="CJ354" i="1"/>
  <c r="CJ322" i="1"/>
  <c r="CJ290" i="1"/>
  <c r="CJ258" i="1"/>
  <c r="CJ226" i="1"/>
  <c r="CJ194" i="1"/>
  <c r="CJ162" i="1"/>
  <c r="CJ130" i="1"/>
  <c r="CJ98" i="1"/>
  <c r="CJ66" i="1"/>
  <c r="CJ34" i="1"/>
  <c r="CJ498" i="1"/>
  <c r="CJ501" i="1"/>
  <c r="CJ493" i="1"/>
  <c r="CJ485" i="1"/>
  <c r="CJ477" i="1"/>
  <c r="CJ469" i="1"/>
  <c r="CJ461" i="1"/>
  <c r="CJ453" i="1"/>
  <c r="CJ445" i="1"/>
  <c r="CJ437" i="1"/>
  <c r="CJ429" i="1"/>
  <c r="CJ421" i="1"/>
  <c r="CJ413" i="1"/>
  <c r="CJ405" i="1"/>
  <c r="CJ397" i="1"/>
  <c r="CJ389" i="1"/>
  <c r="CJ381" i="1"/>
  <c r="CJ373" i="1"/>
  <c r="CJ365" i="1"/>
  <c r="CJ357" i="1"/>
  <c r="CJ349" i="1"/>
  <c r="CJ341" i="1"/>
  <c r="CJ333" i="1"/>
  <c r="CJ325" i="1"/>
  <c r="CJ317" i="1"/>
  <c r="CJ309" i="1"/>
  <c r="CJ301" i="1"/>
  <c r="CJ293" i="1"/>
  <c r="CJ285" i="1"/>
  <c r="CJ277" i="1"/>
  <c r="CJ269" i="1"/>
  <c r="CJ261" i="1"/>
  <c r="CJ253" i="1"/>
  <c r="CJ245" i="1"/>
  <c r="CJ237" i="1"/>
  <c r="CJ229" i="1"/>
  <c r="CJ221" i="1"/>
  <c r="CJ213" i="1"/>
  <c r="CJ205" i="1"/>
  <c r="CJ197" i="1"/>
  <c r="CJ189" i="1"/>
  <c r="CJ181" i="1"/>
  <c r="CJ173" i="1"/>
  <c r="CJ165" i="1"/>
  <c r="CJ157" i="1"/>
  <c r="CJ149" i="1"/>
  <c r="CJ141" i="1"/>
  <c r="CJ133" i="1"/>
  <c r="CJ125" i="1"/>
  <c r="CJ117" i="1"/>
  <c r="CJ109" i="1"/>
  <c r="CJ101" i="1"/>
  <c r="CJ93" i="1"/>
  <c r="CJ85" i="1"/>
  <c r="CJ77" i="1"/>
  <c r="CJ69" i="1"/>
  <c r="CJ61" i="1"/>
  <c r="CJ53" i="1"/>
  <c r="CJ45" i="1"/>
  <c r="CJ37" i="1"/>
  <c r="CJ29" i="1"/>
  <c r="CJ21" i="1"/>
  <c r="CJ13" i="1"/>
  <c r="CJ500" i="1"/>
  <c r="CJ492" i="1"/>
  <c r="CJ484" i="1"/>
  <c r="CJ476" i="1"/>
  <c r="CJ468" i="1"/>
  <c r="CJ460" i="1"/>
  <c r="CJ452" i="1"/>
  <c r="CJ444" i="1"/>
  <c r="CJ436" i="1"/>
  <c r="CJ428" i="1"/>
  <c r="CJ420" i="1"/>
  <c r="CJ412" i="1"/>
  <c r="CJ404" i="1"/>
  <c r="CJ396" i="1"/>
  <c r="CJ388" i="1"/>
  <c r="CJ380" i="1"/>
  <c r="CJ372" i="1"/>
  <c r="CJ364" i="1"/>
  <c r="CJ356" i="1"/>
  <c r="CJ348" i="1"/>
  <c r="CJ340" i="1"/>
  <c r="CJ332" i="1"/>
  <c r="CJ324" i="1"/>
  <c r="CJ316" i="1"/>
  <c r="CJ308" i="1"/>
  <c r="CJ300" i="1"/>
  <c r="CJ292" i="1"/>
  <c r="CJ284" i="1"/>
  <c r="CJ276" i="1"/>
  <c r="CJ268" i="1"/>
  <c r="CJ260" i="1"/>
  <c r="CJ252" i="1"/>
  <c r="CJ244" i="1"/>
  <c r="CJ236" i="1"/>
  <c r="CJ228" i="1"/>
  <c r="CJ220" i="1"/>
  <c r="CJ212" i="1"/>
  <c r="CJ204" i="1"/>
  <c r="CJ196" i="1"/>
  <c r="CJ180" i="1"/>
  <c r="CJ172" i="1"/>
  <c r="CJ164" i="1"/>
  <c r="CJ156" i="1"/>
  <c r="CJ148" i="1"/>
  <c r="CJ140" i="1"/>
  <c r="CJ132" i="1"/>
  <c r="CJ124" i="1"/>
  <c r="CJ116" i="1"/>
  <c r="CJ108" i="1"/>
  <c r="CJ100" i="1"/>
  <c r="CJ92" i="1"/>
  <c r="CJ84" i="1"/>
  <c r="CJ76" i="1"/>
  <c r="CJ68" i="1"/>
  <c r="CJ60" i="1"/>
  <c r="CJ52" i="1"/>
  <c r="CJ44" i="1"/>
  <c r="CJ28" i="1"/>
  <c r="CJ20" i="1"/>
  <c r="CJ12" i="1"/>
  <c r="CJ499" i="1"/>
  <c r="CJ491" i="1"/>
  <c r="CJ483" i="1"/>
  <c r="CJ475" i="1"/>
  <c r="CJ467" i="1"/>
  <c r="CJ459" i="1"/>
  <c r="CJ451" i="1"/>
  <c r="CJ443" i="1"/>
  <c r="CJ435" i="1"/>
  <c r="CJ427" i="1"/>
  <c r="CJ419" i="1"/>
  <c r="CJ411" i="1"/>
  <c r="CJ403" i="1"/>
  <c r="CJ395" i="1"/>
  <c r="CJ387" i="1"/>
  <c r="CJ379" i="1"/>
  <c r="CJ371" i="1"/>
  <c r="CJ363" i="1"/>
  <c r="CJ355" i="1"/>
  <c r="CJ347" i="1"/>
  <c r="CJ339" i="1"/>
  <c r="CJ331" i="1"/>
  <c r="CJ323" i="1"/>
  <c r="CJ315" i="1"/>
  <c r="CJ307" i="1"/>
  <c r="CJ299" i="1"/>
  <c r="CJ291" i="1"/>
  <c r="CJ283" i="1"/>
  <c r="CJ275" i="1"/>
  <c r="CJ267" i="1"/>
  <c r="CJ259" i="1"/>
  <c r="CJ251" i="1"/>
  <c r="CJ243" i="1"/>
  <c r="CJ235" i="1"/>
  <c r="CJ227" i="1"/>
  <c r="CJ219" i="1"/>
  <c r="CJ211" i="1"/>
  <c r="CJ203" i="1"/>
  <c r="CJ195" i="1"/>
  <c r="CJ187" i="1"/>
  <c r="CJ179" i="1"/>
  <c r="CJ171" i="1"/>
  <c r="CJ163" i="1"/>
  <c r="CJ155" i="1"/>
  <c r="CJ147" i="1"/>
  <c r="CJ139" i="1"/>
  <c r="CJ131" i="1"/>
  <c r="CJ123" i="1"/>
  <c r="CJ115" i="1"/>
  <c r="CJ107" i="1"/>
  <c r="CJ99" i="1"/>
  <c r="CJ91" i="1"/>
  <c r="CJ83" i="1"/>
  <c r="CJ75" i="1"/>
  <c r="CJ67" i="1"/>
  <c r="CJ59" i="1"/>
  <c r="CJ51" i="1"/>
  <c r="CJ43" i="1"/>
  <c r="CJ35" i="1"/>
  <c r="CJ27" i="1"/>
  <c r="CJ19" i="1"/>
  <c r="CJ11" i="1"/>
  <c r="CF36" i="1"/>
  <c r="CJ497" i="1"/>
  <c r="CJ489" i="1"/>
  <c r="CJ481" i="1"/>
  <c r="CJ473" i="1"/>
  <c r="CJ465" i="1"/>
  <c r="CJ457" i="1"/>
  <c r="CJ449" i="1"/>
  <c r="CJ441" i="1"/>
  <c r="CJ433" i="1"/>
  <c r="CJ425" i="1"/>
  <c r="CJ417" i="1"/>
  <c r="CJ409" i="1"/>
  <c r="CJ401" i="1"/>
  <c r="CJ393" i="1"/>
  <c r="CJ385" i="1"/>
  <c r="CJ377" i="1"/>
  <c r="CJ369" i="1"/>
  <c r="CJ361" i="1"/>
  <c r="CJ353" i="1"/>
  <c r="CJ345" i="1"/>
  <c r="CJ337" i="1"/>
  <c r="CJ329" i="1"/>
  <c r="CJ321" i="1"/>
  <c r="CJ313" i="1"/>
  <c r="CJ305" i="1"/>
  <c r="CJ297" i="1"/>
  <c r="CJ289" i="1"/>
  <c r="CJ281" i="1"/>
  <c r="CJ273" i="1"/>
  <c r="CJ265" i="1"/>
  <c r="CJ257" i="1"/>
  <c r="CJ249" i="1"/>
  <c r="CJ241" i="1"/>
  <c r="CJ233" i="1"/>
  <c r="CJ225" i="1"/>
  <c r="CJ217" i="1"/>
  <c r="CJ209" i="1"/>
  <c r="CJ201" i="1"/>
  <c r="CJ193" i="1"/>
  <c r="CJ185" i="1"/>
  <c r="CJ177" i="1"/>
  <c r="CJ169" i="1"/>
  <c r="CJ161" i="1"/>
  <c r="CJ153" i="1"/>
  <c r="CJ145" i="1"/>
  <c r="CJ137" i="1"/>
  <c r="CJ129" i="1"/>
  <c r="CJ121" i="1"/>
  <c r="CJ113" i="1"/>
  <c r="CJ105" i="1"/>
  <c r="CJ97" i="1"/>
  <c r="CJ89" i="1"/>
  <c r="CJ81" i="1"/>
  <c r="CJ73" i="1"/>
  <c r="CJ65" i="1"/>
  <c r="CJ57" i="1"/>
  <c r="CJ49" i="1"/>
  <c r="CJ41" i="1"/>
  <c r="CJ33" i="1"/>
  <c r="CJ25" i="1"/>
  <c r="CJ17" i="1"/>
  <c r="CJ9" i="1"/>
  <c r="CJ503" i="1"/>
  <c r="CJ495" i="1"/>
  <c r="CJ487" i="1"/>
  <c r="CJ479" i="1"/>
  <c r="CJ471" i="1"/>
  <c r="CJ463" i="1"/>
  <c r="CJ455" i="1"/>
  <c r="CJ447" i="1"/>
  <c r="CJ439" i="1"/>
  <c r="CJ431" i="1"/>
  <c r="CJ423" i="1"/>
  <c r="CJ415" i="1"/>
  <c r="CJ407" i="1"/>
  <c r="CJ399" i="1"/>
  <c r="CJ391" i="1"/>
  <c r="CJ383" i="1"/>
  <c r="CJ375" i="1"/>
  <c r="CJ367" i="1"/>
  <c r="CJ359" i="1"/>
  <c r="CJ351" i="1"/>
  <c r="CJ343" i="1"/>
  <c r="CJ335" i="1"/>
  <c r="CJ327" i="1"/>
  <c r="CJ319" i="1"/>
  <c r="CJ311" i="1"/>
  <c r="CJ303" i="1"/>
  <c r="CJ295" i="1"/>
  <c r="CJ287" i="1"/>
  <c r="CJ279" i="1"/>
  <c r="CJ271" i="1"/>
  <c r="CJ263" i="1"/>
  <c r="CJ255" i="1"/>
  <c r="CJ247" i="1"/>
  <c r="CJ239" i="1"/>
  <c r="CJ231" i="1"/>
  <c r="CJ223" i="1"/>
  <c r="CJ215" i="1"/>
  <c r="CJ207" i="1"/>
  <c r="CJ199" i="1"/>
  <c r="CJ191" i="1"/>
  <c r="CJ183" i="1"/>
  <c r="CJ175" i="1"/>
  <c r="CJ167" i="1"/>
  <c r="CJ159" i="1"/>
  <c r="CJ151" i="1"/>
  <c r="CJ143" i="1"/>
  <c r="CJ135" i="1"/>
  <c r="CJ127" i="1"/>
  <c r="CJ119" i="1"/>
  <c r="CJ111" i="1"/>
  <c r="CJ103" i="1"/>
  <c r="CJ95" i="1"/>
  <c r="CJ87" i="1"/>
  <c r="CJ79" i="1"/>
  <c r="CJ71" i="1"/>
  <c r="CJ63" i="1"/>
  <c r="CJ55" i="1"/>
  <c r="CJ47" i="1"/>
  <c r="CJ31" i="1"/>
  <c r="CJ15" i="1"/>
  <c r="CJ7" i="1"/>
  <c r="CJ490" i="1"/>
  <c r="BY39" i="1"/>
  <c r="BV23" i="1"/>
  <c r="CJ502" i="1"/>
  <c r="CJ494" i="1"/>
  <c r="CJ478" i="1"/>
  <c r="CJ470" i="1"/>
  <c r="CJ462" i="1"/>
  <c r="CJ454" i="1"/>
  <c r="CJ446" i="1"/>
  <c r="CJ438" i="1"/>
  <c r="CJ430" i="1"/>
  <c r="CJ422" i="1"/>
  <c r="CJ414" i="1"/>
  <c r="CJ406" i="1"/>
  <c r="CJ398" i="1"/>
  <c r="CJ390" i="1"/>
  <c r="CJ382" i="1"/>
  <c r="CJ374" i="1"/>
  <c r="CJ366" i="1"/>
  <c r="CJ358" i="1"/>
  <c r="CJ350" i="1"/>
  <c r="CJ334" i="1"/>
  <c r="CJ326" i="1"/>
  <c r="CJ318" i="1"/>
  <c r="CJ310" i="1"/>
  <c r="CJ302" i="1"/>
  <c r="CJ294" i="1"/>
  <c r="CJ286" i="1"/>
  <c r="CJ278" i="1"/>
  <c r="CJ270" i="1"/>
  <c r="CJ262" i="1"/>
  <c r="CJ254" i="1"/>
  <c r="CJ246" i="1"/>
  <c r="CJ238" i="1"/>
  <c r="CJ230" i="1"/>
  <c r="CJ222" i="1"/>
  <c r="CJ214" i="1"/>
  <c r="CJ206" i="1"/>
  <c r="CJ198" i="1"/>
  <c r="CJ190" i="1"/>
  <c r="CJ182" i="1"/>
  <c r="CJ174" i="1"/>
  <c r="CJ166" i="1"/>
  <c r="CJ158" i="1"/>
  <c r="CJ150" i="1"/>
  <c r="CJ142" i="1"/>
  <c r="CJ134" i="1"/>
  <c r="CJ126" i="1"/>
  <c r="CJ118" i="1"/>
  <c r="CJ110" i="1"/>
  <c r="CJ102" i="1"/>
  <c r="CJ94" i="1"/>
  <c r="CJ86" i="1"/>
  <c r="CJ78" i="1"/>
  <c r="CJ70" i="1"/>
  <c r="CJ62" i="1"/>
  <c r="CJ54" i="1"/>
  <c r="CJ46" i="1"/>
  <c r="CJ38" i="1"/>
  <c r="CJ30" i="1"/>
  <c r="CJ22" i="1"/>
  <c r="CJ14" i="1"/>
  <c r="CJ6" i="1"/>
  <c r="CD188" i="1"/>
  <c r="CH486" i="1"/>
  <c r="CH342" i="1"/>
  <c r="CH165" i="1"/>
  <c r="CI501" i="1"/>
  <c r="CI493" i="1"/>
  <c r="CI485" i="1"/>
  <c r="CI477" i="1"/>
  <c r="CI469" i="1"/>
  <c r="CI461" i="1"/>
  <c r="CI453" i="1"/>
  <c r="CI445" i="1"/>
  <c r="CI437" i="1"/>
  <c r="CI429" i="1"/>
  <c r="CI421" i="1"/>
  <c r="CI413" i="1"/>
  <c r="CI405" i="1"/>
  <c r="CI397" i="1"/>
  <c r="CI389" i="1"/>
  <c r="CI373" i="1"/>
  <c r="CI365" i="1"/>
  <c r="CI357" i="1"/>
  <c r="CI349" i="1"/>
  <c r="CI341" i="1"/>
  <c r="CI333" i="1"/>
  <c r="CI325" i="1"/>
  <c r="CI317" i="1"/>
  <c r="CI309" i="1"/>
  <c r="CI301" i="1"/>
  <c r="CI293" i="1"/>
  <c r="CI285" i="1"/>
  <c r="CI277" i="1"/>
  <c r="CI269" i="1"/>
  <c r="CI261" i="1"/>
  <c r="CI253" i="1"/>
  <c r="CI245" i="1"/>
  <c r="CI237" i="1"/>
  <c r="CI229" i="1"/>
  <c r="CI221" i="1"/>
  <c r="CI213" i="1"/>
  <c r="CI205" i="1"/>
  <c r="CI197" i="1"/>
  <c r="CI189" i="1"/>
  <c r="CI181" i="1"/>
  <c r="CI173" i="1"/>
  <c r="CI165" i="1"/>
  <c r="CI157" i="1"/>
  <c r="CI149" i="1"/>
  <c r="CI141" i="1"/>
  <c r="CI133" i="1"/>
  <c r="CI125" i="1"/>
  <c r="CI117" i="1"/>
  <c r="CI109" i="1"/>
  <c r="CI101" i="1"/>
  <c r="CI93" i="1"/>
  <c r="CI85" i="1"/>
  <c r="CI77" i="1"/>
  <c r="CI69" i="1"/>
  <c r="CI61" i="1"/>
  <c r="CI53" i="1"/>
  <c r="CI45" i="1"/>
  <c r="CI37" i="1"/>
  <c r="CI29" i="1"/>
  <c r="CI21" i="1"/>
  <c r="CI13" i="1"/>
  <c r="CH133" i="1"/>
  <c r="CI500" i="1"/>
  <c r="CI492" i="1"/>
  <c r="CI484" i="1"/>
  <c r="CI476" i="1"/>
  <c r="CI468" i="1"/>
  <c r="CI460" i="1"/>
  <c r="CI452" i="1"/>
  <c r="CI444" i="1"/>
  <c r="CI436" i="1"/>
  <c r="CI428" i="1"/>
  <c r="CI420" i="1"/>
  <c r="CI412" i="1"/>
  <c r="CI404" i="1"/>
  <c r="CI396" i="1"/>
  <c r="CI388" i="1"/>
  <c r="CI380" i="1"/>
  <c r="CI372" i="1"/>
  <c r="CI364" i="1"/>
  <c r="CI356" i="1"/>
  <c r="CI348" i="1"/>
  <c r="CI340" i="1"/>
  <c r="CI332" i="1"/>
  <c r="CI324" i="1"/>
  <c r="CI316" i="1"/>
  <c r="CI308" i="1"/>
  <c r="CI300" i="1"/>
  <c r="CI292" i="1"/>
  <c r="CI284" i="1"/>
  <c r="CI276" i="1"/>
  <c r="CI268" i="1"/>
  <c r="CI260" i="1"/>
  <c r="CI252" i="1"/>
  <c r="CI244" i="1"/>
  <c r="CI236" i="1"/>
  <c r="CI228" i="1"/>
  <c r="CI220" i="1"/>
  <c r="CI212" i="1"/>
  <c r="CI204" i="1"/>
  <c r="CI196" i="1"/>
  <c r="CI188" i="1"/>
  <c r="CI180" i="1"/>
  <c r="CI172" i="1"/>
  <c r="CI164" i="1"/>
  <c r="CI156" i="1"/>
  <c r="CI148" i="1"/>
  <c r="CI140" i="1"/>
  <c r="CI132" i="1"/>
  <c r="CI124" i="1"/>
  <c r="CI116" i="1"/>
  <c r="CI108" i="1"/>
  <c r="CI100" i="1"/>
  <c r="CI92" i="1"/>
  <c r="CI84" i="1"/>
  <c r="CI76" i="1"/>
  <c r="CI68" i="1"/>
  <c r="CI60" i="1"/>
  <c r="CI52" i="1"/>
  <c r="CI44" i="1"/>
  <c r="CI36" i="1"/>
  <c r="CI28" i="1"/>
  <c r="CI20" i="1"/>
  <c r="CI12" i="1"/>
  <c r="CI347" i="1"/>
  <c r="CI203" i="1"/>
  <c r="CI195" i="1"/>
  <c r="CI187" i="1"/>
  <c r="CI179" i="1"/>
  <c r="CI171" i="1"/>
  <c r="CI163" i="1"/>
  <c r="CI155" i="1"/>
  <c r="CI147" i="1"/>
  <c r="CI139" i="1"/>
  <c r="CI131" i="1"/>
  <c r="CI115" i="1"/>
  <c r="CI107" i="1"/>
  <c r="CI91" i="1"/>
  <c r="CI83" i="1"/>
  <c r="CI75" i="1"/>
  <c r="CI67" i="1"/>
  <c r="CI59" i="1"/>
  <c r="CI51" i="1"/>
  <c r="CI43" i="1"/>
  <c r="CI35" i="1"/>
  <c r="CI27" i="1"/>
  <c r="CI19" i="1"/>
  <c r="CH45" i="1"/>
  <c r="CI498" i="1"/>
  <c r="CI490" i="1"/>
  <c r="CI482" i="1"/>
  <c r="CI474" i="1"/>
  <c r="CI466" i="1"/>
  <c r="CI458" i="1"/>
  <c r="CI450" i="1"/>
  <c r="CI442" i="1"/>
  <c r="CI434" i="1"/>
  <c r="CI426" i="1"/>
  <c r="CI418" i="1"/>
  <c r="CI410" i="1"/>
  <c r="CI402" i="1"/>
  <c r="CI394" i="1"/>
  <c r="CI378" i="1"/>
  <c r="CI370" i="1"/>
  <c r="CI362" i="1"/>
  <c r="CI354" i="1"/>
  <c r="CI346" i="1"/>
  <c r="CI338" i="1"/>
  <c r="CI330" i="1"/>
  <c r="CI322" i="1"/>
  <c r="CI314" i="1"/>
  <c r="CI306" i="1"/>
  <c r="CI298" i="1"/>
  <c r="CI290" i="1"/>
  <c r="CI282" i="1"/>
  <c r="CI274" i="1"/>
  <c r="CI266" i="1"/>
  <c r="CI258" i="1"/>
  <c r="CI250" i="1"/>
  <c r="CI242" i="1"/>
  <c r="CI234" i="1"/>
  <c r="CI226" i="1"/>
  <c r="CI218" i="1"/>
  <c r="CI210" i="1"/>
  <c r="CI202" i="1"/>
  <c r="CI194" i="1"/>
  <c r="CI186" i="1"/>
  <c r="CI178" i="1"/>
  <c r="CI170" i="1"/>
  <c r="CI162" i="1"/>
  <c r="CI154" i="1"/>
  <c r="CI146" i="1"/>
  <c r="CI138" i="1"/>
  <c r="CI130" i="1"/>
  <c r="CI122" i="1"/>
  <c r="CI114" i="1"/>
  <c r="CI106" i="1"/>
  <c r="CI98" i="1"/>
  <c r="CI90" i="1"/>
  <c r="CI82" i="1"/>
  <c r="CI74" i="1"/>
  <c r="CI66" i="1"/>
  <c r="CI58" i="1"/>
  <c r="CI50" i="1"/>
  <c r="CI42" i="1"/>
  <c r="CI34" i="1"/>
  <c r="CI26" i="1"/>
  <c r="CI18" i="1"/>
  <c r="CI10" i="1"/>
  <c r="CH13" i="1"/>
  <c r="CI497" i="1"/>
  <c r="CI489" i="1"/>
  <c r="CI481" i="1"/>
  <c r="CI473" i="1"/>
  <c r="CI465" i="1"/>
  <c r="CI457" i="1"/>
  <c r="CI449" i="1"/>
  <c r="CI441" i="1"/>
  <c r="CI433" i="1"/>
  <c r="CI425" i="1"/>
  <c r="CI417" i="1"/>
  <c r="CI409" i="1"/>
  <c r="CI401" i="1"/>
  <c r="CI393" i="1"/>
  <c r="CI385" i="1"/>
  <c r="CI377" i="1"/>
  <c r="CI369" i="1"/>
  <c r="CI361" i="1"/>
  <c r="CI353" i="1"/>
  <c r="CI345" i="1"/>
  <c r="CI337" i="1"/>
  <c r="CI329" i="1"/>
  <c r="CI321" i="1"/>
  <c r="CI313" i="1"/>
  <c r="CI305" i="1"/>
  <c r="CI297" i="1"/>
  <c r="CI289" i="1"/>
  <c r="CI281" i="1"/>
  <c r="CI273" i="1"/>
  <c r="CI257" i="1"/>
  <c r="CI249" i="1"/>
  <c r="CI241" i="1"/>
  <c r="CI233" i="1"/>
  <c r="CI225" i="1"/>
  <c r="CI209" i="1"/>
  <c r="CI201" i="1"/>
  <c r="CI193" i="1"/>
  <c r="CI185" i="1"/>
  <c r="CI177" i="1"/>
  <c r="CI169" i="1"/>
  <c r="CI161" i="1"/>
  <c r="CI153" i="1"/>
  <c r="CI145" i="1"/>
  <c r="CI137" i="1"/>
  <c r="CI129" i="1"/>
  <c r="CI121" i="1"/>
  <c r="CI113" i="1"/>
  <c r="CI105" i="1"/>
  <c r="CI97" i="1"/>
  <c r="CI89" i="1"/>
  <c r="CI81" i="1"/>
  <c r="CI73" i="1"/>
  <c r="CI65" i="1"/>
  <c r="CI57" i="1"/>
  <c r="CI49" i="1"/>
  <c r="CI41" i="1"/>
  <c r="CI33" i="1"/>
  <c r="CI25" i="1"/>
  <c r="CI17" i="1"/>
  <c r="CI9" i="1"/>
  <c r="CI504" i="1"/>
  <c r="CI496" i="1"/>
  <c r="CI488" i="1"/>
  <c r="CI480" i="1"/>
  <c r="CI472" i="1"/>
  <c r="CI464" i="1"/>
  <c r="CI456" i="1"/>
  <c r="CI448" i="1"/>
  <c r="CI440" i="1"/>
  <c r="CI432" i="1"/>
  <c r="CI424" i="1"/>
  <c r="CI416" i="1"/>
  <c r="CI408" i="1"/>
  <c r="CI400" i="1"/>
  <c r="CI392" i="1"/>
  <c r="CI384" i="1"/>
  <c r="CI376" i="1"/>
  <c r="CI368" i="1"/>
  <c r="CI360" i="1"/>
  <c r="CI352" i="1"/>
  <c r="CI344" i="1"/>
  <c r="CI336" i="1"/>
  <c r="CI328" i="1"/>
  <c r="CI320" i="1"/>
  <c r="CI312" i="1"/>
  <c r="CI304" i="1"/>
  <c r="CI296" i="1"/>
  <c r="CI288" i="1"/>
  <c r="CI280" i="1"/>
  <c r="CI272" i="1"/>
  <c r="CI264" i="1"/>
  <c r="CI256" i="1"/>
  <c r="CI248" i="1"/>
  <c r="CI240" i="1"/>
  <c r="CI232" i="1"/>
  <c r="CI224" i="1"/>
  <c r="CI216" i="1"/>
  <c r="CI208" i="1"/>
  <c r="CI200" i="1"/>
  <c r="CI192" i="1"/>
  <c r="CI184" i="1"/>
  <c r="CI176" i="1"/>
  <c r="CI168" i="1"/>
  <c r="CI160" i="1"/>
  <c r="CI152" i="1"/>
  <c r="CI144" i="1"/>
  <c r="CI136" i="1"/>
  <c r="CI128" i="1"/>
  <c r="CI120" i="1"/>
  <c r="CI112" i="1"/>
  <c r="CI104" i="1"/>
  <c r="CI96" i="1"/>
  <c r="CI88" i="1"/>
  <c r="CI80" i="1"/>
  <c r="CI72" i="1"/>
  <c r="CI64" i="1"/>
  <c r="CI56" i="1"/>
  <c r="CI48" i="1"/>
  <c r="CI40" i="1"/>
  <c r="CI32" i="1"/>
  <c r="CI24" i="1"/>
  <c r="CI16" i="1"/>
  <c r="CI503" i="1"/>
  <c r="CI495" i="1"/>
  <c r="CI487" i="1"/>
  <c r="CI479" i="1"/>
  <c r="CI471" i="1"/>
  <c r="CI463" i="1"/>
  <c r="CI455" i="1"/>
  <c r="CI447" i="1"/>
  <c r="CI439" i="1"/>
  <c r="CI431" i="1"/>
  <c r="CI423" i="1"/>
  <c r="CI415" i="1"/>
  <c r="CI407" i="1"/>
  <c r="CI399" i="1"/>
  <c r="CI391" i="1"/>
  <c r="CI383" i="1"/>
  <c r="CI375" i="1"/>
  <c r="CI367" i="1"/>
  <c r="CI359" i="1"/>
  <c r="CI351" i="1"/>
  <c r="CI343" i="1"/>
  <c r="CI335" i="1"/>
  <c r="CI327" i="1"/>
  <c r="CI319" i="1"/>
  <c r="CI311" i="1"/>
  <c r="CI303" i="1"/>
  <c r="CI295" i="1"/>
  <c r="CI287" i="1"/>
  <c r="CI279" i="1"/>
  <c r="CI271" i="1"/>
  <c r="CI263" i="1"/>
  <c r="CI255" i="1"/>
  <c r="CI247" i="1"/>
  <c r="CI239" i="1"/>
  <c r="CI231" i="1"/>
  <c r="CI223" i="1"/>
  <c r="CI215" i="1"/>
  <c r="CI207" i="1"/>
  <c r="CI199" i="1"/>
  <c r="CI191" i="1"/>
  <c r="CI183" i="1"/>
  <c r="CI175" i="1"/>
  <c r="CI167" i="1"/>
  <c r="CI159" i="1"/>
  <c r="CI151" i="1"/>
  <c r="CI143" i="1"/>
  <c r="CI135" i="1"/>
  <c r="CI127" i="1"/>
  <c r="CI119" i="1"/>
  <c r="CI111" i="1"/>
  <c r="CI103" i="1"/>
  <c r="CI95" i="1"/>
  <c r="CI87" i="1"/>
  <c r="CI79" i="1"/>
  <c r="CI71" i="1"/>
  <c r="CI63" i="1"/>
  <c r="CI55" i="1"/>
  <c r="CI47" i="1"/>
  <c r="CI39" i="1"/>
  <c r="CI31" i="1"/>
  <c r="CI23" i="1"/>
  <c r="CI15" i="1"/>
  <c r="CI7" i="1"/>
  <c r="CH197" i="1"/>
  <c r="CI502" i="1"/>
  <c r="CI494" i="1"/>
  <c r="CI486" i="1"/>
  <c r="CI478" i="1"/>
  <c r="CI470" i="1"/>
  <c r="CI462" i="1"/>
  <c r="CI454" i="1"/>
  <c r="CI446" i="1"/>
  <c r="CI438" i="1"/>
  <c r="CI430" i="1"/>
  <c r="CI422" i="1"/>
  <c r="CI414" i="1"/>
  <c r="CI406" i="1"/>
  <c r="CI398" i="1"/>
  <c r="CI390" i="1"/>
  <c r="CI382" i="1"/>
  <c r="CI374" i="1"/>
  <c r="CI366" i="1"/>
  <c r="CI358" i="1"/>
  <c r="CI350" i="1"/>
  <c r="CI342" i="1"/>
  <c r="CI334" i="1"/>
  <c r="CI326" i="1"/>
  <c r="CI318" i="1"/>
  <c r="CI310" i="1"/>
  <c r="CI302" i="1"/>
  <c r="CI294" i="1"/>
  <c r="CI286" i="1"/>
  <c r="CI278" i="1"/>
  <c r="CI270" i="1"/>
  <c r="CI262" i="1"/>
  <c r="CI254" i="1"/>
  <c r="CI246" i="1"/>
  <c r="CI238" i="1"/>
  <c r="CI14" i="1"/>
  <c r="CI6" i="1"/>
  <c r="CH439" i="1"/>
  <c r="CH63" i="1"/>
  <c r="CH71" i="1"/>
  <c r="CH495" i="1"/>
  <c r="CH367" i="1"/>
  <c r="CH303" i="1"/>
  <c r="CH239" i="1"/>
  <c r="CH191" i="1"/>
  <c r="CH159" i="1"/>
  <c r="CH127" i="1"/>
  <c r="CH95" i="1"/>
  <c r="CH61" i="1"/>
  <c r="CH29" i="1"/>
  <c r="CH503" i="1"/>
  <c r="CH375" i="1"/>
  <c r="CH311" i="1"/>
  <c r="CH247" i="1"/>
  <c r="CH31" i="1"/>
  <c r="CB217" i="1"/>
  <c r="CH487" i="1"/>
  <c r="CH423" i="1"/>
  <c r="CH359" i="1"/>
  <c r="CH295" i="1"/>
  <c r="CH189" i="1"/>
  <c r="CH157" i="1"/>
  <c r="CH125" i="1"/>
  <c r="CH93" i="1"/>
  <c r="CH55" i="1"/>
  <c r="CH23" i="1"/>
  <c r="CH479" i="1"/>
  <c r="CH415" i="1"/>
  <c r="CH351" i="1"/>
  <c r="CH287" i="1"/>
  <c r="CH223" i="1"/>
  <c r="CH183" i="1"/>
  <c r="CH151" i="1"/>
  <c r="CH119" i="1"/>
  <c r="CH87" i="1"/>
  <c r="CH53" i="1"/>
  <c r="CH21" i="1"/>
  <c r="CB123" i="1"/>
  <c r="CB99" i="1"/>
  <c r="CH471" i="1"/>
  <c r="CH343" i="1"/>
  <c r="CH279" i="1"/>
  <c r="CH215" i="1"/>
  <c r="CH181" i="1"/>
  <c r="CH149" i="1"/>
  <c r="CH117" i="1"/>
  <c r="CH85" i="1"/>
  <c r="CH47" i="1"/>
  <c r="CH15" i="1"/>
  <c r="CH463" i="1"/>
  <c r="CH399" i="1"/>
  <c r="CH335" i="1"/>
  <c r="CH271" i="1"/>
  <c r="CH207" i="1"/>
  <c r="CH175" i="1"/>
  <c r="CH143" i="1"/>
  <c r="CH111" i="1"/>
  <c r="CH79" i="1"/>
  <c r="CG179" i="1"/>
  <c r="CH455" i="1"/>
  <c r="CH391" i="1"/>
  <c r="CH327" i="1"/>
  <c r="CH263" i="1"/>
  <c r="CH173" i="1"/>
  <c r="CH141" i="1"/>
  <c r="CH109" i="1"/>
  <c r="CH77" i="1"/>
  <c r="CH39" i="1"/>
  <c r="CH7" i="1"/>
  <c r="CG147" i="1"/>
  <c r="CH447" i="1"/>
  <c r="CH383" i="1"/>
  <c r="CH319" i="1"/>
  <c r="CH255" i="1"/>
  <c r="CH199" i="1"/>
  <c r="CH167" i="1"/>
  <c r="CH135" i="1"/>
  <c r="CH103" i="1"/>
  <c r="CH69" i="1"/>
  <c r="CH37" i="1"/>
  <c r="CB166" i="1"/>
  <c r="CH166" i="1"/>
  <c r="BV158" i="1"/>
  <c r="CH158" i="1"/>
  <c r="BM134" i="1"/>
  <c r="CH134" i="1"/>
  <c r="BP126" i="1"/>
  <c r="CH126" i="1"/>
  <c r="BG118" i="1"/>
  <c r="CH118" i="1"/>
  <c r="BG102" i="1"/>
  <c r="CH102" i="1"/>
  <c r="BG94" i="1"/>
  <c r="CH94" i="1"/>
  <c r="BG86" i="1"/>
  <c r="CH86" i="1"/>
  <c r="BG78" i="1"/>
  <c r="CH78" i="1"/>
  <c r="BG70" i="1"/>
  <c r="CH70" i="1"/>
  <c r="BO62" i="1"/>
  <c r="CH62" i="1"/>
  <c r="BG54" i="1"/>
  <c r="CH54" i="1"/>
  <c r="BZ46" i="1"/>
  <c r="CH46" i="1"/>
  <c r="BM38" i="1"/>
  <c r="CH38" i="1"/>
  <c r="BM30" i="1"/>
  <c r="CH30" i="1"/>
  <c r="BM22" i="1"/>
  <c r="CH22" i="1"/>
  <c r="CH477" i="1"/>
  <c r="CH445" i="1"/>
  <c r="CH413" i="1"/>
  <c r="BG214" i="1"/>
  <c r="CH214" i="1"/>
  <c r="CF150" i="1"/>
  <c r="CH150" i="1"/>
  <c r="CH501" i="1"/>
  <c r="CH469" i="1"/>
  <c r="CH437" i="1"/>
  <c r="CH405" i="1"/>
  <c r="BG206" i="1"/>
  <c r="CH206" i="1"/>
  <c r="BM182" i="1"/>
  <c r="CH182" i="1"/>
  <c r="CA142" i="1"/>
  <c r="CH142" i="1"/>
  <c r="CH265" i="1"/>
  <c r="CH493" i="1"/>
  <c r="CH461" i="1"/>
  <c r="CH429" i="1"/>
  <c r="CH397" i="1"/>
  <c r="CA381" i="1"/>
  <c r="CH381" i="1"/>
  <c r="CG8" i="1"/>
  <c r="CH8" i="1"/>
  <c r="BW230" i="1"/>
  <c r="CH230" i="1"/>
  <c r="BG174" i="1"/>
  <c r="CH174" i="1"/>
  <c r="CG386" i="1"/>
  <c r="CH386" i="1"/>
  <c r="CB11" i="1"/>
  <c r="CH11" i="1"/>
  <c r="CB499" i="1"/>
  <c r="CH499" i="1"/>
  <c r="CG491" i="1"/>
  <c r="CH491" i="1"/>
  <c r="CB483" i="1"/>
  <c r="CH483" i="1"/>
  <c r="CC475" i="1"/>
  <c r="CH475" i="1"/>
  <c r="CB467" i="1"/>
  <c r="CH467" i="1"/>
  <c r="CB459" i="1"/>
  <c r="CH459" i="1"/>
  <c r="CB451" i="1"/>
  <c r="CH451" i="1"/>
  <c r="CB443" i="1"/>
  <c r="CH443" i="1"/>
  <c r="CB435" i="1"/>
  <c r="CH435" i="1"/>
  <c r="CB427" i="1"/>
  <c r="CH427" i="1"/>
  <c r="CB419" i="1"/>
  <c r="CH419" i="1"/>
  <c r="CC411" i="1"/>
  <c r="CH411" i="1"/>
  <c r="CB403" i="1"/>
  <c r="CH403" i="1"/>
  <c r="CB395" i="1"/>
  <c r="CH395" i="1"/>
  <c r="CG387" i="1"/>
  <c r="CH387" i="1"/>
  <c r="CB379" i="1"/>
  <c r="CH379" i="1"/>
  <c r="CB371" i="1"/>
  <c r="CH371" i="1"/>
  <c r="CB363" i="1"/>
  <c r="CH363" i="1"/>
  <c r="CC355" i="1"/>
  <c r="CH355" i="1"/>
  <c r="CB339" i="1"/>
  <c r="CH339" i="1"/>
  <c r="CB331" i="1"/>
  <c r="CH331" i="1"/>
  <c r="CB323" i="1"/>
  <c r="CH323" i="1"/>
  <c r="CB315" i="1"/>
  <c r="CH315" i="1"/>
  <c r="CB307" i="1"/>
  <c r="CH307" i="1"/>
  <c r="CB299" i="1"/>
  <c r="CH299" i="1"/>
  <c r="CB291" i="1"/>
  <c r="CH291" i="1"/>
  <c r="CB283" i="1"/>
  <c r="CH283" i="1"/>
  <c r="CB275" i="1"/>
  <c r="CH275" i="1"/>
  <c r="CB267" i="1"/>
  <c r="CH267" i="1"/>
  <c r="CB259" i="1"/>
  <c r="CH259" i="1"/>
  <c r="CB251" i="1"/>
  <c r="CH251" i="1"/>
  <c r="CB243" i="1"/>
  <c r="CH243" i="1"/>
  <c r="CB235" i="1"/>
  <c r="CH235" i="1"/>
  <c r="CB227" i="1"/>
  <c r="CH227" i="1"/>
  <c r="CB219" i="1"/>
  <c r="CH219" i="1"/>
  <c r="CB211" i="1"/>
  <c r="CH211" i="1"/>
  <c r="BH222" i="1"/>
  <c r="CH222" i="1"/>
  <c r="BG198" i="1"/>
  <c r="CH198" i="1"/>
  <c r="BG190" i="1"/>
  <c r="CH190" i="1"/>
  <c r="CA110" i="1"/>
  <c r="CH110" i="1"/>
  <c r="CH485" i="1"/>
  <c r="CH453" i="1"/>
  <c r="CH421" i="1"/>
  <c r="CH389" i="1"/>
  <c r="CG115" i="1"/>
  <c r="CH196" i="1"/>
  <c r="CH188" i="1"/>
  <c r="CH180" i="1"/>
  <c r="CH172" i="1"/>
  <c r="CH164" i="1"/>
  <c r="CH156" i="1"/>
  <c r="CH148" i="1"/>
  <c r="CH140" i="1"/>
  <c r="CH132" i="1"/>
  <c r="CH124" i="1"/>
  <c r="CH116" i="1"/>
  <c r="CH108" i="1"/>
  <c r="CH100" i="1"/>
  <c r="CH92" i="1"/>
  <c r="CH84" i="1"/>
  <c r="CH76" i="1"/>
  <c r="CH68" i="1"/>
  <c r="CH60" i="1"/>
  <c r="CH52" i="1"/>
  <c r="CH44" i="1"/>
  <c r="CH36" i="1"/>
  <c r="CH28" i="1"/>
  <c r="CH20" i="1"/>
  <c r="CG83" i="1"/>
  <c r="CH203" i="1"/>
  <c r="CH195" i="1"/>
  <c r="CH187" i="1"/>
  <c r="CH179" i="1"/>
  <c r="CH171" i="1"/>
  <c r="CH163" i="1"/>
  <c r="CH155" i="1"/>
  <c r="CH147" i="1"/>
  <c r="CH139" i="1"/>
  <c r="CH131" i="1"/>
  <c r="CH123" i="1"/>
  <c r="CH115" i="1"/>
  <c r="CH107" i="1"/>
  <c r="CH99" i="1"/>
  <c r="CH91" i="1"/>
  <c r="CH83" i="1"/>
  <c r="CH75" i="1"/>
  <c r="CH67" i="1"/>
  <c r="CH59" i="1"/>
  <c r="CH51" i="1"/>
  <c r="CH43" i="1"/>
  <c r="CH35" i="1"/>
  <c r="CH27" i="1"/>
  <c r="CH19" i="1"/>
  <c r="CG51" i="1"/>
  <c r="CG29" i="1"/>
  <c r="CH497" i="1"/>
  <c r="CH489" i="1"/>
  <c r="CH481" i="1"/>
  <c r="CH473" i="1"/>
  <c r="CH465" i="1"/>
  <c r="CH457" i="1"/>
  <c r="CH449" i="1"/>
  <c r="CH441" i="1"/>
  <c r="CH433" i="1"/>
  <c r="CH425" i="1"/>
  <c r="CH417" i="1"/>
  <c r="CH409" i="1"/>
  <c r="CH401" i="1"/>
  <c r="CH393" i="1"/>
  <c r="CH385" i="1"/>
  <c r="CH377" i="1"/>
  <c r="CH369" i="1"/>
  <c r="CH361" i="1"/>
  <c r="CH353" i="1"/>
  <c r="CH345" i="1"/>
  <c r="CH337" i="1"/>
  <c r="CH329" i="1"/>
  <c r="CH321" i="1"/>
  <c r="CH313" i="1"/>
  <c r="CH305" i="1"/>
  <c r="CH297" i="1"/>
  <c r="CH289" i="1"/>
  <c r="CH281" i="1"/>
  <c r="CH273" i="1"/>
  <c r="CH257" i="1"/>
  <c r="CH249" i="1"/>
  <c r="CH241" i="1"/>
  <c r="CH233" i="1"/>
  <c r="CH225" i="1"/>
  <c r="CH217" i="1"/>
  <c r="CH209" i="1"/>
  <c r="CH201" i="1"/>
  <c r="CH193" i="1"/>
  <c r="CH185" i="1"/>
  <c r="CH177" i="1"/>
  <c r="CH169" i="1"/>
  <c r="CH161" i="1"/>
  <c r="CH153" i="1"/>
  <c r="CH145" i="1"/>
  <c r="CH137" i="1"/>
  <c r="CH129" i="1"/>
  <c r="CH121" i="1"/>
  <c r="CH113" i="1"/>
  <c r="CH105" i="1"/>
  <c r="CH97" i="1"/>
  <c r="CH89" i="1"/>
  <c r="CH81" i="1"/>
  <c r="CH73" i="1"/>
  <c r="CH65" i="1"/>
  <c r="CH57" i="1"/>
  <c r="CH49" i="1"/>
  <c r="CH41" i="1"/>
  <c r="CH33" i="1"/>
  <c r="CH25" i="1"/>
  <c r="CH17" i="1"/>
  <c r="CD101" i="1"/>
  <c r="CG181" i="1"/>
  <c r="CF431" i="1"/>
  <c r="CF407" i="1"/>
  <c r="CG231" i="1"/>
  <c r="CG149" i="1"/>
  <c r="CG85" i="1"/>
  <c r="CG53" i="1"/>
  <c r="CG31" i="1"/>
  <c r="CG445" i="1"/>
  <c r="CG141" i="1"/>
  <c r="CG109" i="1"/>
  <c r="CG77" i="1"/>
  <c r="CG47" i="1"/>
  <c r="CG27" i="1"/>
  <c r="CG413" i="1"/>
  <c r="CG171" i="1"/>
  <c r="CG139" i="1"/>
  <c r="CG107" i="1"/>
  <c r="CG75" i="1"/>
  <c r="CG45" i="1"/>
  <c r="CG23" i="1"/>
  <c r="CG477" i="1"/>
  <c r="CG381" i="1"/>
  <c r="CG165" i="1"/>
  <c r="CG133" i="1"/>
  <c r="CG101" i="1"/>
  <c r="CG69" i="1"/>
  <c r="CG43" i="1"/>
  <c r="CG21" i="1"/>
  <c r="CF265" i="1"/>
  <c r="CG195" i="1"/>
  <c r="CG163" i="1"/>
  <c r="CG131" i="1"/>
  <c r="CG99" i="1"/>
  <c r="CG67" i="1"/>
  <c r="CG39" i="1"/>
  <c r="CG19" i="1"/>
  <c r="CG189" i="1"/>
  <c r="CG157" i="1"/>
  <c r="CG125" i="1"/>
  <c r="CG93" i="1"/>
  <c r="CG61" i="1"/>
  <c r="CG37" i="1"/>
  <c r="CG13" i="1"/>
  <c r="CB347" i="1"/>
  <c r="CG187" i="1"/>
  <c r="CG155" i="1"/>
  <c r="CG123" i="1"/>
  <c r="CG91" i="1"/>
  <c r="CG59" i="1"/>
  <c r="CG35" i="1"/>
  <c r="CF450" i="1"/>
  <c r="CG450" i="1"/>
  <c r="CF394" i="1"/>
  <c r="CG394" i="1"/>
  <c r="BW460" i="1"/>
  <c r="CG460" i="1"/>
  <c r="CB16" i="1"/>
  <c r="CG16" i="1"/>
  <c r="BZ478" i="1"/>
  <c r="CG478" i="1"/>
  <c r="BZ470" i="1"/>
  <c r="CG470" i="1"/>
  <c r="BZ454" i="1"/>
  <c r="CG454" i="1"/>
  <c r="BZ446" i="1"/>
  <c r="CG446" i="1"/>
  <c r="BZ438" i="1"/>
  <c r="CG438" i="1"/>
  <c r="BZ406" i="1"/>
  <c r="CG406" i="1"/>
  <c r="BZ382" i="1"/>
  <c r="CG382" i="1"/>
  <c r="BZ358" i="1"/>
  <c r="CG358" i="1"/>
  <c r="CB350" i="1"/>
  <c r="CG350" i="1"/>
  <c r="BZ334" i="1"/>
  <c r="CG334" i="1"/>
  <c r="BZ326" i="1"/>
  <c r="CG326" i="1"/>
  <c r="CA318" i="1"/>
  <c r="CG318" i="1"/>
  <c r="CA310" i="1"/>
  <c r="CG310" i="1"/>
  <c r="CB302" i="1"/>
  <c r="CG302" i="1"/>
  <c r="CA294" i="1"/>
  <c r="CG294" i="1"/>
  <c r="CB286" i="1"/>
  <c r="CG286" i="1"/>
  <c r="CF278" i="1"/>
  <c r="CG278" i="1"/>
  <c r="CA270" i="1"/>
  <c r="CG270" i="1"/>
  <c r="CA262" i="1"/>
  <c r="CG262" i="1"/>
  <c r="BW254" i="1"/>
  <c r="CG254" i="1"/>
  <c r="CA246" i="1"/>
  <c r="CG246" i="1"/>
  <c r="BW238" i="1"/>
  <c r="CG238" i="1"/>
  <c r="CG499" i="1"/>
  <c r="CG467" i="1"/>
  <c r="CG435" i="1"/>
  <c r="CG403" i="1"/>
  <c r="CG363" i="1"/>
  <c r="CG299" i="1"/>
  <c r="CG235" i="1"/>
  <c r="CF434" i="1"/>
  <c r="CG434" i="1"/>
  <c r="BW412" i="1"/>
  <c r="CG412" i="1"/>
  <c r="BZ494" i="1"/>
  <c r="CG494" i="1"/>
  <c r="BZ486" i="1"/>
  <c r="CG486" i="1"/>
  <c r="BZ462" i="1"/>
  <c r="CG462" i="1"/>
  <c r="BZ430" i="1"/>
  <c r="CG430" i="1"/>
  <c r="BZ422" i="1"/>
  <c r="CG422" i="1"/>
  <c r="BZ414" i="1"/>
  <c r="CG414" i="1"/>
  <c r="BZ398" i="1"/>
  <c r="CG398" i="1"/>
  <c r="BZ390" i="1"/>
  <c r="CG390" i="1"/>
  <c r="BZ374" i="1"/>
  <c r="CG374" i="1"/>
  <c r="BZ366" i="1"/>
  <c r="CG366" i="1"/>
  <c r="BZ342" i="1"/>
  <c r="CG342" i="1"/>
  <c r="CG493" i="1"/>
  <c r="CG461" i="1"/>
  <c r="CG429" i="1"/>
  <c r="CG397" i="1"/>
  <c r="CG355" i="1"/>
  <c r="CG291" i="1"/>
  <c r="CG227" i="1"/>
  <c r="CF410" i="1"/>
  <c r="CG410" i="1"/>
  <c r="CF10" i="1"/>
  <c r="CG10" i="1"/>
  <c r="BW492" i="1"/>
  <c r="CG492" i="1"/>
  <c r="BZ502" i="1"/>
  <c r="CG502" i="1"/>
  <c r="CF504" i="1"/>
  <c r="CG504" i="1"/>
  <c r="CF488" i="1"/>
  <c r="CG488" i="1"/>
  <c r="CF464" i="1"/>
  <c r="CG464" i="1"/>
  <c r="CF440" i="1"/>
  <c r="CG440" i="1"/>
  <c r="CF400" i="1"/>
  <c r="CG400" i="1"/>
  <c r="CF368" i="1"/>
  <c r="CG368" i="1"/>
  <c r="CF256" i="1"/>
  <c r="CG256" i="1"/>
  <c r="CC200" i="1"/>
  <c r="CG200" i="1"/>
  <c r="CC168" i="1"/>
  <c r="CG168" i="1"/>
  <c r="CC160" i="1"/>
  <c r="CG160" i="1"/>
  <c r="BZ40" i="1"/>
  <c r="CG40" i="1"/>
  <c r="CG459" i="1"/>
  <c r="CG427" i="1"/>
  <c r="CG395" i="1"/>
  <c r="CG347" i="1"/>
  <c r="CG283" i="1"/>
  <c r="CG219" i="1"/>
  <c r="CF490" i="1"/>
  <c r="CG490" i="1"/>
  <c r="CF482" i="1"/>
  <c r="CG482" i="1"/>
  <c r="CF474" i="1"/>
  <c r="CG474" i="1"/>
  <c r="CE466" i="1"/>
  <c r="CG466" i="1"/>
  <c r="CG259" i="1"/>
  <c r="BW484" i="1"/>
  <c r="CG484" i="1"/>
  <c r="BW476" i="1"/>
  <c r="CG476" i="1"/>
  <c r="BW468" i="1"/>
  <c r="CG468" i="1"/>
  <c r="BW452" i="1"/>
  <c r="CG452" i="1"/>
  <c r="BW436" i="1"/>
  <c r="CG436" i="1"/>
  <c r="BW428" i="1"/>
  <c r="CG428" i="1"/>
  <c r="BW420" i="1"/>
  <c r="CG420" i="1"/>
  <c r="BW404" i="1"/>
  <c r="CG404" i="1"/>
  <c r="CF14" i="1"/>
  <c r="CG14" i="1"/>
  <c r="CF6" i="1"/>
  <c r="CG6" i="1"/>
  <c r="CD496" i="1"/>
  <c r="CG496" i="1"/>
  <c r="CF480" i="1"/>
  <c r="CG480" i="1"/>
  <c r="CF472" i="1"/>
  <c r="CG472" i="1"/>
  <c r="CF456" i="1"/>
  <c r="CG456" i="1"/>
  <c r="CF448" i="1"/>
  <c r="CG448" i="1"/>
  <c r="CF432" i="1"/>
  <c r="CG432" i="1"/>
  <c r="CF424" i="1"/>
  <c r="CG424" i="1"/>
  <c r="CF416" i="1"/>
  <c r="CG416" i="1"/>
  <c r="CF408" i="1"/>
  <c r="CG408" i="1"/>
  <c r="CF392" i="1"/>
  <c r="CG392" i="1"/>
  <c r="CF384" i="1"/>
  <c r="CG384" i="1"/>
  <c r="CF376" i="1"/>
  <c r="CG376" i="1"/>
  <c r="CF360" i="1"/>
  <c r="CG360" i="1"/>
  <c r="CD352" i="1"/>
  <c r="CG352" i="1"/>
  <c r="CF344" i="1"/>
  <c r="CG344" i="1"/>
  <c r="CF336" i="1"/>
  <c r="CG336" i="1"/>
  <c r="CF328" i="1"/>
  <c r="CG328" i="1"/>
  <c r="CF320" i="1"/>
  <c r="CG320" i="1"/>
  <c r="CF312" i="1"/>
  <c r="CG312" i="1"/>
  <c r="CF304" i="1"/>
  <c r="CG304" i="1"/>
  <c r="CF296" i="1"/>
  <c r="CG296" i="1"/>
  <c r="CF288" i="1"/>
  <c r="CG288" i="1"/>
  <c r="CF280" i="1"/>
  <c r="CG280" i="1"/>
  <c r="CF272" i="1"/>
  <c r="CG272" i="1"/>
  <c r="CF264" i="1"/>
  <c r="CG264" i="1"/>
  <c r="CF248" i="1"/>
  <c r="CG248" i="1"/>
  <c r="CF240" i="1"/>
  <c r="CG240" i="1"/>
  <c r="CF232" i="1"/>
  <c r="CG232" i="1"/>
  <c r="CF224" i="1"/>
  <c r="CG224" i="1"/>
  <c r="CB216" i="1"/>
  <c r="CG216" i="1"/>
  <c r="CC208" i="1"/>
  <c r="CG208" i="1"/>
  <c r="CC192" i="1"/>
  <c r="CG192" i="1"/>
  <c r="CC184" i="1"/>
  <c r="CG184" i="1"/>
  <c r="CC176" i="1"/>
  <c r="CG176" i="1"/>
  <c r="CC152" i="1"/>
  <c r="CG152" i="1"/>
  <c r="CC144" i="1"/>
  <c r="CG144" i="1"/>
  <c r="CC136" i="1"/>
  <c r="CG136" i="1"/>
  <c r="CC128" i="1"/>
  <c r="CG128" i="1"/>
  <c r="CC120" i="1"/>
  <c r="CG120" i="1"/>
  <c r="CD112" i="1"/>
  <c r="CG112" i="1"/>
  <c r="CC104" i="1"/>
  <c r="CG104" i="1"/>
  <c r="CC96" i="1"/>
  <c r="CG96" i="1"/>
  <c r="CC88" i="1"/>
  <c r="CG88" i="1"/>
  <c r="CC80" i="1"/>
  <c r="CG80" i="1"/>
  <c r="CC72" i="1"/>
  <c r="CG72" i="1"/>
  <c r="CC64" i="1"/>
  <c r="CG64" i="1"/>
  <c r="CA56" i="1"/>
  <c r="CG56" i="1"/>
  <c r="CA48" i="1"/>
  <c r="CG48" i="1"/>
  <c r="BZ32" i="1"/>
  <c r="CG32" i="1"/>
  <c r="BZ24" i="1"/>
  <c r="CG24" i="1"/>
  <c r="CG485" i="1"/>
  <c r="CG453" i="1"/>
  <c r="CG421" i="1"/>
  <c r="CG389" i="1"/>
  <c r="CG339" i="1"/>
  <c r="CG275" i="1"/>
  <c r="CG211" i="1"/>
  <c r="CF426" i="1"/>
  <c r="CG426" i="1"/>
  <c r="CF378" i="1"/>
  <c r="CG378" i="1"/>
  <c r="CF370" i="1"/>
  <c r="CG370" i="1"/>
  <c r="CF362" i="1"/>
  <c r="CG362" i="1"/>
  <c r="CF354" i="1"/>
  <c r="CG354" i="1"/>
  <c r="CF346" i="1"/>
  <c r="CG346" i="1"/>
  <c r="CF338" i="1"/>
  <c r="CG338" i="1"/>
  <c r="CF330" i="1"/>
  <c r="CG330" i="1"/>
  <c r="CF322" i="1"/>
  <c r="CG322" i="1"/>
  <c r="CF314" i="1"/>
  <c r="CG314" i="1"/>
  <c r="CF306" i="1"/>
  <c r="CG306" i="1"/>
  <c r="CF298" i="1"/>
  <c r="CG298" i="1"/>
  <c r="CF290" i="1"/>
  <c r="CG290" i="1"/>
  <c r="CF282" i="1"/>
  <c r="CG282" i="1"/>
  <c r="CF274" i="1"/>
  <c r="CG274" i="1"/>
  <c r="CF266" i="1"/>
  <c r="CG266" i="1"/>
  <c r="CF258" i="1"/>
  <c r="CG258" i="1"/>
  <c r="CF250" i="1"/>
  <c r="CG250" i="1"/>
  <c r="CF242" i="1"/>
  <c r="CG242" i="1"/>
  <c r="CF234" i="1"/>
  <c r="CG234" i="1"/>
  <c r="CF226" i="1"/>
  <c r="CG226" i="1"/>
  <c r="CF218" i="1"/>
  <c r="CG218" i="1"/>
  <c r="CF210" i="1"/>
  <c r="CG210" i="1"/>
  <c r="CF202" i="1"/>
  <c r="CG202" i="1"/>
  <c r="CF194" i="1"/>
  <c r="CG194" i="1"/>
  <c r="CF186" i="1"/>
  <c r="CG186" i="1"/>
  <c r="CF178" i="1"/>
  <c r="CG178" i="1"/>
  <c r="CF170" i="1"/>
  <c r="CG170" i="1"/>
  <c r="BV162" i="1"/>
  <c r="CG162" i="1"/>
  <c r="BV154" i="1"/>
  <c r="CG154" i="1"/>
  <c r="BV146" i="1"/>
  <c r="CG146" i="1"/>
  <c r="BV138" i="1"/>
  <c r="CG138" i="1"/>
  <c r="BT130" i="1"/>
  <c r="CG130" i="1"/>
  <c r="BV122" i="1"/>
  <c r="CG122" i="1"/>
  <c r="BV114" i="1"/>
  <c r="CG114" i="1"/>
  <c r="BV106" i="1"/>
  <c r="CG106" i="1"/>
  <c r="BV98" i="1"/>
  <c r="CG98" i="1"/>
  <c r="BQ90" i="1"/>
  <c r="CG90" i="1"/>
  <c r="BQ82" i="1"/>
  <c r="CG82" i="1"/>
  <c r="BQ74" i="1"/>
  <c r="CG74" i="1"/>
  <c r="BQ66" i="1"/>
  <c r="CG66" i="1"/>
  <c r="BY58" i="1"/>
  <c r="CG58" i="1"/>
  <c r="CE50" i="1"/>
  <c r="CG50" i="1"/>
  <c r="BT42" i="1"/>
  <c r="CG42" i="1"/>
  <c r="BQ34" i="1"/>
  <c r="CG34" i="1"/>
  <c r="BY26" i="1"/>
  <c r="CG26" i="1"/>
  <c r="BY18" i="1"/>
  <c r="CG18" i="1"/>
  <c r="CG483" i="1"/>
  <c r="CG451" i="1"/>
  <c r="CG419" i="1"/>
  <c r="CG331" i="1"/>
  <c r="CG267" i="1"/>
  <c r="CG203" i="1"/>
  <c r="CF12" i="1"/>
  <c r="CG12" i="1"/>
  <c r="CF498" i="1"/>
  <c r="CG498" i="1"/>
  <c r="CF458" i="1"/>
  <c r="CG458" i="1"/>
  <c r="CF442" i="1"/>
  <c r="CG442" i="1"/>
  <c r="CF418" i="1"/>
  <c r="CG418" i="1"/>
  <c r="CF402" i="1"/>
  <c r="CG402" i="1"/>
  <c r="CG323" i="1"/>
  <c r="BW500" i="1"/>
  <c r="CG500" i="1"/>
  <c r="BY444" i="1"/>
  <c r="CG444" i="1"/>
  <c r="BV396" i="1"/>
  <c r="CG396" i="1"/>
  <c r="BW388" i="1"/>
  <c r="CG388" i="1"/>
  <c r="BW380" i="1"/>
  <c r="CG380" i="1"/>
  <c r="CE372" i="1"/>
  <c r="CG372" i="1"/>
  <c r="BW364" i="1"/>
  <c r="CG364" i="1"/>
  <c r="BW356" i="1"/>
  <c r="CG356" i="1"/>
  <c r="BW348" i="1"/>
  <c r="CG348" i="1"/>
  <c r="BW340" i="1"/>
  <c r="CG340" i="1"/>
  <c r="BW332" i="1"/>
  <c r="CG332" i="1"/>
  <c r="CC324" i="1"/>
  <c r="CG324" i="1"/>
  <c r="BX316" i="1"/>
  <c r="CG316" i="1"/>
  <c r="CD308" i="1"/>
  <c r="CG308" i="1"/>
  <c r="CD300" i="1"/>
  <c r="CG300" i="1"/>
  <c r="CD292" i="1"/>
  <c r="CG292" i="1"/>
  <c r="CD284" i="1"/>
  <c r="CG284" i="1"/>
  <c r="CD276" i="1"/>
  <c r="CG276" i="1"/>
  <c r="CD268" i="1"/>
  <c r="CG268" i="1"/>
  <c r="CD260" i="1"/>
  <c r="CG260" i="1"/>
  <c r="CD252" i="1"/>
  <c r="CG252" i="1"/>
  <c r="CD244" i="1"/>
  <c r="CG244" i="1"/>
  <c r="CD236" i="1"/>
  <c r="CG236" i="1"/>
  <c r="CD228" i="1"/>
  <c r="CG228" i="1"/>
  <c r="CD220" i="1"/>
  <c r="CG220" i="1"/>
  <c r="CD212" i="1"/>
  <c r="CG212" i="1"/>
  <c r="CD204" i="1"/>
  <c r="CG204" i="1"/>
  <c r="CG475" i="1"/>
  <c r="CG443" i="1"/>
  <c r="CG411" i="1"/>
  <c r="CG379" i="1"/>
  <c r="CG315" i="1"/>
  <c r="CG251" i="1"/>
  <c r="CF9" i="1"/>
  <c r="CG9" i="1"/>
  <c r="CA373" i="1"/>
  <c r="CG373" i="1"/>
  <c r="CA365" i="1"/>
  <c r="CG365" i="1"/>
  <c r="CF357" i="1"/>
  <c r="CG357" i="1"/>
  <c r="CF349" i="1"/>
  <c r="CG349" i="1"/>
  <c r="CA341" i="1"/>
  <c r="CG341" i="1"/>
  <c r="CA333" i="1"/>
  <c r="CG333" i="1"/>
  <c r="CA325" i="1"/>
  <c r="CG325" i="1"/>
  <c r="CA317" i="1"/>
  <c r="CG317" i="1"/>
  <c r="CD309" i="1"/>
  <c r="CG309" i="1"/>
  <c r="CA301" i="1"/>
  <c r="CG301" i="1"/>
  <c r="CF293" i="1"/>
  <c r="CG293" i="1"/>
  <c r="CA285" i="1"/>
  <c r="CG285" i="1"/>
  <c r="CA277" i="1"/>
  <c r="CG277" i="1"/>
  <c r="CA269" i="1"/>
  <c r="CG269" i="1"/>
  <c r="CF261" i="1"/>
  <c r="CG261" i="1"/>
  <c r="CF253" i="1"/>
  <c r="CG253" i="1"/>
  <c r="CA245" i="1"/>
  <c r="CG245" i="1"/>
  <c r="CA237" i="1"/>
  <c r="CG237" i="1"/>
  <c r="CA229" i="1"/>
  <c r="CG229" i="1"/>
  <c r="CE221" i="1"/>
  <c r="CG221" i="1"/>
  <c r="CA213" i="1"/>
  <c r="CG213" i="1"/>
  <c r="CA205" i="1"/>
  <c r="CG205" i="1"/>
  <c r="CG501" i="1"/>
  <c r="CG469" i="1"/>
  <c r="CG437" i="1"/>
  <c r="CG405" i="1"/>
  <c r="CG371" i="1"/>
  <c r="CG307" i="1"/>
  <c r="CG243" i="1"/>
  <c r="CG11" i="1"/>
  <c r="CG197" i="1"/>
  <c r="CG196" i="1"/>
  <c r="CG188" i="1"/>
  <c r="CG180" i="1"/>
  <c r="CG172" i="1"/>
  <c r="CG164" i="1"/>
  <c r="CG156" i="1"/>
  <c r="CG148" i="1"/>
  <c r="CG140" i="1"/>
  <c r="CG132" i="1"/>
  <c r="CG124" i="1"/>
  <c r="CG116" i="1"/>
  <c r="CG108" i="1"/>
  <c r="CG100" i="1"/>
  <c r="CG92" i="1"/>
  <c r="CG84" i="1"/>
  <c r="CG76" i="1"/>
  <c r="CG68" i="1"/>
  <c r="CG60" i="1"/>
  <c r="CG52" i="1"/>
  <c r="CG44" i="1"/>
  <c r="CG36" i="1"/>
  <c r="CG28" i="1"/>
  <c r="CG20" i="1"/>
  <c r="CG497" i="1"/>
  <c r="CG489" i="1"/>
  <c r="CG481" i="1"/>
  <c r="CG473" i="1"/>
  <c r="CG465" i="1"/>
  <c r="CG457" i="1"/>
  <c r="CG449" i="1"/>
  <c r="CG441" i="1"/>
  <c r="CG433" i="1"/>
  <c r="CG425" i="1"/>
  <c r="CG417" i="1"/>
  <c r="CG409" i="1"/>
  <c r="CG401" i="1"/>
  <c r="CG393" i="1"/>
  <c r="CG385" i="1"/>
  <c r="CG377" i="1"/>
  <c r="CG369" i="1"/>
  <c r="CG361" i="1"/>
  <c r="CG353" i="1"/>
  <c r="CG345" i="1"/>
  <c r="CG337" i="1"/>
  <c r="CG329" i="1"/>
  <c r="CG321" i="1"/>
  <c r="CG313" i="1"/>
  <c r="CG305" i="1"/>
  <c r="CG297" i="1"/>
  <c r="CG289" i="1"/>
  <c r="CG281" i="1"/>
  <c r="CG273" i="1"/>
  <c r="CG265" i="1"/>
  <c r="CG257" i="1"/>
  <c r="CG249" i="1"/>
  <c r="CG241" i="1"/>
  <c r="CG233" i="1"/>
  <c r="CG225" i="1"/>
  <c r="CG217" i="1"/>
  <c r="CG209" i="1"/>
  <c r="CG201" i="1"/>
  <c r="CG193" i="1"/>
  <c r="CG185" i="1"/>
  <c r="CG177" i="1"/>
  <c r="CG169" i="1"/>
  <c r="CG161" i="1"/>
  <c r="CG153" i="1"/>
  <c r="CG145" i="1"/>
  <c r="CG137" i="1"/>
  <c r="CG129" i="1"/>
  <c r="CG121" i="1"/>
  <c r="CG113" i="1"/>
  <c r="CG105" i="1"/>
  <c r="CG97" i="1"/>
  <c r="CG89" i="1"/>
  <c r="CG73" i="1"/>
  <c r="CG65" i="1"/>
  <c r="CG57" i="1"/>
  <c r="CG49" i="1"/>
  <c r="CG41" i="1"/>
  <c r="CG33" i="1"/>
  <c r="CG25" i="1"/>
  <c r="CG17" i="1"/>
  <c r="CA173" i="1"/>
  <c r="CG503" i="1"/>
  <c r="CG495" i="1"/>
  <c r="CG487" i="1"/>
  <c r="CG479" i="1"/>
  <c r="CG463" i="1"/>
  <c r="CG455" i="1"/>
  <c r="CG447" i="1"/>
  <c r="CG439" i="1"/>
  <c r="CG431" i="1"/>
  <c r="CG423" i="1"/>
  <c r="CG415" i="1"/>
  <c r="CG407" i="1"/>
  <c r="CG399" i="1"/>
  <c r="CG391" i="1"/>
  <c r="CG383" i="1"/>
  <c r="CG375" i="1"/>
  <c r="CG367" i="1"/>
  <c r="CG359" i="1"/>
  <c r="CG351" i="1"/>
  <c r="CG343" i="1"/>
  <c r="CG335" i="1"/>
  <c r="CG327" i="1"/>
  <c r="CG319" i="1"/>
  <c r="CG311" i="1"/>
  <c r="CG303" i="1"/>
  <c r="CG295" i="1"/>
  <c r="CG287" i="1"/>
  <c r="CG279" i="1"/>
  <c r="CG271" i="1"/>
  <c r="CG263" i="1"/>
  <c r="CG255" i="1"/>
  <c r="CG247" i="1"/>
  <c r="CG239" i="1"/>
  <c r="CG223" i="1"/>
  <c r="CG215" i="1"/>
  <c r="CG207" i="1"/>
  <c r="CG199" i="1"/>
  <c r="CG191" i="1"/>
  <c r="CG183" i="1"/>
  <c r="CG175" i="1"/>
  <c r="CG167" i="1"/>
  <c r="CG159" i="1"/>
  <c r="CG151" i="1"/>
  <c r="CG143" i="1"/>
  <c r="CG135" i="1"/>
  <c r="CG127" i="1"/>
  <c r="CG119" i="1"/>
  <c r="CG111" i="1"/>
  <c r="CG103" i="1"/>
  <c r="CG95" i="1"/>
  <c r="CG87" i="1"/>
  <c r="CG79" i="1"/>
  <c r="CG71" i="1"/>
  <c r="CG63" i="1"/>
  <c r="CG55" i="1"/>
  <c r="CG15" i="1"/>
  <c r="CG7" i="1"/>
  <c r="CF471" i="1"/>
  <c r="CF231" i="1"/>
  <c r="CG230" i="1"/>
  <c r="CG222" i="1"/>
  <c r="CG214" i="1"/>
  <c r="CG206" i="1"/>
  <c r="CG198" i="1"/>
  <c r="CG190" i="1"/>
  <c r="CG182" i="1"/>
  <c r="CG174" i="1"/>
  <c r="CG166" i="1"/>
  <c r="CG158" i="1"/>
  <c r="CG150" i="1"/>
  <c r="CG142" i="1"/>
  <c r="CG134" i="1"/>
  <c r="CG126" i="1"/>
  <c r="CG118" i="1"/>
  <c r="CG110" i="1"/>
  <c r="CG102" i="1"/>
  <c r="CG94" i="1"/>
  <c r="CG86" i="1"/>
  <c r="CG78" i="1"/>
  <c r="CG70" i="1"/>
  <c r="CG62" i="1"/>
  <c r="CG54" i="1"/>
  <c r="CG46" i="1"/>
  <c r="CG38" i="1"/>
  <c r="CG30" i="1"/>
  <c r="CG22" i="1"/>
  <c r="CA117" i="1"/>
  <c r="CF356" i="1"/>
  <c r="BX81" i="1"/>
  <c r="CF386" i="1"/>
  <c r="CF260" i="1"/>
  <c r="CF189" i="1"/>
  <c r="CE188" i="1"/>
  <c r="BZ8" i="1"/>
  <c r="CF165" i="1"/>
  <c r="CF445" i="1"/>
  <c r="CF93" i="1"/>
  <c r="CF421" i="1"/>
  <c r="CE47" i="1"/>
  <c r="CE39" i="1"/>
  <c r="CF420" i="1"/>
  <c r="CF325" i="1"/>
  <c r="CF164" i="1"/>
  <c r="CF69" i="1"/>
  <c r="CF485" i="1"/>
  <c r="CF413" i="1"/>
  <c r="CF324" i="1"/>
  <c r="CF229" i="1"/>
  <c r="CF157" i="1"/>
  <c r="CF484" i="1"/>
  <c r="CF317" i="1"/>
  <c r="CF228" i="1"/>
  <c r="CF133" i="1"/>
  <c r="CF61" i="1"/>
  <c r="CB491" i="1"/>
  <c r="CE387" i="1"/>
  <c r="CF477" i="1"/>
  <c r="CF388" i="1"/>
  <c r="CF221" i="1"/>
  <c r="CF37" i="1"/>
  <c r="CF453" i="1"/>
  <c r="CF381" i="1"/>
  <c r="CF292" i="1"/>
  <c r="CF197" i="1"/>
  <c r="CA349" i="1"/>
  <c r="CE253" i="1"/>
  <c r="CE189" i="1"/>
  <c r="CF452" i="1"/>
  <c r="CF285" i="1"/>
  <c r="CF196" i="1"/>
  <c r="CF101" i="1"/>
  <c r="CF476" i="1"/>
  <c r="CF444" i="1"/>
  <c r="CF412" i="1"/>
  <c r="CF380" i="1"/>
  <c r="CF348" i="1"/>
  <c r="CF316" i="1"/>
  <c r="CF284" i="1"/>
  <c r="CF252" i="1"/>
  <c r="CF220" i="1"/>
  <c r="CF188" i="1"/>
  <c r="CF156" i="1"/>
  <c r="CF469" i="1"/>
  <c r="CF437" i="1"/>
  <c r="CF341" i="1"/>
  <c r="CF245" i="1"/>
  <c r="CF53" i="1"/>
  <c r="CE444" i="1"/>
  <c r="CF500" i="1"/>
  <c r="CF468" i="1"/>
  <c r="CF436" i="1"/>
  <c r="CF404" i="1"/>
  <c r="CF372" i="1"/>
  <c r="CF340" i="1"/>
  <c r="CF308" i="1"/>
  <c r="CF276" i="1"/>
  <c r="CF244" i="1"/>
  <c r="CF212" i="1"/>
  <c r="CF180" i="1"/>
  <c r="CF148" i="1"/>
  <c r="CF501" i="1"/>
  <c r="CF373" i="1"/>
  <c r="CF277" i="1"/>
  <c r="CF213" i="1"/>
  <c r="CF149" i="1"/>
  <c r="CF117" i="1"/>
  <c r="CF21" i="1"/>
  <c r="CE317" i="1"/>
  <c r="CF493" i="1"/>
  <c r="CF461" i="1"/>
  <c r="CF429" i="1"/>
  <c r="CF397" i="1"/>
  <c r="CF365" i="1"/>
  <c r="CF333" i="1"/>
  <c r="CF301" i="1"/>
  <c r="CF269" i="1"/>
  <c r="CF237" i="1"/>
  <c r="CF205" i="1"/>
  <c r="CF173" i="1"/>
  <c r="CF141" i="1"/>
  <c r="CF109" i="1"/>
  <c r="CF77" i="1"/>
  <c r="CF45" i="1"/>
  <c r="CF13" i="1"/>
  <c r="CE445" i="1"/>
  <c r="CF405" i="1"/>
  <c r="CF309" i="1"/>
  <c r="CF181" i="1"/>
  <c r="CF85" i="1"/>
  <c r="CE316" i="1"/>
  <c r="CF492" i="1"/>
  <c r="CF460" i="1"/>
  <c r="CF428" i="1"/>
  <c r="CF396" i="1"/>
  <c r="CF364" i="1"/>
  <c r="CF332" i="1"/>
  <c r="CF300" i="1"/>
  <c r="CF268" i="1"/>
  <c r="CF236" i="1"/>
  <c r="CF204" i="1"/>
  <c r="CF172" i="1"/>
  <c r="CF140" i="1"/>
  <c r="CE413" i="1"/>
  <c r="CE285" i="1"/>
  <c r="CE31" i="1"/>
  <c r="CF499" i="1"/>
  <c r="CF491" i="1"/>
  <c r="CF483" i="1"/>
  <c r="CF475" i="1"/>
  <c r="CF467" i="1"/>
  <c r="CF459" i="1"/>
  <c r="CF451" i="1"/>
  <c r="CF443" i="1"/>
  <c r="CF435" i="1"/>
  <c r="CF427" i="1"/>
  <c r="CF419" i="1"/>
  <c r="CF411" i="1"/>
  <c r="CF403" i="1"/>
  <c r="CF395" i="1"/>
  <c r="CF387" i="1"/>
  <c r="CF379" i="1"/>
  <c r="CF371" i="1"/>
  <c r="CF363" i="1"/>
  <c r="CF355" i="1"/>
  <c r="CF347" i="1"/>
  <c r="CF339" i="1"/>
  <c r="CF331" i="1"/>
  <c r="CF323" i="1"/>
  <c r="CF315" i="1"/>
  <c r="CF307" i="1"/>
  <c r="CF299" i="1"/>
  <c r="CF291" i="1"/>
  <c r="CF283" i="1"/>
  <c r="CF275" i="1"/>
  <c r="CF267" i="1"/>
  <c r="CF259" i="1"/>
  <c r="CF251" i="1"/>
  <c r="CF243" i="1"/>
  <c r="CF235" i="1"/>
  <c r="CF227" i="1"/>
  <c r="CF219" i="1"/>
  <c r="CF211" i="1"/>
  <c r="CF203" i="1"/>
  <c r="CF195" i="1"/>
  <c r="CF187" i="1"/>
  <c r="CF179" i="1"/>
  <c r="CF171" i="1"/>
  <c r="CF163" i="1"/>
  <c r="CF155" i="1"/>
  <c r="CF147" i="1"/>
  <c r="CF139" i="1"/>
  <c r="CF131" i="1"/>
  <c r="CF123" i="1"/>
  <c r="CF115" i="1"/>
  <c r="CF107" i="1"/>
  <c r="CF99" i="1"/>
  <c r="CF91" i="1"/>
  <c r="CF83" i="1"/>
  <c r="CF75" i="1"/>
  <c r="CF67" i="1"/>
  <c r="CF59" i="1"/>
  <c r="CF51" i="1"/>
  <c r="CF43" i="1"/>
  <c r="CF35" i="1"/>
  <c r="CF27" i="1"/>
  <c r="CF19" i="1"/>
  <c r="CF11" i="1"/>
  <c r="CD216" i="1"/>
  <c r="CE412" i="1"/>
  <c r="CE284" i="1"/>
  <c r="CE156" i="1"/>
  <c r="CE23" i="1"/>
  <c r="CF466" i="1"/>
  <c r="CF162" i="1"/>
  <c r="CF154" i="1"/>
  <c r="CF146" i="1"/>
  <c r="CF138" i="1"/>
  <c r="CF130" i="1"/>
  <c r="CF122" i="1"/>
  <c r="CF114" i="1"/>
  <c r="CF106" i="1"/>
  <c r="CF98" i="1"/>
  <c r="CF90" i="1"/>
  <c r="CF82" i="1"/>
  <c r="CF74" i="1"/>
  <c r="CF66" i="1"/>
  <c r="CF58" i="1"/>
  <c r="CF50" i="1"/>
  <c r="CF42" i="1"/>
  <c r="CF34" i="1"/>
  <c r="CF26" i="1"/>
  <c r="CF18" i="1"/>
  <c r="CD88" i="1"/>
  <c r="CE381" i="1"/>
  <c r="CE117" i="1"/>
  <c r="CF217" i="1"/>
  <c r="CF209" i="1"/>
  <c r="CF201" i="1"/>
  <c r="CF193" i="1"/>
  <c r="CF185" i="1"/>
  <c r="CF177" i="1"/>
  <c r="CF169" i="1"/>
  <c r="CF161" i="1"/>
  <c r="CF153" i="1"/>
  <c r="CF145" i="1"/>
  <c r="CF137" i="1"/>
  <c r="CF129" i="1"/>
  <c r="CF121" i="1"/>
  <c r="CF113" i="1"/>
  <c r="CF105" i="1"/>
  <c r="CF97" i="1"/>
  <c r="CF89" i="1"/>
  <c r="CF81" i="1"/>
  <c r="CF73" i="1"/>
  <c r="CF65" i="1"/>
  <c r="CF57" i="1"/>
  <c r="CF49" i="1"/>
  <c r="CF41" i="1"/>
  <c r="CF33" i="1"/>
  <c r="CF25" i="1"/>
  <c r="CF17" i="1"/>
  <c r="CD61" i="1"/>
  <c r="CE380" i="1"/>
  <c r="CE252" i="1"/>
  <c r="CE109" i="1"/>
  <c r="CF496" i="1"/>
  <c r="CF352" i="1"/>
  <c r="CF216" i="1"/>
  <c r="CF208" i="1"/>
  <c r="CF200" i="1"/>
  <c r="CF192" i="1"/>
  <c r="CF184" i="1"/>
  <c r="CF176" i="1"/>
  <c r="CF168" i="1"/>
  <c r="CF160" i="1"/>
  <c r="CF152" i="1"/>
  <c r="CF144" i="1"/>
  <c r="CF136" i="1"/>
  <c r="CF128" i="1"/>
  <c r="CF120" i="1"/>
  <c r="CF112" i="1"/>
  <c r="CF104" i="1"/>
  <c r="CF96" i="1"/>
  <c r="CF88" i="1"/>
  <c r="CF80" i="1"/>
  <c r="CF72" i="1"/>
  <c r="CF64" i="1"/>
  <c r="CF56" i="1"/>
  <c r="CF48" i="1"/>
  <c r="CF40" i="1"/>
  <c r="CF32" i="1"/>
  <c r="CF24" i="1"/>
  <c r="CF16" i="1"/>
  <c r="CF8" i="1"/>
  <c r="CE477" i="1"/>
  <c r="CE349" i="1"/>
  <c r="CE55" i="1"/>
  <c r="CF215" i="1"/>
  <c r="CF207" i="1"/>
  <c r="CF199" i="1"/>
  <c r="CF191" i="1"/>
  <c r="CF183" i="1"/>
  <c r="CF175" i="1"/>
  <c r="CF167" i="1"/>
  <c r="CF159" i="1"/>
  <c r="CF151" i="1"/>
  <c r="CF143" i="1"/>
  <c r="CF135" i="1"/>
  <c r="CF127" i="1"/>
  <c r="CF119" i="1"/>
  <c r="CF111" i="1"/>
  <c r="CF103" i="1"/>
  <c r="CF95" i="1"/>
  <c r="CF87" i="1"/>
  <c r="CF79" i="1"/>
  <c r="CF71" i="1"/>
  <c r="CF63" i="1"/>
  <c r="CF55" i="1"/>
  <c r="CF47" i="1"/>
  <c r="CF39" i="1"/>
  <c r="CF31" i="1"/>
  <c r="CF23" i="1"/>
  <c r="CE476" i="1"/>
  <c r="CE348" i="1"/>
  <c r="CE220" i="1"/>
  <c r="CE53" i="1"/>
  <c r="CF502" i="1"/>
  <c r="CF494" i="1"/>
  <c r="CF486" i="1"/>
  <c r="CF478" i="1"/>
  <c r="CF470" i="1"/>
  <c r="CF462" i="1"/>
  <c r="CF454" i="1"/>
  <c r="CF446" i="1"/>
  <c r="CF438" i="1"/>
  <c r="CF430" i="1"/>
  <c r="CF422" i="1"/>
  <c r="CF414" i="1"/>
  <c r="CF406" i="1"/>
  <c r="CF398" i="1"/>
  <c r="CF390" i="1"/>
  <c r="CF382" i="1"/>
  <c r="CF374" i="1"/>
  <c r="CF366" i="1"/>
  <c r="CF358" i="1"/>
  <c r="CF350" i="1"/>
  <c r="CF342" i="1"/>
  <c r="CF334" i="1"/>
  <c r="CF326" i="1"/>
  <c r="CF318" i="1"/>
  <c r="CF310" i="1"/>
  <c r="CF302" i="1"/>
  <c r="CF294" i="1"/>
  <c r="CF286" i="1"/>
  <c r="CF270" i="1"/>
  <c r="CF262" i="1"/>
  <c r="CF254" i="1"/>
  <c r="CF246" i="1"/>
  <c r="CF238" i="1"/>
  <c r="CF230" i="1"/>
  <c r="CF222" i="1"/>
  <c r="CF214" i="1"/>
  <c r="CF206" i="1"/>
  <c r="CF198" i="1"/>
  <c r="CF190" i="1"/>
  <c r="CF182" i="1"/>
  <c r="CF174" i="1"/>
  <c r="CF166" i="1"/>
  <c r="CF158" i="1"/>
  <c r="CF142" i="1"/>
  <c r="CF134" i="1"/>
  <c r="CF126" i="1"/>
  <c r="CF118" i="1"/>
  <c r="CF110" i="1"/>
  <c r="CF102" i="1"/>
  <c r="CF94" i="1"/>
  <c r="CF86" i="1"/>
  <c r="CF78" i="1"/>
  <c r="CF70" i="1"/>
  <c r="CF62" i="1"/>
  <c r="CF54" i="1"/>
  <c r="CF46" i="1"/>
  <c r="CF38" i="1"/>
  <c r="CF30" i="1"/>
  <c r="CF22" i="1"/>
  <c r="CA357" i="1"/>
  <c r="CD357" i="1"/>
  <c r="CE500" i="1"/>
  <c r="CE468" i="1"/>
  <c r="CE436" i="1"/>
  <c r="CE404" i="1"/>
  <c r="CE340" i="1"/>
  <c r="CE308" i="1"/>
  <c r="CE276" i="1"/>
  <c r="CE244" i="1"/>
  <c r="CE212" i="1"/>
  <c r="CE180" i="1"/>
  <c r="CE148" i="1"/>
  <c r="CE45" i="1"/>
  <c r="CB490" i="1"/>
  <c r="CE490" i="1"/>
  <c r="CB474" i="1"/>
  <c r="CE474" i="1"/>
  <c r="CB450" i="1"/>
  <c r="CE450" i="1"/>
  <c r="CB442" i="1"/>
  <c r="CE442" i="1"/>
  <c r="CB434" i="1"/>
  <c r="CE434" i="1"/>
  <c r="CB426" i="1"/>
  <c r="CE426" i="1"/>
  <c r="CB410" i="1"/>
  <c r="CE410" i="1"/>
  <c r="CB394" i="1"/>
  <c r="CE394" i="1"/>
  <c r="CB362" i="1"/>
  <c r="CE362" i="1"/>
  <c r="CB338" i="1"/>
  <c r="CE338" i="1"/>
  <c r="CB322" i="1"/>
  <c r="CE322" i="1"/>
  <c r="CB314" i="1"/>
  <c r="CE314" i="1"/>
  <c r="CB290" i="1"/>
  <c r="CE290" i="1"/>
  <c r="CB258" i="1"/>
  <c r="CE258" i="1"/>
  <c r="CB250" i="1"/>
  <c r="CE250" i="1"/>
  <c r="CB210" i="1"/>
  <c r="CE210" i="1"/>
  <c r="CD9" i="1"/>
  <c r="CE9" i="1"/>
  <c r="CA389" i="1"/>
  <c r="CD389" i="1"/>
  <c r="CA293" i="1"/>
  <c r="CD293" i="1"/>
  <c r="CA261" i="1"/>
  <c r="CD261" i="1"/>
  <c r="CA253" i="1"/>
  <c r="CD253" i="1"/>
  <c r="CA221" i="1"/>
  <c r="CD221" i="1"/>
  <c r="CA157" i="1"/>
  <c r="CD157" i="1"/>
  <c r="CA125" i="1"/>
  <c r="CD125" i="1"/>
  <c r="CA93" i="1"/>
  <c r="CD93" i="1"/>
  <c r="CA29" i="1"/>
  <c r="CD29" i="1"/>
  <c r="CE493" i="1"/>
  <c r="CE461" i="1"/>
  <c r="CE429" i="1"/>
  <c r="CE397" i="1"/>
  <c r="CE365" i="1"/>
  <c r="CE333" i="1"/>
  <c r="CE301" i="1"/>
  <c r="CE269" i="1"/>
  <c r="CE237" i="1"/>
  <c r="CE205" i="1"/>
  <c r="CE173" i="1"/>
  <c r="CE141" i="1"/>
  <c r="CE85" i="1"/>
  <c r="CA7" i="1"/>
  <c r="CE7" i="1"/>
  <c r="BZ495" i="1"/>
  <c r="CE495" i="1"/>
  <c r="BP487" i="1"/>
  <c r="CE487" i="1"/>
  <c r="BX479" i="1"/>
  <c r="CE479" i="1"/>
  <c r="BP471" i="1"/>
  <c r="CE471" i="1"/>
  <c r="BP463" i="1"/>
  <c r="CE463" i="1"/>
  <c r="BP455" i="1"/>
  <c r="CE455" i="1"/>
  <c r="BZ447" i="1"/>
  <c r="CE447" i="1"/>
  <c r="BP439" i="1"/>
  <c r="CE439" i="1"/>
  <c r="CC431" i="1"/>
  <c r="CE431" i="1"/>
  <c r="BP423" i="1"/>
  <c r="CE423" i="1"/>
  <c r="CB415" i="1"/>
  <c r="CE415" i="1"/>
  <c r="BP407" i="1"/>
  <c r="CE407" i="1"/>
  <c r="CA399" i="1"/>
  <c r="CE399" i="1"/>
  <c r="CA391" i="1"/>
  <c r="CE391" i="1"/>
  <c r="CA383" i="1"/>
  <c r="CE383" i="1"/>
  <c r="CA375" i="1"/>
  <c r="CE375" i="1"/>
  <c r="CA367" i="1"/>
  <c r="CE367" i="1"/>
  <c r="CA359" i="1"/>
  <c r="CE359" i="1"/>
  <c r="CA351" i="1"/>
  <c r="CE351" i="1"/>
  <c r="CA343" i="1"/>
  <c r="CE343" i="1"/>
  <c r="CA335" i="1"/>
  <c r="CE335" i="1"/>
  <c r="CA327" i="1"/>
  <c r="CE327" i="1"/>
  <c r="CA319" i="1"/>
  <c r="CE319" i="1"/>
  <c r="CA311" i="1"/>
  <c r="CE311" i="1"/>
  <c r="CA303" i="1"/>
  <c r="CE303" i="1"/>
  <c r="CA295" i="1"/>
  <c r="CE295" i="1"/>
  <c r="CA287" i="1"/>
  <c r="CE287" i="1"/>
  <c r="CA279" i="1"/>
  <c r="CE279" i="1"/>
  <c r="CA271" i="1"/>
  <c r="CE271" i="1"/>
  <c r="CA263" i="1"/>
  <c r="CE263" i="1"/>
  <c r="CA255" i="1"/>
  <c r="CE255" i="1"/>
  <c r="CB247" i="1"/>
  <c r="CE247" i="1"/>
  <c r="CB239" i="1"/>
  <c r="CE239" i="1"/>
  <c r="CB231" i="1"/>
  <c r="CE231" i="1"/>
  <c r="CC223" i="1"/>
  <c r="CE223" i="1"/>
  <c r="CD325" i="1"/>
  <c r="CE492" i="1"/>
  <c r="CE460" i="1"/>
  <c r="CE428" i="1"/>
  <c r="CE396" i="1"/>
  <c r="CE364" i="1"/>
  <c r="CE332" i="1"/>
  <c r="CE300" i="1"/>
  <c r="CE268" i="1"/>
  <c r="CE236" i="1"/>
  <c r="CE204" i="1"/>
  <c r="CE172" i="1"/>
  <c r="CE140" i="1"/>
  <c r="CE77" i="1"/>
  <c r="CE37" i="1"/>
  <c r="CA15" i="1"/>
  <c r="CE15" i="1"/>
  <c r="BP503" i="1"/>
  <c r="CE503" i="1"/>
  <c r="CB14" i="1"/>
  <c r="CE14" i="1"/>
  <c r="CB6" i="1"/>
  <c r="CE6" i="1"/>
  <c r="CB504" i="1"/>
  <c r="CE504" i="1"/>
  <c r="CB496" i="1"/>
  <c r="CE496" i="1"/>
  <c r="CB488" i="1"/>
  <c r="CE488" i="1"/>
  <c r="CD488" i="1"/>
  <c r="CB480" i="1"/>
  <c r="CE480" i="1"/>
  <c r="CB472" i="1"/>
  <c r="CE472" i="1"/>
  <c r="CB464" i="1"/>
  <c r="CE464" i="1"/>
  <c r="CB456" i="1"/>
  <c r="CE456" i="1"/>
  <c r="CB448" i="1"/>
  <c r="CE448" i="1"/>
  <c r="CB440" i="1"/>
  <c r="CE440" i="1"/>
  <c r="CB432" i="1"/>
  <c r="CE432" i="1"/>
  <c r="CD432" i="1"/>
  <c r="CB424" i="1"/>
  <c r="CE424" i="1"/>
  <c r="CD424" i="1"/>
  <c r="CB416" i="1"/>
  <c r="CE416" i="1"/>
  <c r="CB408" i="1"/>
  <c r="CE408" i="1"/>
  <c r="CA400" i="1"/>
  <c r="CE400" i="1"/>
  <c r="CB392" i="1"/>
  <c r="CE392" i="1"/>
  <c r="CB384" i="1"/>
  <c r="CD384" i="1"/>
  <c r="CE384" i="1"/>
  <c r="CB376" i="1"/>
  <c r="CE376" i="1"/>
  <c r="CB368" i="1"/>
  <c r="CE368" i="1"/>
  <c r="CB360" i="1"/>
  <c r="CE360" i="1"/>
  <c r="CB352" i="1"/>
  <c r="CE352" i="1"/>
  <c r="CD344" i="1"/>
  <c r="CE344" i="1"/>
  <c r="CB336" i="1"/>
  <c r="CE336" i="1"/>
  <c r="CB328" i="1"/>
  <c r="CE328" i="1"/>
  <c r="CB320" i="1"/>
  <c r="CE320" i="1"/>
  <c r="CD320" i="1"/>
  <c r="CB312" i="1"/>
  <c r="CE312" i="1"/>
  <c r="CB304" i="1"/>
  <c r="CE304" i="1"/>
  <c r="CB296" i="1"/>
  <c r="CE296" i="1"/>
  <c r="CB288" i="1"/>
  <c r="CE288" i="1"/>
  <c r="CD288" i="1"/>
  <c r="CB280" i="1"/>
  <c r="CE280" i="1"/>
  <c r="CC272" i="1"/>
  <c r="CE272" i="1"/>
  <c r="CB264" i="1"/>
  <c r="CE264" i="1"/>
  <c r="CB256" i="1"/>
  <c r="CE256" i="1"/>
  <c r="CA248" i="1"/>
  <c r="CE248" i="1"/>
  <c r="CB240" i="1"/>
  <c r="CE240" i="1"/>
  <c r="CB232" i="1"/>
  <c r="CE232" i="1"/>
  <c r="CB224" i="1"/>
  <c r="CE224" i="1"/>
  <c r="CE485" i="1"/>
  <c r="CE453" i="1"/>
  <c r="CE421" i="1"/>
  <c r="CE389" i="1"/>
  <c r="CE357" i="1"/>
  <c r="CE325" i="1"/>
  <c r="CE293" i="1"/>
  <c r="CE261" i="1"/>
  <c r="CE229" i="1"/>
  <c r="CE197" i="1"/>
  <c r="CE165" i="1"/>
  <c r="CE133" i="1"/>
  <c r="CE69" i="1"/>
  <c r="BZ497" i="1"/>
  <c r="CE497" i="1"/>
  <c r="BZ489" i="1"/>
  <c r="CE489" i="1"/>
  <c r="BZ481" i="1"/>
  <c r="CE481" i="1"/>
  <c r="BZ473" i="1"/>
  <c r="CE473" i="1"/>
  <c r="BZ465" i="1"/>
  <c r="CE465" i="1"/>
  <c r="BZ457" i="1"/>
  <c r="CE457" i="1"/>
  <c r="BZ449" i="1"/>
  <c r="CE449" i="1"/>
  <c r="BZ441" i="1"/>
  <c r="CE441" i="1"/>
  <c r="BZ433" i="1"/>
  <c r="CE433" i="1"/>
  <c r="BZ425" i="1"/>
  <c r="CE425" i="1"/>
  <c r="BZ417" i="1"/>
  <c r="CE417" i="1"/>
  <c r="BZ409" i="1"/>
  <c r="CE409" i="1"/>
  <c r="BZ401" i="1"/>
  <c r="CE401" i="1"/>
  <c r="BZ393" i="1"/>
  <c r="CE393" i="1"/>
  <c r="BZ385" i="1"/>
  <c r="CE385" i="1"/>
  <c r="BZ377" i="1"/>
  <c r="CE377" i="1"/>
  <c r="BZ369" i="1"/>
  <c r="CE369" i="1"/>
  <c r="BZ361" i="1"/>
  <c r="CE361" i="1"/>
  <c r="BZ353" i="1"/>
  <c r="CE353" i="1"/>
  <c r="BZ345" i="1"/>
  <c r="CE345" i="1"/>
  <c r="BZ337" i="1"/>
  <c r="CE337" i="1"/>
  <c r="BZ329" i="1"/>
  <c r="CE329" i="1"/>
  <c r="BZ321" i="1"/>
  <c r="CE321" i="1"/>
  <c r="BZ313" i="1"/>
  <c r="CE313" i="1"/>
  <c r="BY305" i="1"/>
  <c r="CE305" i="1"/>
  <c r="CB297" i="1"/>
  <c r="CE297" i="1"/>
  <c r="CB289" i="1"/>
  <c r="CE289" i="1"/>
  <c r="CB281" i="1"/>
  <c r="CE281" i="1"/>
  <c r="CB273" i="1"/>
  <c r="CE273" i="1"/>
  <c r="CB265" i="1"/>
  <c r="CE265" i="1"/>
  <c r="CB257" i="1"/>
  <c r="CE257" i="1"/>
  <c r="CB249" i="1"/>
  <c r="CE249" i="1"/>
  <c r="CB241" i="1"/>
  <c r="CE241" i="1"/>
  <c r="CB233" i="1"/>
  <c r="CE233" i="1"/>
  <c r="CB225" i="1"/>
  <c r="CE225" i="1"/>
  <c r="CD189" i="1"/>
  <c r="CE484" i="1"/>
  <c r="CE452" i="1"/>
  <c r="CE420" i="1"/>
  <c r="CE388" i="1"/>
  <c r="CE356" i="1"/>
  <c r="CE324" i="1"/>
  <c r="CE292" i="1"/>
  <c r="CE260" i="1"/>
  <c r="CE228" i="1"/>
  <c r="CE196" i="1"/>
  <c r="CE164" i="1"/>
  <c r="CE125" i="1"/>
  <c r="CE61" i="1"/>
  <c r="CE29" i="1"/>
  <c r="CB12" i="1"/>
  <c r="CE12" i="1"/>
  <c r="CB498" i="1"/>
  <c r="CE498" i="1"/>
  <c r="CC482" i="1"/>
  <c r="CE482" i="1"/>
  <c r="CB458" i="1"/>
  <c r="CE458" i="1"/>
  <c r="CB418" i="1"/>
  <c r="CE418" i="1"/>
  <c r="CB402" i="1"/>
  <c r="CE402" i="1"/>
  <c r="CB386" i="1"/>
  <c r="CE386" i="1"/>
  <c r="CB378" i="1"/>
  <c r="CE378" i="1"/>
  <c r="CB370" i="1"/>
  <c r="CE370" i="1"/>
  <c r="CB354" i="1"/>
  <c r="CE354" i="1"/>
  <c r="CA346" i="1"/>
  <c r="CE346" i="1"/>
  <c r="CD330" i="1"/>
  <c r="CE330" i="1"/>
  <c r="CB306" i="1"/>
  <c r="CE306" i="1"/>
  <c r="CB298" i="1"/>
  <c r="CE298" i="1"/>
  <c r="CB282" i="1"/>
  <c r="CE282" i="1"/>
  <c r="CB274" i="1"/>
  <c r="CE274" i="1"/>
  <c r="CB266" i="1"/>
  <c r="CE266" i="1"/>
  <c r="CB242" i="1"/>
  <c r="CE242" i="1"/>
  <c r="CB234" i="1"/>
  <c r="CE234" i="1"/>
  <c r="CB226" i="1"/>
  <c r="CE226" i="1"/>
  <c r="CB218" i="1"/>
  <c r="CE218" i="1"/>
  <c r="CB202" i="1"/>
  <c r="CE202" i="1"/>
  <c r="BV194" i="1"/>
  <c r="CE194" i="1"/>
  <c r="BV186" i="1"/>
  <c r="CE186" i="1"/>
  <c r="BV178" i="1"/>
  <c r="CE178" i="1"/>
  <c r="BV170" i="1"/>
  <c r="CE170" i="1"/>
  <c r="CD10" i="1"/>
  <c r="CE10" i="1"/>
  <c r="CA372" i="1"/>
  <c r="CD132" i="1"/>
  <c r="CE132" i="1"/>
  <c r="CD124" i="1"/>
  <c r="CE124" i="1"/>
  <c r="CD116" i="1"/>
  <c r="CE116" i="1"/>
  <c r="CD108" i="1"/>
  <c r="CE108" i="1"/>
  <c r="CD100" i="1"/>
  <c r="CE100" i="1"/>
  <c r="CD92" i="1"/>
  <c r="CE92" i="1"/>
  <c r="CD84" i="1"/>
  <c r="CE84" i="1"/>
  <c r="CD76" i="1"/>
  <c r="CE76" i="1"/>
  <c r="CC68" i="1"/>
  <c r="CE68" i="1"/>
  <c r="CD60" i="1"/>
  <c r="CE60" i="1"/>
  <c r="CC52" i="1"/>
  <c r="CE52" i="1"/>
  <c r="BW44" i="1"/>
  <c r="CE44" i="1"/>
  <c r="BW36" i="1"/>
  <c r="CE36" i="1"/>
  <c r="CD28" i="1"/>
  <c r="CE28" i="1"/>
  <c r="CD20" i="1"/>
  <c r="CE20" i="1"/>
  <c r="CE501" i="1"/>
  <c r="CE469" i="1"/>
  <c r="CE437" i="1"/>
  <c r="CE405" i="1"/>
  <c r="CE373" i="1"/>
  <c r="CE341" i="1"/>
  <c r="CE309" i="1"/>
  <c r="CE277" i="1"/>
  <c r="CE245" i="1"/>
  <c r="CE213" i="1"/>
  <c r="CE181" i="1"/>
  <c r="CE149" i="1"/>
  <c r="CE101" i="1"/>
  <c r="CE13" i="1"/>
  <c r="BG5" i="1"/>
  <c r="CA278" i="1"/>
  <c r="BZ150" i="1"/>
  <c r="CD184" i="1"/>
  <c r="CD56" i="1"/>
  <c r="CE499" i="1"/>
  <c r="CE491" i="1"/>
  <c r="CE483" i="1"/>
  <c r="CE475" i="1"/>
  <c r="CE467" i="1"/>
  <c r="CE459" i="1"/>
  <c r="CE451" i="1"/>
  <c r="CE443" i="1"/>
  <c r="CE435" i="1"/>
  <c r="CE427" i="1"/>
  <c r="CE419" i="1"/>
  <c r="CE411" i="1"/>
  <c r="CE403" i="1"/>
  <c r="CE395" i="1"/>
  <c r="CE379" i="1"/>
  <c r="CE371" i="1"/>
  <c r="CE363" i="1"/>
  <c r="CE355" i="1"/>
  <c r="CE347" i="1"/>
  <c r="CE339" i="1"/>
  <c r="CE331" i="1"/>
  <c r="CE323" i="1"/>
  <c r="CE315" i="1"/>
  <c r="CE307" i="1"/>
  <c r="CE299" i="1"/>
  <c r="CE291" i="1"/>
  <c r="CE283" i="1"/>
  <c r="CE275" i="1"/>
  <c r="CE267" i="1"/>
  <c r="CE259" i="1"/>
  <c r="CE251" i="1"/>
  <c r="CE243" i="1"/>
  <c r="CE235" i="1"/>
  <c r="CE227" i="1"/>
  <c r="CE219" i="1"/>
  <c r="CE211" i="1"/>
  <c r="CE203" i="1"/>
  <c r="CE195" i="1"/>
  <c r="CE187" i="1"/>
  <c r="CE179" i="1"/>
  <c r="CE171" i="1"/>
  <c r="CE163" i="1"/>
  <c r="CE155" i="1"/>
  <c r="CE147" i="1"/>
  <c r="CE139" i="1"/>
  <c r="CE131" i="1"/>
  <c r="CE123" i="1"/>
  <c r="CE115" i="1"/>
  <c r="CE107" i="1"/>
  <c r="CE99" i="1"/>
  <c r="CE91" i="1"/>
  <c r="CE83" i="1"/>
  <c r="CE75" i="1"/>
  <c r="CE67" i="1"/>
  <c r="CE59" i="1"/>
  <c r="CE51" i="1"/>
  <c r="CE43" i="1"/>
  <c r="CE35" i="1"/>
  <c r="CE27" i="1"/>
  <c r="CE19" i="1"/>
  <c r="CE11" i="1"/>
  <c r="CE162" i="1"/>
  <c r="CE154" i="1"/>
  <c r="CE146" i="1"/>
  <c r="CE138" i="1"/>
  <c r="CE130" i="1"/>
  <c r="CE122" i="1"/>
  <c r="CE114" i="1"/>
  <c r="CE106" i="1"/>
  <c r="CE98" i="1"/>
  <c r="CE90" i="1"/>
  <c r="CE82" i="1"/>
  <c r="CE74" i="1"/>
  <c r="CE66" i="1"/>
  <c r="CE58" i="1"/>
  <c r="CE42" i="1"/>
  <c r="CE34" i="1"/>
  <c r="CE26" i="1"/>
  <c r="CE18" i="1"/>
  <c r="CD152" i="1"/>
  <c r="CD24" i="1"/>
  <c r="CE217" i="1"/>
  <c r="CE209" i="1"/>
  <c r="CE201" i="1"/>
  <c r="CE193" i="1"/>
  <c r="CE185" i="1"/>
  <c r="CE177" i="1"/>
  <c r="CE169" i="1"/>
  <c r="CE161" i="1"/>
  <c r="CE153" i="1"/>
  <c r="CE145" i="1"/>
  <c r="CE137" i="1"/>
  <c r="CE129" i="1"/>
  <c r="CE121" i="1"/>
  <c r="CE113" i="1"/>
  <c r="CE89" i="1"/>
  <c r="CE81" i="1"/>
  <c r="CE73" i="1"/>
  <c r="CE65" i="1"/>
  <c r="CE57" i="1"/>
  <c r="CE49" i="1"/>
  <c r="CE41" i="1"/>
  <c r="CE33" i="1"/>
  <c r="CE25" i="1"/>
  <c r="CE17" i="1"/>
  <c r="BX97" i="1"/>
  <c r="CE216" i="1"/>
  <c r="CE208" i="1"/>
  <c r="CE200" i="1"/>
  <c r="CE192" i="1"/>
  <c r="CE184" i="1"/>
  <c r="CE176" i="1"/>
  <c r="CE168" i="1"/>
  <c r="CE160" i="1"/>
  <c r="CE152" i="1"/>
  <c r="CE144" i="1"/>
  <c r="CE136" i="1"/>
  <c r="CE128" i="1"/>
  <c r="CE120" i="1"/>
  <c r="CE112" i="1"/>
  <c r="CE104" i="1"/>
  <c r="CE96" i="1"/>
  <c r="CE88" i="1"/>
  <c r="CE80" i="1"/>
  <c r="CE72" i="1"/>
  <c r="CE64" i="1"/>
  <c r="CE56" i="1"/>
  <c r="CE48" i="1"/>
  <c r="CE40" i="1"/>
  <c r="CE32" i="1"/>
  <c r="CE24" i="1"/>
  <c r="CE16" i="1"/>
  <c r="CE8" i="1"/>
  <c r="CD120" i="1"/>
  <c r="CE215" i="1"/>
  <c r="CE207" i="1"/>
  <c r="CE199" i="1"/>
  <c r="CE191" i="1"/>
  <c r="CE183" i="1"/>
  <c r="CE175" i="1"/>
  <c r="CE167" i="1"/>
  <c r="CE159" i="1"/>
  <c r="CE151" i="1"/>
  <c r="CE143" i="1"/>
  <c r="CE135" i="1"/>
  <c r="CE127" i="1"/>
  <c r="CE119" i="1"/>
  <c r="CE111" i="1"/>
  <c r="CE103" i="1"/>
  <c r="CE95" i="1"/>
  <c r="CE87" i="1"/>
  <c r="CE79" i="1"/>
  <c r="CE71" i="1"/>
  <c r="CE63" i="1"/>
  <c r="CE502" i="1"/>
  <c r="CE494" i="1"/>
  <c r="CE486" i="1"/>
  <c r="CE478" i="1"/>
  <c r="CE470" i="1"/>
  <c r="CE462" i="1"/>
  <c r="CE454" i="1"/>
  <c r="CE446" i="1"/>
  <c r="CE438" i="1"/>
  <c r="CE430" i="1"/>
  <c r="CE422" i="1"/>
  <c r="CE414" i="1"/>
  <c r="CE406" i="1"/>
  <c r="CE398" i="1"/>
  <c r="CE390" i="1"/>
  <c r="CE382" i="1"/>
  <c r="CE374" i="1"/>
  <c r="CE366" i="1"/>
  <c r="CE358" i="1"/>
  <c r="CE350" i="1"/>
  <c r="CE342" i="1"/>
  <c r="CE334" i="1"/>
  <c r="CE326" i="1"/>
  <c r="CE318" i="1"/>
  <c r="CE310" i="1"/>
  <c r="CE302" i="1"/>
  <c r="CE294" i="1"/>
  <c r="CE286" i="1"/>
  <c r="CE278" i="1"/>
  <c r="CE270" i="1"/>
  <c r="CE262" i="1"/>
  <c r="CE254" i="1"/>
  <c r="CE246" i="1"/>
  <c r="CE238" i="1"/>
  <c r="CE230" i="1"/>
  <c r="CE222" i="1"/>
  <c r="CE214" i="1"/>
  <c r="CE206" i="1"/>
  <c r="CE198" i="1"/>
  <c r="CE190" i="1"/>
  <c r="CE182" i="1"/>
  <c r="CE174" i="1"/>
  <c r="CE166" i="1"/>
  <c r="CE158" i="1"/>
  <c r="CE150" i="1"/>
  <c r="CE142" i="1"/>
  <c r="CE134" i="1"/>
  <c r="CE126" i="1"/>
  <c r="CE118" i="1"/>
  <c r="CE110" i="1"/>
  <c r="CE102" i="1"/>
  <c r="CE94" i="1"/>
  <c r="CE86" i="1"/>
  <c r="CE78" i="1"/>
  <c r="CE70" i="1"/>
  <c r="CE62" i="1"/>
  <c r="CE54" i="1"/>
  <c r="CE46" i="1"/>
  <c r="CE38" i="1"/>
  <c r="CE30" i="1"/>
  <c r="CE22" i="1"/>
  <c r="CB466" i="1"/>
  <c r="BS50" i="1"/>
  <c r="CD464" i="1"/>
  <c r="CD405" i="1"/>
  <c r="CD373" i="1"/>
  <c r="CD341" i="1"/>
  <c r="CD277" i="1"/>
  <c r="CD240" i="1"/>
  <c r="CD205" i="1"/>
  <c r="CD173" i="1"/>
  <c r="CD141" i="1"/>
  <c r="CD109" i="1"/>
  <c r="CD77" i="1"/>
  <c r="CD45" i="1"/>
  <c r="CD456" i="1"/>
  <c r="CD400" i="1"/>
  <c r="CD368" i="1"/>
  <c r="CD336" i="1"/>
  <c r="CD304" i="1"/>
  <c r="CD272" i="1"/>
  <c r="CD232" i="1"/>
  <c r="CD200" i="1"/>
  <c r="CD168" i="1"/>
  <c r="CD136" i="1"/>
  <c r="CD104" i="1"/>
  <c r="CD72" i="1"/>
  <c r="CD40" i="1"/>
  <c r="CD448" i="1"/>
  <c r="CD397" i="1"/>
  <c r="CD365" i="1"/>
  <c r="CD333" i="1"/>
  <c r="CD301" i="1"/>
  <c r="CD269" i="1"/>
  <c r="CD229" i="1"/>
  <c r="CD197" i="1"/>
  <c r="CD165" i="1"/>
  <c r="CD133" i="1"/>
  <c r="CD69" i="1"/>
  <c r="CD37" i="1"/>
  <c r="CA309" i="1"/>
  <c r="CA21" i="1"/>
  <c r="CD504" i="1"/>
  <c r="CD440" i="1"/>
  <c r="CD392" i="1"/>
  <c r="CD360" i="1"/>
  <c r="CD328" i="1"/>
  <c r="CD296" i="1"/>
  <c r="CD264" i="1"/>
  <c r="CD224" i="1"/>
  <c r="CD192" i="1"/>
  <c r="CD160" i="1"/>
  <c r="CD128" i="1"/>
  <c r="CD96" i="1"/>
  <c r="CD64" i="1"/>
  <c r="CD32" i="1"/>
  <c r="CD480" i="1"/>
  <c r="CD416" i="1"/>
  <c r="CD381" i="1"/>
  <c r="CD349" i="1"/>
  <c r="CD317" i="1"/>
  <c r="CD285" i="1"/>
  <c r="CD248" i="1"/>
  <c r="CD213" i="1"/>
  <c r="CD181" i="1"/>
  <c r="CD149" i="1"/>
  <c r="CD117" i="1"/>
  <c r="CD85" i="1"/>
  <c r="CD53" i="1"/>
  <c r="CD21" i="1"/>
  <c r="BX105" i="1"/>
  <c r="CD472" i="1"/>
  <c r="CD408" i="1"/>
  <c r="CD376" i="1"/>
  <c r="CD312" i="1"/>
  <c r="CD280" i="1"/>
  <c r="CD245" i="1"/>
  <c r="CD208" i="1"/>
  <c r="CD176" i="1"/>
  <c r="CD144" i="1"/>
  <c r="CD80" i="1"/>
  <c r="CD48" i="1"/>
  <c r="CD501" i="1"/>
  <c r="CD469" i="1"/>
  <c r="CD445" i="1"/>
  <c r="CD500" i="1"/>
  <c r="CD492" i="1"/>
  <c r="CD484" i="1"/>
  <c r="CD476" i="1"/>
  <c r="CD468" i="1"/>
  <c r="CD460" i="1"/>
  <c r="CD452" i="1"/>
  <c r="CD444" i="1"/>
  <c r="CD436" i="1"/>
  <c r="CD428" i="1"/>
  <c r="CD420" i="1"/>
  <c r="CD412" i="1"/>
  <c r="CD404" i="1"/>
  <c r="CD396" i="1"/>
  <c r="CD388" i="1"/>
  <c r="CD380" i="1"/>
  <c r="CD372" i="1"/>
  <c r="CD364" i="1"/>
  <c r="CD356" i="1"/>
  <c r="CD348" i="1"/>
  <c r="CD340" i="1"/>
  <c r="CD332" i="1"/>
  <c r="CD324" i="1"/>
  <c r="CD316" i="1"/>
  <c r="CD68" i="1"/>
  <c r="CD52" i="1"/>
  <c r="CD44" i="1"/>
  <c r="CD36" i="1"/>
  <c r="CD12" i="1"/>
  <c r="CD493" i="1"/>
  <c r="CD485" i="1"/>
  <c r="CD477" i="1"/>
  <c r="CD461" i="1"/>
  <c r="CD453" i="1"/>
  <c r="CD437" i="1"/>
  <c r="CD421" i="1"/>
  <c r="CD413" i="1"/>
  <c r="CD237" i="1"/>
  <c r="CD13" i="1"/>
  <c r="CB387" i="1"/>
  <c r="CD499" i="1"/>
  <c r="CD491" i="1"/>
  <c r="CD483" i="1"/>
  <c r="CD475" i="1"/>
  <c r="CD467" i="1"/>
  <c r="CD459" i="1"/>
  <c r="CD451" i="1"/>
  <c r="CD443" i="1"/>
  <c r="CD435" i="1"/>
  <c r="CD427" i="1"/>
  <c r="CD419" i="1"/>
  <c r="CD411" i="1"/>
  <c r="CD403" i="1"/>
  <c r="CD395" i="1"/>
  <c r="CD387" i="1"/>
  <c r="CD379" i="1"/>
  <c r="CD371" i="1"/>
  <c r="CD363" i="1"/>
  <c r="CD355" i="1"/>
  <c r="CD347" i="1"/>
  <c r="CD339" i="1"/>
  <c r="CD331" i="1"/>
  <c r="CD323" i="1"/>
  <c r="CD315" i="1"/>
  <c r="CD307" i="1"/>
  <c r="CD299" i="1"/>
  <c r="CD291" i="1"/>
  <c r="CD283" i="1"/>
  <c r="CD275" i="1"/>
  <c r="CD267" i="1"/>
  <c r="CD259" i="1"/>
  <c r="CD251" i="1"/>
  <c r="CD243" i="1"/>
  <c r="CD235" i="1"/>
  <c r="CD227" i="1"/>
  <c r="CD219" i="1"/>
  <c r="CD211" i="1"/>
  <c r="CD203" i="1"/>
  <c r="CD195" i="1"/>
  <c r="CD187" i="1"/>
  <c r="CD179" i="1"/>
  <c r="CD171" i="1"/>
  <c r="CD163" i="1"/>
  <c r="CD155" i="1"/>
  <c r="CD147" i="1"/>
  <c r="CD139" i="1"/>
  <c r="CD131" i="1"/>
  <c r="CD123" i="1"/>
  <c r="CD115" i="1"/>
  <c r="CD107" i="1"/>
  <c r="CD99" i="1"/>
  <c r="CD91" i="1"/>
  <c r="CD83" i="1"/>
  <c r="CD75" i="1"/>
  <c r="CD67" i="1"/>
  <c r="CD59" i="1"/>
  <c r="CD51" i="1"/>
  <c r="CD43" i="1"/>
  <c r="CD35" i="1"/>
  <c r="CD27" i="1"/>
  <c r="CD19" i="1"/>
  <c r="CD11" i="1"/>
  <c r="CD498" i="1"/>
  <c r="CD490" i="1"/>
  <c r="CD482" i="1"/>
  <c r="CD474" i="1"/>
  <c r="CD466" i="1"/>
  <c r="CD458" i="1"/>
  <c r="CD450" i="1"/>
  <c r="CD442" i="1"/>
  <c r="CD434" i="1"/>
  <c r="CD426" i="1"/>
  <c r="CD418" i="1"/>
  <c r="CD410" i="1"/>
  <c r="CD402" i="1"/>
  <c r="CD394" i="1"/>
  <c r="CD386" i="1"/>
  <c r="CD378" i="1"/>
  <c r="CD370" i="1"/>
  <c r="CD362" i="1"/>
  <c r="CD354" i="1"/>
  <c r="CD346" i="1"/>
  <c r="CD338" i="1"/>
  <c r="CD322" i="1"/>
  <c r="CD314" i="1"/>
  <c r="CD306" i="1"/>
  <c r="CD298" i="1"/>
  <c r="CD290" i="1"/>
  <c r="CD282" i="1"/>
  <c r="CD274" i="1"/>
  <c r="CD266" i="1"/>
  <c r="CD258" i="1"/>
  <c r="CD250" i="1"/>
  <c r="CD242" i="1"/>
  <c r="CD234" i="1"/>
  <c r="CD226" i="1"/>
  <c r="CD218" i="1"/>
  <c r="CD210" i="1"/>
  <c r="CD202" i="1"/>
  <c r="CD194" i="1"/>
  <c r="CD186" i="1"/>
  <c r="CD178" i="1"/>
  <c r="CD170" i="1"/>
  <c r="CD162" i="1"/>
  <c r="CD154" i="1"/>
  <c r="CD146" i="1"/>
  <c r="CD138" i="1"/>
  <c r="CD130" i="1"/>
  <c r="CD122" i="1"/>
  <c r="CD114" i="1"/>
  <c r="CD106" i="1"/>
  <c r="CD98" i="1"/>
  <c r="CD90" i="1"/>
  <c r="CD82" i="1"/>
  <c r="CD74" i="1"/>
  <c r="CD66" i="1"/>
  <c r="CD58" i="1"/>
  <c r="CD50" i="1"/>
  <c r="CD42" i="1"/>
  <c r="CD34" i="1"/>
  <c r="CD26" i="1"/>
  <c r="CD18" i="1"/>
  <c r="CA101" i="1"/>
  <c r="CD497" i="1"/>
  <c r="CD489" i="1"/>
  <c r="CD481" i="1"/>
  <c r="CD473" i="1"/>
  <c r="CD465" i="1"/>
  <c r="CD457" i="1"/>
  <c r="CD449" i="1"/>
  <c r="CD441" i="1"/>
  <c r="CD433" i="1"/>
  <c r="CD425" i="1"/>
  <c r="CD417" i="1"/>
  <c r="CD409" i="1"/>
  <c r="CD401" i="1"/>
  <c r="CD393" i="1"/>
  <c r="CD385" i="1"/>
  <c r="CD377" i="1"/>
  <c r="CD369" i="1"/>
  <c r="CD361" i="1"/>
  <c r="CD353" i="1"/>
  <c r="CD345" i="1"/>
  <c r="CD337" i="1"/>
  <c r="CD329" i="1"/>
  <c r="CD321" i="1"/>
  <c r="CD313" i="1"/>
  <c r="CD305" i="1"/>
  <c r="CD297" i="1"/>
  <c r="CD289" i="1"/>
  <c r="CD281" i="1"/>
  <c r="CD273" i="1"/>
  <c r="CD265" i="1"/>
  <c r="CD257" i="1"/>
  <c r="CD249" i="1"/>
  <c r="CD241" i="1"/>
  <c r="CD233" i="1"/>
  <c r="CD225" i="1"/>
  <c r="CD217" i="1"/>
  <c r="CD209" i="1"/>
  <c r="CD201" i="1"/>
  <c r="CD193" i="1"/>
  <c r="CD185" i="1"/>
  <c r="CD177" i="1"/>
  <c r="CD169" i="1"/>
  <c r="CD161" i="1"/>
  <c r="CD153" i="1"/>
  <c r="CD145" i="1"/>
  <c r="CD137" i="1"/>
  <c r="CD129" i="1"/>
  <c r="CD121" i="1"/>
  <c r="CD113" i="1"/>
  <c r="CD105" i="1"/>
  <c r="CD97" i="1"/>
  <c r="CD89" i="1"/>
  <c r="CD81" i="1"/>
  <c r="CD73" i="1"/>
  <c r="CD65" i="1"/>
  <c r="CD57" i="1"/>
  <c r="CD49" i="1"/>
  <c r="CD41" i="1"/>
  <c r="CD33" i="1"/>
  <c r="CD25" i="1"/>
  <c r="CD17" i="1"/>
  <c r="CD256" i="1"/>
  <c r="CD16" i="1"/>
  <c r="CD503" i="1"/>
  <c r="CD495" i="1"/>
  <c r="CD487" i="1"/>
  <c r="CD479" i="1"/>
  <c r="CD471" i="1"/>
  <c r="CD463" i="1"/>
  <c r="CD455" i="1"/>
  <c r="CD447" i="1"/>
  <c r="CD439" i="1"/>
  <c r="CD431" i="1"/>
  <c r="CD423" i="1"/>
  <c r="CD415" i="1"/>
  <c r="CD407" i="1"/>
  <c r="CD399" i="1"/>
  <c r="CD391" i="1"/>
  <c r="CD383" i="1"/>
  <c r="CD375" i="1"/>
  <c r="CD367" i="1"/>
  <c r="CD359" i="1"/>
  <c r="CD351" i="1"/>
  <c r="CD343" i="1"/>
  <c r="CD335" i="1"/>
  <c r="CD327" i="1"/>
  <c r="CD319" i="1"/>
  <c r="CD311" i="1"/>
  <c r="CD303" i="1"/>
  <c r="CD295" i="1"/>
  <c r="CD287" i="1"/>
  <c r="CD279" i="1"/>
  <c r="CD271" i="1"/>
  <c r="CD263" i="1"/>
  <c r="CD255" i="1"/>
  <c r="CD247" i="1"/>
  <c r="CD239" i="1"/>
  <c r="CD231" i="1"/>
  <c r="CD223" i="1"/>
  <c r="CD215" i="1"/>
  <c r="CD207" i="1"/>
  <c r="CD199" i="1"/>
  <c r="CD191" i="1"/>
  <c r="CD183" i="1"/>
  <c r="CD175" i="1"/>
  <c r="CD167" i="1"/>
  <c r="CD159" i="1"/>
  <c r="CD151" i="1"/>
  <c r="CD143" i="1"/>
  <c r="CD135" i="1"/>
  <c r="CD127" i="1"/>
  <c r="CD119" i="1"/>
  <c r="CD111" i="1"/>
  <c r="CD103" i="1"/>
  <c r="CD95" i="1"/>
  <c r="CD87" i="1"/>
  <c r="CD79" i="1"/>
  <c r="CD71" i="1"/>
  <c r="CD63" i="1"/>
  <c r="CD55" i="1"/>
  <c r="CD47" i="1"/>
  <c r="CD39" i="1"/>
  <c r="CD31" i="1"/>
  <c r="CD23" i="1"/>
  <c r="CD15" i="1"/>
  <c r="CD7" i="1"/>
  <c r="CD8" i="1"/>
  <c r="CC368" i="1"/>
  <c r="CC112" i="1"/>
  <c r="CD502" i="1"/>
  <c r="CD494" i="1"/>
  <c r="CD486" i="1"/>
  <c r="CD478" i="1"/>
  <c r="CD470" i="1"/>
  <c r="CD462" i="1"/>
  <c r="CD454" i="1"/>
  <c r="CD446" i="1"/>
  <c r="CD438" i="1"/>
  <c r="CD430" i="1"/>
  <c r="CD422" i="1"/>
  <c r="CD414" i="1"/>
  <c r="CD406" i="1"/>
  <c r="CD398" i="1"/>
  <c r="CD390" i="1"/>
  <c r="CD382" i="1"/>
  <c r="CD374" i="1"/>
  <c r="CD366" i="1"/>
  <c r="CD358" i="1"/>
  <c r="CD350" i="1"/>
  <c r="CD342" i="1"/>
  <c r="CD334" i="1"/>
  <c r="CD326" i="1"/>
  <c r="CD318" i="1"/>
  <c r="CD310" i="1"/>
  <c r="CD302" i="1"/>
  <c r="CD294" i="1"/>
  <c r="CD286" i="1"/>
  <c r="CD278" i="1"/>
  <c r="CD270" i="1"/>
  <c r="CD262" i="1"/>
  <c r="CD254" i="1"/>
  <c r="CD246" i="1"/>
  <c r="CD238" i="1"/>
  <c r="CD230" i="1"/>
  <c r="CD222" i="1"/>
  <c r="CD214" i="1"/>
  <c r="CD206" i="1"/>
  <c r="CD198" i="1"/>
  <c r="CD190" i="1"/>
  <c r="CD182" i="1"/>
  <c r="CD174" i="1"/>
  <c r="CD166" i="1"/>
  <c r="CD158" i="1"/>
  <c r="CD150" i="1"/>
  <c r="CD142" i="1"/>
  <c r="CD134" i="1"/>
  <c r="CD126" i="1"/>
  <c r="CD118" i="1"/>
  <c r="CD110" i="1"/>
  <c r="CD102" i="1"/>
  <c r="CD94" i="1"/>
  <c r="CD86" i="1"/>
  <c r="CD78" i="1"/>
  <c r="CD70" i="1"/>
  <c r="CD62" i="1"/>
  <c r="CD54" i="1"/>
  <c r="CD46" i="1"/>
  <c r="CD38" i="1"/>
  <c r="CD30" i="1"/>
  <c r="CD22" i="1"/>
  <c r="CD14" i="1"/>
  <c r="CD6" i="1"/>
  <c r="CB151" i="1"/>
  <c r="CB95" i="1"/>
  <c r="CB330" i="1"/>
  <c r="CB32" i="1"/>
  <c r="CC13" i="1"/>
  <c r="CC12" i="1"/>
  <c r="CB327" i="1"/>
  <c r="CA429" i="1"/>
  <c r="CA135" i="1"/>
  <c r="CC493" i="1"/>
  <c r="CC461" i="1"/>
  <c r="CC429" i="1"/>
  <c r="CC397" i="1"/>
  <c r="CC365" i="1"/>
  <c r="CC333" i="1"/>
  <c r="CC293" i="1"/>
  <c r="CC229" i="1"/>
  <c r="CC165" i="1"/>
  <c r="CC101" i="1"/>
  <c r="CC45" i="1"/>
  <c r="CB9" i="1"/>
  <c r="CC9" i="1"/>
  <c r="CC492" i="1"/>
  <c r="CC460" i="1"/>
  <c r="CC428" i="1"/>
  <c r="CC396" i="1"/>
  <c r="CC364" i="1"/>
  <c r="CC332" i="1"/>
  <c r="CC285" i="1"/>
  <c r="CC221" i="1"/>
  <c r="CC157" i="1"/>
  <c r="CC93" i="1"/>
  <c r="CC44" i="1"/>
  <c r="BW276" i="1"/>
  <c r="CC276" i="1"/>
  <c r="BW252" i="1"/>
  <c r="CC252" i="1"/>
  <c r="CC485" i="1"/>
  <c r="CC453" i="1"/>
  <c r="CC421" i="1"/>
  <c r="CC389" i="1"/>
  <c r="CC357" i="1"/>
  <c r="CC325" i="1"/>
  <c r="CC277" i="1"/>
  <c r="CC213" i="1"/>
  <c r="CC149" i="1"/>
  <c r="CC85" i="1"/>
  <c r="CC37" i="1"/>
  <c r="BW244" i="1"/>
  <c r="CC244" i="1"/>
  <c r="CC484" i="1"/>
  <c r="CC452" i="1"/>
  <c r="CC420" i="1"/>
  <c r="CC388" i="1"/>
  <c r="CC356" i="1"/>
  <c r="CC269" i="1"/>
  <c r="CC205" i="1"/>
  <c r="CC141" i="1"/>
  <c r="CC77" i="1"/>
  <c r="CC36" i="1"/>
  <c r="BW10" i="1"/>
  <c r="CC10" i="1"/>
  <c r="BW292" i="1"/>
  <c r="CC292" i="1"/>
  <c r="BW268" i="1"/>
  <c r="CC268" i="1"/>
  <c r="CC477" i="1"/>
  <c r="CC381" i="1"/>
  <c r="CC349" i="1"/>
  <c r="CC261" i="1"/>
  <c r="CC197" i="1"/>
  <c r="CC133" i="1"/>
  <c r="CC69" i="1"/>
  <c r="CC29" i="1"/>
  <c r="CC445" i="1"/>
  <c r="CC413" i="1"/>
  <c r="CC317" i="1"/>
  <c r="CC476" i="1"/>
  <c r="CC444" i="1"/>
  <c r="CC412" i="1"/>
  <c r="CC380" i="1"/>
  <c r="CC348" i="1"/>
  <c r="CC316" i="1"/>
  <c r="CC253" i="1"/>
  <c r="CC189" i="1"/>
  <c r="CC125" i="1"/>
  <c r="CC61" i="1"/>
  <c r="CC21" i="1"/>
  <c r="BW308" i="1"/>
  <c r="CC308" i="1"/>
  <c r="BW300" i="1"/>
  <c r="CC300" i="1"/>
  <c r="BY284" i="1"/>
  <c r="CC284" i="1"/>
  <c r="CC501" i="1"/>
  <c r="CC469" i="1"/>
  <c r="CC437" i="1"/>
  <c r="CC405" i="1"/>
  <c r="CC373" i="1"/>
  <c r="CC341" i="1"/>
  <c r="CC309" i="1"/>
  <c r="CC245" i="1"/>
  <c r="CC181" i="1"/>
  <c r="CC117" i="1"/>
  <c r="CC53" i="1"/>
  <c r="BW260" i="1"/>
  <c r="CC260" i="1"/>
  <c r="BW236" i="1"/>
  <c r="CC236" i="1"/>
  <c r="BW228" i="1"/>
  <c r="CC228" i="1"/>
  <c r="BW220" i="1"/>
  <c r="CC220" i="1"/>
  <c r="BW212" i="1"/>
  <c r="CC212" i="1"/>
  <c r="BY204" i="1"/>
  <c r="CC204" i="1"/>
  <c r="BW196" i="1"/>
  <c r="CC196" i="1"/>
  <c r="BV188" i="1"/>
  <c r="CC188" i="1"/>
  <c r="BW180" i="1"/>
  <c r="CC180" i="1"/>
  <c r="BW172" i="1"/>
  <c r="CC172" i="1"/>
  <c r="BW164" i="1"/>
  <c r="CC164" i="1"/>
  <c r="BW156" i="1"/>
  <c r="CC156" i="1"/>
  <c r="BW148" i="1"/>
  <c r="CC148" i="1"/>
  <c r="BX140" i="1"/>
  <c r="CC140" i="1"/>
  <c r="BX132" i="1"/>
  <c r="CC132" i="1"/>
  <c r="BW124" i="1"/>
  <c r="CC124" i="1"/>
  <c r="BW116" i="1"/>
  <c r="CC116" i="1"/>
  <c r="BW108" i="1"/>
  <c r="CC108" i="1"/>
  <c r="BW100" i="1"/>
  <c r="CC100" i="1"/>
  <c r="BW92" i="1"/>
  <c r="CC92" i="1"/>
  <c r="BW84" i="1"/>
  <c r="CC84" i="1"/>
  <c r="BW76" i="1"/>
  <c r="CC76" i="1"/>
  <c r="BW60" i="1"/>
  <c r="CC60" i="1"/>
  <c r="BW28" i="1"/>
  <c r="CC28" i="1"/>
  <c r="BW20" i="1"/>
  <c r="CC20" i="1"/>
  <c r="CC500" i="1"/>
  <c r="CC468" i="1"/>
  <c r="CC436" i="1"/>
  <c r="CC404" i="1"/>
  <c r="CC372" i="1"/>
  <c r="CC340" i="1"/>
  <c r="CC301" i="1"/>
  <c r="CC237" i="1"/>
  <c r="CC173" i="1"/>
  <c r="CC109" i="1"/>
  <c r="CA71" i="1"/>
  <c r="CB319" i="1"/>
  <c r="CB87" i="1"/>
  <c r="CC499" i="1"/>
  <c r="CC491" i="1"/>
  <c r="CC483" i="1"/>
  <c r="CC467" i="1"/>
  <c r="CC459" i="1"/>
  <c r="CC451" i="1"/>
  <c r="CC443" i="1"/>
  <c r="CC435" i="1"/>
  <c r="CC427" i="1"/>
  <c r="CC419" i="1"/>
  <c r="CC403" i="1"/>
  <c r="CC395" i="1"/>
  <c r="CC387" i="1"/>
  <c r="CC379" i="1"/>
  <c r="CC371" i="1"/>
  <c r="CC363" i="1"/>
  <c r="CC347" i="1"/>
  <c r="CC339" i="1"/>
  <c r="CC331" i="1"/>
  <c r="CC323" i="1"/>
  <c r="CC315" i="1"/>
  <c r="CC307" i="1"/>
  <c r="CC299" i="1"/>
  <c r="CC291" i="1"/>
  <c r="CC283" i="1"/>
  <c r="CC275" i="1"/>
  <c r="CC267" i="1"/>
  <c r="CC259" i="1"/>
  <c r="CC251" i="1"/>
  <c r="CC243" i="1"/>
  <c r="CC235" i="1"/>
  <c r="CC227" i="1"/>
  <c r="CC219" i="1"/>
  <c r="CC211" i="1"/>
  <c r="CC203" i="1"/>
  <c r="CC195" i="1"/>
  <c r="CC187" i="1"/>
  <c r="CC179" i="1"/>
  <c r="CC171" i="1"/>
  <c r="CC163" i="1"/>
  <c r="CC155" i="1"/>
  <c r="CC147" i="1"/>
  <c r="CC139" i="1"/>
  <c r="CC131" i="1"/>
  <c r="CC123" i="1"/>
  <c r="CC115" i="1"/>
  <c r="CC107" i="1"/>
  <c r="CC99" i="1"/>
  <c r="CC91" i="1"/>
  <c r="CC83" i="1"/>
  <c r="CC75" i="1"/>
  <c r="CC67" i="1"/>
  <c r="CC59" i="1"/>
  <c r="CC51" i="1"/>
  <c r="CC43" i="1"/>
  <c r="CC35" i="1"/>
  <c r="CC27" i="1"/>
  <c r="CC19" i="1"/>
  <c r="CC11" i="1"/>
  <c r="CB479" i="1"/>
  <c r="CB272" i="1"/>
  <c r="CC498" i="1"/>
  <c r="CC490" i="1"/>
  <c r="CC474" i="1"/>
  <c r="CC466" i="1"/>
  <c r="CC458" i="1"/>
  <c r="CC450" i="1"/>
  <c r="CC442" i="1"/>
  <c r="CC434" i="1"/>
  <c r="CC426" i="1"/>
  <c r="CC418" i="1"/>
  <c r="CC410" i="1"/>
  <c r="CC402" i="1"/>
  <c r="CC394" i="1"/>
  <c r="CC386" i="1"/>
  <c r="CC378" i="1"/>
  <c r="CC370" i="1"/>
  <c r="CC362" i="1"/>
  <c r="CC354" i="1"/>
  <c r="CC346" i="1"/>
  <c r="CC338" i="1"/>
  <c r="CC330" i="1"/>
  <c r="CC322" i="1"/>
  <c r="CC314" i="1"/>
  <c r="CC306" i="1"/>
  <c r="CC298" i="1"/>
  <c r="CC290" i="1"/>
  <c r="CC282" i="1"/>
  <c r="CC274" i="1"/>
  <c r="CC266" i="1"/>
  <c r="CC258" i="1"/>
  <c r="CC250" i="1"/>
  <c r="CC242" i="1"/>
  <c r="CC234" i="1"/>
  <c r="CC226" i="1"/>
  <c r="CC218" i="1"/>
  <c r="CC210" i="1"/>
  <c r="CC202" i="1"/>
  <c r="CC194" i="1"/>
  <c r="CC186" i="1"/>
  <c r="CC178" i="1"/>
  <c r="CC170" i="1"/>
  <c r="CC162" i="1"/>
  <c r="CC154" i="1"/>
  <c r="CC146" i="1"/>
  <c r="CC138" i="1"/>
  <c r="CC130" i="1"/>
  <c r="CC122" i="1"/>
  <c r="CC114" i="1"/>
  <c r="CC106" i="1"/>
  <c r="CC98" i="1"/>
  <c r="CC90" i="1"/>
  <c r="CC82" i="1"/>
  <c r="CC74" i="1"/>
  <c r="CC66" i="1"/>
  <c r="CC58" i="1"/>
  <c r="CC50" i="1"/>
  <c r="CC42" i="1"/>
  <c r="CC34" i="1"/>
  <c r="CC26" i="1"/>
  <c r="CC18" i="1"/>
  <c r="CA344" i="1"/>
  <c r="CB471" i="1"/>
  <c r="CB271" i="1"/>
  <c r="CB31" i="1"/>
  <c r="CC497" i="1"/>
  <c r="CC489" i="1"/>
  <c r="CC481" i="1"/>
  <c r="CC473" i="1"/>
  <c r="CC465" i="1"/>
  <c r="CC457" i="1"/>
  <c r="CC449" i="1"/>
  <c r="CC441" i="1"/>
  <c r="CC433" i="1"/>
  <c r="CC425" i="1"/>
  <c r="CC417" i="1"/>
  <c r="CC409" i="1"/>
  <c r="CC401" i="1"/>
  <c r="CC393" i="1"/>
  <c r="CC385" i="1"/>
  <c r="CC377" i="1"/>
  <c r="CC369" i="1"/>
  <c r="CC361" i="1"/>
  <c r="CC353" i="1"/>
  <c r="CC345" i="1"/>
  <c r="CC337" i="1"/>
  <c r="CC329" i="1"/>
  <c r="CC321" i="1"/>
  <c r="CC313" i="1"/>
  <c r="CC305" i="1"/>
  <c r="CC297" i="1"/>
  <c r="CC289" i="1"/>
  <c r="CC281" i="1"/>
  <c r="CC273" i="1"/>
  <c r="CC265" i="1"/>
  <c r="CC257" i="1"/>
  <c r="CC249" i="1"/>
  <c r="CC241" i="1"/>
  <c r="CC233" i="1"/>
  <c r="CC225" i="1"/>
  <c r="CC217" i="1"/>
  <c r="CC209" i="1"/>
  <c r="CC201" i="1"/>
  <c r="CC193" i="1"/>
  <c r="CC185" i="1"/>
  <c r="CC177" i="1"/>
  <c r="CC169" i="1"/>
  <c r="CC153" i="1"/>
  <c r="CC145" i="1"/>
  <c r="CC137" i="1"/>
  <c r="CC129" i="1"/>
  <c r="CC121" i="1"/>
  <c r="CC113" i="1"/>
  <c r="CC105" i="1"/>
  <c r="CC97" i="1"/>
  <c r="CC89" i="1"/>
  <c r="CC81" i="1"/>
  <c r="CC73" i="1"/>
  <c r="CC65" i="1"/>
  <c r="CC57" i="1"/>
  <c r="CC49" i="1"/>
  <c r="CC41" i="1"/>
  <c r="CC33" i="1"/>
  <c r="CC25" i="1"/>
  <c r="CC17" i="1"/>
  <c r="CB161" i="1"/>
  <c r="CB431" i="1"/>
  <c r="CB223" i="1"/>
  <c r="CC504" i="1"/>
  <c r="CC496" i="1"/>
  <c r="CC488" i="1"/>
  <c r="CC480" i="1"/>
  <c r="CC472" i="1"/>
  <c r="CC464" i="1"/>
  <c r="CC456" i="1"/>
  <c r="CC448" i="1"/>
  <c r="CC440" i="1"/>
  <c r="CC432" i="1"/>
  <c r="CC424" i="1"/>
  <c r="CC416" i="1"/>
  <c r="CC408" i="1"/>
  <c r="CC400" i="1"/>
  <c r="CC392" i="1"/>
  <c r="CC384" i="1"/>
  <c r="CC376" i="1"/>
  <c r="CC360" i="1"/>
  <c r="CC352" i="1"/>
  <c r="CC344" i="1"/>
  <c r="CC336" i="1"/>
  <c r="CC328" i="1"/>
  <c r="CC320" i="1"/>
  <c r="CC312" i="1"/>
  <c r="CC304" i="1"/>
  <c r="CC296" i="1"/>
  <c r="CC288" i="1"/>
  <c r="CC280" i="1"/>
  <c r="CC264" i="1"/>
  <c r="CC256" i="1"/>
  <c r="CC248" i="1"/>
  <c r="CC240" i="1"/>
  <c r="CC232" i="1"/>
  <c r="CC224" i="1"/>
  <c r="CC216" i="1"/>
  <c r="CC56" i="1"/>
  <c r="CC48" i="1"/>
  <c r="CC40" i="1"/>
  <c r="CC32" i="1"/>
  <c r="CC24" i="1"/>
  <c r="CC16" i="1"/>
  <c r="CC8" i="1"/>
  <c r="CB423" i="1"/>
  <c r="CB215" i="1"/>
  <c r="CC503" i="1"/>
  <c r="CC495" i="1"/>
  <c r="CC487" i="1"/>
  <c r="CC479" i="1"/>
  <c r="CC471" i="1"/>
  <c r="CC463" i="1"/>
  <c r="CC455" i="1"/>
  <c r="CC447" i="1"/>
  <c r="CC439" i="1"/>
  <c r="CC423" i="1"/>
  <c r="CC415" i="1"/>
  <c r="CC407" i="1"/>
  <c r="CC399" i="1"/>
  <c r="CC391" i="1"/>
  <c r="CC383" i="1"/>
  <c r="CC375" i="1"/>
  <c r="CC367" i="1"/>
  <c r="CC359" i="1"/>
  <c r="CC351" i="1"/>
  <c r="CC343" i="1"/>
  <c r="CC335" i="1"/>
  <c r="CC327" i="1"/>
  <c r="CC319" i="1"/>
  <c r="CC311" i="1"/>
  <c r="CC303" i="1"/>
  <c r="CC295" i="1"/>
  <c r="CC287" i="1"/>
  <c r="CC279" i="1"/>
  <c r="CC271" i="1"/>
  <c r="CC263" i="1"/>
  <c r="CC255" i="1"/>
  <c r="CC247" i="1"/>
  <c r="CC239" i="1"/>
  <c r="CC231" i="1"/>
  <c r="CC207" i="1"/>
  <c r="CC199" i="1"/>
  <c r="CC191" i="1"/>
  <c r="CC183" i="1"/>
  <c r="CC175" i="1"/>
  <c r="CC167" i="1"/>
  <c r="CC159" i="1"/>
  <c r="CC151" i="1"/>
  <c r="CC143" i="1"/>
  <c r="CC135" i="1"/>
  <c r="CC127" i="1"/>
  <c r="CC119" i="1"/>
  <c r="CC111" i="1"/>
  <c r="CC103" i="1"/>
  <c r="CC95" i="1"/>
  <c r="CC87" i="1"/>
  <c r="CC79" i="1"/>
  <c r="CC71" i="1"/>
  <c r="CC63" i="1"/>
  <c r="CC55" i="1"/>
  <c r="CC47" i="1"/>
  <c r="CC39" i="1"/>
  <c r="CC31" i="1"/>
  <c r="CC23" i="1"/>
  <c r="CC15" i="1"/>
  <c r="CC7" i="1"/>
  <c r="CB475" i="1"/>
  <c r="CB411" i="1"/>
  <c r="CB355" i="1"/>
  <c r="CB375" i="1"/>
  <c r="CB159" i="1"/>
  <c r="CC502" i="1"/>
  <c r="CC494" i="1"/>
  <c r="CC486" i="1"/>
  <c r="CC478" i="1"/>
  <c r="CC470" i="1"/>
  <c r="CC462" i="1"/>
  <c r="CC454" i="1"/>
  <c r="CC446" i="1"/>
  <c r="CC438" i="1"/>
  <c r="CC430" i="1"/>
  <c r="CC422" i="1"/>
  <c r="CC414" i="1"/>
  <c r="CC406" i="1"/>
  <c r="CC398" i="1"/>
  <c r="CC390" i="1"/>
  <c r="CC382" i="1"/>
  <c r="CC374" i="1"/>
  <c r="CC366" i="1"/>
  <c r="CC358" i="1"/>
  <c r="CC350" i="1"/>
  <c r="CC342" i="1"/>
  <c r="CC334" i="1"/>
  <c r="CC326" i="1"/>
  <c r="CC318" i="1"/>
  <c r="CC310" i="1"/>
  <c r="CC302" i="1"/>
  <c r="CC294" i="1"/>
  <c r="CC286" i="1"/>
  <c r="CC278" i="1"/>
  <c r="CC270" i="1"/>
  <c r="CC262" i="1"/>
  <c r="CC254" i="1"/>
  <c r="CC246" i="1"/>
  <c r="CC238" i="1"/>
  <c r="CC230" i="1"/>
  <c r="CC222" i="1"/>
  <c r="CC214" i="1"/>
  <c r="CC206" i="1"/>
  <c r="CC198" i="1"/>
  <c r="CC190" i="1"/>
  <c r="CC182" i="1"/>
  <c r="CC174" i="1"/>
  <c r="CC166" i="1"/>
  <c r="CC158" i="1"/>
  <c r="CC150" i="1"/>
  <c r="CC142" i="1"/>
  <c r="CC134" i="1"/>
  <c r="CC126" i="1"/>
  <c r="CC118" i="1"/>
  <c r="CC110" i="1"/>
  <c r="CC102" i="1"/>
  <c r="CC94" i="1"/>
  <c r="CC86" i="1"/>
  <c r="CC78" i="1"/>
  <c r="CC70" i="1"/>
  <c r="CC62" i="1"/>
  <c r="CC54" i="1"/>
  <c r="CC46" i="1"/>
  <c r="CC38" i="1"/>
  <c r="CC30" i="1"/>
  <c r="CC22" i="1"/>
  <c r="CC14" i="1"/>
  <c r="CC6" i="1"/>
  <c r="CA63" i="1"/>
  <c r="CB367" i="1"/>
  <c r="CB311" i="1"/>
  <c r="CB263" i="1"/>
  <c r="CB143" i="1"/>
  <c r="CB79" i="1"/>
  <c r="CB23" i="1"/>
  <c r="CA39" i="1"/>
  <c r="CB463" i="1"/>
  <c r="CB407" i="1"/>
  <c r="CB359" i="1"/>
  <c r="CB255" i="1"/>
  <c r="CB199" i="1"/>
  <c r="CB135" i="1"/>
  <c r="CB71" i="1"/>
  <c r="CB503" i="1"/>
  <c r="CB455" i="1"/>
  <c r="CB400" i="1"/>
  <c r="CB351" i="1"/>
  <c r="CB303" i="1"/>
  <c r="CB191" i="1"/>
  <c r="CB127" i="1"/>
  <c r="CB63" i="1"/>
  <c r="CB15" i="1"/>
  <c r="CB482" i="1"/>
  <c r="CB447" i="1"/>
  <c r="CB399" i="1"/>
  <c r="CB343" i="1"/>
  <c r="CB295" i="1"/>
  <c r="CB183" i="1"/>
  <c r="CB119" i="1"/>
  <c r="CB55" i="1"/>
  <c r="CB8" i="1"/>
  <c r="CB495" i="1"/>
  <c r="CB439" i="1"/>
  <c r="CB391" i="1"/>
  <c r="CB287" i="1"/>
  <c r="CB175" i="1"/>
  <c r="CB111" i="1"/>
  <c r="CB47" i="1"/>
  <c r="CB7" i="1"/>
  <c r="BW324" i="1"/>
  <c r="BW68" i="1"/>
  <c r="BW52" i="1"/>
  <c r="CB487" i="1"/>
  <c r="CB383" i="1"/>
  <c r="CB335" i="1"/>
  <c r="CB279" i="1"/>
  <c r="CB167" i="1"/>
  <c r="CB103" i="1"/>
  <c r="CB39" i="1"/>
  <c r="CB56" i="1"/>
  <c r="CB24" i="1"/>
  <c r="CB48" i="1"/>
  <c r="BZ200" i="1"/>
  <c r="CB200" i="1"/>
  <c r="BZ176" i="1"/>
  <c r="CB176" i="1"/>
  <c r="BZ168" i="1"/>
  <c r="CB168" i="1"/>
  <c r="BZ160" i="1"/>
  <c r="CB160" i="1"/>
  <c r="BZ152" i="1"/>
  <c r="CB152" i="1"/>
  <c r="BZ144" i="1"/>
  <c r="CB144" i="1"/>
  <c r="BZ136" i="1"/>
  <c r="CB136" i="1"/>
  <c r="BZ128" i="1"/>
  <c r="CB128" i="1"/>
  <c r="R197" i="1"/>
  <c r="CA127" i="1"/>
  <c r="BZ120" i="1"/>
  <c r="CB120" i="1"/>
  <c r="BZ112" i="1"/>
  <c r="CB112" i="1"/>
  <c r="CA104" i="1"/>
  <c r="CB104" i="1"/>
  <c r="BZ96" i="1"/>
  <c r="CB96" i="1"/>
  <c r="BZ88" i="1"/>
  <c r="CB88" i="1"/>
  <c r="BZ80" i="1"/>
  <c r="CB80" i="1"/>
  <c r="BZ72" i="1"/>
  <c r="CB72" i="1"/>
  <c r="BZ64" i="1"/>
  <c r="CB64" i="1"/>
  <c r="CB344" i="1"/>
  <c r="CB248" i="1"/>
  <c r="CB40" i="1"/>
  <c r="CA208" i="1"/>
  <c r="CB208" i="1"/>
  <c r="BZ192" i="1"/>
  <c r="CB192" i="1"/>
  <c r="BZ184" i="1"/>
  <c r="CB184" i="1"/>
  <c r="CA95" i="1"/>
  <c r="CB501" i="1"/>
  <c r="CB493" i="1"/>
  <c r="CB485" i="1"/>
  <c r="CB477" i="1"/>
  <c r="CB469" i="1"/>
  <c r="CB461" i="1"/>
  <c r="CB453" i="1"/>
  <c r="CB445" i="1"/>
  <c r="CB437" i="1"/>
  <c r="CB429" i="1"/>
  <c r="CB421" i="1"/>
  <c r="CB413" i="1"/>
  <c r="CB405" i="1"/>
  <c r="CB397" i="1"/>
  <c r="CB389" i="1"/>
  <c r="CB381" i="1"/>
  <c r="CB373" i="1"/>
  <c r="CB365" i="1"/>
  <c r="CB357" i="1"/>
  <c r="CB349" i="1"/>
  <c r="CB341" i="1"/>
  <c r="CB333" i="1"/>
  <c r="CB325" i="1"/>
  <c r="CB317" i="1"/>
  <c r="CB309" i="1"/>
  <c r="CB301" i="1"/>
  <c r="CB293" i="1"/>
  <c r="CB285" i="1"/>
  <c r="CB277" i="1"/>
  <c r="CB269" i="1"/>
  <c r="CB261" i="1"/>
  <c r="CB253" i="1"/>
  <c r="CB245" i="1"/>
  <c r="CB237" i="1"/>
  <c r="CB229" i="1"/>
  <c r="CB221" i="1"/>
  <c r="CB213" i="1"/>
  <c r="CB205" i="1"/>
  <c r="CB197" i="1"/>
  <c r="CB189" i="1"/>
  <c r="CB181" i="1"/>
  <c r="CB173" i="1"/>
  <c r="CB165" i="1"/>
  <c r="CB157" i="1"/>
  <c r="CB149" i="1"/>
  <c r="CB141" i="1"/>
  <c r="CB133" i="1"/>
  <c r="CB125" i="1"/>
  <c r="CB117" i="1"/>
  <c r="CB109" i="1"/>
  <c r="CB101" i="1"/>
  <c r="CB93" i="1"/>
  <c r="CB85" i="1"/>
  <c r="CB77" i="1"/>
  <c r="CB69" i="1"/>
  <c r="CB61" i="1"/>
  <c r="CB53" i="1"/>
  <c r="CB45" i="1"/>
  <c r="CB37" i="1"/>
  <c r="CB29" i="1"/>
  <c r="CB21" i="1"/>
  <c r="CB500" i="1"/>
  <c r="CB492" i="1"/>
  <c r="CB484" i="1"/>
  <c r="CB476" i="1"/>
  <c r="CB468" i="1"/>
  <c r="CB460" i="1"/>
  <c r="CB452" i="1"/>
  <c r="CB444" i="1"/>
  <c r="CB436" i="1"/>
  <c r="CB428" i="1"/>
  <c r="CB420" i="1"/>
  <c r="CB412" i="1"/>
  <c r="CB404" i="1"/>
  <c r="CB396" i="1"/>
  <c r="CB388" i="1"/>
  <c r="CB380" i="1"/>
  <c r="CB372" i="1"/>
  <c r="CB364" i="1"/>
  <c r="CB356" i="1"/>
  <c r="CB348" i="1"/>
  <c r="CB340" i="1"/>
  <c r="CB332" i="1"/>
  <c r="CB324" i="1"/>
  <c r="CB316" i="1"/>
  <c r="CB308" i="1"/>
  <c r="CB300" i="1"/>
  <c r="CB292" i="1"/>
  <c r="CB284" i="1"/>
  <c r="CB276" i="1"/>
  <c r="CB268" i="1"/>
  <c r="CB260" i="1"/>
  <c r="CB252" i="1"/>
  <c r="CB244" i="1"/>
  <c r="CB236" i="1"/>
  <c r="CB228" i="1"/>
  <c r="CB220" i="1"/>
  <c r="CB212" i="1"/>
  <c r="CB204" i="1"/>
  <c r="CB196" i="1"/>
  <c r="CB188" i="1"/>
  <c r="CB180" i="1"/>
  <c r="CB172" i="1"/>
  <c r="CB164" i="1"/>
  <c r="CB156" i="1"/>
  <c r="CB148" i="1"/>
  <c r="CB140" i="1"/>
  <c r="CB132" i="1"/>
  <c r="CB124" i="1"/>
  <c r="CB116" i="1"/>
  <c r="CB108" i="1"/>
  <c r="CB100" i="1"/>
  <c r="CB92" i="1"/>
  <c r="CB84" i="1"/>
  <c r="CB76" i="1"/>
  <c r="CB68" i="1"/>
  <c r="CB60" i="1"/>
  <c r="CB52" i="1"/>
  <c r="CB44" i="1"/>
  <c r="CB36" i="1"/>
  <c r="CB28" i="1"/>
  <c r="CB20" i="1"/>
  <c r="CA481" i="1"/>
  <c r="CA191" i="1"/>
  <c r="CB346" i="1"/>
  <c r="CB194" i="1"/>
  <c r="CB186" i="1"/>
  <c r="CB178" i="1"/>
  <c r="CB170" i="1"/>
  <c r="CB162" i="1"/>
  <c r="CB154" i="1"/>
  <c r="CB146" i="1"/>
  <c r="CB138" i="1"/>
  <c r="CB130" i="1"/>
  <c r="CB122" i="1"/>
  <c r="CB114" i="1"/>
  <c r="CB106" i="1"/>
  <c r="CB98" i="1"/>
  <c r="CB90" i="1"/>
  <c r="CB82" i="1"/>
  <c r="CB74" i="1"/>
  <c r="CB66" i="1"/>
  <c r="CB58" i="1"/>
  <c r="CB50" i="1"/>
  <c r="CB42" i="1"/>
  <c r="CB34" i="1"/>
  <c r="CB26" i="1"/>
  <c r="CB18" i="1"/>
  <c r="CB10" i="1"/>
  <c r="BR415" i="1"/>
  <c r="CA175" i="1"/>
  <c r="CA31" i="1"/>
  <c r="CB497" i="1"/>
  <c r="CB489" i="1"/>
  <c r="CB481" i="1"/>
  <c r="CB473" i="1"/>
  <c r="CB465" i="1"/>
  <c r="CB457" i="1"/>
  <c r="CB449" i="1"/>
  <c r="CB441" i="1"/>
  <c r="CB433" i="1"/>
  <c r="CB425" i="1"/>
  <c r="CB417" i="1"/>
  <c r="CB409" i="1"/>
  <c r="CB401" i="1"/>
  <c r="CB393" i="1"/>
  <c r="CB385" i="1"/>
  <c r="CB377" i="1"/>
  <c r="CB369" i="1"/>
  <c r="CB361" i="1"/>
  <c r="CB353" i="1"/>
  <c r="CB345" i="1"/>
  <c r="CB337" i="1"/>
  <c r="CB329" i="1"/>
  <c r="CB321" i="1"/>
  <c r="CB313" i="1"/>
  <c r="CB305" i="1"/>
  <c r="CB145" i="1"/>
  <c r="CB137" i="1"/>
  <c r="CB129" i="1"/>
  <c r="CB121" i="1"/>
  <c r="CB113" i="1"/>
  <c r="CB105" i="1"/>
  <c r="CB97" i="1"/>
  <c r="CB89" i="1"/>
  <c r="CB81" i="1"/>
  <c r="CB73" i="1"/>
  <c r="CB65" i="1"/>
  <c r="CB57" i="1"/>
  <c r="CB49" i="1"/>
  <c r="CB41" i="1"/>
  <c r="CB33" i="1"/>
  <c r="CB25" i="1"/>
  <c r="CB17" i="1"/>
  <c r="CA103" i="1"/>
  <c r="CB502" i="1"/>
  <c r="CB494" i="1"/>
  <c r="CB486" i="1"/>
  <c r="CB478" i="1"/>
  <c r="CB470" i="1"/>
  <c r="CB462" i="1"/>
  <c r="CB454" i="1"/>
  <c r="CB446" i="1"/>
  <c r="CB438" i="1"/>
  <c r="CB430" i="1"/>
  <c r="CB422" i="1"/>
  <c r="CB414" i="1"/>
  <c r="CB406" i="1"/>
  <c r="CB398" i="1"/>
  <c r="CB390" i="1"/>
  <c r="CB382" i="1"/>
  <c r="CB374" i="1"/>
  <c r="CB366" i="1"/>
  <c r="CB358" i="1"/>
  <c r="CB342" i="1"/>
  <c r="CB334" i="1"/>
  <c r="CB326" i="1"/>
  <c r="CB318" i="1"/>
  <c r="CB310" i="1"/>
  <c r="CB294" i="1"/>
  <c r="CB278" i="1"/>
  <c r="CB270" i="1"/>
  <c r="CB262" i="1"/>
  <c r="CB254" i="1"/>
  <c r="CB246" i="1"/>
  <c r="CB238" i="1"/>
  <c r="CB230" i="1"/>
  <c r="CB222" i="1"/>
  <c r="CB214" i="1"/>
  <c r="CB206" i="1"/>
  <c r="CB198" i="1"/>
  <c r="CB190" i="1"/>
  <c r="CB182" i="1"/>
  <c r="CB174" i="1"/>
  <c r="CB158" i="1"/>
  <c r="CB150" i="1"/>
  <c r="CB142" i="1"/>
  <c r="CB134" i="1"/>
  <c r="CB126" i="1"/>
  <c r="CB118" i="1"/>
  <c r="CB110" i="1"/>
  <c r="CB102" i="1"/>
  <c r="CB94" i="1"/>
  <c r="CB86" i="1"/>
  <c r="CB78" i="1"/>
  <c r="CB70" i="1"/>
  <c r="CB62" i="1"/>
  <c r="CB54" i="1"/>
  <c r="CB46" i="1"/>
  <c r="CB38" i="1"/>
  <c r="CB30" i="1"/>
  <c r="CB22" i="1"/>
  <c r="BP431" i="1"/>
  <c r="BZ18" i="1"/>
  <c r="CA137" i="1"/>
  <c r="CA105" i="1"/>
  <c r="CA73" i="1"/>
  <c r="CA41" i="1"/>
  <c r="CA449" i="1"/>
  <c r="CA183" i="1"/>
  <c r="CA129" i="1"/>
  <c r="CA97" i="1"/>
  <c r="CA65" i="1"/>
  <c r="CA33" i="1"/>
  <c r="CA417" i="1"/>
  <c r="CA385" i="1"/>
  <c r="CA167" i="1"/>
  <c r="CA121" i="1"/>
  <c r="CA89" i="1"/>
  <c r="CA57" i="1"/>
  <c r="CA25" i="1"/>
  <c r="CA353" i="1"/>
  <c r="CA159" i="1"/>
  <c r="CA119" i="1"/>
  <c r="CA87" i="1"/>
  <c r="CA55" i="1"/>
  <c r="CA23" i="1"/>
  <c r="BZ130" i="1"/>
  <c r="CA321" i="1"/>
  <c r="CA151" i="1"/>
  <c r="CA113" i="1"/>
  <c r="CA81" i="1"/>
  <c r="CA49" i="1"/>
  <c r="CA17" i="1"/>
  <c r="BZ16" i="1"/>
  <c r="BZ350" i="1"/>
  <c r="CA286" i="1"/>
  <c r="BH166" i="1"/>
  <c r="BZ98" i="1"/>
  <c r="CA143" i="1"/>
  <c r="CA111" i="1"/>
  <c r="CA79" i="1"/>
  <c r="CA47" i="1"/>
  <c r="BW247" i="1"/>
  <c r="CA247" i="1"/>
  <c r="BW239" i="1"/>
  <c r="CA239" i="1"/>
  <c r="BZ231" i="1"/>
  <c r="CA231" i="1"/>
  <c r="BG223" i="1"/>
  <c r="CA223" i="1"/>
  <c r="BI215" i="1"/>
  <c r="CA215" i="1"/>
  <c r="BG207" i="1"/>
  <c r="CA207" i="1"/>
  <c r="CA479" i="1"/>
  <c r="CA447" i="1"/>
  <c r="CA415" i="1"/>
  <c r="BZ464" i="1"/>
  <c r="CA464" i="1"/>
  <c r="BZ456" i="1"/>
  <c r="CA456" i="1"/>
  <c r="BZ448" i="1"/>
  <c r="CA448" i="1"/>
  <c r="BZ440" i="1"/>
  <c r="CA440" i="1"/>
  <c r="BZ432" i="1"/>
  <c r="CA432" i="1"/>
  <c r="BZ424" i="1"/>
  <c r="CA424" i="1"/>
  <c r="BZ416" i="1"/>
  <c r="CA416" i="1"/>
  <c r="BZ408" i="1"/>
  <c r="CA408" i="1"/>
  <c r="BZ392" i="1"/>
  <c r="CA392" i="1"/>
  <c r="BZ384" i="1"/>
  <c r="CA384" i="1"/>
  <c r="BZ376" i="1"/>
  <c r="CA376" i="1"/>
  <c r="BZ368" i="1"/>
  <c r="CA368" i="1"/>
  <c r="BZ360" i="1"/>
  <c r="CA360" i="1"/>
  <c r="BZ352" i="1"/>
  <c r="CA352" i="1"/>
  <c r="BZ336" i="1"/>
  <c r="CA336" i="1"/>
  <c r="BZ328" i="1"/>
  <c r="CA328" i="1"/>
  <c r="BZ320" i="1"/>
  <c r="CA320" i="1"/>
  <c r="BZ312" i="1"/>
  <c r="CA312" i="1"/>
  <c r="BZ304" i="1"/>
  <c r="CA304" i="1"/>
  <c r="BZ296" i="1"/>
  <c r="CA296" i="1"/>
  <c r="BZ288" i="1"/>
  <c r="CA288" i="1"/>
  <c r="BZ280" i="1"/>
  <c r="CA280" i="1"/>
  <c r="BZ272" i="1"/>
  <c r="CA272" i="1"/>
  <c r="BZ264" i="1"/>
  <c r="CA264" i="1"/>
  <c r="BZ256" i="1"/>
  <c r="CA256" i="1"/>
  <c r="BZ240" i="1"/>
  <c r="CA240" i="1"/>
  <c r="BZ232" i="1"/>
  <c r="CA232" i="1"/>
  <c r="BZ224" i="1"/>
  <c r="CA224" i="1"/>
  <c r="BZ216" i="1"/>
  <c r="CA216" i="1"/>
  <c r="CA473" i="1"/>
  <c r="CA441" i="1"/>
  <c r="CA409" i="1"/>
  <c r="CA377" i="1"/>
  <c r="CA345" i="1"/>
  <c r="CA313" i="1"/>
  <c r="BZ297" i="1"/>
  <c r="CA297" i="1"/>
  <c r="BZ289" i="1"/>
  <c r="CA289" i="1"/>
  <c r="BZ281" i="1"/>
  <c r="CA281" i="1"/>
  <c r="BZ273" i="1"/>
  <c r="CA273" i="1"/>
  <c r="BZ265" i="1"/>
  <c r="CA265" i="1"/>
  <c r="BZ257" i="1"/>
  <c r="CA257" i="1"/>
  <c r="BZ249" i="1"/>
  <c r="CA249" i="1"/>
  <c r="BV241" i="1"/>
  <c r="CA241" i="1"/>
  <c r="BW233" i="1"/>
  <c r="CA233" i="1"/>
  <c r="BM225" i="1"/>
  <c r="CA225" i="1"/>
  <c r="BM217" i="1"/>
  <c r="CA217" i="1"/>
  <c r="BG209" i="1"/>
  <c r="CA209" i="1"/>
  <c r="BG201" i="1"/>
  <c r="CA201" i="1"/>
  <c r="BM193" i="1"/>
  <c r="CA193" i="1"/>
  <c r="BG185" i="1"/>
  <c r="CA185" i="1"/>
  <c r="BX177" i="1"/>
  <c r="CA177" i="1"/>
  <c r="BX169" i="1"/>
  <c r="CA169" i="1"/>
  <c r="BX161" i="1"/>
  <c r="CA161" i="1"/>
  <c r="BX153" i="1"/>
  <c r="CA153" i="1"/>
  <c r="CA503" i="1"/>
  <c r="CA471" i="1"/>
  <c r="CA439" i="1"/>
  <c r="CA407" i="1"/>
  <c r="BZ14" i="1"/>
  <c r="CA14" i="1"/>
  <c r="BV450" i="1"/>
  <c r="CA450" i="1"/>
  <c r="BZ410" i="1"/>
  <c r="CA410" i="1"/>
  <c r="BZ394" i="1"/>
  <c r="CA394" i="1"/>
  <c r="BZ386" i="1"/>
  <c r="CA386" i="1"/>
  <c r="BZ378" i="1"/>
  <c r="CA378" i="1"/>
  <c r="BZ370" i="1"/>
  <c r="CA370" i="1"/>
  <c r="BZ362" i="1"/>
  <c r="CA362" i="1"/>
  <c r="BZ354" i="1"/>
  <c r="CA354" i="1"/>
  <c r="BZ338" i="1"/>
  <c r="CA338" i="1"/>
  <c r="BY330" i="1"/>
  <c r="BZ330" i="1"/>
  <c r="CA330" i="1"/>
  <c r="BZ322" i="1"/>
  <c r="CA322" i="1"/>
  <c r="BZ314" i="1"/>
  <c r="CA314" i="1"/>
  <c r="BZ306" i="1"/>
  <c r="CA306" i="1"/>
  <c r="BZ298" i="1"/>
  <c r="CA298" i="1"/>
  <c r="BZ290" i="1"/>
  <c r="CA290" i="1"/>
  <c r="BZ282" i="1"/>
  <c r="CA282" i="1"/>
  <c r="BZ274" i="1"/>
  <c r="CA274" i="1"/>
  <c r="BZ266" i="1"/>
  <c r="CA266" i="1"/>
  <c r="BZ258" i="1"/>
  <c r="CA258" i="1"/>
  <c r="BV250" i="1"/>
  <c r="CA250" i="1"/>
  <c r="BZ250" i="1"/>
  <c r="BV242" i="1"/>
  <c r="CA242" i="1"/>
  <c r="BV234" i="1"/>
  <c r="CA234" i="1"/>
  <c r="BT226" i="1"/>
  <c r="CA226" i="1"/>
  <c r="BZ226" i="1"/>
  <c r="BV218" i="1"/>
  <c r="CA218" i="1"/>
  <c r="BV210" i="1"/>
  <c r="CA210" i="1"/>
  <c r="BV202" i="1"/>
  <c r="CA202" i="1"/>
  <c r="CA497" i="1"/>
  <c r="CA465" i="1"/>
  <c r="CA433" i="1"/>
  <c r="CA401" i="1"/>
  <c r="CA369" i="1"/>
  <c r="CA337" i="1"/>
  <c r="CA305" i="1"/>
  <c r="BZ6" i="1"/>
  <c r="CA6" i="1"/>
  <c r="BZ496" i="1"/>
  <c r="CA496" i="1"/>
  <c r="BZ488" i="1"/>
  <c r="CA488" i="1"/>
  <c r="BZ480" i="1"/>
  <c r="CA480" i="1"/>
  <c r="BV498" i="1"/>
  <c r="CA498" i="1"/>
  <c r="BV482" i="1"/>
  <c r="CA482" i="1"/>
  <c r="BV466" i="1"/>
  <c r="CA466" i="1"/>
  <c r="BV442" i="1"/>
  <c r="CA442" i="1"/>
  <c r="BZ434" i="1"/>
  <c r="CA434" i="1"/>
  <c r="BV426" i="1"/>
  <c r="CA426" i="1"/>
  <c r="BZ418" i="1"/>
  <c r="CA418" i="1"/>
  <c r="BZ491" i="1"/>
  <c r="CA491" i="1"/>
  <c r="BZ475" i="1"/>
  <c r="CA475" i="1"/>
  <c r="BZ467" i="1"/>
  <c r="CA467" i="1"/>
  <c r="BZ403" i="1"/>
  <c r="CA403" i="1"/>
  <c r="BZ387" i="1"/>
  <c r="CA387" i="1"/>
  <c r="BZ371" i="1"/>
  <c r="CA371" i="1"/>
  <c r="BZ339" i="1"/>
  <c r="CA339" i="1"/>
  <c r="BZ331" i="1"/>
  <c r="CA331" i="1"/>
  <c r="BZ323" i="1"/>
  <c r="CA323" i="1"/>
  <c r="BZ315" i="1"/>
  <c r="CA315" i="1"/>
  <c r="BZ307" i="1"/>
  <c r="CA307" i="1"/>
  <c r="BZ299" i="1"/>
  <c r="CA299" i="1"/>
  <c r="BZ291" i="1"/>
  <c r="CA291" i="1"/>
  <c r="BZ283" i="1"/>
  <c r="CA283" i="1"/>
  <c r="BZ275" i="1"/>
  <c r="CA275" i="1"/>
  <c r="BZ267" i="1"/>
  <c r="CA267" i="1"/>
  <c r="BZ259" i="1"/>
  <c r="CA259" i="1"/>
  <c r="BZ251" i="1"/>
  <c r="CA251" i="1"/>
  <c r="BZ243" i="1"/>
  <c r="CA243" i="1"/>
  <c r="BZ235" i="1"/>
  <c r="CA235" i="1"/>
  <c r="BZ227" i="1"/>
  <c r="CA227" i="1"/>
  <c r="BZ219" i="1"/>
  <c r="CA219" i="1"/>
  <c r="BZ211" i="1"/>
  <c r="CA211" i="1"/>
  <c r="BZ203" i="1"/>
  <c r="CA203" i="1"/>
  <c r="BZ195" i="1"/>
  <c r="CA195" i="1"/>
  <c r="BZ187" i="1"/>
  <c r="CA187" i="1"/>
  <c r="BZ179" i="1"/>
  <c r="CA179" i="1"/>
  <c r="BZ171" i="1"/>
  <c r="CA171" i="1"/>
  <c r="BZ163" i="1"/>
  <c r="CA163" i="1"/>
  <c r="BZ155" i="1"/>
  <c r="CA155" i="1"/>
  <c r="BZ147" i="1"/>
  <c r="CA147" i="1"/>
  <c r="BZ139" i="1"/>
  <c r="CA139" i="1"/>
  <c r="BZ131" i="1"/>
  <c r="CA131" i="1"/>
  <c r="BZ123" i="1"/>
  <c r="CA123" i="1"/>
  <c r="BZ115" i="1"/>
  <c r="CA115" i="1"/>
  <c r="BZ107" i="1"/>
  <c r="CA107" i="1"/>
  <c r="BZ99" i="1"/>
  <c r="CA99" i="1"/>
  <c r="BZ91" i="1"/>
  <c r="CA91" i="1"/>
  <c r="BZ83" i="1"/>
  <c r="CA83" i="1"/>
  <c r="BZ75" i="1"/>
  <c r="CA75" i="1"/>
  <c r="BZ67" i="1"/>
  <c r="CA67" i="1"/>
  <c r="BZ59" i="1"/>
  <c r="CA59" i="1"/>
  <c r="BZ51" i="1"/>
  <c r="CA51" i="1"/>
  <c r="BZ43" i="1"/>
  <c r="CA43" i="1"/>
  <c r="BZ35" i="1"/>
  <c r="CA35" i="1"/>
  <c r="BZ27" i="1"/>
  <c r="CA27" i="1"/>
  <c r="BZ19" i="1"/>
  <c r="CA19" i="1"/>
  <c r="CA495" i="1"/>
  <c r="CA463" i="1"/>
  <c r="CA431" i="1"/>
  <c r="CA489" i="1"/>
  <c r="CA457" i="1"/>
  <c r="CA425" i="1"/>
  <c r="CA393" i="1"/>
  <c r="CA361" i="1"/>
  <c r="CA329" i="1"/>
  <c r="BZ504" i="1"/>
  <c r="CA504" i="1"/>
  <c r="BZ472" i="1"/>
  <c r="CA472" i="1"/>
  <c r="BX13" i="1"/>
  <c r="CA13" i="1"/>
  <c r="BZ12" i="1"/>
  <c r="CA12" i="1"/>
  <c r="BV490" i="1"/>
  <c r="CA490" i="1"/>
  <c r="BV474" i="1"/>
  <c r="CA474" i="1"/>
  <c r="BZ458" i="1"/>
  <c r="CA458" i="1"/>
  <c r="BZ402" i="1"/>
  <c r="CA402" i="1"/>
  <c r="BZ11" i="1"/>
  <c r="CA11" i="1"/>
  <c r="BZ499" i="1"/>
  <c r="CA499" i="1"/>
  <c r="BZ483" i="1"/>
  <c r="CA483" i="1"/>
  <c r="BZ459" i="1"/>
  <c r="CA459" i="1"/>
  <c r="BZ451" i="1"/>
  <c r="CA451" i="1"/>
  <c r="BZ443" i="1"/>
  <c r="CA443" i="1"/>
  <c r="BZ435" i="1"/>
  <c r="CA435" i="1"/>
  <c r="BZ427" i="1"/>
  <c r="CA427" i="1"/>
  <c r="BZ419" i="1"/>
  <c r="CA419" i="1"/>
  <c r="BZ411" i="1"/>
  <c r="CA411" i="1"/>
  <c r="BZ395" i="1"/>
  <c r="CA395" i="1"/>
  <c r="BZ379" i="1"/>
  <c r="CA379" i="1"/>
  <c r="BZ363" i="1"/>
  <c r="CA363" i="1"/>
  <c r="BZ355" i="1"/>
  <c r="CA355" i="1"/>
  <c r="BZ347" i="1"/>
  <c r="CA347" i="1"/>
  <c r="BZ9" i="1"/>
  <c r="CA9" i="1"/>
  <c r="BZ466" i="1"/>
  <c r="CA487" i="1"/>
  <c r="CA455" i="1"/>
  <c r="CA423" i="1"/>
  <c r="BZ66" i="1"/>
  <c r="BZ34" i="1"/>
  <c r="CA500" i="1"/>
  <c r="CA492" i="1"/>
  <c r="CA484" i="1"/>
  <c r="CA476" i="1"/>
  <c r="CA468" i="1"/>
  <c r="CA460" i="1"/>
  <c r="CA452" i="1"/>
  <c r="CA444" i="1"/>
  <c r="CA436" i="1"/>
  <c r="CA428" i="1"/>
  <c r="CA420" i="1"/>
  <c r="CA412" i="1"/>
  <c r="CA404" i="1"/>
  <c r="CA396" i="1"/>
  <c r="CA388" i="1"/>
  <c r="CA380" i="1"/>
  <c r="CA364" i="1"/>
  <c r="CA356" i="1"/>
  <c r="CA348" i="1"/>
  <c r="CA340" i="1"/>
  <c r="CA332" i="1"/>
  <c r="CA324" i="1"/>
  <c r="CA316" i="1"/>
  <c r="CA308" i="1"/>
  <c r="CA300" i="1"/>
  <c r="CA292" i="1"/>
  <c r="CA284" i="1"/>
  <c r="CA276" i="1"/>
  <c r="CA268" i="1"/>
  <c r="CA260" i="1"/>
  <c r="CA252" i="1"/>
  <c r="CA244" i="1"/>
  <c r="CA236" i="1"/>
  <c r="CA228" i="1"/>
  <c r="CA220" i="1"/>
  <c r="CA212" i="1"/>
  <c r="CA204" i="1"/>
  <c r="CA196" i="1"/>
  <c r="CA188" i="1"/>
  <c r="CA180" i="1"/>
  <c r="CA172" i="1"/>
  <c r="CA164" i="1"/>
  <c r="CA156" i="1"/>
  <c r="CA148" i="1"/>
  <c r="CA140" i="1"/>
  <c r="CA132" i="1"/>
  <c r="CA124" i="1"/>
  <c r="CA116" i="1"/>
  <c r="CA108" i="1"/>
  <c r="CA100" i="1"/>
  <c r="CA92" i="1"/>
  <c r="CA84" i="1"/>
  <c r="CA76" i="1"/>
  <c r="CA68" i="1"/>
  <c r="CA60" i="1"/>
  <c r="CA52" i="1"/>
  <c r="CA44" i="1"/>
  <c r="CA36" i="1"/>
  <c r="CA28" i="1"/>
  <c r="CA20" i="1"/>
  <c r="BZ194" i="1"/>
  <c r="BZ26" i="1"/>
  <c r="BZ162" i="1"/>
  <c r="BZ23" i="1"/>
  <c r="CA194" i="1"/>
  <c r="CA186" i="1"/>
  <c r="CA178" i="1"/>
  <c r="CA170" i="1"/>
  <c r="CA162" i="1"/>
  <c r="CA154" i="1"/>
  <c r="CA146" i="1"/>
  <c r="CA138" i="1"/>
  <c r="CA130" i="1"/>
  <c r="CA122" i="1"/>
  <c r="CA114" i="1"/>
  <c r="CA106" i="1"/>
  <c r="CA98" i="1"/>
  <c r="CA90" i="1"/>
  <c r="CA82" i="1"/>
  <c r="CA74" i="1"/>
  <c r="CA66" i="1"/>
  <c r="CA58" i="1"/>
  <c r="CA50" i="1"/>
  <c r="CA42" i="1"/>
  <c r="CA34" i="1"/>
  <c r="CA26" i="1"/>
  <c r="CA18" i="1"/>
  <c r="CA10" i="1"/>
  <c r="CA145" i="1"/>
  <c r="BW372" i="1"/>
  <c r="BZ119" i="1"/>
  <c r="CA200" i="1"/>
  <c r="CA192" i="1"/>
  <c r="CA184" i="1"/>
  <c r="CA176" i="1"/>
  <c r="CA168" i="1"/>
  <c r="CA160" i="1"/>
  <c r="CA152" i="1"/>
  <c r="CA144" i="1"/>
  <c r="CA136" i="1"/>
  <c r="CA128" i="1"/>
  <c r="CA120" i="1"/>
  <c r="CA112" i="1"/>
  <c r="CA96" i="1"/>
  <c r="CA88" i="1"/>
  <c r="CA80" i="1"/>
  <c r="CA72" i="1"/>
  <c r="CA64" i="1"/>
  <c r="CA40" i="1"/>
  <c r="CA32" i="1"/>
  <c r="CA24" i="1"/>
  <c r="CA16" i="1"/>
  <c r="CA8" i="1"/>
  <c r="CA199" i="1"/>
  <c r="BZ302" i="1"/>
  <c r="BZ87" i="1"/>
  <c r="CA502" i="1"/>
  <c r="CA494" i="1"/>
  <c r="CA486" i="1"/>
  <c r="CA478" i="1"/>
  <c r="CA470" i="1"/>
  <c r="CA462" i="1"/>
  <c r="CA454" i="1"/>
  <c r="CA446" i="1"/>
  <c r="CA438" i="1"/>
  <c r="CA430" i="1"/>
  <c r="CA422" i="1"/>
  <c r="CA414" i="1"/>
  <c r="CA406" i="1"/>
  <c r="CA398" i="1"/>
  <c r="CA390" i="1"/>
  <c r="CA382" i="1"/>
  <c r="CA374" i="1"/>
  <c r="CA366" i="1"/>
  <c r="CA358" i="1"/>
  <c r="CA350" i="1"/>
  <c r="CA342" i="1"/>
  <c r="CA334" i="1"/>
  <c r="CA326" i="1"/>
  <c r="CA302" i="1"/>
  <c r="CA254" i="1"/>
  <c r="CA238" i="1"/>
  <c r="CA230" i="1"/>
  <c r="CA222" i="1"/>
  <c r="CA214" i="1"/>
  <c r="CA206" i="1"/>
  <c r="CA198" i="1"/>
  <c r="CA190" i="1"/>
  <c r="CA182" i="1"/>
  <c r="CA174" i="1"/>
  <c r="CA166" i="1"/>
  <c r="CA158" i="1"/>
  <c r="CA150" i="1"/>
  <c r="CA134" i="1"/>
  <c r="CA126" i="1"/>
  <c r="CA118" i="1"/>
  <c r="CA102" i="1"/>
  <c r="CA94" i="1"/>
  <c r="CA86" i="1"/>
  <c r="CA78" i="1"/>
  <c r="CA70" i="1"/>
  <c r="CA62" i="1"/>
  <c r="CA54" i="1"/>
  <c r="CA46" i="1"/>
  <c r="CA38" i="1"/>
  <c r="CA30" i="1"/>
  <c r="CA22" i="1"/>
  <c r="BZ199" i="1"/>
  <c r="BZ167" i="1"/>
  <c r="BZ135" i="1"/>
  <c r="BZ103" i="1"/>
  <c r="BZ71" i="1"/>
  <c r="BZ39" i="1"/>
  <c r="BY186" i="1"/>
  <c r="BZ223" i="1"/>
  <c r="BZ191" i="1"/>
  <c r="BZ159" i="1"/>
  <c r="BZ127" i="1"/>
  <c r="BZ95" i="1"/>
  <c r="BZ63" i="1"/>
  <c r="BZ31" i="1"/>
  <c r="BW246" i="1"/>
  <c r="BM142" i="1"/>
  <c r="BM110" i="1"/>
  <c r="BZ498" i="1"/>
  <c r="BZ218" i="1"/>
  <c r="BZ186" i="1"/>
  <c r="BZ154" i="1"/>
  <c r="BZ122" i="1"/>
  <c r="BZ90" i="1"/>
  <c r="BZ58" i="1"/>
  <c r="BZ242" i="1"/>
  <c r="BZ210" i="1"/>
  <c r="BZ178" i="1"/>
  <c r="BZ146" i="1"/>
  <c r="BZ114" i="1"/>
  <c r="BZ82" i="1"/>
  <c r="BZ50" i="1"/>
  <c r="BZ239" i="1"/>
  <c r="BZ207" i="1"/>
  <c r="BZ175" i="1"/>
  <c r="BZ143" i="1"/>
  <c r="BZ111" i="1"/>
  <c r="BZ79" i="1"/>
  <c r="BZ47" i="1"/>
  <c r="BZ10" i="1"/>
  <c r="BZ215" i="1"/>
  <c r="BZ183" i="1"/>
  <c r="BZ151" i="1"/>
  <c r="BZ55" i="1"/>
  <c r="BZ346" i="1"/>
  <c r="BY274" i="1"/>
  <c r="BZ234" i="1"/>
  <c r="BZ202" i="1"/>
  <c r="BZ170" i="1"/>
  <c r="BZ138" i="1"/>
  <c r="BZ106" i="1"/>
  <c r="BZ74" i="1"/>
  <c r="BZ42" i="1"/>
  <c r="BV7" i="1"/>
  <c r="BZ7" i="1"/>
  <c r="BP375" i="1"/>
  <c r="BZ375" i="1"/>
  <c r="BW359" i="1"/>
  <c r="BZ359" i="1"/>
  <c r="BW335" i="1"/>
  <c r="BZ335" i="1"/>
  <c r="BW319" i="1"/>
  <c r="BZ319" i="1"/>
  <c r="BW303" i="1"/>
  <c r="BZ303" i="1"/>
  <c r="BW279" i="1"/>
  <c r="BZ279" i="1"/>
  <c r="BW263" i="1"/>
  <c r="BZ263" i="1"/>
  <c r="BY344" i="1"/>
  <c r="BZ344" i="1"/>
  <c r="BY248" i="1"/>
  <c r="BZ248" i="1"/>
  <c r="BY208" i="1"/>
  <c r="BZ208" i="1"/>
  <c r="BX501" i="1"/>
  <c r="BZ501" i="1"/>
  <c r="BX453" i="1"/>
  <c r="BZ453" i="1"/>
  <c r="BX429" i="1"/>
  <c r="BZ429" i="1"/>
  <c r="BX421" i="1"/>
  <c r="BZ421" i="1"/>
  <c r="BX413" i="1"/>
  <c r="BZ413" i="1"/>
  <c r="BP405" i="1"/>
  <c r="BZ405" i="1"/>
  <c r="BP397" i="1"/>
  <c r="BZ397" i="1"/>
  <c r="BQ381" i="1"/>
  <c r="BZ381" i="1"/>
  <c r="BX373" i="1"/>
  <c r="BZ373" i="1"/>
  <c r="BQ357" i="1"/>
  <c r="BZ357" i="1"/>
  <c r="BQ349" i="1"/>
  <c r="BZ349" i="1"/>
  <c r="BQ333" i="1"/>
  <c r="BZ333" i="1"/>
  <c r="BX325" i="1"/>
  <c r="BZ325" i="1"/>
  <c r="BQ317" i="1"/>
  <c r="BZ317" i="1"/>
  <c r="BQ309" i="1"/>
  <c r="BZ309" i="1"/>
  <c r="BS301" i="1"/>
  <c r="BZ301" i="1"/>
  <c r="BQ293" i="1"/>
  <c r="BZ293" i="1"/>
  <c r="BQ277" i="1"/>
  <c r="BZ277" i="1"/>
  <c r="BQ269" i="1"/>
  <c r="BZ269" i="1"/>
  <c r="BQ261" i="1"/>
  <c r="BZ261" i="1"/>
  <c r="BQ253" i="1"/>
  <c r="BZ253" i="1"/>
  <c r="BQ245" i="1"/>
  <c r="BZ245" i="1"/>
  <c r="BG237" i="1"/>
  <c r="BZ237" i="1"/>
  <c r="BG229" i="1"/>
  <c r="BZ229" i="1"/>
  <c r="BT221" i="1"/>
  <c r="BZ221" i="1"/>
  <c r="BK213" i="1"/>
  <c r="BZ213" i="1"/>
  <c r="BM205" i="1"/>
  <c r="BZ205" i="1"/>
  <c r="BM197" i="1"/>
  <c r="BZ197" i="1"/>
  <c r="BM189" i="1"/>
  <c r="BZ189" i="1"/>
  <c r="BM181" i="1"/>
  <c r="BZ181" i="1"/>
  <c r="BT173" i="1"/>
  <c r="BZ173" i="1"/>
  <c r="BM165" i="1"/>
  <c r="BZ165" i="1"/>
  <c r="BN157" i="1"/>
  <c r="BZ157" i="1"/>
  <c r="BG149" i="1"/>
  <c r="BZ149" i="1"/>
  <c r="BG141" i="1"/>
  <c r="BZ141" i="1"/>
  <c r="BX133" i="1"/>
  <c r="BZ133" i="1"/>
  <c r="BM125" i="1"/>
  <c r="BZ125" i="1"/>
  <c r="BG117" i="1"/>
  <c r="BZ117" i="1"/>
  <c r="BM109" i="1"/>
  <c r="BZ109" i="1"/>
  <c r="BG101" i="1"/>
  <c r="BZ101" i="1"/>
  <c r="BP93" i="1"/>
  <c r="BZ93" i="1"/>
  <c r="BH85" i="1"/>
  <c r="BZ85" i="1"/>
  <c r="BM77" i="1"/>
  <c r="BZ77" i="1"/>
  <c r="BM69" i="1"/>
  <c r="BZ69" i="1"/>
  <c r="BM61" i="1"/>
  <c r="BZ61" i="1"/>
  <c r="BT53" i="1"/>
  <c r="BZ53" i="1"/>
  <c r="BL45" i="1"/>
  <c r="BZ45" i="1"/>
  <c r="BM37" i="1"/>
  <c r="BZ37" i="1"/>
  <c r="BG29" i="1"/>
  <c r="BZ29" i="1"/>
  <c r="BM21" i="1"/>
  <c r="BZ21" i="1"/>
  <c r="BZ474" i="1"/>
  <c r="BZ442" i="1"/>
  <c r="BW327" i="1"/>
  <c r="BZ327" i="1"/>
  <c r="BW295" i="1"/>
  <c r="BZ295" i="1"/>
  <c r="BY255" i="1"/>
  <c r="BZ255" i="1"/>
  <c r="BY400" i="1"/>
  <c r="BZ400" i="1"/>
  <c r="BX493" i="1"/>
  <c r="BZ493" i="1"/>
  <c r="BX485" i="1"/>
  <c r="BZ485" i="1"/>
  <c r="BX477" i="1"/>
  <c r="BZ477" i="1"/>
  <c r="BX469" i="1"/>
  <c r="BZ469" i="1"/>
  <c r="BX461" i="1"/>
  <c r="BZ461" i="1"/>
  <c r="BX445" i="1"/>
  <c r="BZ445" i="1"/>
  <c r="BY437" i="1"/>
  <c r="BZ437" i="1"/>
  <c r="BQ389" i="1"/>
  <c r="BZ389" i="1"/>
  <c r="BX365" i="1"/>
  <c r="BZ365" i="1"/>
  <c r="BQ341" i="1"/>
  <c r="BZ341" i="1"/>
  <c r="BQ285" i="1"/>
  <c r="BZ285" i="1"/>
  <c r="BW318" i="1"/>
  <c r="BZ318" i="1"/>
  <c r="BW310" i="1"/>
  <c r="BZ310" i="1"/>
  <c r="BW294" i="1"/>
  <c r="BZ294" i="1"/>
  <c r="BW286" i="1"/>
  <c r="BZ286" i="1"/>
  <c r="BW278" i="1"/>
  <c r="BZ278" i="1"/>
  <c r="BW270" i="1"/>
  <c r="BZ270" i="1"/>
  <c r="BW262" i="1"/>
  <c r="BZ262" i="1"/>
  <c r="BZ503" i="1"/>
  <c r="BZ471" i="1"/>
  <c r="BZ439" i="1"/>
  <c r="BZ407" i="1"/>
  <c r="BP399" i="1"/>
  <c r="BZ399" i="1"/>
  <c r="BZ490" i="1"/>
  <c r="BZ426" i="1"/>
  <c r="BV15" i="1"/>
  <c r="BZ15" i="1"/>
  <c r="BP383" i="1"/>
  <c r="BZ383" i="1"/>
  <c r="BP367" i="1"/>
  <c r="BZ367" i="1"/>
  <c r="BW351" i="1"/>
  <c r="BZ351" i="1"/>
  <c r="BW343" i="1"/>
  <c r="BZ343" i="1"/>
  <c r="BW311" i="1"/>
  <c r="BZ311" i="1"/>
  <c r="BW287" i="1"/>
  <c r="BZ287" i="1"/>
  <c r="BW271" i="1"/>
  <c r="BZ271" i="1"/>
  <c r="BY104" i="1"/>
  <c r="BZ104" i="1"/>
  <c r="BY56" i="1"/>
  <c r="BZ56" i="1"/>
  <c r="BY48" i="1"/>
  <c r="BZ48" i="1"/>
  <c r="BZ463" i="1"/>
  <c r="BZ431" i="1"/>
  <c r="BV458" i="1"/>
  <c r="BV434" i="1"/>
  <c r="BZ487" i="1"/>
  <c r="BZ455" i="1"/>
  <c r="BZ423" i="1"/>
  <c r="BP391" i="1"/>
  <c r="BZ391" i="1"/>
  <c r="BZ482" i="1"/>
  <c r="BZ450" i="1"/>
  <c r="BZ479" i="1"/>
  <c r="BZ415" i="1"/>
  <c r="BZ13" i="1"/>
  <c r="BZ500" i="1"/>
  <c r="BZ492" i="1"/>
  <c r="BZ484" i="1"/>
  <c r="BZ476" i="1"/>
  <c r="BZ468" i="1"/>
  <c r="BZ460" i="1"/>
  <c r="BZ452" i="1"/>
  <c r="BZ444" i="1"/>
  <c r="BZ436" i="1"/>
  <c r="BZ428" i="1"/>
  <c r="BZ420" i="1"/>
  <c r="BZ412" i="1"/>
  <c r="BZ404" i="1"/>
  <c r="BZ396" i="1"/>
  <c r="BZ388" i="1"/>
  <c r="BZ380" i="1"/>
  <c r="BZ372" i="1"/>
  <c r="BZ364" i="1"/>
  <c r="BZ356" i="1"/>
  <c r="BZ348" i="1"/>
  <c r="BZ340" i="1"/>
  <c r="BZ332" i="1"/>
  <c r="BZ324" i="1"/>
  <c r="BZ316" i="1"/>
  <c r="BZ308" i="1"/>
  <c r="BZ300" i="1"/>
  <c r="BZ292" i="1"/>
  <c r="BZ284" i="1"/>
  <c r="BZ276" i="1"/>
  <c r="BZ268" i="1"/>
  <c r="BZ260" i="1"/>
  <c r="BZ252" i="1"/>
  <c r="BZ244" i="1"/>
  <c r="BZ236" i="1"/>
  <c r="BZ228" i="1"/>
  <c r="BZ220" i="1"/>
  <c r="BZ212" i="1"/>
  <c r="BZ204" i="1"/>
  <c r="BZ196" i="1"/>
  <c r="BZ188" i="1"/>
  <c r="BZ180" i="1"/>
  <c r="BZ172" i="1"/>
  <c r="BZ164" i="1"/>
  <c r="BZ156" i="1"/>
  <c r="BZ148" i="1"/>
  <c r="BZ140" i="1"/>
  <c r="BZ132" i="1"/>
  <c r="BZ124" i="1"/>
  <c r="BZ116" i="1"/>
  <c r="BZ108" i="1"/>
  <c r="BZ100" i="1"/>
  <c r="BZ92" i="1"/>
  <c r="BZ84" i="1"/>
  <c r="BZ76" i="1"/>
  <c r="BZ68" i="1"/>
  <c r="BZ60" i="1"/>
  <c r="BZ52" i="1"/>
  <c r="BZ44" i="1"/>
  <c r="BZ36" i="1"/>
  <c r="BZ28" i="1"/>
  <c r="BZ20" i="1"/>
  <c r="BY154" i="1"/>
  <c r="BZ305" i="1"/>
  <c r="BZ241" i="1"/>
  <c r="BZ233" i="1"/>
  <c r="BZ225" i="1"/>
  <c r="BZ217" i="1"/>
  <c r="BZ209" i="1"/>
  <c r="BZ201" i="1"/>
  <c r="BZ193" i="1"/>
  <c r="BZ185" i="1"/>
  <c r="BZ177" i="1"/>
  <c r="BZ169" i="1"/>
  <c r="BZ161" i="1"/>
  <c r="BZ153" i="1"/>
  <c r="BZ145" i="1"/>
  <c r="BZ137" i="1"/>
  <c r="BZ129" i="1"/>
  <c r="BZ121" i="1"/>
  <c r="BZ113" i="1"/>
  <c r="BZ105" i="1"/>
  <c r="BZ97" i="1"/>
  <c r="BZ89" i="1"/>
  <c r="BZ81" i="1"/>
  <c r="BZ73" i="1"/>
  <c r="BZ65" i="1"/>
  <c r="BZ57" i="1"/>
  <c r="BZ49" i="1"/>
  <c r="BZ41" i="1"/>
  <c r="BZ33" i="1"/>
  <c r="BZ25" i="1"/>
  <c r="BZ17" i="1"/>
  <c r="BZ247" i="1"/>
  <c r="BZ254" i="1"/>
  <c r="BZ246" i="1"/>
  <c r="BZ238" i="1"/>
  <c r="BZ230" i="1"/>
  <c r="BZ222" i="1"/>
  <c r="BZ214" i="1"/>
  <c r="BZ206" i="1"/>
  <c r="BZ198" i="1"/>
  <c r="BZ190" i="1"/>
  <c r="BZ182" i="1"/>
  <c r="BZ174" i="1"/>
  <c r="BZ166" i="1"/>
  <c r="BZ158" i="1"/>
  <c r="BZ142" i="1"/>
  <c r="BZ134" i="1"/>
  <c r="BZ126" i="1"/>
  <c r="BZ118" i="1"/>
  <c r="BZ110" i="1"/>
  <c r="BZ102" i="1"/>
  <c r="BZ94" i="1"/>
  <c r="BZ86" i="1"/>
  <c r="BZ78" i="1"/>
  <c r="BZ70" i="1"/>
  <c r="BZ62" i="1"/>
  <c r="BZ54" i="1"/>
  <c r="BZ38" i="1"/>
  <c r="BZ30" i="1"/>
  <c r="BZ22" i="1"/>
  <c r="BY122" i="1"/>
  <c r="BY90" i="1"/>
  <c r="BY333" i="1"/>
  <c r="BY21" i="1"/>
  <c r="BG150" i="1"/>
  <c r="BG46" i="1"/>
  <c r="BY218" i="1"/>
  <c r="BY85" i="1"/>
  <c r="BY442" i="1"/>
  <c r="BY234" i="1"/>
  <c r="BY202" i="1"/>
  <c r="BY170" i="1"/>
  <c r="BY138" i="1"/>
  <c r="BY106" i="1"/>
  <c r="BY74" i="1"/>
  <c r="BY42" i="1"/>
  <c r="BY405" i="1"/>
  <c r="BY229" i="1"/>
  <c r="BY197" i="1"/>
  <c r="BY165" i="1"/>
  <c r="BY133" i="1"/>
  <c r="BY101" i="1"/>
  <c r="BY69" i="1"/>
  <c r="BY37" i="1"/>
  <c r="BY397" i="1"/>
  <c r="BY226" i="1"/>
  <c r="BY194" i="1"/>
  <c r="BY162" i="1"/>
  <c r="BY130" i="1"/>
  <c r="BY98" i="1"/>
  <c r="BY66" i="1"/>
  <c r="BY34" i="1"/>
  <c r="BY341" i="1"/>
  <c r="BY221" i="1"/>
  <c r="BY189" i="1"/>
  <c r="BY157" i="1"/>
  <c r="BY125" i="1"/>
  <c r="BY93" i="1"/>
  <c r="BY61" i="1"/>
  <c r="BY29" i="1"/>
  <c r="BY477" i="1"/>
  <c r="BY277" i="1"/>
  <c r="BY213" i="1"/>
  <c r="BY181" i="1"/>
  <c r="BY149" i="1"/>
  <c r="BY117" i="1"/>
  <c r="BY474" i="1"/>
  <c r="BY269" i="1"/>
  <c r="BY210" i="1"/>
  <c r="BY178" i="1"/>
  <c r="BY146" i="1"/>
  <c r="BY114" i="1"/>
  <c r="BY82" i="1"/>
  <c r="BY50" i="1"/>
  <c r="BY53" i="1"/>
  <c r="BP495" i="1"/>
  <c r="BP447" i="1"/>
  <c r="BW231" i="1"/>
  <c r="BY445" i="1"/>
  <c r="BY242" i="1"/>
  <c r="BY205" i="1"/>
  <c r="BY173" i="1"/>
  <c r="BY141" i="1"/>
  <c r="BY109" i="1"/>
  <c r="BY77" i="1"/>
  <c r="BY45" i="1"/>
  <c r="BY10" i="1"/>
  <c r="BQ259" i="1"/>
  <c r="BY259" i="1"/>
  <c r="BO195" i="1"/>
  <c r="BY195" i="1"/>
  <c r="BG139" i="1"/>
  <c r="BY139" i="1"/>
  <c r="BO67" i="1"/>
  <c r="BY67" i="1"/>
  <c r="BY501" i="1"/>
  <c r="BY469" i="1"/>
  <c r="BY389" i="1"/>
  <c r="BY325" i="1"/>
  <c r="BY261" i="1"/>
  <c r="BW475" i="1"/>
  <c r="BY475" i="1"/>
  <c r="BV403" i="1"/>
  <c r="BY403" i="1"/>
  <c r="BK43" i="1"/>
  <c r="BY43" i="1"/>
  <c r="BX16" i="1"/>
  <c r="BY16" i="1"/>
  <c r="BX478" i="1"/>
  <c r="BY478" i="1"/>
  <c r="BX470" i="1"/>
  <c r="BY470" i="1"/>
  <c r="BX462" i="1"/>
  <c r="BY462" i="1"/>
  <c r="BX446" i="1"/>
  <c r="BY446" i="1"/>
  <c r="BX422" i="1"/>
  <c r="BY422" i="1"/>
  <c r="BX398" i="1"/>
  <c r="BY398" i="1"/>
  <c r="BX390" i="1"/>
  <c r="BY390" i="1"/>
  <c r="BX382" i="1"/>
  <c r="BY382" i="1"/>
  <c r="BX374" i="1"/>
  <c r="BY374" i="1"/>
  <c r="BX366" i="1"/>
  <c r="BY366" i="1"/>
  <c r="BX358" i="1"/>
  <c r="BY358" i="1"/>
  <c r="BW350" i="1"/>
  <c r="BY350" i="1"/>
  <c r="BW342" i="1"/>
  <c r="BY342" i="1"/>
  <c r="BW334" i="1"/>
  <c r="BY334" i="1"/>
  <c r="BW326" i="1"/>
  <c r="BY326" i="1"/>
  <c r="BW302" i="1"/>
  <c r="BY302" i="1"/>
  <c r="BY498" i="1"/>
  <c r="BY466" i="1"/>
  <c r="BY434" i="1"/>
  <c r="BY381" i="1"/>
  <c r="BY317" i="1"/>
  <c r="BY253" i="1"/>
  <c r="BV387" i="1"/>
  <c r="BY387" i="1"/>
  <c r="BX8" i="1"/>
  <c r="BY8" i="1"/>
  <c r="BX502" i="1"/>
  <c r="BY502" i="1"/>
  <c r="BX494" i="1"/>
  <c r="BY494" i="1"/>
  <c r="BX486" i="1"/>
  <c r="BY486" i="1"/>
  <c r="BX454" i="1"/>
  <c r="BY454" i="1"/>
  <c r="BX438" i="1"/>
  <c r="BY438" i="1"/>
  <c r="BX430" i="1"/>
  <c r="BY430" i="1"/>
  <c r="BX414" i="1"/>
  <c r="BY414" i="1"/>
  <c r="BX406" i="1"/>
  <c r="BY406" i="1"/>
  <c r="BY493" i="1"/>
  <c r="BY461" i="1"/>
  <c r="BY429" i="1"/>
  <c r="BY373" i="1"/>
  <c r="BY309" i="1"/>
  <c r="BY245" i="1"/>
  <c r="BV491" i="1"/>
  <c r="BY491" i="1"/>
  <c r="BV467" i="1"/>
  <c r="BY467" i="1"/>
  <c r="BV459" i="1"/>
  <c r="BY459" i="1"/>
  <c r="BV451" i="1"/>
  <c r="BY451" i="1"/>
  <c r="BV435" i="1"/>
  <c r="BY435" i="1"/>
  <c r="BV419" i="1"/>
  <c r="BY419" i="1"/>
  <c r="BV411" i="1"/>
  <c r="BY411" i="1"/>
  <c r="BV395" i="1"/>
  <c r="BY395" i="1"/>
  <c r="BV371" i="1"/>
  <c r="BY371" i="1"/>
  <c r="BV339" i="1"/>
  <c r="BY339" i="1"/>
  <c r="BV307" i="1"/>
  <c r="BY307" i="1"/>
  <c r="BV299" i="1"/>
  <c r="BY299" i="1"/>
  <c r="BV291" i="1"/>
  <c r="BY291" i="1"/>
  <c r="BJ235" i="1"/>
  <c r="BY235" i="1"/>
  <c r="BO227" i="1"/>
  <c r="BY227" i="1"/>
  <c r="BP219" i="1"/>
  <c r="BY219" i="1"/>
  <c r="BG211" i="1"/>
  <c r="BY211" i="1"/>
  <c r="BM163" i="1"/>
  <c r="BY163" i="1"/>
  <c r="BH155" i="1"/>
  <c r="BY155" i="1"/>
  <c r="BG147" i="1"/>
  <c r="BY147" i="1"/>
  <c r="BG131" i="1"/>
  <c r="BY131" i="1"/>
  <c r="BM107" i="1"/>
  <c r="BY107" i="1"/>
  <c r="BM91" i="1"/>
  <c r="BY91" i="1"/>
  <c r="BL51" i="1"/>
  <c r="BY51" i="1"/>
  <c r="BG27" i="1"/>
  <c r="BY27" i="1"/>
  <c r="BX9" i="1"/>
  <c r="BY9" i="1"/>
  <c r="BX14" i="1"/>
  <c r="BY14" i="1"/>
  <c r="BX504" i="1"/>
  <c r="BY504" i="1"/>
  <c r="BX480" i="1"/>
  <c r="BY480" i="1"/>
  <c r="BX472" i="1"/>
  <c r="BY472" i="1"/>
  <c r="BX456" i="1"/>
  <c r="BY456" i="1"/>
  <c r="BX440" i="1"/>
  <c r="BY440" i="1"/>
  <c r="BX432" i="1"/>
  <c r="BY432" i="1"/>
  <c r="BX424" i="1"/>
  <c r="BY424" i="1"/>
  <c r="BX416" i="1"/>
  <c r="BY416" i="1"/>
  <c r="BX408" i="1"/>
  <c r="BY408" i="1"/>
  <c r="BV392" i="1"/>
  <c r="BY392" i="1"/>
  <c r="BV384" i="1"/>
  <c r="BY384" i="1"/>
  <c r="BV376" i="1"/>
  <c r="BY376" i="1"/>
  <c r="BV368" i="1"/>
  <c r="BY368" i="1"/>
  <c r="BV360" i="1"/>
  <c r="BY360" i="1"/>
  <c r="BV352" i="1"/>
  <c r="BY352" i="1"/>
  <c r="BV336" i="1"/>
  <c r="BY336" i="1"/>
  <c r="BV328" i="1"/>
  <c r="BY328" i="1"/>
  <c r="BV320" i="1"/>
  <c r="BY320" i="1"/>
  <c r="BV312" i="1"/>
  <c r="BY312" i="1"/>
  <c r="BV304" i="1"/>
  <c r="BY304" i="1"/>
  <c r="BV296" i="1"/>
  <c r="BY296" i="1"/>
  <c r="BV288" i="1"/>
  <c r="BY288" i="1"/>
  <c r="BV280" i="1"/>
  <c r="BY280" i="1"/>
  <c r="BV272" i="1"/>
  <c r="BY272" i="1"/>
  <c r="BV264" i="1"/>
  <c r="BY264" i="1"/>
  <c r="BV256" i="1"/>
  <c r="BY256" i="1"/>
  <c r="BV240" i="1"/>
  <c r="BY240" i="1"/>
  <c r="BW232" i="1"/>
  <c r="BY232" i="1"/>
  <c r="BX224" i="1"/>
  <c r="BY224" i="1"/>
  <c r="BW216" i="1"/>
  <c r="BY216" i="1"/>
  <c r="BW200" i="1"/>
  <c r="BY200" i="1"/>
  <c r="BW192" i="1"/>
  <c r="BY192" i="1"/>
  <c r="BW184" i="1"/>
  <c r="BY184" i="1"/>
  <c r="BW176" i="1"/>
  <c r="BY176" i="1"/>
  <c r="BW168" i="1"/>
  <c r="BY168" i="1"/>
  <c r="BW160" i="1"/>
  <c r="BY160" i="1"/>
  <c r="BW152" i="1"/>
  <c r="BY152" i="1"/>
  <c r="BW144" i="1"/>
  <c r="BY144" i="1"/>
  <c r="BW136" i="1"/>
  <c r="BY136" i="1"/>
  <c r="BW128" i="1"/>
  <c r="BY128" i="1"/>
  <c r="BW120" i="1"/>
  <c r="BY120" i="1"/>
  <c r="BW112" i="1"/>
  <c r="BY112" i="1"/>
  <c r="BW96" i="1"/>
  <c r="BY96" i="1"/>
  <c r="BW88" i="1"/>
  <c r="BY88" i="1"/>
  <c r="BW80" i="1"/>
  <c r="BY80" i="1"/>
  <c r="BW72" i="1"/>
  <c r="BY72" i="1"/>
  <c r="BW64" i="1"/>
  <c r="BY64" i="1"/>
  <c r="BW40" i="1"/>
  <c r="BY40" i="1"/>
  <c r="BW32" i="1"/>
  <c r="BY32" i="1"/>
  <c r="BW24" i="1"/>
  <c r="BY24" i="1"/>
  <c r="BY490" i="1"/>
  <c r="BY458" i="1"/>
  <c r="BY426" i="1"/>
  <c r="BY365" i="1"/>
  <c r="BY301" i="1"/>
  <c r="BV323" i="1"/>
  <c r="BY323" i="1"/>
  <c r="BS83" i="1"/>
  <c r="BY83" i="1"/>
  <c r="BV465" i="1"/>
  <c r="BY465" i="1"/>
  <c r="BV441" i="1"/>
  <c r="BY441" i="1"/>
  <c r="BV369" i="1"/>
  <c r="BY369" i="1"/>
  <c r="BV337" i="1"/>
  <c r="BY337" i="1"/>
  <c r="BV329" i="1"/>
  <c r="BY329" i="1"/>
  <c r="BV321" i="1"/>
  <c r="BY321" i="1"/>
  <c r="BV313" i="1"/>
  <c r="BY313" i="1"/>
  <c r="BV297" i="1"/>
  <c r="BY297" i="1"/>
  <c r="BV289" i="1"/>
  <c r="BY289" i="1"/>
  <c r="BV281" i="1"/>
  <c r="BY281" i="1"/>
  <c r="BV273" i="1"/>
  <c r="BY273" i="1"/>
  <c r="BV265" i="1"/>
  <c r="BY265" i="1"/>
  <c r="BV257" i="1"/>
  <c r="BY257" i="1"/>
  <c r="BV249" i="1"/>
  <c r="BY249" i="1"/>
  <c r="BY485" i="1"/>
  <c r="BY453" i="1"/>
  <c r="BY421" i="1"/>
  <c r="BY357" i="1"/>
  <c r="BY293" i="1"/>
  <c r="BY237" i="1"/>
  <c r="BY13" i="1"/>
  <c r="BV11" i="1"/>
  <c r="BY11" i="1"/>
  <c r="BV499" i="1"/>
  <c r="BY499" i="1"/>
  <c r="BV483" i="1"/>
  <c r="BY483" i="1"/>
  <c r="BV443" i="1"/>
  <c r="BY443" i="1"/>
  <c r="BW427" i="1"/>
  <c r="BY427" i="1"/>
  <c r="BV379" i="1"/>
  <c r="BY379" i="1"/>
  <c r="BV363" i="1"/>
  <c r="BY363" i="1"/>
  <c r="BV355" i="1"/>
  <c r="BY355" i="1"/>
  <c r="BV347" i="1"/>
  <c r="BY347" i="1"/>
  <c r="BV331" i="1"/>
  <c r="BY331" i="1"/>
  <c r="BV315" i="1"/>
  <c r="BY315" i="1"/>
  <c r="BV283" i="1"/>
  <c r="BY283" i="1"/>
  <c r="BV275" i="1"/>
  <c r="BY275" i="1"/>
  <c r="BV267" i="1"/>
  <c r="BY267" i="1"/>
  <c r="BK251" i="1"/>
  <c r="BY251" i="1"/>
  <c r="BM243" i="1"/>
  <c r="BY243" i="1"/>
  <c r="BS203" i="1"/>
  <c r="BY203" i="1"/>
  <c r="BS187" i="1"/>
  <c r="BY187" i="1"/>
  <c r="BG179" i="1"/>
  <c r="BY179" i="1"/>
  <c r="BM171" i="1"/>
  <c r="BY171" i="1"/>
  <c r="BJ123" i="1"/>
  <c r="BY123" i="1"/>
  <c r="BG115" i="1"/>
  <c r="BY115" i="1"/>
  <c r="BS99" i="1"/>
  <c r="BY99" i="1"/>
  <c r="BG75" i="1"/>
  <c r="BY75" i="1"/>
  <c r="BG59" i="1"/>
  <c r="BY59" i="1"/>
  <c r="BG35" i="1"/>
  <c r="BY35" i="1"/>
  <c r="BJ19" i="1"/>
  <c r="BY19" i="1"/>
  <c r="BX6" i="1"/>
  <c r="BY6" i="1"/>
  <c r="BX496" i="1"/>
  <c r="BY496" i="1"/>
  <c r="BX488" i="1"/>
  <c r="BY488" i="1"/>
  <c r="BX464" i="1"/>
  <c r="BY464" i="1"/>
  <c r="BX448" i="1"/>
  <c r="BY448" i="1"/>
  <c r="BV497" i="1"/>
  <c r="BY497" i="1"/>
  <c r="BV489" i="1"/>
  <c r="BY489" i="1"/>
  <c r="BV481" i="1"/>
  <c r="BY481" i="1"/>
  <c r="BV473" i="1"/>
  <c r="BY473" i="1"/>
  <c r="BV457" i="1"/>
  <c r="BY457" i="1"/>
  <c r="BV449" i="1"/>
  <c r="BY449" i="1"/>
  <c r="BV433" i="1"/>
  <c r="BY433" i="1"/>
  <c r="BV425" i="1"/>
  <c r="BY425" i="1"/>
  <c r="BV417" i="1"/>
  <c r="BY417" i="1"/>
  <c r="BV409" i="1"/>
  <c r="BY409" i="1"/>
  <c r="BV401" i="1"/>
  <c r="BY401" i="1"/>
  <c r="BV393" i="1"/>
  <c r="BY393" i="1"/>
  <c r="BV385" i="1"/>
  <c r="BY385" i="1"/>
  <c r="BV377" i="1"/>
  <c r="BY377" i="1"/>
  <c r="BV361" i="1"/>
  <c r="BY361" i="1"/>
  <c r="BV353" i="1"/>
  <c r="BY353" i="1"/>
  <c r="BV345" i="1"/>
  <c r="BY345" i="1"/>
  <c r="BV12" i="1"/>
  <c r="BY12" i="1"/>
  <c r="BV418" i="1"/>
  <c r="BY418" i="1"/>
  <c r="BV410" i="1"/>
  <c r="BY410" i="1"/>
  <c r="BV402" i="1"/>
  <c r="BY402" i="1"/>
  <c r="BV394" i="1"/>
  <c r="BY394" i="1"/>
  <c r="BV386" i="1"/>
  <c r="BY386" i="1"/>
  <c r="BV378" i="1"/>
  <c r="BY378" i="1"/>
  <c r="BV370" i="1"/>
  <c r="BY370" i="1"/>
  <c r="BW362" i="1"/>
  <c r="BY362" i="1"/>
  <c r="BV354" i="1"/>
  <c r="BY354" i="1"/>
  <c r="BV346" i="1"/>
  <c r="BY346" i="1"/>
  <c r="BV338" i="1"/>
  <c r="BY338" i="1"/>
  <c r="BV322" i="1"/>
  <c r="BY322" i="1"/>
  <c r="BV314" i="1"/>
  <c r="BY314" i="1"/>
  <c r="BV306" i="1"/>
  <c r="BY306" i="1"/>
  <c r="BV298" i="1"/>
  <c r="BY298" i="1"/>
  <c r="BV290" i="1"/>
  <c r="BY290" i="1"/>
  <c r="BV282" i="1"/>
  <c r="BY282" i="1"/>
  <c r="BV266" i="1"/>
  <c r="BY266" i="1"/>
  <c r="BT258" i="1"/>
  <c r="BY258" i="1"/>
  <c r="BY482" i="1"/>
  <c r="BY450" i="1"/>
  <c r="BY413" i="1"/>
  <c r="BY349" i="1"/>
  <c r="BY285" i="1"/>
  <c r="BY500" i="1"/>
  <c r="BY492" i="1"/>
  <c r="BY484" i="1"/>
  <c r="BY476" i="1"/>
  <c r="BY468" i="1"/>
  <c r="BY460" i="1"/>
  <c r="BY452" i="1"/>
  <c r="BY436" i="1"/>
  <c r="BY428" i="1"/>
  <c r="BY420" i="1"/>
  <c r="BY412" i="1"/>
  <c r="BY404" i="1"/>
  <c r="BY396" i="1"/>
  <c r="BY388" i="1"/>
  <c r="BY380" i="1"/>
  <c r="BY372" i="1"/>
  <c r="BY364" i="1"/>
  <c r="BY356" i="1"/>
  <c r="BY348" i="1"/>
  <c r="BY340" i="1"/>
  <c r="BY332" i="1"/>
  <c r="BY324" i="1"/>
  <c r="BY316" i="1"/>
  <c r="BY308" i="1"/>
  <c r="BY300" i="1"/>
  <c r="BY292" i="1"/>
  <c r="BY276" i="1"/>
  <c r="BY268" i="1"/>
  <c r="BY260" i="1"/>
  <c r="BY252" i="1"/>
  <c r="BY244" i="1"/>
  <c r="BY236" i="1"/>
  <c r="BY228" i="1"/>
  <c r="BY220" i="1"/>
  <c r="BY212" i="1"/>
  <c r="BY196" i="1"/>
  <c r="BY188" i="1"/>
  <c r="BY180" i="1"/>
  <c r="BY172" i="1"/>
  <c r="BY164" i="1"/>
  <c r="BY156" i="1"/>
  <c r="BY148" i="1"/>
  <c r="BY140" i="1"/>
  <c r="BY132" i="1"/>
  <c r="BY124" i="1"/>
  <c r="BY116" i="1"/>
  <c r="BY108" i="1"/>
  <c r="BY100" i="1"/>
  <c r="BY92" i="1"/>
  <c r="BY84" i="1"/>
  <c r="BY76" i="1"/>
  <c r="BY68" i="1"/>
  <c r="BY60" i="1"/>
  <c r="BY52" i="1"/>
  <c r="BY44" i="1"/>
  <c r="BY36" i="1"/>
  <c r="BY28" i="1"/>
  <c r="BY20" i="1"/>
  <c r="BS58" i="1"/>
  <c r="BY250" i="1"/>
  <c r="BW444" i="1"/>
  <c r="BY241" i="1"/>
  <c r="BY233" i="1"/>
  <c r="BY225" i="1"/>
  <c r="BY217" i="1"/>
  <c r="BY209" i="1"/>
  <c r="BY201" i="1"/>
  <c r="BY193" i="1"/>
  <c r="BY185" i="1"/>
  <c r="BY177" i="1"/>
  <c r="BY169" i="1"/>
  <c r="BY161" i="1"/>
  <c r="BY153" i="1"/>
  <c r="BY145" i="1"/>
  <c r="BY137" i="1"/>
  <c r="BY129" i="1"/>
  <c r="BY121" i="1"/>
  <c r="BY113" i="1"/>
  <c r="BY105" i="1"/>
  <c r="BY97" i="1"/>
  <c r="BY89" i="1"/>
  <c r="BY81" i="1"/>
  <c r="BY73" i="1"/>
  <c r="BY65" i="1"/>
  <c r="BY57" i="1"/>
  <c r="BY49" i="1"/>
  <c r="BY41" i="1"/>
  <c r="BY33" i="1"/>
  <c r="BY25" i="1"/>
  <c r="BY17" i="1"/>
  <c r="BY503" i="1"/>
  <c r="BY495" i="1"/>
  <c r="BY487" i="1"/>
  <c r="BY479" i="1"/>
  <c r="BY471" i="1"/>
  <c r="BY463" i="1"/>
  <c r="BY455" i="1"/>
  <c r="BY447" i="1"/>
  <c r="BY439" i="1"/>
  <c r="BY431" i="1"/>
  <c r="BY423" i="1"/>
  <c r="BY415" i="1"/>
  <c r="BY407" i="1"/>
  <c r="BY399" i="1"/>
  <c r="BY391" i="1"/>
  <c r="BY383" i="1"/>
  <c r="BY375" i="1"/>
  <c r="BY367" i="1"/>
  <c r="BY359" i="1"/>
  <c r="BY351" i="1"/>
  <c r="BY343" i="1"/>
  <c r="BY335" i="1"/>
  <c r="BY327" i="1"/>
  <c r="BY319" i="1"/>
  <c r="BY311" i="1"/>
  <c r="BY303" i="1"/>
  <c r="BY295" i="1"/>
  <c r="BY287" i="1"/>
  <c r="BY279" i="1"/>
  <c r="BY271" i="1"/>
  <c r="BY263" i="1"/>
  <c r="BY247" i="1"/>
  <c r="BY239" i="1"/>
  <c r="BY231" i="1"/>
  <c r="BY223" i="1"/>
  <c r="BY215" i="1"/>
  <c r="BY207" i="1"/>
  <c r="BY199" i="1"/>
  <c r="BY191" i="1"/>
  <c r="BY183" i="1"/>
  <c r="BY167" i="1"/>
  <c r="BY159" i="1"/>
  <c r="BY151" i="1"/>
  <c r="BY143" i="1"/>
  <c r="BY135" i="1"/>
  <c r="BY127" i="1"/>
  <c r="BY119" i="1"/>
  <c r="BY111" i="1"/>
  <c r="BY103" i="1"/>
  <c r="BY95" i="1"/>
  <c r="BY87" i="1"/>
  <c r="BY79" i="1"/>
  <c r="BY71" i="1"/>
  <c r="BY55" i="1"/>
  <c r="BY47" i="1"/>
  <c r="BY31" i="1"/>
  <c r="BY23" i="1"/>
  <c r="BY15" i="1"/>
  <c r="BY7" i="1"/>
  <c r="BW255" i="1"/>
  <c r="BG175" i="1"/>
  <c r="BV63" i="1"/>
  <c r="BW39" i="1"/>
  <c r="BY318" i="1"/>
  <c r="BY310" i="1"/>
  <c r="BY294" i="1"/>
  <c r="BY286" i="1"/>
  <c r="BY278" i="1"/>
  <c r="BY270" i="1"/>
  <c r="BY262" i="1"/>
  <c r="BY254" i="1"/>
  <c r="BY246" i="1"/>
  <c r="BY238" i="1"/>
  <c r="BY230" i="1"/>
  <c r="BY222" i="1"/>
  <c r="BY214" i="1"/>
  <c r="BY206" i="1"/>
  <c r="BY198" i="1"/>
  <c r="BY190" i="1"/>
  <c r="BY182" i="1"/>
  <c r="BY174" i="1"/>
  <c r="BY166" i="1"/>
  <c r="BY158" i="1"/>
  <c r="BY150" i="1"/>
  <c r="BY142" i="1"/>
  <c r="BY134" i="1"/>
  <c r="BY126" i="1"/>
  <c r="BY118" i="1"/>
  <c r="BY110" i="1"/>
  <c r="BY102" i="1"/>
  <c r="BY94" i="1"/>
  <c r="BY86" i="1"/>
  <c r="BY78" i="1"/>
  <c r="BY70" i="1"/>
  <c r="BY62" i="1"/>
  <c r="BY54" i="1"/>
  <c r="BY46" i="1"/>
  <c r="BY38" i="1"/>
  <c r="BY30" i="1"/>
  <c r="BY22" i="1"/>
  <c r="BX400" i="1"/>
  <c r="BV344" i="1"/>
  <c r="BW48" i="1"/>
  <c r="BV305" i="1"/>
  <c r="BV330" i="1"/>
  <c r="BX437" i="1"/>
  <c r="BW204" i="1"/>
  <c r="BX53" i="1"/>
  <c r="BX77" i="1"/>
  <c r="BX109" i="1"/>
  <c r="BV248" i="1"/>
  <c r="BW208" i="1"/>
  <c r="BW104" i="1"/>
  <c r="BW56" i="1"/>
  <c r="BX85" i="1"/>
  <c r="BQ26" i="1"/>
  <c r="BQ18" i="1"/>
  <c r="BX60" i="1"/>
  <c r="BX45" i="1"/>
  <c r="BX141" i="1"/>
  <c r="BX28" i="1"/>
  <c r="BX117" i="1"/>
  <c r="BX21" i="1"/>
  <c r="BX397" i="1"/>
  <c r="BX333" i="1"/>
  <c r="BX301" i="1"/>
  <c r="BX269" i="1"/>
  <c r="BX237" i="1"/>
  <c r="BX205" i="1"/>
  <c r="BX173" i="1"/>
  <c r="BV274" i="1"/>
  <c r="BX492" i="1"/>
  <c r="BX460" i="1"/>
  <c r="BX428" i="1"/>
  <c r="BX396" i="1"/>
  <c r="BX364" i="1"/>
  <c r="BX332" i="1"/>
  <c r="BX300" i="1"/>
  <c r="BX268" i="1"/>
  <c r="BX236" i="1"/>
  <c r="BX204" i="1"/>
  <c r="BX172" i="1"/>
  <c r="BX108" i="1"/>
  <c r="BX76" i="1"/>
  <c r="BX44" i="1"/>
  <c r="BX389" i="1"/>
  <c r="BX357" i="1"/>
  <c r="BX293" i="1"/>
  <c r="BX261" i="1"/>
  <c r="BX229" i="1"/>
  <c r="BX197" i="1"/>
  <c r="BX165" i="1"/>
  <c r="BX101" i="1"/>
  <c r="BX69" i="1"/>
  <c r="BX37" i="1"/>
  <c r="BW284" i="1"/>
  <c r="BW140" i="1"/>
  <c r="BX484" i="1"/>
  <c r="BX452" i="1"/>
  <c r="BX420" i="1"/>
  <c r="BX388" i="1"/>
  <c r="BX356" i="1"/>
  <c r="BX324" i="1"/>
  <c r="BX292" i="1"/>
  <c r="BX260" i="1"/>
  <c r="BX228" i="1"/>
  <c r="BX196" i="1"/>
  <c r="BX164" i="1"/>
  <c r="BX100" i="1"/>
  <c r="BX68" i="1"/>
  <c r="BX36" i="1"/>
  <c r="BW188" i="1"/>
  <c r="BX381" i="1"/>
  <c r="BX349" i="1"/>
  <c r="BX317" i="1"/>
  <c r="BX285" i="1"/>
  <c r="BX253" i="1"/>
  <c r="BX221" i="1"/>
  <c r="BX189" i="1"/>
  <c r="BX157" i="1"/>
  <c r="BX125" i="1"/>
  <c r="BX93" i="1"/>
  <c r="BX61" i="1"/>
  <c r="BX29" i="1"/>
  <c r="BX476" i="1"/>
  <c r="BX444" i="1"/>
  <c r="BX412" i="1"/>
  <c r="BX380" i="1"/>
  <c r="BX348" i="1"/>
  <c r="BX284" i="1"/>
  <c r="BX252" i="1"/>
  <c r="BX220" i="1"/>
  <c r="BX188" i="1"/>
  <c r="BX156" i="1"/>
  <c r="BX124" i="1"/>
  <c r="BX92" i="1"/>
  <c r="BX405" i="1"/>
  <c r="BX341" i="1"/>
  <c r="BX309" i="1"/>
  <c r="BX277" i="1"/>
  <c r="BX245" i="1"/>
  <c r="BX213" i="1"/>
  <c r="BX181" i="1"/>
  <c r="BX149" i="1"/>
  <c r="BX500" i="1"/>
  <c r="BX468" i="1"/>
  <c r="BX436" i="1"/>
  <c r="BX404" i="1"/>
  <c r="BX372" i="1"/>
  <c r="BX340" i="1"/>
  <c r="BX308" i="1"/>
  <c r="BX276" i="1"/>
  <c r="BX244" i="1"/>
  <c r="BX212" i="1"/>
  <c r="BX180" i="1"/>
  <c r="BX148" i="1"/>
  <c r="BX116" i="1"/>
  <c r="BX84" i="1"/>
  <c r="BX52" i="1"/>
  <c r="BX20" i="1"/>
  <c r="BX499" i="1"/>
  <c r="BX491" i="1"/>
  <c r="BX483" i="1"/>
  <c r="BX475" i="1"/>
  <c r="BX467" i="1"/>
  <c r="BX459" i="1"/>
  <c r="BX451" i="1"/>
  <c r="BX443" i="1"/>
  <c r="BX435" i="1"/>
  <c r="BX427" i="1"/>
  <c r="BX419" i="1"/>
  <c r="BX411" i="1"/>
  <c r="BX403" i="1"/>
  <c r="BX395" i="1"/>
  <c r="BX387" i="1"/>
  <c r="BX379" i="1"/>
  <c r="BX371" i="1"/>
  <c r="BX363" i="1"/>
  <c r="BX355" i="1"/>
  <c r="BX347" i="1"/>
  <c r="BX339" i="1"/>
  <c r="BX331" i="1"/>
  <c r="BX323" i="1"/>
  <c r="BX315" i="1"/>
  <c r="BX307" i="1"/>
  <c r="BX299" i="1"/>
  <c r="BX291" i="1"/>
  <c r="BX283" i="1"/>
  <c r="BX275" i="1"/>
  <c r="BX267" i="1"/>
  <c r="BX259" i="1"/>
  <c r="BX251" i="1"/>
  <c r="BX243" i="1"/>
  <c r="BX235" i="1"/>
  <c r="BX227" i="1"/>
  <c r="BX219" i="1"/>
  <c r="BX211" i="1"/>
  <c r="BX203" i="1"/>
  <c r="BX195" i="1"/>
  <c r="BX187" i="1"/>
  <c r="BX179" i="1"/>
  <c r="BX171" i="1"/>
  <c r="BX163" i="1"/>
  <c r="BX155" i="1"/>
  <c r="BX147" i="1"/>
  <c r="BX139" i="1"/>
  <c r="BX131" i="1"/>
  <c r="BX123" i="1"/>
  <c r="BX115" i="1"/>
  <c r="BX107" i="1"/>
  <c r="BX99" i="1"/>
  <c r="BX91" i="1"/>
  <c r="BX83" i="1"/>
  <c r="BX75" i="1"/>
  <c r="BX67" i="1"/>
  <c r="BX59" i="1"/>
  <c r="BX51" i="1"/>
  <c r="BX43" i="1"/>
  <c r="BX35" i="1"/>
  <c r="BX27" i="1"/>
  <c r="BX19" i="1"/>
  <c r="BX11" i="1"/>
  <c r="BX498" i="1"/>
  <c r="BX490" i="1"/>
  <c r="BX482" i="1"/>
  <c r="BX474" i="1"/>
  <c r="BX466" i="1"/>
  <c r="BX458" i="1"/>
  <c r="BX450" i="1"/>
  <c r="BX442" i="1"/>
  <c r="BX434" i="1"/>
  <c r="BX426" i="1"/>
  <c r="BX418" i="1"/>
  <c r="BX410" i="1"/>
  <c r="BX402" i="1"/>
  <c r="BX394" i="1"/>
  <c r="BX386" i="1"/>
  <c r="BX378" i="1"/>
  <c r="BX370" i="1"/>
  <c r="BX362" i="1"/>
  <c r="BX354" i="1"/>
  <c r="BX346" i="1"/>
  <c r="BX338" i="1"/>
  <c r="BX330" i="1"/>
  <c r="BX322" i="1"/>
  <c r="BX314" i="1"/>
  <c r="BX306" i="1"/>
  <c r="BX298" i="1"/>
  <c r="BX290" i="1"/>
  <c r="BX282" i="1"/>
  <c r="BX274" i="1"/>
  <c r="BX266" i="1"/>
  <c r="BX258" i="1"/>
  <c r="BX250" i="1"/>
  <c r="BX242" i="1"/>
  <c r="BX234" i="1"/>
  <c r="BX226" i="1"/>
  <c r="BX218" i="1"/>
  <c r="BX210" i="1"/>
  <c r="BX202" i="1"/>
  <c r="BX194" i="1"/>
  <c r="BX186" i="1"/>
  <c r="BX178" i="1"/>
  <c r="BX170" i="1"/>
  <c r="BX162" i="1"/>
  <c r="BX154" i="1"/>
  <c r="BX146" i="1"/>
  <c r="BX138" i="1"/>
  <c r="BX130" i="1"/>
  <c r="BX122" i="1"/>
  <c r="BX114" i="1"/>
  <c r="BX106" i="1"/>
  <c r="BX98" i="1"/>
  <c r="BX90" i="1"/>
  <c r="BX82" i="1"/>
  <c r="BX74" i="1"/>
  <c r="BX66" i="1"/>
  <c r="BX58" i="1"/>
  <c r="BX50" i="1"/>
  <c r="BX42" i="1"/>
  <c r="BX34" i="1"/>
  <c r="BX26" i="1"/>
  <c r="BX18" i="1"/>
  <c r="BX10" i="1"/>
  <c r="BQ373" i="1"/>
  <c r="BV35" i="1"/>
  <c r="BX497" i="1"/>
  <c r="BX489" i="1"/>
  <c r="BX481" i="1"/>
  <c r="BX473" i="1"/>
  <c r="BX465" i="1"/>
  <c r="BX457" i="1"/>
  <c r="BX449" i="1"/>
  <c r="BX441" i="1"/>
  <c r="BX433" i="1"/>
  <c r="BX425" i="1"/>
  <c r="BX417" i="1"/>
  <c r="BX409" i="1"/>
  <c r="BX401" i="1"/>
  <c r="BX393" i="1"/>
  <c r="BX385" i="1"/>
  <c r="BX377" i="1"/>
  <c r="BX369" i="1"/>
  <c r="BX361" i="1"/>
  <c r="BX353" i="1"/>
  <c r="BX345" i="1"/>
  <c r="BX337" i="1"/>
  <c r="BX329" i="1"/>
  <c r="BX321" i="1"/>
  <c r="BX313" i="1"/>
  <c r="BX305" i="1"/>
  <c r="BX297" i="1"/>
  <c r="BX289" i="1"/>
  <c r="BX281" i="1"/>
  <c r="BX273" i="1"/>
  <c r="BX265" i="1"/>
  <c r="BX257" i="1"/>
  <c r="BX249" i="1"/>
  <c r="BX241" i="1"/>
  <c r="BX233" i="1"/>
  <c r="BX225" i="1"/>
  <c r="BX217" i="1"/>
  <c r="BX209" i="1"/>
  <c r="BX201" i="1"/>
  <c r="BX193" i="1"/>
  <c r="BX185" i="1"/>
  <c r="BX33" i="1"/>
  <c r="BX25" i="1"/>
  <c r="BX392" i="1"/>
  <c r="BX384" i="1"/>
  <c r="BX376" i="1"/>
  <c r="BX368" i="1"/>
  <c r="BX360" i="1"/>
  <c r="BX352" i="1"/>
  <c r="BX344" i="1"/>
  <c r="BX336" i="1"/>
  <c r="BX328" i="1"/>
  <c r="BX320" i="1"/>
  <c r="BX312" i="1"/>
  <c r="BX304" i="1"/>
  <c r="BX296" i="1"/>
  <c r="BX288" i="1"/>
  <c r="BX280" i="1"/>
  <c r="BX272" i="1"/>
  <c r="BX264" i="1"/>
  <c r="BX256" i="1"/>
  <c r="BX248" i="1"/>
  <c r="BX240" i="1"/>
  <c r="BX232" i="1"/>
  <c r="BX216" i="1"/>
  <c r="BX208" i="1"/>
  <c r="BX200" i="1"/>
  <c r="BX192" i="1"/>
  <c r="BX184" i="1"/>
  <c r="BX176" i="1"/>
  <c r="BX168" i="1"/>
  <c r="BX160" i="1"/>
  <c r="BX152" i="1"/>
  <c r="BX144" i="1"/>
  <c r="BX136" i="1"/>
  <c r="BX128" i="1"/>
  <c r="BX120" i="1"/>
  <c r="BX112" i="1"/>
  <c r="BX104" i="1"/>
  <c r="BX96" i="1"/>
  <c r="BX88" i="1"/>
  <c r="BX80" i="1"/>
  <c r="BX72" i="1"/>
  <c r="BX64" i="1"/>
  <c r="BX56" i="1"/>
  <c r="BX48" i="1"/>
  <c r="BX40" i="1"/>
  <c r="BX32" i="1"/>
  <c r="BX24" i="1"/>
  <c r="BX503" i="1"/>
  <c r="BX495" i="1"/>
  <c r="BX487" i="1"/>
  <c r="BX471" i="1"/>
  <c r="BX463" i="1"/>
  <c r="BX455" i="1"/>
  <c r="BX447" i="1"/>
  <c r="BX439" i="1"/>
  <c r="BX431" i="1"/>
  <c r="BX423" i="1"/>
  <c r="BX415" i="1"/>
  <c r="BX407" i="1"/>
  <c r="BX399" i="1"/>
  <c r="BX391" i="1"/>
  <c r="BX383" i="1"/>
  <c r="BX375" i="1"/>
  <c r="BX367" i="1"/>
  <c r="BX359" i="1"/>
  <c r="BX351" i="1"/>
  <c r="BX343" i="1"/>
  <c r="BX335" i="1"/>
  <c r="BX327" i="1"/>
  <c r="BX319" i="1"/>
  <c r="BX311" i="1"/>
  <c r="BX303" i="1"/>
  <c r="BX295" i="1"/>
  <c r="BX287" i="1"/>
  <c r="BX279" i="1"/>
  <c r="BX271" i="1"/>
  <c r="BX263" i="1"/>
  <c r="BX255" i="1"/>
  <c r="BX247" i="1"/>
  <c r="BX239" i="1"/>
  <c r="BX231" i="1"/>
  <c r="BX223" i="1"/>
  <c r="BX215" i="1"/>
  <c r="BX207" i="1"/>
  <c r="BX199" i="1"/>
  <c r="BX191" i="1"/>
  <c r="BX183" i="1"/>
  <c r="BX175" i="1"/>
  <c r="BX167" i="1"/>
  <c r="BX159" i="1"/>
  <c r="BX151" i="1"/>
  <c r="BX143" i="1"/>
  <c r="BX135" i="1"/>
  <c r="BX127" i="1"/>
  <c r="BX119" i="1"/>
  <c r="BX111" i="1"/>
  <c r="BX103" i="1"/>
  <c r="BX95" i="1"/>
  <c r="BX87" i="1"/>
  <c r="BX79" i="1"/>
  <c r="BX63" i="1"/>
  <c r="BX55" i="1"/>
  <c r="BX47" i="1"/>
  <c r="BX39" i="1"/>
  <c r="BX31" i="1"/>
  <c r="BX23" i="1"/>
  <c r="BX15" i="1"/>
  <c r="BX7" i="1"/>
  <c r="BX12" i="1"/>
  <c r="BX350" i="1"/>
  <c r="BX342" i="1"/>
  <c r="BX334" i="1"/>
  <c r="BX326" i="1"/>
  <c r="BX318" i="1"/>
  <c r="BX310" i="1"/>
  <c r="BX302" i="1"/>
  <c r="BX294" i="1"/>
  <c r="BX286" i="1"/>
  <c r="BX278" i="1"/>
  <c r="BX270" i="1"/>
  <c r="BX262" i="1"/>
  <c r="BX254" i="1"/>
  <c r="BX246" i="1"/>
  <c r="BX238" i="1"/>
  <c r="BX230" i="1"/>
  <c r="BX222" i="1"/>
  <c r="BX214" i="1"/>
  <c r="BX206" i="1"/>
  <c r="BX198" i="1"/>
  <c r="BX190" i="1"/>
  <c r="BX182" i="1"/>
  <c r="BX174" i="1"/>
  <c r="BX166" i="1"/>
  <c r="BX158" i="1"/>
  <c r="BX150" i="1"/>
  <c r="BX142" i="1"/>
  <c r="BX134" i="1"/>
  <c r="BX126" i="1"/>
  <c r="BX118" i="1"/>
  <c r="BX110" i="1"/>
  <c r="BX102" i="1"/>
  <c r="BX94" i="1"/>
  <c r="BX86" i="1"/>
  <c r="BX78" i="1"/>
  <c r="BX70" i="1"/>
  <c r="BX62" i="1"/>
  <c r="BX54" i="1"/>
  <c r="BX46" i="1"/>
  <c r="BX38" i="1"/>
  <c r="BX30" i="1"/>
  <c r="BX22" i="1"/>
  <c r="BV432" i="1"/>
  <c r="BP453" i="1"/>
  <c r="BP437" i="1"/>
  <c r="BP429" i="1"/>
  <c r="BP421" i="1"/>
  <c r="BP413" i="1"/>
  <c r="BP493" i="1"/>
  <c r="BQ485" i="1"/>
  <c r="BP461" i="1"/>
  <c r="BW16" i="1"/>
  <c r="BW494" i="1"/>
  <c r="BW478" i="1"/>
  <c r="BW446" i="1"/>
  <c r="BV488" i="1"/>
  <c r="BV480" i="1"/>
  <c r="BV448" i="1"/>
  <c r="BV400" i="1"/>
  <c r="BW13" i="1"/>
  <c r="BV9" i="1"/>
  <c r="BP501" i="1"/>
  <c r="BP477" i="1"/>
  <c r="BP469" i="1"/>
  <c r="BP445" i="1"/>
  <c r="BW8" i="1"/>
  <c r="BW502" i="1"/>
  <c r="BW486" i="1"/>
  <c r="BW470" i="1"/>
  <c r="BW462" i="1"/>
  <c r="BW454" i="1"/>
  <c r="BW438" i="1"/>
  <c r="BW430" i="1"/>
  <c r="BW422" i="1"/>
  <c r="BW414" i="1"/>
  <c r="BW406" i="1"/>
  <c r="BW398" i="1"/>
  <c r="BW390" i="1"/>
  <c r="BW382" i="1"/>
  <c r="BW374" i="1"/>
  <c r="BW366" i="1"/>
  <c r="BW358" i="1"/>
  <c r="BV472" i="1"/>
  <c r="BP89" i="1"/>
  <c r="BP57" i="1"/>
  <c r="BQ17" i="1"/>
  <c r="BV6" i="1"/>
  <c r="BV504" i="1"/>
  <c r="BV496" i="1"/>
  <c r="BV464" i="1"/>
  <c r="BV456" i="1"/>
  <c r="BV440" i="1"/>
  <c r="BV424" i="1"/>
  <c r="BV416" i="1"/>
  <c r="BV408" i="1"/>
  <c r="BM177" i="1"/>
  <c r="BH169" i="1"/>
  <c r="BM161" i="1"/>
  <c r="BQ153" i="1"/>
  <c r="BP145" i="1"/>
  <c r="BP137" i="1"/>
  <c r="BP129" i="1"/>
  <c r="BO121" i="1"/>
  <c r="BP113" i="1"/>
  <c r="BW105" i="1"/>
  <c r="BP97" i="1"/>
  <c r="BP81" i="1"/>
  <c r="BP73" i="1"/>
  <c r="BP65" i="1"/>
  <c r="BP49" i="1"/>
  <c r="BQ41" i="1"/>
  <c r="BQ325" i="1"/>
  <c r="BV103" i="1"/>
  <c r="BW224" i="1"/>
  <c r="BQ365" i="1"/>
  <c r="BM133" i="1"/>
  <c r="BW132" i="1"/>
  <c r="BV475" i="1"/>
  <c r="BV471" i="1"/>
  <c r="BW12" i="1"/>
  <c r="BP479" i="1"/>
  <c r="BW71" i="1"/>
  <c r="BV135" i="1"/>
  <c r="BW396" i="1"/>
  <c r="BW477" i="1"/>
  <c r="BW397" i="1"/>
  <c r="BW341" i="1"/>
  <c r="BW285" i="1"/>
  <c r="BW245" i="1"/>
  <c r="BW205" i="1"/>
  <c r="BW173" i="1"/>
  <c r="BW141" i="1"/>
  <c r="BW101" i="1"/>
  <c r="BW29" i="1"/>
  <c r="BV427" i="1"/>
  <c r="BV71" i="1"/>
  <c r="BW499" i="1"/>
  <c r="BW491" i="1"/>
  <c r="BW483" i="1"/>
  <c r="BW467" i="1"/>
  <c r="BW459" i="1"/>
  <c r="BW451" i="1"/>
  <c r="BW443" i="1"/>
  <c r="BW435" i="1"/>
  <c r="BW419" i="1"/>
  <c r="BW411" i="1"/>
  <c r="BW403" i="1"/>
  <c r="BW395" i="1"/>
  <c r="BW387" i="1"/>
  <c r="BW379" i="1"/>
  <c r="BW371" i="1"/>
  <c r="BW363" i="1"/>
  <c r="BW355" i="1"/>
  <c r="BW347" i="1"/>
  <c r="BW339" i="1"/>
  <c r="BW331" i="1"/>
  <c r="BW323" i="1"/>
  <c r="BW315" i="1"/>
  <c r="BW307" i="1"/>
  <c r="BW299" i="1"/>
  <c r="BW291" i="1"/>
  <c r="BW283" i="1"/>
  <c r="BW275" i="1"/>
  <c r="BW267" i="1"/>
  <c r="BW259" i="1"/>
  <c r="BW251" i="1"/>
  <c r="BW243" i="1"/>
  <c r="BW235" i="1"/>
  <c r="BW227" i="1"/>
  <c r="BW219" i="1"/>
  <c r="BW211" i="1"/>
  <c r="BW203" i="1"/>
  <c r="BW195" i="1"/>
  <c r="BW187" i="1"/>
  <c r="BW179" i="1"/>
  <c r="BW171" i="1"/>
  <c r="BW163" i="1"/>
  <c r="BW155" i="1"/>
  <c r="BW147" i="1"/>
  <c r="BW139" i="1"/>
  <c r="BW131" i="1"/>
  <c r="BW123" i="1"/>
  <c r="BW115" i="1"/>
  <c r="BW107" i="1"/>
  <c r="BW99" i="1"/>
  <c r="BW91" i="1"/>
  <c r="BW83" i="1"/>
  <c r="BW75" i="1"/>
  <c r="BW67" i="1"/>
  <c r="BW59" i="1"/>
  <c r="BW51" i="1"/>
  <c r="BW43" i="1"/>
  <c r="BW35" i="1"/>
  <c r="BW27" i="1"/>
  <c r="BW19" i="1"/>
  <c r="BW11" i="1"/>
  <c r="BW485" i="1"/>
  <c r="BW421" i="1"/>
  <c r="BW365" i="1"/>
  <c r="BW309" i="1"/>
  <c r="BW261" i="1"/>
  <c r="BW221" i="1"/>
  <c r="BW189" i="1"/>
  <c r="BW165" i="1"/>
  <c r="BW133" i="1"/>
  <c r="BW109" i="1"/>
  <c r="BW93" i="1"/>
  <c r="BW85" i="1"/>
  <c r="BW77" i="1"/>
  <c r="BW69" i="1"/>
  <c r="BW61" i="1"/>
  <c r="BW37" i="1"/>
  <c r="BV375" i="1"/>
  <c r="BV39" i="1"/>
  <c r="BW498" i="1"/>
  <c r="BW490" i="1"/>
  <c r="BW482" i="1"/>
  <c r="BW474" i="1"/>
  <c r="BW466" i="1"/>
  <c r="BW458" i="1"/>
  <c r="BW450" i="1"/>
  <c r="BW442" i="1"/>
  <c r="BW434" i="1"/>
  <c r="BW426" i="1"/>
  <c r="BW418" i="1"/>
  <c r="BW410" i="1"/>
  <c r="BW402" i="1"/>
  <c r="BW394" i="1"/>
  <c r="BW386" i="1"/>
  <c r="BW378" i="1"/>
  <c r="BW370" i="1"/>
  <c r="BW354" i="1"/>
  <c r="BW346" i="1"/>
  <c r="BW338" i="1"/>
  <c r="BW330" i="1"/>
  <c r="BW322" i="1"/>
  <c r="BW314" i="1"/>
  <c r="BW306" i="1"/>
  <c r="BW298" i="1"/>
  <c r="BW290" i="1"/>
  <c r="BW282" i="1"/>
  <c r="BW274" i="1"/>
  <c r="BW266" i="1"/>
  <c r="BW258" i="1"/>
  <c r="BW250" i="1"/>
  <c r="BW242" i="1"/>
  <c r="BW234" i="1"/>
  <c r="BW226" i="1"/>
  <c r="BW218" i="1"/>
  <c r="BW210" i="1"/>
  <c r="BW202" i="1"/>
  <c r="BW194" i="1"/>
  <c r="BW186" i="1"/>
  <c r="BW178" i="1"/>
  <c r="BW170" i="1"/>
  <c r="BW162" i="1"/>
  <c r="BW154" i="1"/>
  <c r="BW146" i="1"/>
  <c r="BW138" i="1"/>
  <c r="BW130" i="1"/>
  <c r="BW122" i="1"/>
  <c r="BW114" i="1"/>
  <c r="BW106" i="1"/>
  <c r="BW98" i="1"/>
  <c r="BW90" i="1"/>
  <c r="BW82" i="1"/>
  <c r="BW74" i="1"/>
  <c r="BW66" i="1"/>
  <c r="BW58" i="1"/>
  <c r="BW50" i="1"/>
  <c r="BW42" i="1"/>
  <c r="BW34" i="1"/>
  <c r="BW26" i="1"/>
  <c r="BW18" i="1"/>
  <c r="BW469" i="1"/>
  <c r="BW413" i="1"/>
  <c r="BW381" i="1"/>
  <c r="BW333" i="1"/>
  <c r="BW293" i="1"/>
  <c r="BW237" i="1"/>
  <c r="BW213" i="1"/>
  <c r="BW181" i="1"/>
  <c r="BW149" i="1"/>
  <c r="BW117" i="1"/>
  <c r="BW45" i="1"/>
  <c r="BW316" i="1"/>
  <c r="BW497" i="1"/>
  <c r="BW489" i="1"/>
  <c r="BW481" i="1"/>
  <c r="BW473" i="1"/>
  <c r="BW465" i="1"/>
  <c r="BW457" i="1"/>
  <c r="BW449" i="1"/>
  <c r="BW441" i="1"/>
  <c r="BW433" i="1"/>
  <c r="BW425" i="1"/>
  <c r="BW417" i="1"/>
  <c r="BW409" i="1"/>
  <c r="BW401" i="1"/>
  <c r="BW393" i="1"/>
  <c r="BW385" i="1"/>
  <c r="BW377" i="1"/>
  <c r="BW369" i="1"/>
  <c r="BW361" i="1"/>
  <c r="BW353" i="1"/>
  <c r="BW345" i="1"/>
  <c r="BW337" i="1"/>
  <c r="BW329" i="1"/>
  <c r="BW321" i="1"/>
  <c r="BW313" i="1"/>
  <c r="BW305" i="1"/>
  <c r="BW297" i="1"/>
  <c r="BW289" i="1"/>
  <c r="BW281" i="1"/>
  <c r="BW273" i="1"/>
  <c r="BW265" i="1"/>
  <c r="BW257" i="1"/>
  <c r="BW249" i="1"/>
  <c r="BW241" i="1"/>
  <c r="BW225" i="1"/>
  <c r="BW217" i="1"/>
  <c r="BW209" i="1"/>
  <c r="BW201" i="1"/>
  <c r="BW193" i="1"/>
  <c r="BW185" i="1"/>
  <c r="BW177" i="1"/>
  <c r="BW169" i="1"/>
  <c r="BW161" i="1"/>
  <c r="BW153" i="1"/>
  <c r="BW145" i="1"/>
  <c r="BW137" i="1"/>
  <c r="BW129" i="1"/>
  <c r="BW121" i="1"/>
  <c r="BW113" i="1"/>
  <c r="BW97" i="1"/>
  <c r="BW89" i="1"/>
  <c r="BW81" i="1"/>
  <c r="BW73" i="1"/>
  <c r="BW65" i="1"/>
  <c r="BW57" i="1"/>
  <c r="BW49" i="1"/>
  <c r="BW41" i="1"/>
  <c r="BW33" i="1"/>
  <c r="BW25" i="1"/>
  <c r="BW17" i="1"/>
  <c r="BW9" i="1"/>
  <c r="BW445" i="1"/>
  <c r="BW373" i="1"/>
  <c r="BW325" i="1"/>
  <c r="BW269" i="1"/>
  <c r="BW229" i="1"/>
  <c r="BW197" i="1"/>
  <c r="BW157" i="1"/>
  <c r="BW125" i="1"/>
  <c r="BW53" i="1"/>
  <c r="BV251" i="1"/>
  <c r="BW504" i="1"/>
  <c r="BW496" i="1"/>
  <c r="BW488" i="1"/>
  <c r="BW480" i="1"/>
  <c r="BW472" i="1"/>
  <c r="BW464" i="1"/>
  <c r="BW456" i="1"/>
  <c r="BW448" i="1"/>
  <c r="BW440" i="1"/>
  <c r="BW432" i="1"/>
  <c r="BW424" i="1"/>
  <c r="BW416" i="1"/>
  <c r="BW408" i="1"/>
  <c r="BW400" i="1"/>
  <c r="BW392" i="1"/>
  <c r="BW384" i="1"/>
  <c r="BW376" i="1"/>
  <c r="BW368" i="1"/>
  <c r="BW360" i="1"/>
  <c r="BW352" i="1"/>
  <c r="BW344" i="1"/>
  <c r="BW336" i="1"/>
  <c r="BW328" i="1"/>
  <c r="BW320" i="1"/>
  <c r="BW312" i="1"/>
  <c r="BW304" i="1"/>
  <c r="BW296" i="1"/>
  <c r="BW288" i="1"/>
  <c r="BW280" i="1"/>
  <c r="BW272" i="1"/>
  <c r="BW264" i="1"/>
  <c r="BW256" i="1"/>
  <c r="BW248" i="1"/>
  <c r="BW240" i="1"/>
  <c r="BW501" i="1"/>
  <c r="BW461" i="1"/>
  <c r="BW437" i="1"/>
  <c r="BW389" i="1"/>
  <c r="BW349" i="1"/>
  <c r="BW301" i="1"/>
  <c r="BW253" i="1"/>
  <c r="BV199" i="1"/>
  <c r="BW503" i="1"/>
  <c r="BW495" i="1"/>
  <c r="BW487" i="1"/>
  <c r="BW479" i="1"/>
  <c r="BW471" i="1"/>
  <c r="BW463" i="1"/>
  <c r="BW455" i="1"/>
  <c r="BW447" i="1"/>
  <c r="BW439" i="1"/>
  <c r="BW431" i="1"/>
  <c r="BW423" i="1"/>
  <c r="BW415" i="1"/>
  <c r="BW407" i="1"/>
  <c r="BW399" i="1"/>
  <c r="BW391" i="1"/>
  <c r="BW383" i="1"/>
  <c r="BW375" i="1"/>
  <c r="BW367" i="1"/>
  <c r="BW223" i="1"/>
  <c r="BW215" i="1"/>
  <c r="BW207" i="1"/>
  <c r="BW199" i="1"/>
  <c r="BW191" i="1"/>
  <c r="BW183" i="1"/>
  <c r="BW175" i="1"/>
  <c r="BW167" i="1"/>
  <c r="BW159" i="1"/>
  <c r="BW151" i="1"/>
  <c r="BW143" i="1"/>
  <c r="BW127" i="1"/>
  <c r="BW119" i="1"/>
  <c r="BW111" i="1"/>
  <c r="BW95" i="1"/>
  <c r="BW87" i="1"/>
  <c r="BW79" i="1"/>
  <c r="BW63" i="1"/>
  <c r="BW55" i="1"/>
  <c r="BW47" i="1"/>
  <c r="BW31" i="1"/>
  <c r="BW23" i="1"/>
  <c r="BW15" i="1"/>
  <c r="BW7" i="1"/>
  <c r="BW493" i="1"/>
  <c r="BW453" i="1"/>
  <c r="BW429" i="1"/>
  <c r="BW405" i="1"/>
  <c r="BW357" i="1"/>
  <c r="BW317" i="1"/>
  <c r="BW277" i="1"/>
  <c r="BW21" i="1"/>
  <c r="BV14" i="1"/>
  <c r="BW222" i="1"/>
  <c r="BW214" i="1"/>
  <c r="BW206" i="1"/>
  <c r="BW198" i="1"/>
  <c r="BW190" i="1"/>
  <c r="BW182" i="1"/>
  <c r="BW174" i="1"/>
  <c r="BW166" i="1"/>
  <c r="BW158" i="1"/>
  <c r="BW150" i="1"/>
  <c r="BW142" i="1"/>
  <c r="BW134" i="1"/>
  <c r="BW126" i="1"/>
  <c r="BW118" i="1"/>
  <c r="BW110" i="1"/>
  <c r="BW102" i="1"/>
  <c r="BW94" i="1"/>
  <c r="BW86" i="1"/>
  <c r="BW78" i="1"/>
  <c r="BW70" i="1"/>
  <c r="BW62" i="1"/>
  <c r="BW54" i="1"/>
  <c r="BW46" i="1"/>
  <c r="BW38" i="1"/>
  <c r="BW30" i="1"/>
  <c r="BW22" i="1"/>
  <c r="BW14" i="1"/>
  <c r="BW6" i="1"/>
  <c r="BV163" i="1"/>
  <c r="BV235" i="1"/>
  <c r="BV191" i="1"/>
  <c r="BV159" i="1"/>
  <c r="BV243" i="1"/>
  <c r="BV131" i="1"/>
  <c r="BU269" i="1"/>
  <c r="BV407" i="1"/>
  <c r="BV227" i="1"/>
  <c r="BV187" i="1"/>
  <c r="BV155" i="1"/>
  <c r="BV123" i="1"/>
  <c r="BV91" i="1"/>
  <c r="BV59" i="1"/>
  <c r="BV27" i="1"/>
  <c r="BV503" i="1"/>
  <c r="BV219" i="1"/>
  <c r="BV183" i="1"/>
  <c r="BV195" i="1"/>
  <c r="BV211" i="1"/>
  <c r="BV179" i="1"/>
  <c r="BV147" i="1"/>
  <c r="BV115" i="1"/>
  <c r="BV83" i="1"/>
  <c r="BV51" i="1"/>
  <c r="BV19" i="1"/>
  <c r="BV99" i="1"/>
  <c r="BV439" i="1"/>
  <c r="BV207" i="1"/>
  <c r="BV175" i="1"/>
  <c r="BV67" i="1"/>
  <c r="BP105" i="1"/>
  <c r="BV259" i="1"/>
  <c r="BV203" i="1"/>
  <c r="BV171" i="1"/>
  <c r="BV139" i="1"/>
  <c r="BV107" i="1"/>
  <c r="BV75" i="1"/>
  <c r="BV43" i="1"/>
  <c r="BP343" i="1"/>
  <c r="BV343" i="1"/>
  <c r="BG231" i="1"/>
  <c r="BV231" i="1"/>
  <c r="BQ232" i="1"/>
  <c r="BV232" i="1"/>
  <c r="BQ200" i="1"/>
  <c r="BV200" i="1"/>
  <c r="BQ192" i="1"/>
  <c r="BV192" i="1"/>
  <c r="BQ184" i="1"/>
  <c r="BV184" i="1"/>
  <c r="BQ176" i="1"/>
  <c r="BV176" i="1"/>
  <c r="BQ168" i="1"/>
  <c r="BV168" i="1"/>
  <c r="BQ160" i="1"/>
  <c r="BV160" i="1"/>
  <c r="BQ152" i="1"/>
  <c r="BV152" i="1"/>
  <c r="BQ144" i="1"/>
  <c r="BV144" i="1"/>
  <c r="BQ136" i="1"/>
  <c r="BV136" i="1"/>
  <c r="BQ128" i="1"/>
  <c r="BV128" i="1"/>
  <c r="BQ120" i="1"/>
  <c r="BV120" i="1"/>
  <c r="BQ112" i="1"/>
  <c r="BV112" i="1"/>
  <c r="BQ104" i="1"/>
  <c r="BV104" i="1"/>
  <c r="BQ96" i="1"/>
  <c r="BV96" i="1"/>
  <c r="BQ88" i="1"/>
  <c r="BV88" i="1"/>
  <c r="BQ80" i="1"/>
  <c r="BV80" i="1"/>
  <c r="BT72" i="1"/>
  <c r="BV72" i="1"/>
  <c r="BQ64" i="1"/>
  <c r="BV64" i="1"/>
  <c r="BQ56" i="1"/>
  <c r="BV56" i="1"/>
  <c r="BQ48" i="1"/>
  <c r="BV48" i="1"/>
  <c r="BQ40" i="1"/>
  <c r="BV40" i="1"/>
  <c r="BT32" i="1"/>
  <c r="BV32" i="1"/>
  <c r="BQ24" i="1"/>
  <c r="BV24" i="1"/>
  <c r="BV495" i="1"/>
  <c r="BV463" i="1"/>
  <c r="BV431" i="1"/>
  <c r="BV399" i="1"/>
  <c r="BV367" i="1"/>
  <c r="BQ454" i="1"/>
  <c r="BV454" i="1"/>
  <c r="BK233" i="1"/>
  <c r="BV233" i="1"/>
  <c r="BQ16" i="1"/>
  <c r="BV16" i="1"/>
  <c r="BU502" i="1"/>
  <c r="BV502" i="1"/>
  <c r="BQ470" i="1"/>
  <c r="BV470" i="1"/>
  <c r="BQ430" i="1"/>
  <c r="BV430" i="1"/>
  <c r="BQ406" i="1"/>
  <c r="BV406" i="1"/>
  <c r="BQ390" i="1"/>
  <c r="BV390" i="1"/>
  <c r="BQ374" i="1"/>
  <c r="BV374" i="1"/>
  <c r="BQ358" i="1"/>
  <c r="BV358" i="1"/>
  <c r="BQ350" i="1"/>
  <c r="BV350" i="1"/>
  <c r="BQ334" i="1"/>
  <c r="BV334" i="1"/>
  <c r="BQ318" i="1"/>
  <c r="BV318" i="1"/>
  <c r="BQ310" i="1"/>
  <c r="BV310" i="1"/>
  <c r="BP286" i="1"/>
  <c r="BV286" i="1"/>
  <c r="BM278" i="1"/>
  <c r="BV278" i="1"/>
  <c r="BG262" i="1"/>
  <c r="BV262" i="1"/>
  <c r="BQ254" i="1"/>
  <c r="BV254" i="1"/>
  <c r="BN246" i="1"/>
  <c r="BV246" i="1"/>
  <c r="BM238" i="1"/>
  <c r="BV238" i="1"/>
  <c r="BQ335" i="1"/>
  <c r="BV335" i="1"/>
  <c r="BP319" i="1"/>
  <c r="BV319" i="1"/>
  <c r="BP303" i="1"/>
  <c r="BV303" i="1"/>
  <c r="BP295" i="1"/>
  <c r="BV295" i="1"/>
  <c r="BR287" i="1"/>
  <c r="BV287" i="1"/>
  <c r="BP271" i="1"/>
  <c r="BV271" i="1"/>
  <c r="BP247" i="1"/>
  <c r="BV247" i="1"/>
  <c r="BQ224" i="1"/>
  <c r="BV224" i="1"/>
  <c r="BQ216" i="1"/>
  <c r="BV216" i="1"/>
  <c r="R228" i="1"/>
  <c r="BV215" i="1"/>
  <c r="BQ208" i="1"/>
  <c r="BV208" i="1"/>
  <c r="BR13" i="1"/>
  <c r="BV13" i="1"/>
  <c r="BU362" i="1"/>
  <c r="BV362" i="1"/>
  <c r="BV487" i="1"/>
  <c r="BV455" i="1"/>
  <c r="BV423" i="1"/>
  <c r="BV391" i="1"/>
  <c r="BU486" i="1"/>
  <c r="BV486" i="1"/>
  <c r="BQ462" i="1"/>
  <c r="BV462" i="1"/>
  <c r="BQ438" i="1"/>
  <c r="BV438" i="1"/>
  <c r="BQ414" i="1"/>
  <c r="BV414" i="1"/>
  <c r="BP351" i="1"/>
  <c r="BV351" i="1"/>
  <c r="BQ366" i="1"/>
  <c r="BV366" i="1"/>
  <c r="BS342" i="1"/>
  <c r="BV342" i="1"/>
  <c r="BQ302" i="1"/>
  <c r="BV302" i="1"/>
  <c r="BP359" i="1"/>
  <c r="BV359" i="1"/>
  <c r="BO239" i="1"/>
  <c r="BV239" i="1"/>
  <c r="BQ300" i="1"/>
  <c r="BV300" i="1"/>
  <c r="BQ268" i="1"/>
  <c r="BV268" i="1"/>
  <c r="BN140" i="1"/>
  <c r="BV140" i="1"/>
  <c r="BL100" i="1"/>
  <c r="BV100" i="1"/>
  <c r="BM84" i="1"/>
  <c r="BV84" i="1"/>
  <c r="BL76" i="1"/>
  <c r="BV76" i="1"/>
  <c r="BM60" i="1"/>
  <c r="BV60" i="1"/>
  <c r="BM36" i="1"/>
  <c r="BV36" i="1"/>
  <c r="BT36" i="1"/>
  <c r="BL20" i="1"/>
  <c r="BV20" i="1"/>
  <c r="BV479" i="1"/>
  <c r="BV447" i="1"/>
  <c r="BV415" i="1"/>
  <c r="BV383" i="1"/>
  <c r="BQ8" i="1"/>
  <c r="BV8" i="1"/>
  <c r="BU494" i="1"/>
  <c r="BV494" i="1"/>
  <c r="BQ478" i="1"/>
  <c r="BV478" i="1"/>
  <c r="BQ446" i="1"/>
  <c r="BV446" i="1"/>
  <c r="BQ422" i="1"/>
  <c r="BV422" i="1"/>
  <c r="BQ398" i="1"/>
  <c r="BV398" i="1"/>
  <c r="BQ382" i="1"/>
  <c r="BV382" i="1"/>
  <c r="BQ326" i="1"/>
  <c r="BV326" i="1"/>
  <c r="BN294" i="1"/>
  <c r="BV294" i="1"/>
  <c r="BG270" i="1"/>
  <c r="BV270" i="1"/>
  <c r="BM230" i="1"/>
  <c r="BV230" i="1"/>
  <c r="BT327" i="1"/>
  <c r="BV327" i="1"/>
  <c r="BP311" i="1"/>
  <c r="BV311" i="1"/>
  <c r="BP279" i="1"/>
  <c r="BV279" i="1"/>
  <c r="BP263" i="1"/>
  <c r="BV263" i="1"/>
  <c r="BP255" i="1"/>
  <c r="BV255" i="1"/>
  <c r="BQ10" i="1"/>
  <c r="BV10" i="1"/>
  <c r="BQ500" i="1"/>
  <c r="BV500" i="1"/>
  <c r="BQ492" i="1"/>
  <c r="BV492" i="1"/>
  <c r="BQ484" i="1"/>
  <c r="BV484" i="1"/>
  <c r="BQ476" i="1"/>
  <c r="BV476" i="1"/>
  <c r="BQ468" i="1"/>
  <c r="BV468" i="1"/>
  <c r="BQ460" i="1"/>
  <c r="BV460" i="1"/>
  <c r="BQ452" i="1"/>
  <c r="BV452" i="1"/>
  <c r="BQ444" i="1"/>
  <c r="BV444" i="1"/>
  <c r="BQ436" i="1"/>
  <c r="BV436" i="1"/>
  <c r="BQ428" i="1"/>
  <c r="BV428" i="1"/>
  <c r="BQ420" i="1"/>
  <c r="BV420" i="1"/>
  <c r="BQ412" i="1"/>
  <c r="BV412" i="1"/>
  <c r="BQ404" i="1"/>
  <c r="BV404" i="1"/>
  <c r="BQ388" i="1"/>
  <c r="BV388" i="1"/>
  <c r="BQ380" i="1"/>
  <c r="BV380" i="1"/>
  <c r="BQ372" i="1"/>
  <c r="BV372" i="1"/>
  <c r="BQ364" i="1"/>
  <c r="BV364" i="1"/>
  <c r="BQ356" i="1"/>
  <c r="BV356" i="1"/>
  <c r="BQ348" i="1"/>
  <c r="BV348" i="1"/>
  <c r="BQ340" i="1"/>
  <c r="BV340" i="1"/>
  <c r="BQ332" i="1"/>
  <c r="BV332" i="1"/>
  <c r="BQ324" i="1"/>
  <c r="BV324" i="1"/>
  <c r="BQ316" i="1"/>
  <c r="BV316" i="1"/>
  <c r="BQ308" i="1"/>
  <c r="BV308" i="1"/>
  <c r="BQ292" i="1"/>
  <c r="BV292" i="1"/>
  <c r="BQ284" i="1"/>
  <c r="BV284" i="1"/>
  <c r="BQ276" i="1"/>
  <c r="BV276" i="1"/>
  <c r="BQ260" i="1"/>
  <c r="BV260" i="1"/>
  <c r="BQ252" i="1"/>
  <c r="BV252" i="1"/>
  <c r="BM244" i="1"/>
  <c r="BV244" i="1"/>
  <c r="BM236" i="1"/>
  <c r="BV236" i="1"/>
  <c r="BM228" i="1"/>
  <c r="BV228" i="1"/>
  <c r="BK220" i="1"/>
  <c r="BV220" i="1"/>
  <c r="BL212" i="1"/>
  <c r="BV212" i="1"/>
  <c r="BM204" i="1"/>
  <c r="BV204" i="1"/>
  <c r="BL196" i="1"/>
  <c r="BV196" i="1"/>
  <c r="BM180" i="1"/>
  <c r="BV180" i="1"/>
  <c r="BU172" i="1"/>
  <c r="BV172" i="1"/>
  <c r="BT164" i="1"/>
  <c r="BV164" i="1"/>
  <c r="BM156" i="1"/>
  <c r="BV156" i="1"/>
  <c r="BL148" i="1"/>
  <c r="BV148" i="1"/>
  <c r="BM132" i="1"/>
  <c r="BV132" i="1"/>
  <c r="BN124" i="1"/>
  <c r="BV124" i="1"/>
  <c r="BO116" i="1"/>
  <c r="BV116" i="1"/>
  <c r="BM108" i="1"/>
  <c r="BV108" i="1"/>
  <c r="BL92" i="1"/>
  <c r="BV92" i="1"/>
  <c r="BO68" i="1"/>
  <c r="BV68" i="1"/>
  <c r="BL52" i="1"/>
  <c r="BV52" i="1"/>
  <c r="BM44" i="1"/>
  <c r="BV44" i="1"/>
  <c r="BM28" i="1"/>
  <c r="BV28" i="1"/>
  <c r="BV501" i="1"/>
  <c r="BV493" i="1"/>
  <c r="BV485" i="1"/>
  <c r="BV477" i="1"/>
  <c r="BV469" i="1"/>
  <c r="BV461" i="1"/>
  <c r="BV453" i="1"/>
  <c r="BV445" i="1"/>
  <c r="BV437" i="1"/>
  <c r="BV429" i="1"/>
  <c r="BV421" i="1"/>
  <c r="BV413" i="1"/>
  <c r="BV405" i="1"/>
  <c r="BV397" i="1"/>
  <c r="BV389" i="1"/>
  <c r="BV381" i="1"/>
  <c r="BV373" i="1"/>
  <c r="BV365" i="1"/>
  <c r="BV357" i="1"/>
  <c r="BV349" i="1"/>
  <c r="BV341" i="1"/>
  <c r="BV333" i="1"/>
  <c r="BV325" i="1"/>
  <c r="BV317" i="1"/>
  <c r="BV309" i="1"/>
  <c r="BV301" i="1"/>
  <c r="BV293" i="1"/>
  <c r="BV285" i="1"/>
  <c r="BV277" i="1"/>
  <c r="BV269" i="1"/>
  <c r="BV261" i="1"/>
  <c r="BV253" i="1"/>
  <c r="BV245" i="1"/>
  <c r="BV237" i="1"/>
  <c r="BV229" i="1"/>
  <c r="BV221" i="1"/>
  <c r="BV213" i="1"/>
  <c r="BV205" i="1"/>
  <c r="BV197" i="1"/>
  <c r="BV189" i="1"/>
  <c r="BV181" i="1"/>
  <c r="BV173" i="1"/>
  <c r="BV165" i="1"/>
  <c r="BV157" i="1"/>
  <c r="BV149" i="1"/>
  <c r="BV141" i="1"/>
  <c r="BV133" i="1"/>
  <c r="BV125" i="1"/>
  <c r="BV117" i="1"/>
  <c r="BV109" i="1"/>
  <c r="BV101" i="1"/>
  <c r="BV93" i="1"/>
  <c r="BV85" i="1"/>
  <c r="BV77" i="1"/>
  <c r="BV69" i="1"/>
  <c r="BV61" i="1"/>
  <c r="BV53" i="1"/>
  <c r="BV45" i="1"/>
  <c r="BV37" i="1"/>
  <c r="BV29" i="1"/>
  <c r="BV21" i="1"/>
  <c r="BM167" i="1"/>
  <c r="BU397" i="1"/>
  <c r="BU133" i="1"/>
  <c r="BV258" i="1"/>
  <c r="BV226" i="1"/>
  <c r="BV130" i="1"/>
  <c r="BV90" i="1"/>
  <c r="BV82" i="1"/>
  <c r="BV74" i="1"/>
  <c r="BV66" i="1"/>
  <c r="BV58" i="1"/>
  <c r="BV50" i="1"/>
  <c r="BV42" i="1"/>
  <c r="BV34" i="1"/>
  <c r="BV26" i="1"/>
  <c r="BV18" i="1"/>
  <c r="BU125" i="1"/>
  <c r="BV225" i="1"/>
  <c r="BV217" i="1"/>
  <c r="BV209" i="1"/>
  <c r="BV201" i="1"/>
  <c r="BV193" i="1"/>
  <c r="BV185" i="1"/>
  <c r="BV177" i="1"/>
  <c r="BV169" i="1"/>
  <c r="BV161" i="1"/>
  <c r="BV153" i="1"/>
  <c r="BV145" i="1"/>
  <c r="BV137" i="1"/>
  <c r="BV129" i="1"/>
  <c r="BV121" i="1"/>
  <c r="BV113" i="1"/>
  <c r="BV105" i="1"/>
  <c r="BV97" i="1"/>
  <c r="BV89" i="1"/>
  <c r="BV81" i="1"/>
  <c r="BV73" i="1"/>
  <c r="BV65" i="1"/>
  <c r="BV57" i="1"/>
  <c r="BV49" i="1"/>
  <c r="BV41" i="1"/>
  <c r="BV33" i="1"/>
  <c r="BV25" i="1"/>
  <c r="BV17" i="1"/>
  <c r="BV223" i="1"/>
  <c r="BV222" i="1"/>
  <c r="BV214" i="1"/>
  <c r="BV206" i="1"/>
  <c r="BV198" i="1"/>
  <c r="BV190" i="1"/>
  <c r="BV182" i="1"/>
  <c r="BV174" i="1"/>
  <c r="BV166" i="1"/>
  <c r="BV150" i="1"/>
  <c r="BV142" i="1"/>
  <c r="BV134" i="1"/>
  <c r="BV126" i="1"/>
  <c r="BV118" i="1"/>
  <c r="BV110" i="1"/>
  <c r="BV102" i="1"/>
  <c r="BV94" i="1"/>
  <c r="BV86" i="1"/>
  <c r="BV78" i="1"/>
  <c r="BV70" i="1"/>
  <c r="BV62" i="1"/>
  <c r="BV54" i="1"/>
  <c r="BV46" i="1"/>
  <c r="BV38" i="1"/>
  <c r="BV30" i="1"/>
  <c r="BV22" i="1"/>
  <c r="BU399" i="1"/>
  <c r="BU495" i="1"/>
  <c r="BU367" i="1"/>
  <c r="BU239" i="1"/>
  <c r="BU117" i="1"/>
  <c r="BU493" i="1"/>
  <c r="BU365" i="1"/>
  <c r="BU237" i="1"/>
  <c r="BU69" i="1"/>
  <c r="BU463" i="1"/>
  <c r="BU335" i="1"/>
  <c r="BU207" i="1"/>
  <c r="BU61" i="1"/>
  <c r="BU271" i="1"/>
  <c r="BQ396" i="1"/>
  <c r="BK188" i="1"/>
  <c r="BU461" i="1"/>
  <c r="BU333" i="1"/>
  <c r="BU205" i="1"/>
  <c r="BU53" i="1"/>
  <c r="BT484" i="1"/>
  <c r="BU431" i="1"/>
  <c r="BU303" i="1"/>
  <c r="BU175" i="1"/>
  <c r="BU45" i="1"/>
  <c r="BQ158" i="1"/>
  <c r="BT356" i="1"/>
  <c r="BU429" i="1"/>
  <c r="BU301" i="1"/>
  <c r="BU173" i="1"/>
  <c r="BQ7" i="1"/>
  <c r="BU7" i="1"/>
  <c r="BG31" i="1"/>
  <c r="BU31" i="1"/>
  <c r="BQ296" i="1"/>
  <c r="BU296" i="1"/>
  <c r="BQ280" i="1"/>
  <c r="BU280" i="1"/>
  <c r="BQ272" i="1"/>
  <c r="BU272" i="1"/>
  <c r="BQ264" i="1"/>
  <c r="BU264" i="1"/>
  <c r="BQ256" i="1"/>
  <c r="BU256" i="1"/>
  <c r="BQ248" i="1"/>
  <c r="BU248" i="1"/>
  <c r="BQ240" i="1"/>
  <c r="BU240" i="1"/>
  <c r="BU487" i="1"/>
  <c r="BU455" i="1"/>
  <c r="BU423" i="1"/>
  <c r="BU391" i="1"/>
  <c r="BU359" i="1"/>
  <c r="BU327" i="1"/>
  <c r="BU295" i="1"/>
  <c r="BU263" i="1"/>
  <c r="BU231" i="1"/>
  <c r="BU199" i="1"/>
  <c r="BU167" i="1"/>
  <c r="BH79" i="1"/>
  <c r="BU79" i="1"/>
  <c r="BK55" i="1"/>
  <c r="BU55" i="1"/>
  <c r="BQ328" i="1"/>
  <c r="BU328" i="1"/>
  <c r="BQ320" i="1"/>
  <c r="BU320" i="1"/>
  <c r="BK417" i="1"/>
  <c r="BU417" i="1"/>
  <c r="BM409" i="1"/>
  <c r="BU409" i="1"/>
  <c r="BK401" i="1"/>
  <c r="BU401" i="1"/>
  <c r="BM393" i="1"/>
  <c r="BU393" i="1"/>
  <c r="BK385" i="1"/>
  <c r="BU385" i="1"/>
  <c r="BQ377" i="1"/>
  <c r="BU377" i="1"/>
  <c r="BK369" i="1"/>
  <c r="BU369" i="1"/>
  <c r="BM361" i="1"/>
  <c r="BU361" i="1"/>
  <c r="BK353" i="1"/>
  <c r="BU353" i="1"/>
  <c r="BK345" i="1"/>
  <c r="BU345" i="1"/>
  <c r="BK337" i="1"/>
  <c r="BU337" i="1"/>
  <c r="BM329" i="1"/>
  <c r="BU329" i="1"/>
  <c r="BM321" i="1"/>
  <c r="BU321" i="1"/>
  <c r="BK313" i="1"/>
  <c r="BU313" i="1"/>
  <c r="BM305" i="1"/>
  <c r="BU305" i="1"/>
  <c r="BM297" i="1"/>
  <c r="BU297" i="1"/>
  <c r="BM289" i="1"/>
  <c r="BU289" i="1"/>
  <c r="BM281" i="1"/>
  <c r="BU281" i="1"/>
  <c r="BM273" i="1"/>
  <c r="BU273" i="1"/>
  <c r="BK265" i="1"/>
  <c r="BU265" i="1"/>
  <c r="BM257" i="1"/>
  <c r="BU257" i="1"/>
  <c r="BK249" i="1"/>
  <c r="BU249" i="1"/>
  <c r="BK241" i="1"/>
  <c r="BU241" i="1"/>
  <c r="BU485" i="1"/>
  <c r="BU453" i="1"/>
  <c r="BU421" i="1"/>
  <c r="BU389" i="1"/>
  <c r="BU357" i="1"/>
  <c r="BU325" i="1"/>
  <c r="BU293" i="1"/>
  <c r="BU261" i="1"/>
  <c r="BU229" i="1"/>
  <c r="BU197" i="1"/>
  <c r="BU165" i="1"/>
  <c r="BU109" i="1"/>
  <c r="BG39" i="1"/>
  <c r="BU39" i="1"/>
  <c r="BQ472" i="1"/>
  <c r="BU472" i="1"/>
  <c r="BQ408" i="1"/>
  <c r="BU408" i="1"/>
  <c r="BQ392" i="1"/>
  <c r="BU392" i="1"/>
  <c r="BQ344" i="1"/>
  <c r="BU344" i="1"/>
  <c r="BK489" i="1"/>
  <c r="BU489" i="1"/>
  <c r="BM473" i="1"/>
  <c r="BU473" i="1"/>
  <c r="BQ370" i="1"/>
  <c r="BU370" i="1"/>
  <c r="BQ354" i="1"/>
  <c r="BU354" i="1"/>
  <c r="BT354" i="1"/>
  <c r="BQ194" i="1"/>
  <c r="BU194" i="1"/>
  <c r="BT194" i="1"/>
  <c r="BQ186" i="1"/>
  <c r="BU186" i="1"/>
  <c r="BT178" i="1"/>
  <c r="BU178" i="1"/>
  <c r="BQ170" i="1"/>
  <c r="BU170" i="1"/>
  <c r="BQ162" i="1"/>
  <c r="BT162" i="1"/>
  <c r="BU162" i="1"/>
  <c r="BQ154" i="1"/>
  <c r="BU154" i="1"/>
  <c r="BQ146" i="1"/>
  <c r="BU146" i="1"/>
  <c r="BQ138" i="1"/>
  <c r="BU138" i="1"/>
  <c r="BQ130" i="1"/>
  <c r="BU130" i="1"/>
  <c r="BQ122" i="1"/>
  <c r="BU122" i="1"/>
  <c r="BQ114" i="1"/>
  <c r="BU114" i="1"/>
  <c r="BQ106" i="1"/>
  <c r="BU106" i="1"/>
  <c r="BQ98" i="1"/>
  <c r="BU98" i="1"/>
  <c r="BT98" i="1"/>
  <c r="BU479" i="1"/>
  <c r="BU447" i="1"/>
  <c r="BU415" i="1"/>
  <c r="BU383" i="1"/>
  <c r="BU351" i="1"/>
  <c r="BU319" i="1"/>
  <c r="BU287" i="1"/>
  <c r="BU255" i="1"/>
  <c r="BU223" i="1"/>
  <c r="BU191" i="1"/>
  <c r="BU159" i="1"/>
  <c r="BU101" i="1"/>
  <c r="BU37" i="1"/>
  <c r="BQ448" i="1"/>
  <c r="BU448" i="1"/>
  <c r="BQ424" i="1"/>
  <c r="BU424" i="1"/>
  <c r="BQ312" i="1"/>
  <c r="BU312" i="1"/>
  <c r="BQ304" i="1"/>
  <c r="BU304" i="1"/>
  <c r="BQ288" i="1"/>
  <c r="BU288" i="1"/>
  <c r="BQ418" i="1"/>
  <c r="BU418" i="1"/>
  <c r="BQ410" i="1"/>
  <c r="BU410" i="1"/>
  <c r="BT402" i="1"/>
  <c r="BU402" i="1"/>
  <c r="BO483" i="1"/>
  <c r="BU483" i="1"/>
  <c r="BN427" i="1"/>
  <c r="BU427" i="1"/>
  <c r="BU477" i="1"/>
  <c r="BU445" i="1"/>
  <c r="BU413" i="1"/>
  <c r="BU381" i="1"/>
  <c r="BU349" i="1"/>
  <c r="BU317" i="1"/>
  <c r="BU285" i="1"/>
  <c r="BU253" i="1"/>
  <c r="BU221" i="1"/>
  <c r="BU189" i="1"/>
  <c r="BU157" i="1"/>
  <c r="BU93" i="1"/>
  <c r="BU29" i="1"/>
  <c r="BP15" i="1"/>
  <c r="BU15" i="1"/>
  <c r="BM135" i="1"/>
  <c r="BU135" i="1"/>
  <c r="BM111" i="1"/>
  <c r="BU111" i="1"/>
  <c r="BG103" i="1"/>
  <c r="BU103" i="1"/>
  <c r="BG95" i="1"/>
  <c r="BU95" i="1"/>
  <c r="BG71" i="1"/>
  <c r="BU71" i="1"/>
  <c r="BG47" i="1"/>
  <c r="BU47" i="1"/>
  <c r="BG23" i="1"/>
  <c r="BU23" i="1"/>
  <c r="BQ14" i="1"/>
  <c r="BU14" i="1"/>
  <c r="BQ480" i="1"/>
  <c r="BU480" i="1"/>
  <c r="BQ440" i="1"/>
  <c r="BU440" i="1"/>
  <c r="BQ416" i="1"/>
  <c r="BU416" i="1"/>
  <c r="BQ384" i="1"/>
  <c r="BU384" i="1"/>
  <c r="BQ360" i="1"/>
  <c r="BU360" i="1"/>
  <c r="BQ352" i="1"/>
  <c r="BU352" i="1"/>
  <c r="BM481" i="1"/>
  <c r="BU481" i="1"/>
  <c r="BM465" i="1"/>
  <c r="BU465" i="1"/>
  <c r="BQ441" i="1"/>
  <c r="BU441" i="1"/>
  <c r="BK425" i="1"/>
  <c r="BU425" i="1"/>
  <c r="BQ12" i="1"/>
  <c r="BU12" i="1"/>
  <c r="BQ490" i="1"/>
  <c r="BU490" i="1"/>
  <c r="BQ482" i="1"/>
  <c r="BU482" i="1"/>
  <c r="BS474" i="1"/>
  <c r="BU474" i="1"/>
  <c r="BQ466" i="1"/>
  <c r="BU466" i="1"/>
  <c r="BQ458" i="1"/>
  <c r="BU458" i="1"/>
  <c r="BQ450" i="1"/>
  <c r="BU450" i="1"/>
  <c r="BQ394" i="1"/>
  <c r="BU394" i="1"/>
  <c r="BQ386" i="1"/>
  <c r="BU386" i="1"/>
  <c r="BQ378" i="1"/>
  <c r="BU378" i="1"/>
  <c r="BQ346" i="1"/>
  <c r="BU346" i="1"/>
  <c r="BQ338" i="1"/>
  <c r="BU338" i="1"/>
  <c r="BQ330" i="1"/>
  <c r="BU330" i="1"/>
  <c r="BQ322" i="1"/>
  <c r="BU322" i="1"/>
  <c r="BQ314" i="1"/>
  <c r="BU314" i="1"/>
  <c r="BQ306" i="1"/>
  <c r="BU306" i="1"/>
  <c r="BQ298" i="1"/>
  <c r="BU298" i="1"/>
  <c r="BQ290" i="1"/>
  <c r="BT290" i="1"/>
  <c r="BU290" i="1"/>
  <c r="BQ282" i="1"/>
  <c r="BU282" i="1"/>
  <c r="BQ274" i="1"/>
  <c r="BU274" i="1"/>
  <c r="BQ266" i="1"/>
  <c r="BU266" i="1"/>
  <c r="BQ258" i="1"/>
  <c r="BU258" i="1"/>
  <c r="BQ250" i="1"/>
  <c r="BU250" i="1"/>
  <c r="BQ242" i="1"/>
  <c r="BU242" i="1"/>
  <c r="BQ234" i="1"/>
  <c r="BU234" i="1"/>
  <c r="BQ226" i="1"/>
  <c r="BU226" i="1"/>
  <c r="BQ218" i="1"/>
  <c r="BU218" i="1"/>
  <c r="BQ210" i="1"/>
  <c r="BU210" i="1"/>
  <c r="BQ202" i="1"/>
  <c r="BU202" i="1"/>
  <c r="BP11" i="1"/>
  <c r="BU11" i="1"/>
  <c r="BK499" i="1"/>
  <c r="BU499" i="1"/>
  <c r="BK491" i="1"/>
  <c r="BU491" i="1"/>
  <c r="BK475" i="1"/>
  <c r="BU475" i="1"/>
  <c r="BK467" i="1"/>
  <c r="BU467" i="1"/>
  <c r="BK459" i="1"/>
  <c r="BU459" i="1"/>
  <c r="BO451" i="1"/>
  <c r="BU451" i="1"/>
  <c r="BK443" i="1"/>
  <c r="BU443" i="1"/>
  <c r="BK435" i="1"/>
  <c r="BU435" i="1"/>
  <c r="BO419" i="1"/>
  <c r="BU419" i="1"/>
  <c r="BK411" i="1"/>
  <c r="BU411" i="1"/>
  <c r="BK403" i="1"/>
  <c r="BU403" i="1"/>
  <c r="BS395" i="1"/>
  <c r="BU395" i="1"/>
  <c r="BO387" i="1"/>
  <c r="BU387" i="1"/>
  <c r="BN379" i="1"/>
  <c r="BU379" i="1"/>
  <c r="BK371" i="1"/>
  <c r="BU371" i="1"/>
  <c r="BK363" i="1"/>
  <c r="BU363" i="1"/>
  <c r="BO355" i="1"/>
  <c r="BU355" i="1"/>
  <c r="BM347" i="1"/>
  <c r="BU347" i="1"/>
  <c r="BK339" i="1"/>
  <c r="BU339" i="1"/>
  <c r="BM331" i="1"/>
  <c r="BU331" i="1"/>
  <c r="BO323" i="1"/>
  <c r="BU323" i="1"/>
  <c r="BK315" i="1"/>
  <c r="BU315" i="1"/>
  <c r="BK307" i="1"/>
  <c r="BU307" i="1"/>
  <c r="BK299" i="1"/>
  <c r="BU299" i="1"/>
  <c r="BQ291" i="1"/>
  <c r="BU291" i="1"/>
  <c r="BK283" i="1"/>
  <c r="BU283" i="1"/>
  <c r="BM275" i="1"/>
  <c r="BU275" i="1"/>
  <c r="BK267" i="1"/>
  <c r="BU267" i="1"/>
  <c r="BU503" i="1"/>
  <c r="BU471" i="1"/>
  <c r="BU439" i="1"/>
  <c r="BU407" i="1"/>
  <c r="BU375" i="1"/>
  <c r="BU343" i="1"/>
  <c r="BU311" i="1"/>
  <c r="BU279" i="1"/>
  <c r="BU247" i="1"/>
  <c r="BU215" i="1"/>
  <c r="BU183" i="1"/>
  <c r="BU149" i="1"/>
  <c r="BU85" i="1"/>
  <c r="BU21" i="1"/>
  <c r="BG151" i="1"/>
  <c r="BU151" i="1"/>
  <c r="BG143" i="1"/>
  <c r="BU143" i="1"/>
  <c r="BM127" i="1"/>
  <c r="BU127" i="1"/>
  <c r="BN119" i="1"/>
  <c r="BU119" i="1"/>
  <c r="BG87" i="1"/>
  <c r="BU87" i="1"/>
  <c r="BG63" i="1"/>
  <c r="BU63" i="1"/>
  <c r="BQ6" i="1"/>
  <c r="BU6" i="1"/>
  <c r="BQ504" i="1"/>
  <c r="BU504" i="1"/>
  <c r="BQ496" i="1"/>
  <c r="BU496" i="1"/>
  <c r="BQ488" i="1"/>
  <c r="BU488" i="1"/>
  <c r="BQ464" i="1"/>
  <c r="BU464" i="1"/>
  <c r="BQ456" i="1"/>
  <c r="BU456" i="1"/>
  <c r="BQ432" i="1"/>
  <c r="BU432" i="1"/>
  <c r="BQ400" i="1"/>
  <c r="BU400" i="1"/>
  <c r="BQ376" i="1"/>
  <c r="BU376" i="1"/>
  <c r="BQ368" i="1"/>
  <c r="BU368" i="1"/>
  <c r="BQ336" i="1"/>
  <c r="BU336" i="1"/>
  <c r="BQ497" i="1"/>
  <c r="BU497" i="1"/>
  <c r="BM457" i="1"/>
  <c r="BU457" i="1"/>
  <c r="BK449" i="1"/>
  <c r="BU449" i="1"/>
  <c r="BK433" i="1"/>
  <c r="BU433" i="1"/>
  <c r="BQ498" i="1"/>
  <c r="BU498" i="1"/>
  <c r="BQ442" i="1"/>
  <c r="BU442" i="1"/>
  <c r="BQ434" i="1"/>
  <c r="BU434" i="1"/>
  <c r="BQ426" i="1"/>
  <c r="BU426" i="1"/>
  <c r="BQ9" i="1"/>
  <c r="BU9" i="1"/>
  <c r="BU501" i="1"/>
  <c r="BU469" i="1"/>
  <c r="BU437" i="1"/>
  <c r="BU405" i="1"/>
  <c r="BU373" i="1"/>
  <c r="BU341" i="1"/>
  <c r="BU309" i="1"/>
  <c r="BU277" i="1"/>
  <c r="BU245" i="1"/>
  <c r="BU213" i="1"/>
  <c r="BU181" i="1"/>
  <c r="BU141" i="1"/>
  <c r="BU77" i="1"/>
  <c r="BU13" i="1"/>
  <c r="BT196" i="1"/>
  <c r="BT68" i="1"/>
  <c r="BU500" i="1"/>
  <c r="BU492" i="1"/>
  <c r="BU484" i="1"/>
  <c r="BU476" i="1"/>
  <c r="BU468" i="1"/>
  <c r="BU460" i="1"/>
  <c r="BU452" i="1"/>
  <c r="BU444" i="1"/>
  <c r="BU436" i="1"/>
  <c r="BU428" i="1"/>
  <c r="BU420" i="1"/>
  <c r="BU412" i="1"/>
  <c r="BU404" i="1"/>
  <c r="BU396" i="1"/>
  <c r="BU388" i="1"/>
  <c r="BU380" i="1"/>
  <c r="BU372" i="1"/>
  <c r="BU364" i="1"/>
  <c r="BU356" i="1"/>
  <c r="BU348" i="1"/>
  <c r="BU340" i="1"/>
  <c r="BU332" i="1"/>
  <c r="BU324" i="1"/>
  <c r="BU316" i="1"/>
  <c r="BU308" i="1"/>
  <c r="BU300" i="1"/>
  <c r="BU292" i="1"/>
  <c r="BU284" i="1"/>
  <c r="BU276" i="1"/>
  <c r="BU268" i="1"/>
  <c r="BU260" i="1"/>
  <c r="BU252" i="1"/>
  <c r="BU244" i="1"/>
  <c r="BU236" i="1"/>
  <c r="BU228" i="1"/>
  <c r="BU220" i="1"/>
  <c r="BU212" i="1"/>
  <c r="BU204" i="1"/>
  <c r="BU196" i="1"/>
  <c r="BU188" i="1"/>
  <c r="BU180" i="1"/>
  <c r="BU164" i="1"/>
  <c r="BU156" i="1"/>
  <c r="BU148" i="1"/>
  <c r="BU140" i="1"/>
  <c r="BU132" i="1"/>
  <c r="BU124" i="1"/>
  <c r="BU116" i="1"/>
  <c r="BU108" i="1"/>
  <c r="BU100" i="1"/>
  <c r="BU92" i="1"/>
  <c r="BU84" i="1"/>
  <c r="BU76" i="1"/>
  <c r="BU68" i="1"/>
  <c r="BU60" i="1"/>
  <c r="BU52" i="1"/>
  <c r="BU44" i="1"/>
  <c r="BU36" i="1"/>
  <c r="BU28" i="1"/>
  <c r="BU20" i="1"/>
  <c r="BT324" i="1"/>
  <c r="BT66" i="1"/>
  <c r="BU259" i="1"/>
  <c r="BU251" i="1"/>
  <c r="BU243" i="1"/>
  <c r="BU235" i="1"/>
  <c r="BU227" i="1"/>
  <c r="BU219" i="1"/>
  <c r="BU211" i="1"/>
  <c r="BU203" i="1"/>
  <c r="BU195" i="1"/>
  <c r="BU187" i="1"/>
  <c r="BU179" i="1"/>
  <c r="BU171" i="1"/>
  <c r="BU163" i="1"/>
  <c r="BU155" i="1"/>
  <c r="BU147" i="1"/>
  <c r="BU139" i="1"/>
  <c r="BU131" i="1"/>
  <c r="BU123" i="1"/>
  <c r="BU115" i="1"/>
  <c r="BU107" i="1"/>
  <c r="BU99" i="1"/>
  <c r="BU91" i="1"/>
  <c r="BU83" i="1"/>
  <c r="BU75" i="1"/>
  <c r="BU67" i="1"/>
  <c r="BU59" i="1"/>
  <c r="BU51" i="1"/>
  <c r="BU43" i="1"/>
  <c r="BU35" i="1"/>
  <c r="BU27" i="1"/>
  <c r="BU19" i="1"/>
  <c r="BT292" i="1"/>
  <c r="BU90" i="1"/>
  <c r="BU82" i="1"/>
  <c r="BU74" i="1"/>
  <c r="BU66" i="1"/>
  <c r="BU58" i="1"/>
  <c r="BU50" i="1"/>
  <c r="BU42" i="1"/>
  <c r="BU34" i="1"/>
  <c r="BU26" i="1"/>
  <c r="BU18" i="1"/>
  <c r="BU10" i="1"/>
  <c r="BT34" i="1"/>
  <c r="BU233" i="1"/>
  <c r="BU225" i="1"/>
  <c r="BU217" i="1"/>
  <c r="BU209" i="1"/>
  <c r="BU201" i="1"/>
  <c r="BU193" i="1"/>
  <c r="BU185" i="1"/>
  <c r="BU177" i="1"/>
  <c r="BU169" i="1"/>
  <c r="BU161" i="1"/>
  <c r="BU153" i="1"/>
  <c r="BU145" i="1"/>
  <c r="BU137" i="1"/>
  <c r="BU129" i="1"/>
  <c r="BU121" i="1"/>
  <c r="BU113" i="1"/>
  <c r="BU105" i="1"/>
  <c r="BU97" i="1"/>
  <c r="BU89" i="1"/>
  <c r="BU81" i="1"/>
  <c r="BU73" i="1"/>
  <c r="BU65" i="1"/>
  <c r="BU57" i="1"/>
  <c r="BU49" i="1"/>
  <c r="BU41" i="1"/>
  <c r="BU33" i="1"/>
  <c r="BU25" i="1"/>
  <c r="BU17" i="1"/>
  <c r="BT260" i="1"/>
  <c r="BT132" i="1"/>
  <c r="BU232" i="1"/>
  <c r="BU224" i="1"/>
  <c r="BU216" i="1"/>
  <c r="BU208" i="1"/>
  <c r="BU200" i="1"/>
  <c r="BU192" i="1"/>
  <c r="BU184" i="1"/>
  <c r="BU176" i="1"/>
  <c r="BU168" i="1"/>
  <c r="BU160" i="1"/>
  <c r="BU152" i="1"/>
  <c r="BU144" i="1"/>
  <c r="BU136" i="1"/>
  <c r="BU128" i="1"/>
  <c r="BU120" i="1"/>
  <c r="BU112" i="1"/>
  <c r="BU104" i="1"/>
  <c r="BU96" i="1"/>
  <c r="BU88" i="1"/>
  <c r="BU80" i="1"/>
  <c r="BU72" i="1"/>
  <c r="BU64" i="1"/>
  <c r="BU56" i="1"/>
  <c r="BU48" i="1"/>
  <c r="BU40" i="1"/>
  <c r="BU32" i="1"/>
  <c r="BU24" i="1"/>
  <c r="BU16" i="1"/>
  <c r="BU8" i="1"/>
  <c r="BT420" i="1"/>
  <c r="BT228" i="1"/>
  <c r="BT100" i="1"/>
  <c r="BU478" i="1"/>
  <c r="BU470" i="1"/>
  <c r="BU462" i="1"/>
  <c r="BU454" i="1"/>
  <c r="BU446" i="1"/>
  <c r="BU438" i="1"/>
  <c r="BU430" i="1"/>
  <c r="BU422" i="1"/>
  <c r="BU414" i="1"/>
  <c r="BU406" i="1"/>
  <c r="BU398" i="1"/>
  <c r="BU390" i="1"/>
  <c r="BU382" i="1"/>
  <c r="BU374" i="1"/>
  <c r="BU366" i="1"/>
  <c r="BU358" i="1"/>
  <c r="BU350" i="1"/>
  <c r="BU342" i="1"/>
  <c r="BU334" i="1"/>
  <c r="BU326" i="1"/>
  <c r="BU318" i="1"/>
  <c r="BU310" i="1"/>
  <c r="BU302" i="1"/>
  <c r="BU294" i="1"/>
  <c r="BU286" i="1"/>
  <c r="BU278" i="1"/>
  <c r="BU270" i="1"/>
  <c r="BU262" i="1"/>
  <c r="BU254" i="1"/>
  <c r="BU246" i="1"/>
  <c r="BU238" i="1"/>
  <c r="BU230" i="1"/>
  <c r="BU222" i="1"/>
  <c r="BU214" i="1"/>
  <c r="BU206" i="1"/>
  <c r="BU198" i="1"/>
  <c r="BU190" i="1"/>
  <c r="BU182" i="1"/>
  <c r="BU174" i="1"/>
  <c r="BU166" i="1"/>
  <c r="BU158" i="1"/>
  <c r="BU150" i="1"/>
  <c r="BU142" i="1"/>
  <c r="BU134" i="1"/>
  <c r="BU126" i="1"/>
  <c r="BU118" i="1"/>
  <c r="BU110" i="1"/>
  <c r="BU102" i="1"/>
  <c r="BU94" i="1"/>
  <c r="BU86" i="1"/>
  <c r="BU78" i="1"/>
  <c r="BU70" i="1"/>
  <c r="BU62" i="1"/>
  <c r="BU54" i="1"/>
  <c r="BU46" i="1"/>
  <c r="BU38" i="1"/>
  <c r="BU30" i="1"/>
  <c r="BU22" i="1"/>
  <c r="BT468" i="1"/>
  <c r="BT404" i="1"/>
  <c r="BT348" i="1"/>
  <c r="BT316" i="1"/>
  <c r="BT284" i="1"/>
  <c r="BT252" i="1"/>
  <c r="BT220" i="1"/>
  <c r="BT188" i="1"/>
  <c r="BT156" i="1"/>
  <c r="BT124" i="1"/>
  <c r="BT92" i="1"/>
  <c r="BT60" i="1"/>
  <c r="BT28" i="1"/>
  <c r="BT476" i="1"/>
  <c r="BT412" i="1"/>
  <c r="BT322" i="1"/>
  <c r="BT460" i="1"/>
  <c r="BT396" i="1"/>
  <c r="BT346" i="1"/>
  <c r="BT314" i="1"/>
  <c r="BT282" i="1"/>
  <c r="BT250" i="1"/>
  <c r="BT218" i="1"/>
  <c r="BT186" i="1"/>
  <c r="BT154" i="1"/>
  <c r="BT122" i="1"/>
  <c r="BT90" i="1"/>
  <c r="BT58" i="1"/>
  <c r="BT26" i="1"/>
  <c r="BT452" i="1"/>
  <c r="BT388" i="1"/>
  <c r="BT340" i="1"/>
  <c r="BT308" i="1"/>
  <c r="BT276" i="1"/>
  <c r="BT244" i="1"/>
  <c r="BT212" i="1"/>
  <c r="BT180" i="1"/>
  <c r="BT148" i="1"/>
  <c r="BT116" i="1"/>
  <c r="BT84" i="1"/>
  <c r="BT52" i="1"/>
  <c r="BT20" i="1"/>
  <c r="BM172" i="1"/>
  <c r="BM164" i="1"/>
  <c r="BT444" i="1"/>
  <c r="BT380" i="1"/>
  <c r="BT338" i="1"/>
  <c r="BT306" i="1"/>
  <c r="BT274" i="1"/>
  <c r="BT242" i="1"/>
  <c r="BT210" i="1"/>
  <c r="BT146" i="1"/>
  <c r="BT114" i="1"/>
  <c r="BT82" i="1"/>
  <c r="BT50" i="1"/>
  <c r="BT18" i="1"/>
  <c r="BT500" i="1"/>
  <c r="BT436" i="1"/>
  <c r="BT372" i="1"/>
  <c r="BT332" i="1"/>
  <c r="BT300" i="1"/>
  <c r="BT268" i="1"/>
  <c r="BT236" i="1"/>
  <c r="BT204" i="1"/>
  <c r="BT172" i="1"/>
  <c r="BT140" i="1"/>
  <c r="BT108" i="1"/>
  <c r="BT76" i="1"/>
  <c r="BT44" i="1"/>
  <c r="BT12" i="1"/>
  <c r="BQ502" i="1"/>
  <c r="BQ494" i="1"/>
  <c r="BQ486" i="1"/>
  <c r="BT492" i="1"/>
  <c r="BT428" i="1"/>
  <c r="BT364" i="1"/>
  <c r="BT330" i="1"/>
  <c r="BT298" i="1"/>
  <c r="BT266" i="1"/>
  <c r="BT234" i="1"/>
  <c r="BT202" i="1"/>
  <c r="BT170" i="1"/>
  <c r="BT138" i="1"/>
  <c r="BT106" i="1"/>
  <c r="BT74" i="1"/>
  <c r="BT501" i="1"/>
  <c r="BT493" i="1"/>
  <c r="BT485" i="1"/>
  <c r="BT477" i="1"/>
  <c r="BT469" i="1"/>
  <c r="BT461" i="1"/>
  <c r="BT453" i="1"/>
  <c r="BT445" i="1"/>
  <c r="BT437" i="1"/>
  <c r="BT429" i="1"/>
  <c r="BT421" i="1"/>
  <c r="BT413" i="1"/>
  <c r="BT405" i="1"/>
  <c r="BT397" i="1"/>
  <c r="BT389" i="1"/>
  <c r="BT381" i="1"/>
  <c r="BT373" i="1"/>
  <c r="BT365" i="1"/>
  <c r="BT357" i="1"/>
  <c r="BT349" i="1"/>
  <c r="BT341" i="1"/>
  <c r="BT333" i="1"/>
  <c r="BT325" i="1"/>
  <c r="BT317" i="1"/>
  <c r="BT309" i="1"/>
  <c r="BT301" i="1"/>
  <c r="BT293" i="1"/>
  <c r="BT285" i="1"/>
  <c r="BT277" i="1"/>
  <c r="BT269" i="1"/>
  <c r="BT261" i="1"/>
  <c r="BT253" i="1"/>
  <c r="BT245" i="1"/>
  <c r="BT237" i="1"/>
  <c r="BT229" i="1"/>
  <c r="BT213" i="1"/>
  <c r="BT205" i="1"/>
  <c r="BT197" i="1"/>
  <c r="BT189" i="1"/>
  <c r="BT181" i="1"/>
  <c r="BT165" i="1"/>
  <c r="BT157" i="1"/>
  <c r="BT149" i="1"/>
  <c r="BT141" i="1"/>
  <c r="BT133" i="1"/>
  <c r="BT125" i="1"/>
  <c r="BT117" i="1"/>
  <c r="BT109" i="1"/>
  <c r="BT101" i="1"/>
  <c r="BT93" i="1"/>
  <c r="BT85" i="1"/>
  <c r="BT77" i="1"/>
  <c r="BT69" i="1"/>
  <c r="BT61" i="1"/>
  <c r="BT45" i="1"/>
  <c r="BT37" i="1"/>
  <c r="BT29" i="1"/>
  <c r="BT21" i="1"/>
  <c r="BT13" i="1"/>
  <c r="BQ362" i="1"/>
  <c r="BQ42" i="1"/>
  <c r="BT499" i="1"/>
  <c r="BT491" i="1"/>
  <c r="BT483" i="1"/>
  <c r="BT475" i="1"/>
  <c r="BT467" i="1"/>
  <c r="BT459" i="1"/>
  <c r="BT451" i="1"/>
  <c r="BT443" i="1"/>
  <c r="BT435" i="1"/>
  <c r="BT427" i="1"/>
  <c r="BT419" i="1"/>
  <c r="BT411" i="1"/>
  <c r="BT403" i="1"/>
  <c r="BT395" i="1"/>
  <c r="BT387" i="1"/>
  <c r="BT379" i="1"/>
  <c r="BT371" i="1"/>
  <c r="BT363" i="1"/>
  <c r="BT355" i="1"/>
  <c r="BT347" i="1"/>
  <c r="BT339" i="1"/>
  <c r="BT331" i="1"/>
  <c r="BT323" i="1"/>
  <c r="BT315" i="1"/>
  <c r="BT307" i="1"/>
  <c r="BT299" i="1"/>
  <c r="BT291" i="1"/>
  <c r="BT283" i="1"/>
  <c r="BT275" i="1"/>
  <c r="BT267" i="1"/>
  <c r="BT259" i="1"/>
  <c r="BT251" i="1"/>
  <c r="BT243" i="1"/>
  <c r="BT235" i="1"/>
  <c r="BT227" i="1"/>
  <c r="BT219" i="1"/>
  <c r="BT211" i="1"/>
  <c r="BT203" i="1"/>
  <c r="BT195" i="1"/>
  <c r="BT187" i="1"/>
  <c r="BT179" i="1"/>
  <c r="BT171" i="1"/>
  <c r="BT163" i="1"/>
  <c r="BT155" i="1"/>
  <c r="BT147" i="1"/>
  <c r="BT139" i="1"/>
  <c r="BT131" i="1"/>
  <c r="BT123" i="1"/>
  <c r="BT115" i="1"/>
  <c r="BT107" i="1"/>
  <c r="BT99" i="1"/>
  <c r="BT91" i="1"/>
  <c r="BT83" i="1"/>
  <c r="BT75" i="1"/>
  <c r="BT67" i="1"/>
  <c r="BT59" i="1"/>
  <c r="BT51" i="1"/>
  <c r="BT43" i="1"/>
  <c r="BT35" i="1"/>
  <c r="BT27" i="1"/>
  <c r="BT19" i="1"/>
  <c r="BT11" i="1"/>
  <c r="BT378" i="1"/>
  <c r="BT370" i="1"/>
  <c r="BT362" i="1"/>
  <c r="BT497" i="1"/>
  <c r="BT489" i="1"/>
  <c r="BT481" i="1"/>
  <c r="BT473" i="1"/>
  <c r="BT465" i="1"/>
  <c r="BT457" i="1"/>
  <c r="BT449" i="1"/>
  <c r="BT441" i="1"/>
  <c r="BT433" i="1"/>
  <c r="BT425" i="1"/>
  <c r="BT417" i="1"/>
  <c r="BT409" i="1"/>
  <c r="BT401" i="1"/>
  <c r="BT393" i="1"/>
  <c r="BT385" i="1"/>
  <c r="BT377" i="1"/>
  <c r="BT369" i="1"/>
  <c r="BT361" i="1"/>
  <c r="BT353" i="1"/>
  <c r="BT345" i="1"/>
  <c r="BT337" i="1"/>
  <c r="BT329" i="1"/>
  <c r="BT321" i="1"/>
  <c r="BT313" i="1"/>
  <c r="BT305" i="1"/>
  <c r="BT297" i="1"/>
  <c r="BT289" i="1"/>
  <c r="BT281" i="1"/>
  <c r="BT273" i="1"/>
  <c r="BT265" i="1"/>
  <c r="BT257" i="1"/>
  <c r="BT249" i="1"/>
  <c r="BT241" i="1"/>
  <c r="BT233" i="1"/>
  <c r="BT225" i="1"/>
  <c r="BT217" i="1"/>
  <c r="BT209" i="1"/>
  <c r="BT201" i="1"/>
  <c r="BT193" i="1"/>
  <c r="BT185" i="1"/>
  <c r="BT177" i="1"/>
  <c r="BT169" i="1"/>
  <c r="BT161" i="1"/>
  <c r="BT153" i="1"/>
  <c r="BT145" i="1"/>
  <c r="BT137" i="1"/>
  <c r="BT129" i="1"/>
  <c r="BT121" i="1"/>
  <c r="BT113" i="1"/>
  <c r="BT105" i="1"/>
  <c r="BT97" i="1"/>
  <c r="BT89" i="1"/>
  <c r="BT81" i="1"/>
  <c r="BT73" i="1"/>
  <c r="BT65" i="1"/>
  <c r="BT57" i="1"/>
  <c r="BT49" i="1"/>
  <c r="BT41" i="1"/>
  <c r="BT33" i="1"/>
  <c r="BT25" i="1"/>
  <c r="BT17" i="1"/>
  <c r="BT9" i="1"/>
  <c r="BT490" i="1"/>
  <c r="BT474" i="1"/>
  <c r="BT458" i="1"/>
  <c r="BT442" i="1"/>
  <c r="BT426" i="1"/>
  <c r="BT410" i="1"/>
  <c r="BT394" i="1"/>
  <c r="BT10" i="1"/>
  <c r="BM221" i="1"/>
  <c r="BP53" i="1"/>
  <c r="BT504" i="1"/>
  <c r="BT496" i="1"/>
  <c r="BT488" i="1"/>
  <c r="BT480" i="1"/>
  <c r="BT472" i="1"/>
  <c r="BT464" i="1"/>
  <c r="BT456" i="1"/>
  <c r="BT448" i="1"/>
  <c r="BT440" i="1"/>
  <c r="BT432" i="1"/>
  <c r="BT424" i="1"/>
  <c r="BT416" i="1"/>
  <c r="BT408" i="1"/>
  <c r="BT400" i="1"/>
  <c r="BT392" i="1"/>
  <c r="BT384" i="1"/>
  <c r="BT376" i="1"/>
  <c r="BT368" i="1"/>
  <c r="BT360" i="1"/>
  <c r="BT352" i="1"/>
  <c r="BT344" i="1"/>
  <c r="BT336" i="1"/>
  <c r="BT328" i="1"/>
  <c r="BT320" i="1"/>
  <c r="BT312" i="1"/>
  <c r="BT304" i="1"/>
  <c r="BT296" i="1"/>
  <c r="BT288" i="1"/>
  <c r="BT280" i="1"/>
  <c r="BT272" i="1"/>
  <c r="BT264" i="1"/>
  <c r="BT256" i="1"/>
  <c r="BT248" i="1"/>
  <c r="BT240" i="1"/>
  <c r="BT232" i="1"/>
  <c r="BT224" i="1"/>
  <c r="BT216" i="1"/>
  <c r="BT208" i="1"/>
  <c r="BT200" i="1"/>
  <c r="BT192" i="1"/>
  <c r="BT184" i="1"/>
  <c r="BT176" i="1"/>
  <c r="BT168" i="1"/>
  <c r="BT160" i="1"/>
  <c r="BT152" i="1"/>
  <c r="BT144" i="1"/>
  <c r="BT136" i="1"/>
  <c r="BT128" i="1"/>
  <c r="BT120" i="1"/>
  <c r="BT112" i="1"/>
  <c r="BT104" i="1"/>
  <c r="BT96" i="1"/>
  <c r="BT88" i="1"/>
  <c r="BT80" i="1"/>
  <c r="BT64" i="1"/>
  <c r="BT56" i="1"/>
  <c r="BT48" i="1"/>
  <c r="BT40" i="1"/>
  <c r="BT24" i="1"/>
  <c r="BT16" i="1"/>
  <c r="BT8" i="1"/>
  <c r="BT503" i="1"/>
  <c r="BT495" i="1"/>
  <c r="BT487" i="1"/>
  <c r="BT479" i="1"/>
  <c r="BT471" i="1"/>
  <c r="BT463" i="1"/>
  <c r="BT455" i="1"/>
  <c r="BT447" i="1"/>
  <c r="BT439" i="1"/>
  <c r="BT431" i="1"/>
  <c r="BT423" i="1"/>
  <c r="BT415" i="1"/>
  <c r="BT407" i="1"/>
  <c r="BT399" i="1"/>
  <c r="BT391" i="1"/>
  <c r="BT383" i="1"/>
  <c r="BT375" i="1"/>
  <c r="BT367" i="1"/>
  <c r="BT359" i="1"/>
  <c r="BT351" i="1"/>
  <c r="BT343" i="1"/>
  <c r="BT335" i="1"/>
  <c r="BT319" i="1"/>
  <c r="BT311" i="1"/>
  <c r="BT303" i="1"/>
  <c r="BT295" i="1"/>
  <c r="BT287" i="1"/>
  <c r="BT279" i="1"/>
  <c r="BT271" i="1"/>
  <c r="BT263" i="1"/>
  <c r="BT255" i="1"/>
  <c r="BT247" i="1"/>
  <c r="BT239" i="1"/>
  <c r="BT231" i="1"/>
  <c r="BT223" i="1"/>
  <c r="BT215" i="1"/>
  <c r="BT207" i="1"/>
  <c r="BT199" i="1"/>
  <c r="BT191" i="1"/>
  <c r="BT183" i="1"/>
  <c r="BT175" i="1"/>
  <c r="BT167" i="1"/>
  <c r="BT159" i="1"/>
  <c r="BT151" i="1"/>
  <c r="BT143" i="1"/>
  <c r="BT135" i="1"/>
  <c r="BT127" i="1"/>
  <c r="BT119" i="1"/>
  <c r="BT111" i="1"/>
  <c r="BT103" i="1"/>
  <c r="BT95" i="1"/>
  <c r="BT87" i="1"/>
  <c r="BT79" i="1"/>
  <c r="BT71" i="1"/>
  <c r="BT63" i="1"/>
  <c r="BT55" i="1"/>
  <c r="BT47" i="1"/>
  <c r="BT39" i="1"/>
  <c r="BT31" i="1"/>
  <c r="BT23" i="1"/>
  <c r="BT15" i="1"/>
  <c r="BT7" i="1"/>
  <c r="BT498" i="1"/>
  <c r="BT482" i="1"/>
  <c r="BT466" i="1"/>
  <c r="BT450" i="1"/>
  <c r="BT434" i="1"/>
  <c r="BT418" i="1"/>
  <c r="BT386" i="1"/>
  <c r="BP327" i="1"/>
  <c r="BT502" i="1"/>
  <c r="BT494" i="1"/>
  <c r="BT486" i="1"/>
  <c r="BT478" i="1"/>
  <c r="BT470" i="1"/>
  <c r="BT462" i="1"/>
  <c r="BT454" i="1"/>
  <c r="BT446" i="1"/>
  <c r="BT438" i="1"/>
  <c r="BT430" i="1"/>
  <c r="BT422" i="1"/>
  <c r="BT414" i="1"/>
  <c r="BT406" i="1"/>
  <c r="BT398" i="1"/>
  <c r="BT390" i="1"/>
  <c r="BT382" i="1"/>
  <c r="BT374" i="1"/>
  <c r="BT366" i="1"/>
  <c r="BT358" i="1"/>
  <c r="BT350" i="1"/>
  <c r="BT342" i="1"/>
  <c r="BT334" i="1"/>
  <c r="BT326" i="1"/>
  <c r="BT318" i="1"/>
  <c r="BT310" i="1"/>
  <c r="BT302" i="1"/>
  <c r="BT294" i="1"/>
  <c r="BT286" i="1"/>
  <c r="BT278" i="1"/>
  <c r="BT270" i="1"/>
  <c r="BT262" i="1"/>
  <c r="BT254" i="1"/>
  <c r="BT246" i="1"/>
  <c r="BT238" i="1"/>
  <c r="BT230" i="1"/>
  <c r="BT222" i="1"/>
  <c r="BT214" i="1"/>
  <c r="BT206" i="1"/>
  <c r="BT198" i="1"/>
  <c r="BT190" i="1"/>
  <c r="BT182" i="1"/>
  <c r="BT174" i="1"/>
  <c r="BT166" i="1"/>
  <c r="BT158" i="1"/>
  <c r="BT150" i="1"/>
  <c r="BT142" i="1"/>
  <c r="BT134" i="1"/>
  <c r="BT126" i="1"/>
  <c r="BT118" i="1"/>
  <c r="BT110" i="1"/>
  <c r="BT102" i="1"/>
  <c r="BT94" i="1"/>
  <c r="BT86" i="1"/>
  <c r="BT78" i="1"/>
  <c r="BT70" i="1"/>
  <c r="BT62" i="1"/>
  <c r="BT54" i="1"/>
  <c r="BT46" i="1"/>
  <c r="BT38" i="1"/>
  <c r="BT30" i="1"/>
  <c r="BT22" i="1"/>
  <c r="BT14" i="1"/>
  <c r="BT6" i="1"/>
  <c r="BG173" i="1"/>
  <c r="BQ72" i="1"/>
  <c r="BQ32" i="1"/>
  <c r="BR253" i="1"/>
  <c r="BS501" i="1"/>
  <c r="BS493" i="1"/>
  <c r="BS485" i="1"/>
  <c r="BS477" i="1"/>
  <c r="BS469" i="1"/>
  <c r="BS461" i="1"/>
  <c r="BS453" i="1"/>
  <c r="BS445" i="1"/>
  <c r="BS437" i="1"/>
  <c r="BS429" i="1"/>
  <c r="BS421" i="1"/>
  <c r="BS413" i="1"/>
  <c r="BS405" i="1"/>
  <c r="BS397" i="1"/>
  <c r="BS389" i="1"/>
  <c r="BS381" i="1"/>
  <c r="BS373" i="1"/>
  <c r="BS365" i="1"/>
  <c r="BS357" i="1"/>
  <c r="BS349" i="1"/>
  <c r="BS341" i="1"/>
  <c r="BS333" i="1"/>
  <c r="BS325" i="1"/>
  <c r="BS317" i="1"/>
  <c r="BS309" i="1"/>
  <c r="BS293" i="1"/>
  <c r="BS285" i="1"/>
  <c r="BS277" i="1"/>
  <c r="BS269" i="1"/>
  <c r="BS261" i="1"/>
  <c r="BS253" i="1"/>
  <c r="BS245" i="1"/>
  <c r="BS237" i="1"/>
  <c r="BS229" i="1"/>
  <c r="BS221" i="1"/>
  <c r="BS213" i="1"/>
  <c r="BS205" i="1"/>
  <c r="BS197" i="1"/>
  <c r="BS189" i="1"/>
  <c r="BS181" i="1"/>
  <c r="BS173" i="1"/>
  <c r="BS165" i="1"/>
  <c r="BS157" i="1"/>
  <c r="BS149" i="1"/>
  <c r="BS141" i="1"/>
  <c r="BS133" i="1"/>
  <c r="BS125" i="1"/>
  <c r="BS117" i="1"/>
  <c r="BS109" i="1"/>
  <c r="BS101" i="1"/>
  <c r="BS93" i="1"/>
  <c r="BS85" i="1"/>
  <c r="BS77" i="1"/>
  <c r="BS69" i="1"/>
  <c r="BS61" i="1"/>
  <c r="BS53" i="1"/>
  <c r="BS45" i="1"/>
  <c r="BS37" i="1"/>
  <c r="BS29" i="1"/>
  <c r="BS21" i="1"/>
  <c r="BS13" i="1"/>
  <c r="BR189" i="1"/>
  <c r="BS500" i="1"/>
  <c r="BS492" i="1"/>
  <c r="BS484" i="1"/>
  <c r="BS476" i="1"/>
  <c r="BS468" i="1"/>
  <c r="BS460" i="1"/>
  <c r="BS452" i="1"/>
  <c r="BS444" i="1"/>
  <c r="BS436" i="1"/>
  <c r="BS428" i="1"/>
  <c r="BS420" i="1"/>
  <c r="BS412" i="1"/>
  <c r="BS404" i="1"/>
  <c r="BS396" i="1"/>
  <c r="BS388" i="1"/>
  <c r="BS380" i="1"/>
  <c r="BS372" i="1"/>
  <c r="BS364" i="1"/>
  <c r="BS356" i="1"/>
  <c r="BS348" i="1"/>
  <c r="BS340" i="1"/>
  <c r="BS332" i="1"/>
  <c r="BS324" i="1"/>
  <c r="BS316" i="1"/>
  <c r="BS308" i="1"/>
  <c r="BS300" i="1"/>
  <c r="BS292" i="1"/>
  <c r="BS284" i="1"/>
  <c r="BS276" i="1"/>
  <c r="BS268" i="1"/>
  <c r="BS260" i="1"/>
  <c r="BS252" i="1"/>
  <c r="BS244" i="1"/>
  <c r="BS236" i="1"/>
  <c r="BS228" i="1"/>
  <c r="BS220" i="1"/>
  <c r="BS212" i="1"/>
  <c r="BS204" i="1"/>
  <c r="BS196" i="1"/>
  <c r="BS188" i="1"/>
  <c r="BS180" i="1"/>
  <c r="BS172" i="1"/>
  <c r="BS164" i="1"/>
  <c r="BS156" i="1"/>
  <c r="BS148" i="1"/>
  <c r="BS140" i="1"/>
  <c r="BS132" i="1"/>
  <c r="BS124" i="1"/>
  <c r="BS116" i="1"/>
  <c r="BS108" i="1"/>
  <c r="BS100" i="1"/>
  <c r="BS92" i="1"/>
  <c r="BS84" i="1"/>
  <c r="BS76" i="1"/>
  <c r="BS68" i="1"/>
  <c r="BS60" i="1"/>
  <c r="BS52" i="1"/>
  <c r="BS44" i="1"/>
  <c r="BS36" i="1"/>
  <c r="BS28" i="1"/>
  <c r="BS20" i="1"/>
  <c r="BS12" i="1"/>
  <c r="BQ402" i="1"/>
  <c r="BQ178" i="1"/>
  <c r="BR181" i="1"/>
  <c r="BS499" i="1"/>
  <c r="BS491" i="1"/>
  <c r="BS483" i="1"/>
  <c r="BS475" i="1"/>
  <c r="BS467" i="1"/>
  <c r="BS459" i="1"/>
  <c r="BS451" i="1"/>
  <c r="BS443" i="1"/>
  <c r="BS435" i="1"/>
  <c r="BS427" i="1"/>
  <c r="BS419" i="1"/>
  <c r="BS411" i="1"/>
  <c r="BS403" i="1"/>
  <c r="BS387" i="1"/>
  <c r="BS379" i="1"/>
  <c r="BS371" i="1"/>
  <c r="BS363" i="1"/>
  <c r="BS355" i="1"/>
  <c r="BS347" i="1"/>
  <c r="BS339" i="1"/>
  <c r="BS331" i="1"/>
  <c r="BS323" i="1"/>
  <c r="BS315" i="1"/>
  <c r="BS307" i="1"/>
  <c r="BS299" i="1"/>
  <c r="BS291" i="1"/>
  <c r="BS283" i="1"/>
  <c r="BS275" i="1"/>
  <c r="BS267" i="1"/>
  <c r="BS259" i="1"/>
  <c r="BS251" i="1"/>
  <c r="BS243" i="1"/>
  <c r="BS235" i="1"/>
  <c r="BS227" i="1"/>
  <c r="BS219" i="1"/>
  <c r="BS211" i="1"/>
  <c r="BS195" i="1"/>
  <c r="BS179" i="1"/>
  <c r="BS171" i="1"/>
  <c r="BS163" i="1"/>
  <c r="BS155" i="1"/>
  <c r="BS147" i="1"/>
  <c r="BS139" i="1"/>
  <c r="BS131" i="1"/>
  <c r="BS123" i="1"/>
  <c r="BS115" i="1"/>
  <c r="BS107" i="1"/>
  <c r="BS91" i="1"/>
  <c r="BS75" i="1"/>
  <c r="BS67" i="1"/>
  <c r="BS59" i="1"/>
  <c r="BS51" i="1"/>
  <c r="BS43" i="1"/>
  <c r="BS35" i="1"/>
  <c r="BS27" i="1"/>
  <c r="BS19" i="1"/>
  <c r="BS11" i="1"/>
  <c r="BG203" i="1"/>
  <c r="BR125" i="1"/>
  <c r="BS498" i="1"/>
  <c r="BS490" i="1"/>
  <c r="BS482" i="1"/>
  <c r="BS466" i="1"/>
  <c r="BS458" i="1"/>
  <c r="BS450" i="1"/>
  <c r="BS442" i="1"/>
  <c r="BS434" i="1"/>
  <c r="BS426" i="1"/>
  <c r="BS418" i="1"/>
  <c r="BS410" i="1"/>
  <c r="BS402" i="1"/>
  <c r="BS394" i="1"/>
  <c r="BS386" i="1"/>
  <c r="BS378" i="1"/>
  <c r="BS370" i="1"/>
  <c r="BS362" i="1"/>
  <c r="BS354" i="1"/>
  <c r="BS346" i="1"/>
  <c r="BS338" i="1"/>
  <c r="BS330" i="1"/>
  <c r="BS322" i="1"/>
  <c r="BS314" i="1"/>
  <c r="BS306" i="1"/>
  <c r="BS298" i="1"/>
  <c r="BS290" i="1"/>
  <c r="BS282" i="1"/>
  <c r="BS274" i="1"/>
  <c r="BS266" i="1"/>
  <c r="BS258" i="1"/>
  <c r="BS250" i="1"/>
  <c r="BS242" i="1"/>
  <c r="BS234" i="1"/>
  <c r="BS226" i="1"/>
  <c r="BS218" i="1"/>
  <c r="BS210" i="1"/>
  <c r="BS202" i="1"/>
  <c r="BS194" i="1"/>
  <c r="BS186" i="1"/>
  <c r="BS178" i="1"/>
  <c r="BS170" i="1"/>
  <c r="BS162" i="1"/>
  <c r="BS154" i="1"/>
  <c r="BS146" i="1"/>
  <c r="BS138" i="1"/>
  <c r="BS130" i="1"/>
  <c r="BS122" i="1"/>
  <c r="BS114" i="1"/>
  <c r="BS106" i="1"/>
  <c r="BS98" i="1"/>
  <c r="BS90" i="1"/>
  <c r="BS82" i="1"/>
  <c r="BS74" i="1"/>
  <c r="BS66" i="1"/>
  <c r="BS42" i="1"/>
  <c r="BS34" i="1"/>
  <c r="BS26" i="1"/>
  <c r="BS18" i="1"/>
  <c r="BS10" i="1"/>
  <c r="BR61" i="1"/>
  <c r="BS497" i="1"/>
  <c r="BS489" i="1"/>
  <c r="BS481" i="1"/>
  <c r="BS473" i="1"/>
  <c r="BS465" i="1"/>
  <c r="BS457" i="1"/>
  <c r="BS449" i="1"/>
  <c r="BS441" i="1"/>
  <c r="BS433" i="1"/>
  <c r="BS425" i="1"/>
  <c r="BS417" i="1"/>
  <c r="BS409" i="1"/>
  <c r="BS401" i="1"/>
  <c r="BS393" i="1"/>
  <c r="BS385" i="1"/>
  <c r="BS377" i="1"/>
  <c r="BS369" i="1"/>
  <c r="BS361" i="1"/>
  <c r="BS353" i="1"/>
  <c r="BS345" i="1"/>
  <c r="BS337" i="1"/>
  <c r="BS329" i="1"/>
  <c r="BS321" i="1"/>
  <c r="BS313" i="1"/>
  <c r="BS305" i="1"/>
  <c r="BS297" i="1"/>
  <c r="BS289" i="1"/>
  <c r="BS281" i="1"/>
  <c r="BS273" i="1"/>
  <c r="BS265" i="1"/>
  <c r="BS257" i="1"/>
  <c r="BS249" i="1"/>
  <c r="BS241" i="1"/>
  <c r="BS233" i="1"/>
  <c r="BS225" i="1"/>
  <c r="BS217" i="1"/>
  <c r="BS209" i="1"/>
  <c r="BS201" i="1"/>
  <c r="BS193" i="1"/>
  <c r="BS185" i="1"/>
  <c r="BS177" i="1"/>
  <c r="BS169" i="1"/>
  <c r="BS161" i="1"/>
  <c r="BS153" i="1"/>
  <c r="BS145" i="1"/>
  <c r="BS137" i="1"/>
  <c r="BS129" i="1"/>
  <c r="BS121" i="1"/>
  <c r="BS113" i="1"/>
  <c r="BS105" i="1"/>
  <c r="BS97" i="1"/>
  <c r="BS89" i="1"/>
  <c r="BS81" i="1"/>
  <c r="BS73" i="1"/>
  <c r="BS65" i="1"/>
  <c r="BS57" i="1"/>
  <c r="BS49" i="1"/>
  <c r="BS41" i="1"/>
  <c r="BS33" i="1"/>
  <c r="BS25" i="1"/>
  <c r="BS17" i="1"/>
  <c r="BS9" i="1"/>
  <c r="BQ301" i="1"/>
  <c r="BR445" i="1"/>
  <c r="BS504" i="1"/>
  <c r="BS496" i="1"/>
  <c r="BS488" i="1"/>
  <c r="BS480" i="1"/>
  <c r="BS472" i="1"/>
  <c r="BS464" i="1"/>
  <c r="BS456" i="1"/>
  <c r="BS448" i="1"/>
  <c r="BS440" i="1"/>
  <c r="BS432" i="1"/>
  <c r="BS424" i="1"/>
  <c r="BS416" i="1"/>
  <c r="BS408" i="1"/>
  <c r="BS400" i="1"/>
  <c r="BS392" i="1"/>
  <c r="BS384" i="1"/>
  <c r="BS376" i="1"/>
  <c r="BS368" i="1"/>
  <c r="BS360" i="1"/>
  <c r="BS352" i="1"/>
  <c r="BS344" i="1"/>
  <c r="BS336" i="1"/>
  <c r="BS328" i="1"/>
  <c r="BS320" i="1"/>
  <c r="BS312" i="1"/>
  <c r="BS304" i="1"/>
  <c r="BS296" i="1"/>
  <c r="BS288" i="1"/>
  <c r="BS280" i="1"/>
  <c r="BS272" i="1"/>
  <c r="BS264" i="1"/>
  <c r="BS256" i="1"/>
  <c r="BS248" i="1"/>
  <c r="BS240" i="1"/>
  <c r="BS232" i="1"/>
  <c r="BS224" i="1"/>
  <c r="BS216" i="1"/>
  <c r="BS208" i="1"/>
  <c r="BS200" i="1"/>
  <c r="BS192" i="1"/>
  <c r="BS184" i="1"/>
  <c r="BS176" i="1"/>
  <c r="BS168" i="1"/>
  <c r="BS160" i="1"/>
  <c r="BS152" i="1"/>
  <c r="BS144" i="1"/>
  <c r="BS136" i="1"/>
  <c r="BS128" i="1"/>
  <c r="BS120" i="1"/>
  <c r="BS112" i="1"/>
  <c r="BS104" i="1"/>
  <c r="BS96" i="1"/>
  <c r="BS88" i="1"/>
  <c r="BS80" i="1"/>
  <c r="BS72" i="1"/>
  <c r="BS64" i="1"/>
  <c r="BS56" i="1"/>
  <c r="BS48" i="1"/>
  <c r="BS40" i="1"/>
  <c r="BS32" i="1"/>
  <c r="BS24" i="1"/>
  <c r="BS16" i="1"/>
  <c r="BS8" i="1"/>
  <c r="BR381" i="1"/>
  <c r="BS503" i="1"/>
  <c r="BS495" i="1"/>
  <c r="BS487" i="1"/>
  <c r="BS479" i="1"/>
  <c r="BS471" i="1"/>
  <c r="BS463" i="1"/>
  <c r="BS455" i="1"/>
  <c r="BS447" i="1"/>
  <c r="BS439" i="1"/>
  <c r="BS431" i="1"/>
  <c r="BS423" i="1"/>
  <c r="BS415" i="1"/>
  <c r="BS407" i="1"/>
  <c r="BS399" i="1"/>
  <c r="BS391" i="1"/>
  <c r="BS383" i="1"/>
  <c r="BS375" i="1"/>
  <c r="BS367" i="1"/>
  <c r="BS359" i="1"/>
  <c r="BS351" i="1"/>
  <c r="BS343" i="1"/>
  <c r="BS335" i="1"/>
  <c r="BS327" i="1"/>
  <c r="BS319" i="1"/>
  <c r="BS311" i="1"/>
  <c r="BS303" i="1"/>
  <c r="BS295" i="1"/>
  <c r="BS287" i="1"/>
  <c r="BS279" i="1"/>
  <c r="BS271" i="1"/>
  <c r="BS263" i="1"/>
  <c r="BS255" i="1"/>
  <c r="BS247" i="1"/>
  <c r="BS239" i="1"/>
  <c r="BS231" i="1"/>
  <c r="BS223" i="1"/>
  <c r="BS215" i="1"/>
  <c r="BS207" i="1"/>
  <c r="BS199" i="1"/>
  <c r="BS191" i="1"/>
  <c r="BS183" i="1"/>
  <c r="BS175" i="1"/>
  <c r="BS167" i="1"/>
  <c r="BS159" i="1"/>
  <c r="BS151" i="1"/>
  <c r="BS143" i="1"/>
  <c r="BS135" i="1"/>
  <c r="BS127" i="1"/>
  <c r="BS119" i="1"/>
  <c r="BS111" i="1"/>
  <c r="BS103" i="1"/>
  <c r="BS95" i="1"/>
  <c r="BS87" i="1"/>
  <c r="BS79" i="1"/>
  <c r="BS71" i="1"/>
  <c r="BS63" i="1"/>
  <c r="BS55" i="1"/>
  <c r="BS47" i="1"/>
  <c r="BS39" i="1"/>
  <c r="BS31" i="1"/>
  <c r="BS23" i="1"/>
  <c r="BS15" i="1"/>
  <c r="BS7" i="1"/>
  <c r="BR317" i="1"/>
  <c r="BS502" i="1"/>
  <c r="BS494" i="1"/>
  <c r="BS486" i="1"/>
  <c r="BS478" i="1"/>
  <c r="BS470" i="1"/>
  <c r="BS462" i="1"/>
  <c r="BS454" i="1"/>
  <c r="BS446" i="1"/>
  <c r="BS438" i="1"/>
  <c r="BS430" i="1"/>
  <c r="BS422" i="1"/>
  <c r="BS414" i="1"/>
  <c r="BS406" i="1"/>
  <c r="BS398" i="1"/>
  <c r="BS390" i="1"/>
  <c r="BS382" i="1"/>
  <c r="BS374" i="1"/>
  <c r="BS366" i="1"/>
  <c r="BS358" i="1"/>
  <c r="BS350" i="1"/>
  <c r="BS334" i="1"/>
  <c r="BS326" i="1"/>
  <c r="BS318" i="1"/>
  <c r="BS310" i="1"/>
  <c r="BS302" i="1"/>
  <c r="BS294" i="1"/>
  <c r="BS286" i="1"/>
  <c r="BS278" i="1"/>
  <c r="BS270" i="1"/>
  <c r="BS262" i="1"/>
  <c r="BS254" i="1"/>
  <c r="BS246" i="1"/>
  <c r="BS238" i="1"/>
  <c r="BS230" i="1"/>
  <c r="BS222" i="1"/>
  <c r="BS214" i="1"/>
  <c r="BS206" i="1"/>
  <c r="BS198" i="1"/>
  <c r="BS190" i="1"/>
  <c r="BS182" i="1"/>
  <c r="BS174" i="1"/>
  <c r="BS166" i="1"/>
  <c r="BS158" i="1"/>
  <c r="BS150" i="1"/>
  <c r="BS142" i="1"/>
  <c r="BS134" i="1"/>
  <c r="BS126" i="1"/>
  <c r="BS118" i="1"/>
  <c r="BS110" i="1"/>
  <c r="BS102" i="1"/>
  <c r="BS94" i="1"/>
  <c r="BS86" i="1"/>
  <c r="BS78" i="1"/>
  <c r="BS70" i="1"/>
  <c r="BS62" i="1"/>
  <c r="BS54" i="1"/>
  <c r="BS46" i="1"/>
  <c r="BS38" i="1"/>
  <c r="BS30" i="1"/>
  <c r="BS22" i="1"/>
  <c r="BS14" i="1"/>
  <c r="BS6" i="1"/>
  <c r="BR493" i="1"/>
  <c r="BR429" i="1"/>
  <c r="BR365" i="1"/>
  <c r="BR301" i="1"/>
  <c r="BR237" i="1"/>
  <c r="BR173" i="1"/>
  <c r="BR109" i="1"/>
  <c r="BR45" i="1"/>
  <c r="BR373" i="1"/>
  <c r="BR485" i="1"/>
  <c r="BR421" i="1"/>
  <c r="BR357" i="1"/>
  <c r="BR293" i="1"/>
  <c r="BR229" i="1"/>
  <c r="BR165" i="1"/>
  <c r="BR101" i="1"/>
  <c r="BR37" i="1"/>
  <c r="BR309" i="1"/>
  <c r="BR477" i="1"/>
  <c r="BR413" i="1"/>
  <c r="BR349" i="1"/>
  <c r="BR285" i="1"/>
  <c r="BR221" i="1"/>
  <c r="BR157" i="1"/>
  <c r="BR93" i="1"/>
  <c r="BR29" i="1"/>
  <c r="BR501" i="1"/>
  <c r="BR437" i="1"/>
  <c r="BR245" i="1"/>
  <c r="BR469" i="1"/>
  <c r="BR405" i="1"/>
  <c r="BR341" i="1"/>
  <c r="BR277" i="1"/>
  <c r="BR213" i="1"/>
  <c r="BR149" i="1"/>
  <c r="BR85" i="1"/>
  <c r="BR21" i="1"/>
  <c r="BR53" i="1"/>
  <c r="BR461" i="1"/>
  <c r="BR397" i="1"/>
  <c r="BR333" i="1"/>
  <c r="BR269" i="1"/>
  <c r="BR205" i="1"/>
  <c r="BR141" i="1"/>
  <c r="BR77" i="1"/>
  <c r="BR117" i="1"/>
  <c r="BP13" i="1"/>
  <c r="BP395" i="1"/>
  <c r="BG187" i="1"/>
  <c r="BO99" i="1"/>
  <c r="BJ83" i="1"/>
  <c r="BR453" i="1"/>
  <c r="BR389" i="1"/>
  <c r="BR325" i="1"/>
  <c r="BR261" i="1"/>
  <c r="BR197" i="1"/>
  <c r="BR133" i="1"/>
  <c r="BR69" i="1"/>
  <c r="BQ415" i="1"/>
  <c r="BQ383" i="1"/>
  <c r="BQ127" i="1"/>
  <c r="BR500" i="1"/>
  <c r="BR492" i="1"/>
  <c r="BR484" i="1"/>
  <c r="BR476" i="1"/>
  <c r="BR468" i="1"/>
  <c r="BR460" i="1"/>
  <c r="BR452" i="1"/>
  <c r="BR444" i="1"/>
  <c r="BR436" i="1"/>
  <c r="BR428" i="1"/>
  <c r="BR420" i="1"/>
  <c r="BR412" i="1"/>
  <c r="BR404" i="1"/>
  <c r="BR396" i="1"/>
  <c r="BR388" i="1"/>
  <c r="BR380" i="1"/>
  <c r="BR372" i="1"/>
  <c r="BR364" i="1"/>
  <c r="BR356" i="1"/>
  <c r="BR348" i="1"/>
  <c r="BR340" i="1"/>
  <c r="BR332" i="1"/>
  <c r="BR324" i="1"/>
  <c r="BR316" i="1"/>
  <c r="BR308" i="1"/>
  <c r="BR300" i="1"/>
  <c r="BR292" i="1"/>
  <c r="BR284" i="1"/>
  <c r="BR276" i="1"/>
  <c r="BR268" i="1"/>
  <c r="BR260" i="1"/>
  <c r="BR252" i="1"/>
  <c r="BR244" i="1"/>
  <c r="BR236" i="1"/>
  <c r="BR228" i="1"/>
  <c r="BR220" i="1"/>
  <c r="BR212" i="1"/>
  <c r="BR204" i="1"/>
  <c r="BR196" i="1"/>
  <c r="BR188" i="1"/>
  <c r="BR180" i="1"/>
  <c r="BR172" i="1"/>
  <c r="BR164" i="1"/>
  <c r="BR156" i="1"/>
  <c r="BR148" i="1"/>
  <c r="BR140" i="1"/>
  <c r="BR132" i="1"/>
  <c r="BR124" i="1"/>
  <c r="BR116" i="1"/>
  <c r="BR108" i="1"/>
  <c r="BR100" i="1"/>
  <c r="BR92" i="1"/>
  <c r="BR84" i="1"/>
  <c r="BR76" i="1"/>
  <c r="BR68" i="1"/>
  <c r="BR60" i="1"/>
  <c r="BR52" i="1"/>
  <c r="BR44" i="1"/>
  <c r="BR36" i="1"/>
  <c r="BR28" i="1"/>
  <c r="BR20" i="1"/>
  <c r="BR12" i="1"/>
  <c r="BQ351" i="1"/>
  <c r="BQ95" i="1"/>
  <c r="BR499" i="1"/>
  <c r="BR491" i="1"/>
  <c r="BR483" i="1"/>
  <c r="BR475" i="1"/>
  <c r="BR467" i="1"/>
  <c r="BR459" i="1"/>
  <c r="BR451" i="1"/>
  <c r="BR443" i="1"/>
  <c r="BR435" i="1"/>
  <c r="BR427" i="1"/>
  <c r="BR419" i="1"/>
  <c r="BR411" i="1"/>
  <c r="BR403" i="1"/>
  <c r="BR395" i="1"/>
  <c r="BR387" i="1"/>
  <c r="BR379" i="1"/>
  <c r="BR371" i="1"/>
  <c r="BR363" i="1"/>
  <c r="BR355" i="1"/>
  <c r="BR347" i="1"/>
  <c r="BR339" i="1"/>
  <c r="BR331" i="1"/>
  <c r="BR323" i="1"/>
  <c r="BR315" i="1"/>
  <c r="BR307" i="1"/>
  <c r="BR299" i="1"/>
  <c r="BR291" i="1"/>
  <c r="BR283" i="1"/>
  <c r="BR275" i="1"/>
  <c r="BR267" i="1"/>
  <c r="BR259" i="1"/>
  <c r="BR251" i="1"/>
  <c r="BR243" i="1"/>
  <c r="BR235" i="1"/>
  <c r="BR227" i="1"/>
  <c r="BR219" i="1"/>
  <c r="BR211" i="1"/>
  <c r="BR203" i="1"/>
  <c r="BR195" i="1"/>
  <c r="BR187" i="1"/>
  <c r="BR179" i="1"/>
  <c r="BR171" i="1"/>
  <c r="BR163" i="1"/>
  <c r="BR155" i="1"/>
  <c r="BR147" i="1"/>
  <c r="BR139" i="1"/>
  <c r="BR131" i="1"/>
  <c r="BR123" i="1"/>
  <c r="BR115" i="1"/>
  <c r="BR107" i="1"/>
  <c r="BR99" i="1"/>
  <c r="BR91" i="1"/>
  <c r="BR83" i="1"/>
  <c r="BR75" i="1"/>
  <c r="BR67" i="1"/>
  <c r="BR59" i="1"/>
  <c r="BR51" i="1"/>
  <c r="BR43" i="1"/>
  <c r="BR35" i="1"/>
  <c r="BR27" i="1"/>
  <c r="BR19" i="1"/>
  <c r="BR11" i="1"/>
  <c r="BQ474" i="1"/>
  <c r="BQ58" i="1"/>
  <c r="BQ50" i="1"/>
  <c r="BQ319" i="1"/>
  <c r="BQ63" i="1"/>
  <c r="BR498" i="1"/>
  <c r="BR490" i="1"/>
  <c r="BR482" i="1"/>
  <c r="BR474" i="1"/>
  <c r="BR466" i="1"/>
  <c r="BR458" i="1"/>
  <c r="BR450" i="1"/>
  <c r="BR442" i="1"/>
  <c r="BR434" i="1"/>
  <c r="BR426" i="1"/>
  <c r="BR418" i="1"/>
  <c r="BR410" i="1"/>
  <c r="BR402" i="1"/>
  <c r="BR394" i="1"/>
  <c r="BR386" i="1"/>
  <c r="BR378" i="1"/>
  <c r="BR370" i="1"/>
  <c r="BR362" i="1"/>
  <c r="BR354" i="1"/>
  <c r="BR346" i="1"/>
  <c r="BR338" i="1"/>
  <c r="BR330" i="1"/>
  <c r="BR322" i="1"/>
  <c r="BR314" i="1"/>
  <c r="BR306" i="1"/>
  <c r="BR298" i="1"/>
  <c r="BR290" i="1"/>
  <c r="BR282" i="1"/>
  <c r="BR274" i="1"/>
  <c r="BR266" i="1"/>
  <c r="BR258" i="1"/>
  <c r="BR250" i="1"/>
  <c r="BR242" i="1"/>
  <c r="BR234" i="1"/>
  <c r="BR226" i="1"/>
  <c r="BR218" i="1"/>
  <c r="BR210" i="1"/>
  <c r="BR202" i="1"/>
  <c r="BR194" i="1"/>
  <c r="BR186" i="1"/>
  <c r="BR178" i="1"/>
  <c r="BR170" i="1"/>
  <c r="BR162" i="1"/>
  <c r="BR154" i="1"/>
  <c r="BR146" i="1"/>
  <c r="BR138" i="1"/>
  <c r="BR130" i="1"/>
  <c r="BR122" i="1"/>
  <c r="BR114" i="1"/>
  <c r="BR106" i="1"/>
  <c r="BR98" i="1"/>
  <c r="BR90" i="1"/>
  <c r="BR82" i="1"/>
  <c r="BR74" i="1"/>
  <c r="BR66" i="1"/>
  <c r="BR58" i="1"/>
  <c r="BR50" i="1"/>
  <c r="BR42" i="1"/>
  <c r="BR34" i="1"/>
  <c r="BR26" i="1"/>
  <c r="BR18" i="1"/>
  <c r="BR10" i="1"/>
  <c r="BQ287" i="1"/>
  <c r="BQ31" i="1"/>
  <c r="BR497" i="1"/>
  <c r="BR489" i="1"/>
  <c r="BR481" i="1"/>
  <c r="BR473" i="1"/>
  <c r="BR465" i="1"/>
  <c r="BR457" i="1"/>
  <c r="BR449" i="1"/>
  <c r="BR441" i="1"/>
  <c r="BR433" i="1"/>
  <c r="BR425" i="1"/>
  <c r="BR417" i="1"/>
  <c r="BR409" i="1"/>
  <c r="BR401" i="1"/>
  <c r="BR393" i="1"/>
  <c r="BR385" i="1"/>
  <c r="BR377" i="1"/>
  <c r="BR369" i="1"/>
  <c r="BR361" i="1"/>
  <c r="BR353" i="1"/>
  <c r="BR345" i="1"/>
  <c r="BR337" i="1"/>
  <c r="BR329" i="1"/>
  <c r="BR321" i="1"/>
  <c r="BR313" i="1"/>
  <c r="BR305" i="1"/>
  <c r="BR297" i="1"/>
  <c r="BR289" i="1"/>
  <c r="BR281" i="1"/>
  <c r="BR273" i="1"/>
  <c r="BR265" i="1"/>
  <c r="BR257" i="1"/>
  <c r="BR249" i="1"/>
  <c r="BR241" i="1"/>
  <c r="BR233" i="1"/>
  <c r="BR225" i="1"/>
  <c r="BR217" i="1"/>
  <c r="BR209" i="1"/>
  <c r="BR201" i="1"/>
  <c r="BR193" i="1"/>
  <c r="BR185" i="1"/>
  <c r="BR177" i="1"/>
  <c r="BR169" i="1"/>
  <c r="BR161" i="1"/>
  <c r="BR153" i="1"/>
  <c r="BR145" i="1"/>
  <c r="BR137" i="1"/>
  <c r="BR129" i="1"/>
  <c r="BR121" i="1"/>
  <c r="BR113" i="1"/>
  <c r="BR105" i="1"/>
  <c r="BR97" i="1"/>
  <c r="BR89" i="1"/>
  <c r="BR81" i="1"/>
  <c r="BR73" i="1"/>
  <c r="BR65" i="1"/>
  <c r="BR57" i="1"/>
  <c r="BR49" i="1"/>
  <c r="BR41" i="1"/>
  <c r="BR33" i="1"/>
  <c r="BR25" i="1"/>
  <c r="BR17" i="1"/>
  <c r="BR9" i="1"/>
  <c r="BQ159" i="1"/>
  <c r="BQ255" i="1"/>
  <c r="BR504" i="1"/>
  <c r="BR496" i="1"/>
  <c r="BR488" i="1"/>
  <c r="BR480" i="1"/>
  <c r="BR472" i="1"/>
  <c r="BR464" i="1"/>
  <c r="BR456" i="1"/>
  <c r="BR448" i="1"/>
  <c r="BR440" i="1"/>
  <c r="BR432" i="1"/>
  <c r="BR424" i="1"/>
  <c r="BR416" i="1"/>
  <c r="BR408" i="1"/>
  <c r="BR400" i="1"/>
  <c r="BR392" i="1"/>
  <c r="BR384" i="1"/>
  <c r="BR376" i="1"/>
  <c r="BR368" i="1"/>
  <c r="BR360" i="1"/>
  <c r="BR352" i="1"/>
  <c r="BR344" i="1"/>
  <c r="BR336" i="1"/>
  <c r="BR328" i="1"/>
  <c r="BR320" i="1"/>
  <c r="BR312" i="1"/>
  <c r="BR304" i="1"/>
  <c r="BR296" i="1"/>
  <c r="BR288" i="1"/>
  <c r="BR280" i="1"/>
  <c r="BR272" i="1"/>
  <c r="BR264" i="1"/>
  <c r="BR256" i="1"/>
  <c r="BR248" i="1"/>
  <c r="BR240" i="1"/>
  <c r="BR232" i="1"/>
  <c r="BR224" i="1"/>
  <c r="BR216" i="1"/>
  <c r="BR208" i="1"/>
  <c r="BR200" i="1"/>
  <c r="BR192" i="1"/>
  <c r="BR184" i="1"/>
  <c r="BR176" i="1"/>
  <c r="BR168" i="1"/>
  <c r="BR160" i="1"/>
  <c r="BR152" i="1"/>
  <c r="BR144" i="1"/>
  <c r="BR136" i="1"/>
  <c r="BR128" i="1"/>
  <c r="BR120" i="1"/>
  <c r="BR112" i="1"/>
  <c r="BR104" i="1"/>
  <c r="BR96" i="1"/>
  <c r="BR88" i="1"/>
  <c r="BR80" i="1"/>
  <c r="BR72" i="1"/>
  <c r="BR64" i="1"/>
  <c r="BR56" i="1"/>
  <c r="BR48" i="1"/>
  <c r="BR40" i="1"/>
  <c r="BR32" i="1"/>
  <c r="BR24" i="1"/>
  <c r="BR16" i="1"/>
  <c r="BR8" i="1"/>
  <c r="BQ479" i="1"/>
  <c r="BQ223" i="1"/>
  <c r="BR503" i="1"/>
  <c r="BR495" i="1"/>
  <c r="BR487" i="1"/>
  <c r="BR479" i="1"/>
  <c r="BR471" i="1"/>
  <c r="BR463" i="1"/>
  <c r="BR455" i="1"/>
  <c r="BR447" i="1"/>
  <c r="BR439" i="1"/>
  <c r="BR431" i="1"/>
  <c r="BR423" i="1"/>
  <c r="BR407" i="1"/>
  <c r="BR399" i="1"/>
  <c r="BR391" i="1"/>
  <c r="BR383" i="1"/>
  <c r="BR375" i="1"/>
  <c r="BR367" i="1"/>
  <c r="BR359" i="1"/>
  <c r="BR351" i="1"/>
  <c r="BR343" i="1"/>
  <c r="BR335" i="1"/>
  <c r="BR327" i="1"/>
  <c r="BR319" i="1"/>
  <c r="BR311" i="1"/>
  <c r="BR303" i="1"/>
  <c r="BR295" i="1"/>
  <c r="BR279" i="1"/>
  <c r="BR271" i="1"/>
  <c r="BR263" i="1"/>
  <c r="BR255" i="1"/>
  <c r="BR247" i="1"/>
  <c r="BR239" i="1"/>
  <c r="BR231" i="1"/>
  <c r="BR223" i="1"/>
  <c r="BR215" i="1"/>
  <c r="BR207" i="1"/>
  <c r="BR199" i="1"/>
  <c r="BR191" i="1"/>
  <c r="BR183" i="1"/>
  <c r="BR175" i="1"/>
  <c r="BR167" i="1"/>
  <c r="BR159" i="1"/>
  <c r="BR151" i="1"/>
  <c r="BR143" i="1"/>
  <c r="BR135" i="1"/>
  <c r="BR127" i="1"/>
  <c r="BR119" i="1"/>
  <c r="BR111" i="1"/>
  <c r="BR103" i="1"/>
  <c r="BR95" i="1"/>
  <c r="BR87" i="1"/>
  <c r="BR79" i="1"/>
  <c r="BR71" i="1"/>
  <c r="BR63" i="1"/>
  <c r="BR55" i="1"/>
  <c r="BR47" i="1"/>
  <c r="BR39" i="1"/>
  <c r="BR31" i="1"/>
  <c r="BR23" i="1"/>
  <c r="BR15" i="1"/>
  <c r="BR7" i="1"/>
  <c r="BQ342" i="1"/>
  <c r="BQ447" i="1"/>
  <c r="BQ191" i="1"/>
  <c r="BR502" i="1"/>
  <c r="BR494" i="1"/>
  <c r="BR486" i="1"/>
  <c r="BR478" i="1"/>
  <c r="BR470" i="1"/>
  <c r="BR462" i="1"/>
  <c r="BR454" i="1"/>
  <c r="BR446" i="1"/>
  <c r="BR438" i="1"/>
  <c r="BR430" i="1"/>
  <c r="BR422" i="1"/>
  <c r="BR414" i="1"/>
  <c r="BR406" i="1"/>
  <c r="BR398" i="1"/>
  <c r="BR390" i="1"/>
  <c r="BR382" i="1"/>
  <c r="BR374" i="1"/>
  <c r="BR366" i="1"/>
  <c r="BR358" i="1"/>
  <c r="BR350" i="1"/>
  <c r="BR342" i="1"/>
  <c r="BR334" i="1"/>
  <c r="BR326" i="1"/>
  <c r="BR318" i="1"/>
  <c r="BR310" i="1"/>
  <c r="BR302" i="1"/>
  <c r="BR294" i="1"/>
  <c r="BR286" i="1"/>
  <c r="BR278" i="1"/>
  <c r="BR270" i="1"/>
  <c r="BR262" i="1"/>
  <c r="BR254" i="1"/>
  <c r="BR246" i="1"/>
  <c r="BR238" i="1"/>
  <c r="BR230" i="1"/>
  <c r="BR222" i="1"/>
  <c r="BR214" i="1"/>
  <c r="BR206" i="1"/>
  <c r="BR198" i="1"/>
  <c r="BR190" i="1"/>
  <c r="BR182" i="1"/>
  <c r="BR174" i="1"/>
  <c r="BR166" i="1"/>
  <c r="BR158" i="1"/>
  <c r="BR150" i="1"/>
  <c r="BR142" i="1"/>
  <c r="BR134" i="1"/>
  <c r="BR126" i="1"/>
  <c r="BR118" i="1"/>
  <c r="BR110" i="1"/>
  <c r="BR102" i="1"/>
  <c r="BR94" i="1"/>
  <c r="BR86" i="1"/>
  <c r="BR78" i="1"/>
  <c r="BR70" i="1"/>
  <c r="BR62" i="1"/>
  <c r="BR54" i="1"/>
  <c r="BR46" i="1"/>
  <c r="BR38" i="1"/>
  <c r="BR30" i="1"/>
  <c r="BR22" i="1"/>
  <c r="BR14" i="1"/>
  <c r="BR6" i="1"/>
  <c r="BQ375" i="1"/>
  <c r="BQ343" i="1"/>
  <c r="BQ311" i="1"/>
  <c r="BQ279" i="1"/>
  <c r="BQ247" i="1"/>
  <c r="BQ215" i="1"/>
  <c r="BQ183" i="1"/>
  <c r="BQ151" i="1"/>
  <c r="BQ119" i="1"/>
  <c r="BQ87" i="1"/>
  <c r="BQ55" i="1"/>
  <c r="BQ23" i="1"/>
  <c r="BQ503" i="1"/>
  <c r="BQ471" i="1"/>
  <c r="BQ439" i="1"/>
  <c r="BQ399" i="1"/>
  <c r="BQ367" i="1"/>
  <c r="BQ303" i="1"/>
  <c r="BQ271" i="1"/>
  <c r="BQ239" i="1"/>
  <c r="BQ207" i="1"/>
  <c r="BQ175" i="1"/>
  <c r="BQ143" i="1"/>
  <c r="BQ111" i="1"/>
  <c r="BQ79" i="1"/>
  <c r="BQ47" i="1"/>
  <c r="BQ15" i="1"/>
  <c r="BP287" i="1"/>
  <c r="BQ495" i="1"/>
  <c r="BQ463" i="1"/>
  <c r="BQ431" i="1"/>
  <c r="BQ391" i="1"/>
  <c r="BQ359" i="1"/>
  <c r="BQ327" i="1"/>
  <c r="BQ295" i="1"/>
  <c r="BQ263" i="1"/>
  <c r="BQ231" i="1"/>
  <c r="BQ199" i="1"/>
  <c r="BQ167" i="1"/>
  <c r="BQ135" i="1"/>
  <c r="BQ103" i="1"/>
  <c r="BQ71" i="1"/>
  <c r="BQ39" i="1"/>
  <c r="BQ487" i="1"/>
  <c r="BQ455" i="1"/>
  <c r="BQ423" i="1"/>
  <c r="BR5" i="1"/>
  <c r="BQ501" i="1"/>
  <c r="BQ493" i="1"/>
  <c r="BQ477" i="1"/>
  <c r="BQ469" i="1"/>
  <c r="BQ461" i="1"/>
  <c r="BQ453" i="1"/>
  <c r="BQ445" i="1"/>
  <c r="BQ437" i="1"/>
  <c r="BQ429" i="1"/>
  <c r="BQ421" i="1"/>
  <c r="BQ413" i="1"/>
  <c r="BQ405" i="1"/>
  <c r="BQ397" i="1"/>
  <c r="BQ237" i="1"/>
  <c r="BQ229" i="1"/>
  <c r="BQ221" i="1"/>
  <c r="BQ213" i="1"/>
  <c r="BQ205" i="1"/>
  <c r="BQ197" i="1"/>
  <c r="BQ189" i="1"/>
  <c r="BQ181" i="1"/>
  <c r="BQ173" i="1"/>
  <c r="BQ165" i="1"/>
  <c r="BQ157" i="1"/>
  <c r="BQ149" i="1"/>
  <c r="BQ141" i="1"/>
  <c r="BQ133" i="1"/>
  <c r="BQ125" i="1"/>
  <c r="BQ117" i="1"/>
  <c r="BQ109" i="1"/>
  <c r="BQ101" i="1"/>
  <c r="BQ93" i="1"/>
  <c r="BQ85" i="1"/>
  <c r="BQ77" i="1"/>
  <c r="BQ69" i="1"/>
  <c r="BQ61" i="1"/>
  <c r="BQ53" i="1"/>
  <c r="BQ45" i="1"/>
  <c r="BQ37" i="1"/>
  <c r="BQ29" i="1"/>
  <c r="BQ21" i="1"/>
  <c r="BQ13" i="1"/>
  <c r="BQ244" i="1"/>
  <c r="BQ236" i="1"/>
  <c r="BQ228" i="1"/>
  <c r="BQ220" i="1"/>
  <c r="BQ212" i="1"/>
  <c r="BQ204" i="1"/>
  <c r="BQ196" i="1"/>
  <c r="BQ188" i="1"/>
  <c r="BQ180" i="1"/>
  <c r="BQ172" i="1"/>
  <c r="BQ164" i="1"/>
  <c r="BQ156" i="1"/>
  <c r="BQ148" i="1"/>
  <c r="BQ140" i="1"/>
  <c r="BQ132" i="1"/>
  <c r="BQ124" i="1"/>
  <c r="BQ116" i="1"/>
  <c r="BQ108" i="1"/>
  <c r="BQ100" i="1"/>
  <c r="BQ92" i="1"/>
  <c r="BQ84" i="1"/>
  <c r="BQ76" i="1"/>
  <c r="BQ68" i="1"/>
  <c r="BQ60" i="1"/>
  <c r="BQ52" i="1"/>
  <c r="BQ44" i="1"/>
  <c r="BQ36" i="1"/>
  <c r="BQ28" i="1"/>
  <c r="BQ20" i="1"/>
  <c r="BQ499" i="1"/>
  <c r="BQ491" i="1"/>
  <c r="BQ483" i="1"/>
  <c r="BQ475" i="1"/>
  <c r="BQ467" i="1"/>
  <c r="BQ459" i="1"/>
  <c r="BQ451" i="1"/>
  <c r="BQ443" i="1"/>
  <c r="BQ435" i="1"/>
  <c r="BQ427" i="1"/>
  <c r="BQ419" i="1"/>
  <c r="BQ411" i="1"/>
  <c r="BQ403" i="1"/>
  <c r="BQ395" i="1"/>
  <c r="BQ387" i="1"/>
  <c r="BQ379" i="1"/>
  <c r="BQ371" i="1"/>
  <c r="BQ363" i="1"/>
  <c r="BQ355" i="1"/>
  <c r="BQ347" i="1"/>
  <c r="BQ339" i="1"/>
  <c r="BQ331" i="1"/>
  <c r="BQ323" i="1"/>
  <c r="BQ315" i="1"/>
  <c r="BQ307" i="1"/>
  <c r="BQ299" i="1"/>
  <c r="BQ283" i="1"/>
  <c r="BQ275" i="1"/>
  <c r="BQ267" i="1"/>
  <c r="BQ251" i="1"/>
  <c r="BQ243" i="1"/>
  <c r="BQ235" i="1"/>
  <c r="BQ227" i="1"/>
  <c r="BQ219" i="1"/>
  <c r="BQ211" i="1"/>
  <c r="BQ203" i="1"/>
  <c r="BQ195" i="1"/>
  <c r="BQ187" i="1"/>
  <c r="BQ179" i="1"/>
  <c r="BQ171" i="1"/>
  <c r="BQ163" i="1"/>
  <c r="BQ155" i="1"/>
  <c r="BQ147" i="1"/>
  <c r="BQ139" i="1"/>
  <c r="BQ131" i="1"/>
  <c r="BQ123" i="1"/>
  <c r="BQ115" i="1"/>
  <c r="BQ107" i="1"/>
  <c r="BQ99" i="1"/>
  <c r="BQ91" i="1"/>
  <c r="BQ83" i="1"/>
  <c r="BQ75" i="1"/>
  <c r="BQ67" i="1"/>
  <c r="BQ59" i="1"/>
  <c r="BQ51" i="1"/>
  <c r="BQ43" i="1"/>
  <c r="BQ35" i="1"/>
  <c r="BQ27" i="1"/>
  <c r="BQ19" i="1"/>
  <c r="BQ11" i="1"/>
  <c r="BQ489" i="1"/>
  <c r="BQ481" i="1"/>
  <c r="BQ473" i="1"/>
  <c r="BQ465" i="1"/>
  <c r="BQ457" i="1"/>
  <c r="BQ449" i="1"/>
  <c r="BQ433" i="1"/>
  <c r="BQ425" i="1"/>
  <c r="BQ417" i="1"/>
  <c r="BQ409" i="1"/>
  <c r="BQ401" i="1"/>
  <c r="BQ393" i="1"/>
  <c r="BQ385" i="1"/>
  <c r="BQ369" i="1"/>
  <c r="BQ361" i="1"/>
  <c r="BQ353" i="1"/>
  <c r="BQ345" i="1"/>
  <c r="BQ337" i="1"/>
  <c r="BQ329" i="1"/>
  <c r="BQ321" i="1"/>
  <c r="BQ313" i="1"/>
  <c r="BQ305" i="1"/>
  <c r="BQ297" i="1"/>
  <c r="BQ289" i="1"/>
  <c r="BQ281" i="1"/>
  <c r="BQ273" i="1"/>
  <c r="BQ265" i="1"/>
  <c r="BQ257" i="1"/>
  <c r="BQ249" i="1"/>
  <c r="BQ241" i="1"/>
  <c r="BQ233" i="1"/>
  <c r="BQ225" i="1"/>
  <c r="BQ217" i="1"/>
  <c r="BQ209" i="1"/>
  <c r="BQ201" i="1"/>
  <c r="BQ193" i="1"/>
  <c r="BQ185" i="1"/>
  <c r="BQ177" i="1"/>
  <c r="BQ169" i="1"/>
  <c r="BQ161" i="1"/>
  <c r="BQ145" i="1"/>
  <c r="BQ137" i="1"/>
  <c r="BQ129" i="1"/>
  <c r="BQ121" i="1"/>
  <c r="BQ113" i="1"/>
  <c r="BQ105" i="1"/>
  <c r="BQ97" i="1"/>
  <c r="BQ89" i="1"/>
  <c r="BQ81" i="1"/>
  <c r="BQ73" i="1"/>
  <c r="BQ65" i="1"/>
  <c r="BQ57" i="1"/>
  <c r="BQ49" i="1"/>
  <c r="BQ33" i="1"/>
  <c r="BQ25" i="1"/>
  <c r="BQ407" i="1"/>
  <c r="BP335" i="1"/>
  <c r="BQ294" i="1"/>
  <c r="BQ286" i="1"/>
  <c r="BQ278" i="1"/>
  <c r="BQ270" i="1"/>
  <c r="BQ262" i="1"/>
  <c r="BQ246" i="1"/>
  <c r="BQ238" i="1"/>
  <c r="BQ230" i="1"/>
  <c r="BQ222" i="1"/>
  <c r="BQ214" i="1"/>
  <c r="BQ206" i="1"/>
  <c r="BQ198" i="1"/>
  <c r="BQ190" i="1"/>
  <c r="BQ182" i="1"/>
  <c r="BQ174" i="1"/>
  <c r="BQ166" i="1"/>
  <c r="BQ150" i="1"/>
  <c r="BQ142" i="1"/>
  <c r="BQ134" i="1"/>
  <c r="BQ126" i="1"/>
  <c r="BQ118" i="1"/>
  <c r="BQ110" i="1"/>
  <c r="BQ102" i="1"/>
  <c r="BQ94" i="1"/>
  <c r="BQ86" i="1"/>
  <c r="BQ78" i="1"/>
  <c r="BQ70" i="1"/>
  <c r="BQ62" i="1"/>
  <c r="BQ54" i="1"/>
  <c r="BQ46" i="1"/>
  <c r="BQ38" i="1"/>
  <c r="BQ30" i="1"/>
  <c r="BQ22" i="1"/>
  <c r="BP485" i="1"/>
  <c r="BQ5" i="1"/>
  <c r="BP7" i="1"/>
  <c r="BK497" i="1"/>
  <c r="BP41" i="1"/>
  <c r="BM377" i="1"/>
  <c r="BM153" i="1"/>
  <c r="BM291" i="1"/>
  <c r="BK259" i="1"/>
  <c r="BP133" i="1"/>
  <c r="BG302" i="1"/>
  <c r="BP69" i="1"/>
  <c r="BP378" i="1"/>
  <c r="BM468" i="1"/>
  <c r="BM460" i="1"/>
  <c r="BM420" i="1"/>
  <c r="BK412" i="1"/>
  <c r="BM404" i="1"/>
  <c r="BM396" i="1"/>
  <c r="BK388" i="1"/>
  <c r="BM380" i="1"/>
  <c r="BM372" i="1"/>
  <c r="BM364" i="1"/>
  <c r="BM356" i="1"/>
  <c r="BM348" i="1"/>
  <c r="BM340" i="1"/>
  <c r="BM332" i="1"/>
  <c r="BM324" i="1"/>
  <c r="BK316" i="1"/>
  <c r="BM308" i="1"/>
  <c r="BK300" i="1"/>
  <c r="BK292" i="1"/>
  <c r="BM284" i="1"/>
  <c r="BL276" i="1"/>
  <c r="BM268" i="1"/>
  <c r="BN260" i="1"/>
  <c r="BM252" i="1"/>
  <c r="BM476" i="1"/>
  <c r="BP357" i="1"/>
  <c r="BP341" i="1"/>
  <c r="BP333" i="1"/>
  <c r="BP317" i="1"/>
  <c r="BP309" i="1"/>
  <c r="BP301" i="1"/>
  <c r="BP293" i="1"/>
  <c r="BP285" i="1"/>
  <c r="BP277" i="1"/>
  <c r="BM269" i="1"/>
  <c r="BK261" i="1"/>
  <c r="BP261" i="1"/>
  <c r="BM253" i="1"/>
  <c r="BG245" i="1"/>
  <c r="BP389" i="1"/>
  <c r="BM10" i="1"/>
  <c r="BK436" i="1"/>
  <c r="BK428" i="1"/>
  <c r="BP9" i="1"/>
  <c r="BP373" i="1"/>
  <c r="BG486" i="1"/>
  <c r="BG446" i="1"/>
  <c r="BG334" i="1"/>
  <c r="BP325" i="1"/>
  <c r="BP12" i="1"/>
  <c r="BP498" i="1"/>
  <c r="BP474" i="1"/>
  <c r="BP450" i="1"/>
  <c r="BP442" i="1"/>
  <c r="BP426" i="1"/>
  <c r="BP418" i="1"/>
  <c r="BP410" i="1"/>
  <c r="BP402" i="1"/>
  <c r="BP386" i="1"/>
  <c r="BP370" i="1"/>
  <c r="BP354" i="1"/>
  <c r="BP346" i="1"/>
  <c r="BP322" i="1"/>
  <c r="BP314" i="1"/>
  <c r="BP306" i="1"/>
  <c r="BP290" i="1"/>
  <c r="BP282" i="1"/>
  <c r="BP274" i="1"/>
  <c r="BK226" i="1"/>
  <c r="BM218" i="1"/>
  <c r="BG202" i="1"/>
  <c r="BG186" i="1"/>
  <c r="BM170" i="1"/>
  <c r="BM162" i="1"/>
  <c r="BL146" i="1"/>
  <c r="BM138" i="1"/>
  <c r="BJ114" i="1"/>
  <c r="BL106" i="1"/>
  <c r="BG98" i="1"/>
  <c r="BG74" i="1"/>
  <c r="BM66" i="1"/>
  <c r="BM58" i="1"/>
  <c r="BG42" i="1"/>
  <c r="BN34" i="1"/>
  <c r="BL26" i="1"/>
  <c r="BM18" i="1"/>
  <c r="BP18" i="1"/>
  <c r="BK500" i="1"/>
  <c r="BK492" i="1"/>
  <c r="BM484" i="1"/>
  <c r="BM452" i="1"/>
  <c r="BK444" i="1"/>
  <c r="BP381" i="1"/>
  <c r="BP365" i="1"/>
  <c r="BP349" i="1"/>
  <c r="BG16" i="1"/>
  <c r="BM8" i="1"/>
  <c r="BI502" i="1"/>
  <c r="BM494" i="1"/>
  <c r="BG478" i="1"/>
  <c r="BM470" i="1"/>
  <c r="BG462" i="1"/>
  <c r="BG454" i="1"/>
  <c r="BM438" i="1"/>
  <c r="BG430" i="1"/>
  <c r="BG422" i="1"/>
  <c r="BM414" i="1"/>
  <c r="BG406" i="1"/>
  <c r="BG398" i="1"/>
  <c r="BG390" i="1"/>
  <c r="BM382" i="1"/>
  <c r="BG374" i="1"/>
  <c r="BM366" i="1"/>
  <c r="BG358" i="1"/>
  <c r="BG350" i="1"/>
  <c r="BM342" i="1"/>
  <c r="BP326" i="1"/>
  <c r="BM318" i="1"/>
  <c r="BM310" i="1"/>
  <c r="BP490" i="1"/>
  <c r="BP482" i="1"/>
  <c r="BP466" i="1"/>
  <c r="BP458" i="1"/>
  <c r="BP434" i="1"/>
  <c r="BP394" i="1"/>
  <c r="BP362" i="1"/>
  <c r="BP338" i="1"/>
  <c r="BP330" i="1"/>
  <c r="BP298" i="1"/>
  <c r="BP266" i="1"/>
  <c r="BP258" i="1"/>
  <c r="BP250" i="1"/>
  <c r="BP242" i="1"/>
  <c r="BK234" i="1"/>
  <c r="BG210" i="1"/>
  <c r="BG194" i="1"/>
  <c r="BJ178" i="1"/>
  <c r="BM154" i="1"/>
  <c r="BG130" i="1"/>
  <c r="BG122" i="1"/>
  <c r="BM90" i="1"/>
  <c r="BL82" i="1"/>
  <c r="BG50" i="1"/>
  <c r="BP14" i="1"/>
  <c r="BP6" i="1"/>
  <c r="BP504" i="1"/>
  <c r="BP496" i="1"/>
  <c r="BP488" i="1"/>
  <c r="BP480" i="1"/>
  <c r="BP472" i="1"/>
  <c r="BP464" i="1"/>
  <c r="BP456" i="1"/>
  <c r="BP448" i="1"/>
  <c r="BP440" i="1"/>
  <c r="BP432" i="1"/>
  <c r="BP424" i="1"/>
  <c r="BP416" i="1"/>
  <c r="BP408" i="1"/>
  <c r="BP400" i="1"/>
  <c r="BP392" i="1"/>
  <c r="BP384" i="1"/>
  <c r="BP376" i="1"/>
  <c r="BP368" i="1"/>
  <c r="BP360" i="1"/>
  <c r="BP352" i="1"/>
  <c r="BP344" i="1"/>
  <c r="BP336" i="1"/>
  <c r="BP328" i="1"/>
  <c r="BP320" i="1"/>
  <c r="BP312" i="1"/>
  <c r="BP304" i="1"/>
  <c r="BP296" i="1"/>
  <c r="BP288" i="1"/>
  <c r="BP280" i="1"/>
  <c r="BP272" i="1"/>
  <c r="BP264" i="1"/>
  <c r="BP256" i="1"/>
  <c r="BP248" i="1"/>
  <c r="BP240" i="1"/>
  <c r="BK232" i="1"/>
  <c r="BM224" i="1"/>
  <c r="BM216" i="1"/>
  <c r="BK208" i="1"/>
  <c r="BK200" i="1"/>
  <c r="BK192" i="1"/>
  <c r="BM184" i="1"/>
  <c r="BP176" i="1"/>
  <c r="BO168" i="1"/>
  <c r="BK160" i="1"/>
  <c r="BM152" i="1"/>
  <c r="BM144" i="1"/>
  <c r="BP136" i="1"/>
  <c r="BK128" i="1"/>
  <c r="BM120" i="1"/>
  <c r="BK112" i="1"/>
  <c r="BK104" i="1"/>
  <c r="BK96" i="1"/>
  <c r="BM88" i="1"/>
  <c r="BK80" i="1"/>
  <c r="BK72" i="1"/>
  <c r="BM64" i="1"/>
  <c r="BM56" i="1"/>
  <c r="BK48" i="1"/>
  <c r="BM40" i="1"/>
  <c r="BK32" i="1"/>
  <c r="BM24" i="1"/>
  <c r="BK441" i="1"/>
  <c r="BP17" i="1"/>
  <c r="BP101" i="1"/>
  <c r="BP37" i="1"/>
  <c r="BP229" i="1"/>
  <c r="BP197" i="1"/>
  <c r="BP415" i="1"/>
  <c r="BP165" i="1"/>
  <c r="BP226" i="1"/>
  <c r="BP194" i="1"/>
  <c r="BP162" i="1"/>
  <c r="BP130" i="1"/>
  <c r="BP98" i="1"/>
  <c r="BP66" i="1"/>
  <c r="BP34" i="1"/>
  <c r="BP253" i="1"/>
  <c r="BP221" i="1"/>
  <c r="BP189" i="1"/>
  <c r="BP157" i="1"/>
  <c r="BP125" i="1"/>
  <c r="BP61" i="1"/>
  <c r="BP29" i="1"/>
  <c r="BO203" i="1"/>
  <c r="BP218" i="1"/>
  <c r="BP186" i="1"/>
  <c r="BP154" i="1"/>
  <c r="BP122" i="1"/>
  <c r="BP90" i="1"/>
  <c r="BP58" i="1"/>
  <c r="BP26" i="1"/>
  <c r="BM254" i="1"/>
  <c r="BM158" i="1"/>
  <c r="BP245" i="1"/>
  <c r="BP213" i="1"/>
  <c r="BP181" i="1"/>
  <c r="BP149" i="1"/>
  <c r="BP117" i="1"/>
  <c r="BP85" i="1"/>
  <c r="BP21" i="1"/>
  <c r="BP210" i="1"/>
  <c r="BP178" i="1"/>
  <c r="BP146" i="1"/>
  <c r="BP114" i="1"/>
  <c r="BP82" i="1"/>
  <c r="BP269" i="1"/>
  <c r="BP237" i="1"/>
  <c r="BP205" i="1"/>
  <c r="BP173" i="1"/>
  <c r="BP141" i="1"/>
  <c r="BP109" i="1"/>
  <c r="BP77" i="1"/>
  <c r="BP45" i="1"/>
  <c r="BP10" i="1"/>
  <c r="BP50" i="1"/>
  <c r="BP234" i="1"/>
  <c r="BP202" i="1"/>
  <c r="BP170" i="1"/>
  <c r="BP138" i="1"/>
  <c r="BP106" i="1"/>
  <c r="BP74" i="1"/>
  <c r="BP42" i="1"/>
  <c r="BM93" i="1"/>
  <c r="BG53" i="1"/>
  <c r="BO459" i="1"/>
  <c r="BP500" i="1"/>
  <c r="BP492" i="1"/>
  <c r="BP484" i="1"/>
  <c r="BP476" i="1"/>
  <c r="BP468" i="1"/>
  <c r="BP460" i="1"/>
  <c r="BP452" i="1"/>
  <c r="BP444" i="1"/>
  <c r="BP436" i="1"/>
  <c r="BP428" i="1"/>
  <c r="BP420" i="1"/>
  <c r="BP412" i="1"/>
  <c r="BP404" i="1"/>
  <c r="BP396" i="1"/>
  <c r="BP388" i="1"/>
  <c r="BP380" i="1"/>
  <c r="BP372" i="1"/>
  <c r="BP364" i="1"/>
  <c r="BP356" i="1"/>
  <c r="BP348" i="1"/>
  <c r="BP340" i="1"/>
  <c r="BP332" i="1"/>
  <c r="BP324" i="1"/>
  <c r="BP316" i="1"/>
  <c r="BP308" i="1"/>
  <c r="BP300" i="1"/>
  <c r="BP292" i="1"/>
  <c r="BP284" i="1"/>
  <c r="BP276" i="1"/>
  <c r="BP268" i="1"/>
  <c r="BP260" i="1"/>
  <c r="BP252" i="1"/>
  <c r="BP244" i="1"/>
  <c r="BP236" i="1"/>
  <c r="BP228" i="1"/>
  <c r="BP220" i="1"/>
  <c r="BP212" i="1"/>
  <c r="BP204" i="1"/>
  <c r="BP196" i="1"/>
  <c r="BP188" i="1"/>
  <c r="BP180" i="1"/>
  <c r="BP172" i="1"/>
  <c r="BP164" i="1"/>
  <c r="BP156" i="1"/>
  <c r="BP148" i="1"/>
  <c r="BP140" i="1"/>
  <c r="BP132" i="1"/>
  <c r="BP124" i="1"/>
  <c r="BP116" i="1"/>
  <c r="BP108" i="1"/>
  <c r="BP100" i="1"/>
  <c r="BP92" i="1"/>
  <c r="BP84" i="1"/>
  <c r="BP76" i="1"/>
  <c r="BP68" i="1"/>
  <c r="BP60" i="1"/>
  <c r="BP52" i="1"/>
  <c r="BP44" i="1"/>
  <c r="BP36" i="1"/>
  <c r="BP28" i="1"/>
  <c r="BP20" i="1"/>
  <c r="BO331" i="1"/>
  <c r="BP499" i="1"/>
  <c r="BP491" i="1"/>
  <c r="BP483" i="1"/>
  <c r="BP475" i="1"/>
  <c r="BP467" i="1"/>
  <c r="BP459" i="1"/>
  <c r="BP451" i="1"/>
  <c r="BP443" i="1"/>
  <c r="BP435" i="1"/>
  <c r="BP427" i="1"/>
  <c r="BP419" i="1"/>
  <c r="BP411" i="1"/>
  <c r="BP403" i="1"/>
  <c r="BP387" i="1"/>
  <c r="BP379" i="1"/>
  <c r="BP371" i="1"/>
  <c r="BP363" i="1"/>
  <c r="BP355" i="1"/>
  <c r="BP347" i="1"/>
  <c r="BP339" i="1"/>
  <c r="BP331" i="1"/>
  <c r="BP323" i="1"/>
  <c r="BP315" i="1"/>
  <c r="BP307" i="1"/>
  <c r="BP299" i="1"/>
  <c r="BP291" i="1"/>
  <c r="BP283" i="1"/>
  <c r="BP275" i="1"/>
  <c r="BP267" i="1"/>
  <c r="BP259" i="1"/>
  <c r="BP251" i="1"/>
  <c r="BP243" i="1"/>
  <c r="BP235" i="1"/>
  <c r="BP227" i="1"/>
  <c r="BP211" i="1"/>
  <c r="BP203" i="1"/>
  <c r="BP195" i="1"/>
  <c r="BP187" i="1"/>
  <c r="BP179" i="1"/>
  <c r="BP171" i="1"/>
  <c r="BP163" i="1"/>
  <c r="BP155" i="1"/>
  <c r="BP147" i="1"/>
  <c r="BP139" i="1"/>
  <c r="BP131" i="1"/>
  <c r="BP123" i="1"/>
  <c r="BP115" i="1"/>
  <c r="BP107" i="1"/>
  <c r="BP99" i="1"/>
  <c r="BP91" i="1"/>
  <c r="BP83" i="1"/>
  <c r="BP75" i="1"/>
  <c r="BP67" i="1"/>
  <c r="BP59" i="1"/>
  <c r="BP51" i="1"/>
  <c r="BP43" i="1"/>
  <c r="BP35" i="1"/>
  <c r="BP27" i="1"/>
  <c r="BP19" i="1"/>
  <c r="BO75" i="1"/>
  <c r="BP497" i="1"/>
  <c r="BP489" i="1"/>
  <c r="BP481" i="1"/>
  <c r="BP473" i="1"/>
  <c r="BP465" i="1"/>
  <c r="BP457" i="1"/>
  <c r="BP449" i="1"/>
  <c r="BP441" i="1"/>
  <c r="BP433" i="1"/>
  <c r="BP425" i="1"/>
  <c r="BP417" i="1"/>
  <c r="BP409" i="1"/>
  <c r="BP401" i="1"/>
  <c r="BP393" i="1"/>
  <c r="BP385" i="1"/>
  <c r="BP377" i="1"/>
  <c r="BP369" i="1"/>
  <c r="BP361" i="1"/>
  <c r="BP353" i="1"/>
  <c r="BP345" i="1"/>
  <c r="BP337" i="1"/>
  <c r="BP329" i="1"/>
  <c r="BP321" i="1"/>
  <c r="BP313" i="1"/>
  <c r="BP305" i="1"/>
  <c r="BP297" i="1"/>
  <c r="BP289" i="1"/>
  <c r="BP281" i="1"/>
  <c r="BP273" i="1"/>
  <c r="BP265" i="1"/>
  <c r="BP257" i="1"/>
  <c r="BP249" i="1"/>
  <c r="BP241" i="1"/>
  <c r="BP233" i="1"/>
  <c r="BP225" i="1"/>
  <c r="BP217" i="1"/>
  <c r="BP209" i="1"/>
  <c r="BP201" i="1"/>
  <c r="BP193" i="1"/>
  <c r="BP185" i="1"/>
  <c r="BP177" i="1"/>
  <c r="BP169" i="1"/>
  <c r="BP161" i="1"/>
  <c r="BP153" i="1"/>
  <c r="BP121" i="1"/>
  <c r="BP232" i="1"/>
  <c r="BP224" i="1"/>
  <c r="BP216" i="1"/>
  <c r="BP208" i="1"/>
  <c r="BP200" i="1"/>
  <c r="BP192" i="1"/>
  <c r="BP184" i="1"/>
  <c r="BP168" i="1"/>
  <c r="BP160" i="1"/>
  <c r="BP152" i="1"/>
  <c r="BP144" i="1"/>
  <c r="BP128" i="1"/>
  <c r="BP120" i="1"/>
  <c r="BP112" i="1"/>
  <c r="BP104" i="1"/>
  <c r="BP96" i="1"/>
  <c r="BP88" i="1"/>
  <c r="BP80" i="1"/>
  <c r="BP72" i="1"/>
  <c r="BP64" i="1"/>
  <c r="BP56" i="1"/>
  <c r="BP48" i="1"/>
  <c r="BP40" i="1"/>
  <c r="BP32" i="1"/>
  <c r="BP24" i="1"/>
  <c r="BP16" i="1"/>
  <c r="BP8" i="1"/>
  <c r="BP239" i="1"/>
  <c r="BP231" i="1"/>
  <c r="BP223" i="1"/>
  <c r="BP215" i="1"/>
  <c r="BP207" i="1"/>
  <c r="BP199" i="1"/>
  <c r="BP191" i="1"/>
  <c r="BP183" i="1"/>
  <c r="BP175" i="1"/>
  <c r="BP167" i="1"/>
  <c r="BP159" i="1"/>
  <c r="BP151" i="1"/>
  <c r="BP143" i="1"/>
  <c r="BP135" i="1"/>
  <c r="BP127" i="1"/>
  <c r="BP119" i="1"/>
  <c r="BP111" i="1"/>
  <c r="BP103" i="1"/>
  <c r="BP95" i="1"/>
  <c r="BP87" i="1"/>
  <c r="BP79" i="1"/>
  <c r="BP71" i="1"/>
  <c r="BP63" i="1"/>
  <c r="BP55" i="1"/>
  <c r="BP47" i="1"/>
  <c r="BP39" i="1"/>
  <c r="BP31" i="1"/>
  <c r="BP23" i="1"/>
  <c r="BM395" i="1"/>
  <c r="BP502" i="1"/>
  <c r="BP494" i="1"/>
  <c r="BP486" i="1"/>
  <c r="BP478" i="1"/>
  <c r="BP470" i="1"/>
  <c r="BP462" i="1"/>
  <c r="BP454" i="1"/>
  <c r="BP446" i="1"/>
  <c r="BP438" i="1"/>
  <c r="BP430" i="1"/>
  <c r="BP422" i="1"/>
  <c r="BP414" i="1"/>
  <c r="BP406" i="1"/>
  <c r="BP398" i="1"/>
  <c r="BP390" i="1"/>
  <c r="BP382" i="1"/>
  <c r="BP374" i="1"/>
  <c r="BP366" i="1"/>
  <c r="BP358" i="1"/>
  <c r="BP350" i="1"/>
  <c r="BP342" i="1"/>
  <c r="BP334" i="1"/>
  <c r="BP318" i="1"/>
  <c r="BP310" i="1"/>
  <c r="BP302" i="1"/>
  <c r="BP294" i="1"/>
  <c r="BP278" i="1"/>
  <c r="BP270" i="1"/>
  <c r="BP262" i="1"/>
  <c r="BP254" i="1"/>
  <c r="BP246" i="1"/>
  <c r="BP238" i="1"/>
  <c r="BP230" i="1"/>
  <c r="BP222" i="1"/>
  <c r="BP214" i="1"/>
  <c r="BP206" i="1"/>
  <c r="BP198" i="1"/>
  <c r="BP190" i="1"/>
  <c r="BP182" i="1"/>
  <c r="BP174" i="1"/>
  <c r="BP166" i="1"/>
  <c r="BP158" i="1"/>
  <c r="BP150" i="1"/>
  <c r="BP142" i="1"/>
  <c r="BP134" i="1"/>
  <c r="BP118" i="1"/>
  <c r="BP110" i="1"/>
  <c r="BP102" i="1"/>
  <c r="BP94" i="1"/>
  <c r="BP86" i="1"/>
  <c r="BP78" i="1"/>
  <c r="BP70" i="1"/>
  <c r="BP62" i="1"/>
  <c r="BP54" i="1"/>
  <c r="BP46" i="1"/>
  <c r="BP38" i="1"/>
  <c r="BP30" i="1"/>
  <c r="BP22" i="1"/>
  <c r="BN420" i="1"/>
  <c r="BO433" i="1"/>
  <c r="BO305" i="1"/>
  <c r="BO177" i="1"/>
  <c r="BN388" i="1"/>
  <c r="BO427" i="1"/>
  <c r="BO299" i="1"/>
  <c r="BO171" i="1"/>
  <c r="BN291" i="1"/>
  <c r="BO401" i="1"/>
  <c r="BO273" i="1"/>
  <c r="BO139" i="1"/>
  <c r="BM176" i="1"/>
  <c r="BM136" i="1"/>
  <c r="BN20" i="1"/>
  <c r="BO395" i="1"/>
  <c r="BO267" i="1"/>
  <c r="BO131" i="1"/>
  <c r="BO241" i="1"/>
  <c r="BO491" i="1"/>
  <c r="BO363" i="1"/>
  <c r="BO235" i="1"/>
  <c r="BO497" i="1"/>
  <c r="BO369" i="1"/>
  <c r="BL219" i="1"/>
  <c r="BO465" i="1"/>
  <c r="BO337" i="1"/>
  <c r="BO209" i="1"/>
  <c r="BH15" i="1"/>
  <c r="BO15" i="1"/>
  <c r="BG431" i="1"/>
  <c r="BO431" i="1"/>
  <c r="BG415" i="1"/>
  <c r="BO415" i="1"/>
  <c r="BM399" i="1"/>
  <c r="BO399" i="1"/>
  <c r="BM6" i="1"/>
  <c r="BO6" i="1"/>
  <c r="BL496" i="1"/>
  <c r="BO496" i="1"/>
  <c r="BL488" i="1"/>
  <c r="BO488" i="1"/>
  <c r="BL480" i="1"/>
  <c r="BO480" i="1"/>
  <c r="BL472" i="1"/>
  <c r="BO472" i="1"/>
  <c r="BL464" i="1"/>
  <c r="BO464" i="1"/>
  <c r="BL456" i="1"/>
  <c r="BO456" i="1"/>
  <c r="BL448" i="1"/>
  <c r="BO448" i="1"/>
  <c r="BM440" i="1"/>
  <c r="BO440" i="1"/>
  <c r="BL432" i="1"/>
  <c r="BO432" i="1"/>
  <c r="BL424" i="1"/>
  <c r="BO424" i="1"/>
  <c r="BL416" i="1"/>
  <c r="BO416" i="1"/>
  <c r="BM408" i="1"/>
  <c r="BO408" i="1"/>
  <c r="BG400" i="1"/>
  <c r="BO400" i="1"/>
  <c r="BM392" i="1"/>
  <c r="BO392" i="1"/>
  <c r="BG384" i="1"/>
  <c r="BO384" i="1"/>
  <c r="BM376" i="1"/>
  <c r="BO376" i="1"/>
  <c r="BH368" i="1"/>
  <c r="BO368" i="1"/>
  <c r="BG360" i="1"/>
  <c r="BO360" i="1"/>
  <c r="BM352" i="1"/>
  <c r="BO352" i="1"/>
  <c r="BJ344" i="1"/>
  <c r="BO344" i="1"/>
  <c r="BK336" i="1"/>
  <c r="BO336" i="1"/>
  <c r="BJ328" i="1"/>
  <c r="BO328" i="1"/>
  <c r="BG320" i="1"/>
  <c r="BO320" i="1"/>
  <c r="BM312" i="1"/>
  <c r="BO312" i="1"/>
  <c r="BM304" i="1"/>
  <c r="BO304" i="1"/>
  <c r="BK296" i="1"/>
  <c r="BO296" i="1"/>
  <c r="BH288" i="1"/>
  <c r="BO288" i="1"/>
  <c r="BM280" i="1"/>
  <c r="BO280" i="1"/>
  <c r="BM272" i="1"/>
  <c r="BO272" i="1"/>
  <c r="BM264" i="1"/>
  <c r="BO264" i="1"/>
  <c r="BK256" i="1"/>
  <c r="BO256" i="1"/>
  <c r="BK248" i="1"/>
  <c r="BO248" i="1"/>
  <c r="BM240" i="1"/>
  <c r="BO240" i="1"/>
  <c r="BN259" i="1"/>
  <c r="BO489" i="1"/>
  <c r="BO457" i="1"/>
  <c r="BO425" i="1"/>
  <c r="BO393" i="1"/>
  <c r="BO361" i="1"/>
  <c r="BO329" i="1"/>
  <c r="BO297" i="1"/>
  <c r="BO265" i="1"/>
  <c r="BO233" i="1"/>
  <c r="BO201" i="1"/>
  <c r="BO169" i="1"/>
  <c r="BO123" i="1"/>
  <c r="BO59" i="1"/>
  <c r="BG383" i="1"/>
  <c r="BO383" i="1"/>
  <c r="BG367" i="1"/>
  <c r="BO367" i="1"/>
  <c r="BM145" i="1"/>
  <c r="BO145" i="1"/>
  <c r="BM137" i="1"/>
  <c r="BO137" i="1"/>
  <c r="BM129" i="1"/>
  <c r="BO129" i="1"/>
  <c r="BG113" i="1"/>
  <c r="BO113" i="1"/>
  <c r="BM105" i="1"/>
  <c r="BO105" i="1"/>
  <c r="BM97" i="1"/>
  <c r="BO97" i="1"/>
  <c r="BM89" i="1"/>
  <c r="BO89" i="1"/>
  <c r="BG81" i="1"/>
  <c r="BO81" i="1"/>
  <c r="BM73" i="1"/>
  <c r="BO73" i="1"/>
  <c r="BM65" i="1"/>
  <c r="BO65" i="1"/>
  <c r="BH57" i="1"/>
  <c r="BO57" i="1"/>
  <c r="BM49" i="1"/>
  <c r="BO49" i="1"/>
  <c r="BG41" i="1"/>
  <c r="BO41" i="1"/>
  <c r="BG33" i="1"/>
  <c r="BO33" i="1"/>
  <c r="BG25" i="1"/>
  <c r="BO25" i="1"/>
  <c r="BH17" i="1"/>
  <c r="BO17" i="1"/>
  <c r="BN163" i="1"/>
  <c r="BO291" i="1"/>
  <c r="BO259" i="1"/>
  <c r="BO163" i="1"/>
  <c r="BO115" i="1"/>
  <c r="BO51" i="1"/>
  <c r="BG343" i="1"/>
  <c r="BO343" i="1"/>
  <c r="BM394" i="1"/>
  <c r="BO394" i="1"/>
  <c r="BM386" i="1"/>
  <c r="BO386" i="1"/>
  <c r="BK378" i="1"/>
  <c r="BO378" i="1"/>
  <c r="BK370" i="1"/>
  <c r="BO370" i="1"/>
  <c r="BL362" i="1"/>
  <c r="BO362" i="1"/>
  <c r="BK354" i="1"/>
  <c r="BO354" i="1"/>
  <c r="BM346" i="1"/>
  <c r="BO346" i="1"/>
  <c r="BM338" i="1"/>
  <c r="BO338" i="1"/>
  <c r="BK330" i="1"/>
  <c r="BO330" i="1"/>
  <c r="BM322" i="1"/>
  <c r="BO322" i="1"/>
  <c r="BK314" i="1"/>
  <c r="BO314" i="1"/>
  <c r="BK306" i="1"/>
  <c r="BO306" i="1"/>
  <c r="BK298" i="1"/>
  <c r="BO298" i="1"/>
  <c r="BK290" i="1"/>
  <c r="BO290" i="1"/>
  <c r="BK282" i="1"/>
  <c r="BO282" i="1"/>
  <c r="BL274" i="1"/>
  <c r="BO274" i="1"/>
  <c r="BM266" i="1"/>
  <c r="BO266" i="1"/>
  <c r="BK258" i="1"/>
  <c r="BO258" i="1"/>
  <c r="BK250" i="1"/>
  <c r="BO250" i="1"/>
  <c r="BK242" i="1"/>
  <c r="BO242" i="1"/>
  <c r="BN131" i="1"/>
  <c r="BO481" i="1"/>
  <c r="BO449" i="1"/>
  <c r="BO417" i="1"/>
  <c r="BO385" i="1"/>
  <c r="BO353" i="1"/>
  <c r="BO321" i="1"/>
  <c r="BO289" i="1"/>
  <c r="BO257" i="1"/>
  <c r="BO225" i="1"/>
  <c r="BO193" i="1"/>
  <c r="BO161" i="1"/>
  <c r="BO107" i="1"/>
  <c r="BO43" i="1"/>
  <c r="BM351" i="1"/>
  <c r="BO351" i="1"/>
  <c r="BN35" i="1"/>
  <c r="BO475" i="1"/>
  <c r="BO443" i="1"/>
  <c r="BO411" i="1"/>
  <c r="BO379" i="1"/>
  <c r="BO347" i="1"/>
  <c r="BO315" i="1"/>
  <c r="BO283" i="1"/>
  <c r="BO251" i="1"/>
  <c r="BO219" i="1"/>
  <c r="BO187" i="1"/>
  <c r="BO155" i="1"/>
  <c r="BO35" i="1"/>
  <c r="BM7" i="1"/>
  <c r="BO7" i="1"/>
  <c r="BI503" i="1"/>
  <c r="BO503" i="1"/>
  <c r="BM495" i="1"/>
  <c r="BO495" i="1"/>
  <c r="BG487" i="1"/>
  <c r="BO487" i="1"/>
  <c r="BG439" i="1"/>
  <c r="BO439" i="1"/>
  <c r="BN423" i="1"/>
  <c r="BO423" i="1"/>
  <c r="BI391" i="1"/>
  <c r="BO391" i="1"/>
  <c r="BG375" i="1"/>
  <c r="BO375" i="1"/>
  <c r="BG359" i="1"/>
  <c r="BO359" i="1"/>
  <c r="BJ335" i="1"/>
  <c r="BO335" i="1"/>
  <c r="BG295" i="1"/>
  <c r="BO295" i="1"/>
  <c r="BG287" i="1"/>
  <c r="BO287" i="1"/>
  <c r="BI279" i="1"/>
  <c r="BO279" i="1"/>
  <c r="BK271" i="1"/>
  <c r="BO271" i="1"/>
  <c r="BM263" i="1"/>
  <c r="BO263" i="1"/>
  <c r="BG255" i="1"/>
  <c r="BO255" i="1"/>
  <c r="BM14" i="1"/>
  <c r="BO14" i="1"/>
  <c r="BL504" i="1"/>
  <c r="BO504" i="1"/>
  <c r="BM13" i="1"/>
  <c r="BO13" i="1"/>
  <c r="BL474" i="1"/>
  <c r="BO474" i="1"/>
  <c r="BK466" i="1"/>
  <c r="BO466" i="1"/>
  <c r="BK426" i="1"/>
  <c r="BO426" i="1"/>
  <c r="BL410" i="1"/>
  <c r="BO410" i="1"/>
  <c r="BK402" i="1"/>
  <c r="BO402" i="1"/>
  <c r="BK419" i="1"/>
  <c r="BN419" i="1"/>
  <c r="BL355" i="1"/>
  <c r="BN355" i="1"/>
  <c r="BK323" i="1"/>
  <c r="BN323" i="1"/>
  <c r="BM227" i="1"/>
  <c r="BN227" i="1"/>
  <c r="BG195" i="1"/>
  <c r="BN195" i="1"/>
  <c r="BG99" i="1"/>
  <c r="BN99" i="1"/>
  <c r="BM67" i="1"/>
  <c r="BN67" i="1"/>
  <c r="BO473" i="1"/>
  <c r="BO441" i="1"/>
  <c r="BO409" i="1"/>
  <c r="BO377" i="1"/>
  <c r="BO345" i="1"/>
  <c r="BO313" i="1"/>
  <c r="BO281" i="1"/>
  <c r="BO249" i="1"/>
  <c r="BO217" i="1"/>
  <c r="BO185" i="1"/>
  <c r="BO153" i="1"/>
  <c r="BO91" i="1"/>
  <c r="BO27" i="1"/>
  <c r="BL479" i="1"/>
  <c r="BO479" i="1"/>
  <c r="BG471" i="1"/>
  <c r="BO471" i="1"/>
  <c r="BM463" i="1"/>
  <c r="BO463" i="1"/>
  <c r="BK455" i="1"/>
  <c r="BO455" i="1"/>
  <c r="BG447" i="1"/>
  <c r="BO447" i="1"/>
  <c r="BM407" i="1"/>
  <c r="BO407" i="1"/>
  <c r="BG327" i="1"/>
  <c r="BO327" i="1"/>
  <c r="BG319" i="1"/>
  <c r="BO319" i="1"/>
  <c r="BN311" i="1"/>
  <c r="BO311" i="1"/>
  <c r="BM303" i="1"/>
  <c r="BO303" i="1"/>
  <c r="BG247" i="1"/>
  <c r="BO247" i="1"/>
  <c r="BM12" i="1"/>
  <c r="BO12" i="1"/>
  <c r="BK498" i="1"/>
  <c r="BO498" i="1"/>
  <c r="BK490" i="1"/>
  <c r="BO490" i="1"/>
  <c r="BM482" i="1"/>
  <c r="BO482" i="1"/>
  <c r="BL458" i="1"/>
  <c r="BO458" i="1"/>
  <c r="BM450" i="1"/>
  <c r="BO450" i="1"/>
  <c r="BK442" i="1"/>
  <c r="BO442" i="1"/>
  <c r="BM434" i="1"/>
  <c r="BO434" i="1"/>
  <c r="BK418" i="1"/>
  <c r="BO418" i="1"/>
  <c r="BM11" i="1"/>
  <c r="BO11" i="1"/>
  <c r="BM483" i="1"/>
  <c r="BN483" i="1"/>
  <c r="BM451" i="1"/>
  <c r="BN451" i="1"/>
  <c r="BK387" i="1"/>
  <c r="BN387" i="1"/>
  <c r="BM9" i="1"/>
  <c r="BO9" i="1"/>
  <c r="BG501" i="1"/>
  <c r="BO501" i="1"/>
  <c r="BM493" i="1"/>
  <c r="BO493" i="1"/>
  <c r="BM485" i="1"/>
  <c r="BO485" i="1"/>
  <c r="BM477" i="1"/>
  <c r="BO477" i="1"/>
  <c r="BM469" i="1"/>
  <c r="BO469" i="1"/>
  <c r="BG461" i="1"/>
  <c r="BO461" i="1"/>
  <c r="BM453" i="1"/>
  <c r="BO453" i="1"/>
  <c r="BM445" i="1"/>
  <c r="BO445" i="1"/>
  <c r="BM437" i="1"/>
  <c r="BO437" i="1"/>
  <c r="BM429" i="1"/>
  <c r="BO429" i="1"/>
  <c r="BJ421" i="1"/>
  <c r="BO421" i="1"/>
  <c r="BM413" i="1"/>
  <c r="BO413" i="1"/>
  <c r="BI405" i="1"/>
  <c r="BO405" i="1"/>
  <c r="BG397" i="1"/>
  <c r="BO397" i="1"/>
  <c r="BJ389" i="1"/>
  <c r="BO389" i="1"/>
  <c r="BM381" i="1"/>
  <c r="BO381" i="1"/>
  <c r="BG373" i="1"/>
  <c r="BO373" i="1"/>
  <c r="BL365" i="1"/>
  <c r="BO365" i="1"/>
  <c r="BG357" i="1"/>
  <c r="BO357" i="1"/>
  <c r="BI349" i="1"/>
  <c r="BO349" i="1"/>
  <c r="BM341" i="1"/>
  <c r="BO341" i="1"/>
  <c r="BG333" i="1"/>
  <c r="BO333" i="1"/>
  <c r="BM325" i="1"/>
  <c r="BO325" i="1"/>
  <c r="BM317" i="1"/>
  <c r="BO317" i="1"/>
  <c r="BG309" i="1"/>
  <c r="BO309" i="1"/>
  <c r="BH301" i="1"/>
  <c r="BO301" i="1"/>
  <c r="BM293" i="1"/>
  <c r="BO293" i="1"/>
  <c r="BM285" i="1"/>
  <c r="BO285" i="1"/>
  <c r="BG277" i="1"/>
  <c r="BO277" i="1"/>
  <c r="BO499" i="1"/>
  <c r="BO467" i="1"/>
  <c r="BO435" i="1"/>
  <c r="BO403" i="1"/>
  <c r="BO371" i="1"/>
  <c r="BO339" i="1"/>
  <c r="BO307" i="1"/>
  <c r="BO275" i="1"/>
  <c r="BO243" i="1"/>
  <c r="BO211" i="1"/>
  <c r="BO179" i="1"/>
  <c r="BO147" i="1"/>
  <c r="BO83" i="1"/>
  <c r="BO19" i="1"/>
  <c r="BN452" i="1"/>
  <c r="BO269" i="1"/>
  <c r="BO261" i="1"/>
  <c r="BO253" i="1"/>
  <c r="BO245" i="1"/>
  <c r="BO237" i="1"/>
  <c r="BO229" i="1"/>
  <c r="BO221" i="1"/>
  <c r="BO213" i="1"/>
  <c r="BO205" i="1"/>
  <c r="BO197" i="1"/>
  <c r="BO189" i="1"/>
  <c r="BO181" i="1"/>
  <c r="BO173" i="1"/>
  <c r="BO165" i="1"/>
  <c r="BO157" i="1"/>
  <c r="BO149" i="1"/>
  <c r="BO141" i="1"/>
  <c r="BO133" i="1"/>
  <c r="BO125" i="1"/>
  <c r="BO117" i="1"/>
  <c r="BO109" i="1"/>
  <c r="BO101" i="1"/>
  <c r="BO93" i="1"/>
  <c r="BO85" i="1"/>
  <c r="BO77" i="1"/>
  <c r="BO69" i="1"/>
  <c r="BO61" i="1"/>
  <c r="BO53" i="1"/>
  <c r="BO45" i="1"/>
  <c r="BO37" i="1"/>
  <c r="BO29" i="1"/>
  <c r="BO21" i="1"/>
  <c r="BN316" i="1"/>
  <c r="BN188" i="1"/>
  <c r="BN60" i="1"/>
  <c r="BO500" i="1"/>
  <c r="BO492" i="1"/>
  <c r="BO484" i="1"/>
  <c r="BO476" i="1"/>
  <c r="BO468" i="1"/>
  <c r="BO460" i="1"/>
  <c r="BO452" i="1"/>
  <c r="BO444" i="1"/>
  <c r="BO436" i="1"/>
  <c r="BO428" i="1"/>
  <c r="BO420" i="1"/>
  <c r="BO412" i="1"/>
  <c r="BO404" i="1"/>
  <c r="BO396" i="1"/>
  <c r="BO388" i="1"/>
  <c r="BO380" i="1"/>
  <c r="BO372" i="1"/>
  <c r="BO364" i="1"/>
  <c r="BO356" i="1"/>
  <c r="BO348" i="1"/>
  <c r="BO340" i="1"/>
  <c r="BO332" i="1"/>
  <c r="BO324" i="1"/>
  <c r="BO316" i="1"/>
  <c r="BO308" i="1"/>
  <c r="BO300" i="1"/>
  <c r="BO292" i="1"/>
  <c r="BO284" i="1"/>
  <c r="BO276" i="1"/>
  <c r="BO268" i="1"/>
  <c r="BO260" i="1"/>
  <c r="BO252" i="1"/>
  <c r="BO244" i="1"/>
  <c r="BO236" i="1"/>
  <c r="BO228" i="1"/>
  <c r="BO220" i="1"/>
  <c r="BO212" i="1"/>
  <c r="BO204" i="1"/>
  <c r="BO196" i="1"/>
  <c r="BO188" i="1"/>
  <c r="BO180" i="1"/>
  <c r="BO172" i="1"/>
  <c r="BO164" i="1"/>
  <c r="BO156" i="1"/>
  <c r="BO148" i="1"/>
  <c r="BO140" i="1"/>
  <c r="BO132" i="1"/>
  <c r="BO124" i="1"/>
  <c r="BO108" i="1"/>
  <c r="BO100" i="1"/>
  <c r="BO92" i="1"/>
  <c r="BO84" i="1"/>
  <c r="BO76" i="1"/>
  <c r="BO60" i="1"/>
  <c r="BO52" i="1"/>
  <c r="BO44" i="1"/>
  <c r="BO36" i="1"/>
  <c r="BO28" i="1"/>
  <c r="BO20" i="1"/>
  <c r="BN284" i="1"/>
  <c r="BN156" i="1"/>
  <c r="BN28" i="1"/>
  <c r="BO234" i="1"/>
  <c r="BO226" i="1"/>
  <c r="BO218" i="1"/>
  <c r="BO210" i="1"/>
  <c r="BO202" i="1"/>
  <c r="BO194" i="1"/>
  <c r="BO186" i="1"/>
  <c r="BO178" i="1"/>
  <c r="BO170" i="1"/>
  <c r="BO162" i="1"/>
  <c r="BO154" i="1"/>
  <c r="BO146" i="1"/>
  <c r="BO138" i="1"/>
  <c r="BO130" i="1"/>
  <c r="BO122" i="1"/>
  <c r="BO114" i="1"/>
  <c r="BO106" i="1"/>
  <c r="BO98" i="1"/>
  <c r="BO90" i="1"/>
  <c r="BO82" i="1"/>
  <c r="BO74" i="1"/>
  <c r="BO66" i="1"/>
  <c r="BO58" i="1"/>
  <c r="BO50" i="1"/>
  <c r="BO42" i="1"/>
  <c r="BO34" i="1"/>
  <c r="BO26" i="1"/>
  <c r="BO18" i="1"/>
  <c r="BO10" i="1"/>
  <c r="BM116" i="1"/>
  <c r="BL68" i="1"/>
  <c r="BN252" i="1"/>
  <c r="BO232" i="1"/>
  <c r="BO224" i="1"/>
  <c r="BO216" i="1"/>
  <c r="BO208" i="1"/>
  <c r="BO200" i="1"/>
  <c r="BO192" i="1"/>
  <c r="BO184" i="1"/>
  <c r="BO176" i="1"/>
  <c r="BO160" i="1"/>
  <c r="BO152" i="1"/>
  <c r="BO144" i="1"/>
  <c r="BO136" i="1"/>
  <c r="BO128" i="1"/>
  <c r="BO120" i="1"/>
  <c r="BO112" i="1"/>
  <c r="BO104" i="1"/>
  <c r="BO96" i="1"/>
  <c r="BO88" i="1"/>
  <c r="BO80" i="1"/>
  <c r="BO72" i="1"/>
  <c r="BO64" i="1"/>
  <c r="BO56" i="1"/>
  <c r="BO48" i="1"/>
  <c r="BO40" i="1"/>
  <c r="BO32" i="1"/>
  <c r="BO24" i="1"/>
  <c r="BO16" i="1"/>
  <c r="BO8" i="1"/>
  <c r="BN484" i="1"/>
  <c r="BO231" i="1"/>
  <c r="BO223" i="1"/>
  <c r="BO215" i="1"/>
  <c r="BO207" i="1"/>
  <c r="BO199" i="1"/>
  <c r="BO191" i="1"/>
  <c r="BO183" i="1"/>
  <c r="BO175" i="1"/>
  <c r="BO167" i="1"/>
  <c r="BO159" i="1"/>
  <c r="BO151" i="1"/>
  <c r="BO143" i="1"/>
  <c r="BO135" i="1"/>
  <c r="BO127" i="1"/>
  <c r="BO119" i="1"/>
  <c r="BO111" i="1"/>
  <c r="BO103" i="1"/>
  <c r="BO95" i="1"/>
  <c r="BO87" i="1"/>
  <c r="BO79" i="1"/>
  <c r="BO71" i="1"/>
  <c r="BO63" i="1"/>
  <c r="BO55" i="1"/>
  <c r="BO47" i="1"/>
  <c r="BO39" i="1"/>
  <c r="BO31" i="1"/>
  <c r="BO23" i="1"/>
  <c r="BM326" i="1"/>
  <c r="BG286" i="1"/>
  <c r="BM126" i="1"/>
  <c r="BN348" i="1"/>
  <c r="BN220" i="1"/>
  <c r="BN92" i="1"/>
  <c r="BO502" i="1"/>
  <c r="BO494" i="1"/>
  <c r="BO486" i="1"/>
  <c r="BO478" i="1"/>
  <c r="BO470" i="1"/>
  <c r="BO462" i="1"/>
  <c r="BO454" i="1"/>
  <c r="BO446" i="1"/>
  <c r="BO438" i="1"/>
  <c r="BO430" i="1"/>
  <c r="BO422" i="1"/>
  <c r="BO414" i="1"/>
  <c r="BO406" i="1"/>
  <c r="BO398" i="1"/>
  <c r="BO390" i="1"/>
  <c r="BO382" i="1"/>
  <c r="BO374" i="1"/>
  <c r="BO366" i="1"/>
  <c r="BO358" i="1"/>
  <c r="BO350" i="1"/>
  <c r="BO342" i="1"/>
  <c r="BO334" i="1"/>
  <c r="BO326" i="1"/>
  <c r="BO318" i="1"/>
  <c r="BO310" i="1"/>
  <c r="BO302" i="1"/>
  <c r="BO294" i="1"/>
  <c r="BO286" i="1"/>
  <c r="BO278" i="1"/>
  <c r="BO270" i="1"/>
  <c r="BO262" i="1"/>
  <c r="BO254" i="1"/>
  <c r="BO246" i="1"/>
  <c r="BO238" i="1"/>
  <c r="BO230" i="1"/>
  <c r="BO222" i="1"/>
  <c r="BO214" i="1"/>
  <c r="BO206" i="1"/>
  <c r="BO198" i="1"/>
  <c r="BO190" i="1"/>
  <c r="BO182" i="1"/>
  <c r="BO174" i="1"/>
  <c r="BO166" i="1"/>
  <c r="BO158" i="1"/>
  <c r="BO150" i="1"/>
  <c r="BO142" i="1"/>
  <c r="BO134" i="1"/>
  <c r="BO126" i="1"/>
  <c r="BO118" i="1"/>
  <c r="BO110" i="1"/>
  <c r="BO102" i="1"/>
  <c r="BO94" i="1"/>
  <c r="BO86" i="1"/>
  <c r="BO78" i="1"/>
  <c r="BO70" i="1"/>
  <c r="BO54" i="1"/>
  <c r="BO46" i="1"/>
  <c r="BO38" i="1"/>
  <c r="BO30" i="1"/>
  <c r="BO22" i="1"/>
  <c r="BM239" i="1"/>
  <c r="BN491" i="1"/>
  <c r="BN459" i="1"/>
  <c r="BN395" i="1"/>
  <c r="BN363" i="1"/>
  <c r="BN324" i="1"/>
  <c r="BN292" i="1"/>
  <c r="BN228" i="1"/>
  <c r="BN196" i="1"/>
  <c r="BN164" i="1"/>
  <c r="BN132" i="1"/>
  <c r="BN100" i="1"/>
  <c r="BN68" i="1"/>
  <c r="BN36" i="1"/>
  <c r="BN476" i="1"/>
  <c r="BN444" i="1"/>
  <c r="BN412" i="1"/>
  <c r="BN380" i="1"/>
  <c r="BN347" i="1"/>
  <c r="BN315" i="1"/>
  <c r="BN283" i="1"/>
  <c r="BN251" i="1"/>
  <c r="BN219" i="1"/>
  <c r="BN187" i="1"/>
  <c r="BN155" i="1"/>
  <c r="BN123" i="1"/>
  <c r="BN91" i="1"/>
  <c r="BN59" i="1"/>
  <c r="BN27" i="1"/>
  <c r="BN475" i="1"/>
  <c r="BN443" i="1"/>
  <c r="BN411" i="1"/>
  <c r="BN340" i="1"/>
  <c r="BN308" i="1"/>
  <c r="BN276" i="1"/>
  <c r="BN244" i="1"/>
  <c r="BN212" i="1"/>
  <c r="BN180" i="1"/>
  <c r="BN148" i="1"/>
  <c r="BN116" i="1"/>
  <c r="BN84" i="1"/>
  <c r="BN52" i="1"/>
  <c r="BN468" i="1"/>
  <c r="BN436" i="1"/>
  <c r="BN404" i="1"/>
  <c r="BN372" i="1"/>
  <c r="BN339" i="1"/>
  <c r="BN307" i="1"/>
  <c r="BN275" i="1"/>
  <c r="BN243" i="1"/>
  <c r="BN211" i="1"/>
  <c r="BN179" i="1"/>
  <c r="BN147" i="1"/>
  <c r="BN115" i="1"/>
  <c r="BN83" i="1"/>
  <c r="BN51" i="1"/>
  <c r="BN19" i="1"/>
  <c r="BN499" i="1"/>
  <c r="BN467" i="1"/>
  <c r="BN435" i="1"/>
  <c r="BN403" i="1"/>
  <c r="BN371" i="1"/>
  <c r="BN332" i="1"/>
  <c r="BN300" i="1"/>
  <c r="BN268" i="1"/>
  <c r="BN236" i="1"/>
  <c r="BN204" i="1"/>
  <c r="BN172" i="1"/>
  <c r="BN108" i="1"/>
  <c r="BN76" i="1"/>
  <c r="BN44" i="1"/>
  <c r="BN11" i="1"/>
  <c r="BG62" i="1"/>
  <c r="BN492" i="1"/>
  <c r="BN460" i="1"/>
  <c r="BN428" i="1"/>
  <c r="BN396" i="1"/>
  <c r="BN364" i="1"/>
  <c r="BN331" i="1"/>
  <c r="BN299" i="1"/>
  <c r="BN267" i="1"/>
  <c r="BN235" i="1"/>
  <c r="BN203" i="1"/>
  <c r="BN171" i="1"/>
  <c r="BN139" i="1"/>
  <c r="BN107" i="1"/>
  <c r="BN75" i="1"/>
  <c r="BN43" i="1"/>
  <c r="BK168" i="1"/>
  <c r="BN501" i="1"/>
  <c r="BN493" i="1"/>
  <c r="BN485" i="1"/>
  <c r="BN477" i="1"/>
  <c r="BN469" i="1"/>
  <c r="BN461" i="1"/>
  <c r="BN453" i="1"/>
  <c r="BN445" i="1"/>
  <c r="BN437" i="1"/>
  <c r="BN429" i="1"/>
  <c r="BN421" i="1"/>
  <c r="BN413" i="1"/>
  <c r="BN405" i="1"/>
  <c r="BN397" i="1"/>
  <c r="BN389" i="1"/>
  <c r="BN381" i="1"/>
  <c r="BN373" i="1"/>
  <c r="BN365" i="1"/>
  <c r="BN357" i="1"/>
  <c r="BN349" i="1"/>
  <c r="BN341" i="1"/>
  <c r="BN333" i="1"/>
  <c r="BN325" i="1"/>
  <c r="BN317" i="1"/>
  <c r="BN309" i="1"/>
  <c r="BN301" i="1"/>
  <c r="BN293" i="1"/>
  <c r="BN285" i="1"/>
  <c r="BN277" i="1"/>
  <c r="BN269" i="1"/>
  <c r="BN261" i="1"/>
  <c r="BN253" i="1"/>
  <c r="BN245" i="1"/>
  <c r="BN237" i="1"/>
  <c r="BN229" i="1"/>
  <c r="BN221" i="1"/>
  <c r="BN213" i="1"/>
  <c r="BN205" i="1"/>
  <c r="BN197" i="1"/>
  <c r="BN189" i="1"/>
  <c r="BN181" i="1"/>
  <c r="BN173" i="1"/>
  <c r="BN165" i="1"/>
  <c r="BN149" i="1"/>
  <c r="BN141" i="1"/>
  <c r="BN133" i="1"/>
  <c r="BN125" i="1"/>
  <c r="BN117" i="1"/>
  <c r="BN109" i="1"/>
  <c r="BN101" i="1"/>
  <c r="BN93" i="1"/>
  <c r="BN85" i="1"/>
  <c r="BN77" i="1"/>
  <c r="BN69" i="1"/>
  <c r="BN61" i="1"/>
  <c r="BN53" i="1"/>
  <c r="BN45" i="1"/>
  <c r="BN37" i="1"/>
  <c r="BN29" i="1"/>
  <c r="BN21" i="1"/>
  <c r="BN13" i="1"/>
  <c r="BH121" i="1"/>
  <c r="BN500" i="1"/>
  <c r="BN356" i="1"/>
  <c r="BN12" i="1"/>
  <c r="BN498" i="1"/>
  <c r="BN490" i="1"/>
  <c r="BN482" i="1"/>
  <c r="BN474" i="1"/>
  <c r="BN466" i="1"/>
  <c r="BN458" i="1"/>
  <c r="BN450" i="1"/>
  <c r="BN442" i="1"/>
  <c r="BN434" i="1"/>
  <c r="BN426" i="1"/>
  <c r="BN418" i="1"/>
  <c r="BN410" i="1"/>
  <c r="BN402" i="1"/>
  <c r="BN394" i="1"/>
  <c r="BN386" i="1"/>
  <c r="BN378" i="1"/>
  <c r="BN370" i="1"/>
  <c r="BN362" i="1"/>
  <c r="BN354" i="1"/>
  <c r="BN346" i="1"/>
  <c r="BN338" i="1"/>
  <c r="BN330" i="1"/>
  <c r="BN322" i="1"/>
  <c r="BN314" i="1"/>
  <c r="BN306" i="1"/>
  <c r="BN298" i="1"/>
  <c r="BN290" i="1"/>
  <c r="BN282" i="1"/>
  <c r="BN274" i="1"/>
  <c r="BN266" i="1"/>
  <c r="BN258" i="1"/>
  <c r="BN250" i="1"/>
  <c r="BN242" i="1"/>
  <c r="BN234" i="1"/>
  <c r="BN226" i="1"/>
  <c r="BN218" i="1"/>
  <c r="BN210" i="1"/>
  <c r="BN202" i="1"/>
  <c r="BN194" i="1"/>
  <c r="BN186" i="1"/>
  <c r="BN178" i="1"/>
  <c r="BN170" i="1"/>
  <c r="BN162" i="1"/>
  <c r="BN154" i="1"/>
  <c r="BN146" i="1"/>
  <c r="BN138" i="1"/>
  <c r="BN130" i="1"/>
  <c r="BN122" i="1"/>
  <c r="BN114" i="1"/>
  <c r="BN106" i="1"/>
  <c r="BN98" i="1"/>
  <c r="BN90" i="1"/>
  <c r="BN82" i="1"/>
  <c r="BN74" i="1"/>
  <c r="BN66" i="1"/>
  <c r="BN58" i="1"/>
  <c r="BN50" i="1"/>
  <c r="BN42" i="1"/>
  <c r="BN26" i="1"/>
  <c r="BN18" i="1"/>
  <c r="BN10" i="1"/>
  <c r="BN497" i="1"/>
  <c r="BN489" i="1"/>
  <c r="BN481" i="1"/>
  <c r="BN473" i="1"/>
  <c r="BN465" i="1"/>
  <c r="BN457" i="1"/>
  <c r="BN449" i="1"/>
  <c r="BN441" i="1"/>
  <c r="BN433" i="1"/>
  <c r="BN425" i="1"/>
  <c r="BN417" i="1"/>
  <c r="BN409" i="1"/>
  <c r="BN401" i="1"/>
  <c r="BN393" i="1"/>
  <c r="BN385" i="1"/>
  <c r="BN377" i="1"/>
  <c r="BN369" i="1"/>
  <c r="BN361" i="1"/>
  <c r="BN353" i="1"/>
  <c r="BN345" i="1"/>
  <c r="BN337" i="1"/>
  <c r="BN329" i="1"/>
  <c r="BN321" i="1"/>
  <c r="BN313" i="1"/>
  <c r="BN305" i="1"/>
  <c r="BN297" i="1"/>
  <c r="BN289" i="1"/>
  <c r="BN281" i="1"/>
  <c r="BN273" i="1"/>
  <c r="BN265" i="1"/>
  <c r="BN257" i="1"/>
  <c r="BN249" i="1"/>
  <c r="BN241" i="1"/>
  <c r="BN233" i="1"/>
  <c r="BN225" i="1"/>
  <c r="BN217" i="1"/>
  <c r="BN209" i="1"/>
  <c r="BN201" i="1"/>
  <c r="BN193" i="1"/>
  <c r="BN185" i="1"/>
  <c r="BN177" i="1"/>
  <c r="BN169" i="1"/>
  <c r="BN161" i="1"/>
  <c r="BN153" i="1"/>
  <c r="BN145" i="1"/>
  <c r="BN137" i="1"/>
  <c r="BN129" i="1"/>
  <c r="BN121" i="1"/>
  <c r="BN113" i="1"/>
  <c r="BN105" i="1"/>
  <c r="BN97" i="1"/>
  <c r="BN89" i="1"/>
  <c r="BN81" i="1"/>
  <c r="BN73" i="1"/>
  <c r="BN65" i="1"/>
  <c r="BN57" i="1"/>
  <c r="BN49" i="1"/>
  <c r="BN41" i="1"/>
  <c r="BN33" i="1"/>
  <c r="BN25" i="1"/>
  <c r="BN17" i="1"/>
  <c r="BN9" i="1"/>
  <c r="BG157" i="1"/>
  <c r="BN504" i="1"/>
  <c r="BN496" i="1"/>
  <c r="BN488" i="1"/>
  <c r="BN480" i="1"/>
  <c r="BN472" i="1"/>
  <c r="BN464" i="1"/>
  <c r="BN456" i="1"/>
  <c r="BN448" i="1"/>
  <c r="BN440" i="1"/>
  <c r="BN432" i="1"/>
  <c r="BN424" i="1"/>
  <c r="BN416" i="1"/>
  <c r="BN408" i="1"/>
  <c r="BN400" i="1"/>
  <c r="BN392" i="1"/>
  <c r="BN384" i="1"/>
  <c r="BN376" i="1"/>
  <c r="BN368" i="1"/>
  <c r="BN360" i="1"/>
  <c r="BN352" i="1"/>
  <c r="BN344" i="1"/>
  <c r="BN336" i="1"/>
  <c r="BN328" i="1"/>
  <c r="BN320" i="1"/>
  <c r="BN312" i="1"/>
  <c r="BN304" i="1"/>
  <c r="BN296" i="1"/>
  <c r="BN288" i="1"/>
  <c r="BN280" i="1"/>
  <c r="BN272" i="1"/>
  <c r="BN264" i="1"/>
  <c r="BN256" i="1"/>
  <c r="BN248" i="1"/>
  <c r="BN240" i="1"/>
  <c r="BN232" i="1"/>
  <c r="BN224" i="1"/>
  <c r="BN216" i="1"/>
  <c r="BN208" i="1"/>
  <c r="BN200" i="1"/>
  <c r="BN192" i="1"/>
  <c r="BN184" i="1"/>
  <c r="BN176" i="1"/>
  <c r="BN168" i="1"/>
  <c r="BN160" i="1"/>
  <c r="BN152" i="1"/>
  <c r="BN144" i="1"/>
  <c r="BN136" i="1"/>
  <c r="BN128" i="1"/>
  <c r="BN120" i="1"/>
  <c r="BN112" i="1"/>
  <c r="BN104" i="1"/>
  <c r="BN96" i="1"/>
  <c r="BN88" i="1"/>
  <c r="BN80" i="1"/>
  <c r="BN72" i="1"/>
  <c r="BN64" i="1"/>
  <c r="BN56" i="1"/>
  <c r="BN48" i="1"/>
  <c r="BN40" i="1"/>
  <c r="BN32" i="1"/>
  <c r="BN24" i="1"/>
  <c r="BN16" i="1"/>
  <c r="BN8" i="1"/>
  <c r="BN503" i="1"/>
  <c r="BN495" i="1"/>
  <c r="BN487" i="1"/>
  <c r="BN479" i="1"/>
  <c r="BN471" i="1"/>
  <c r="BN463" i="1"/>
  <c r="BN455" i="1"/>
  <c r="BN447" i="1"/>
  <c r="BN439" i="1"/>
  <c r="BN431" i="1"/>
  <c r="BN415" i="1"/>
  <c r="BN407" i="1"/>
  <c r="BN399" i="1"/>
  <c r="BN391" i="1"/>
  <c r="BN383" i="1"/>
  <c r="BN375" i="1"/>
  <c r="BN367" i="1"/>
  <c r="BN359" i="1"/>
  <c r="BN351" i="1"/>
  <c r="BN343" i="1"/>
  <c r="BN335" i="1"/>
  <c r="BN327" i="1"/>
  <c r="BN319" i="1"/>
  <c r="BN303" i="1"/>
  <c r="BN295" i="1"/>
  <c r="BN287" i="1"/>
  <c r="BN279" i="1"/>
  <c r="BN271" i="1"/>
  <c r="BN263" i="1"/>
  <c r="BN255" i="1"/>
  <c r="BN247" i="1"/>
  <c r="BN239" i="1"/>
  <c r="BN231" i="1"/>
  <c r="BN223" i="1"/>
  <c r="BN215" i="1"/>
  <c r="BN207" i="1"/>
  <c r="BN199" i="1"/>
  <c r="BN191" i="1"/>
  <c r="BN183" i="1"/>
  <c r="BN175" i="1"/>
  <c r="BN167" i="1"/>
  <c r="BN159" i="1"/>
  <c r="BN151" i="1"/>
  <c r="BN143" i="1"/>
  <c r="BN135" i="1"/>
  <c r="BN127" i="1"/>
  <c r="BN111" i="1"/>
  <c r="BN103" i="1"/>
  <c r="BN95" i="1"/>
  <c r="BN87" i="1"/>
  <c r="BN79" i="1"/>
  <c r="BN71" i="1"/>
  <c r="BN63" i="1"/>
  <c r="BN55" i="1"/>
  <c r="BN47" i="1"/>
  <c r="BN39" i="1"/>
  <c r="BN31" i="1"/>
  <c r="BN23" i="1"/>
  <c r="BN15" i="1"/>
  <c r="BN7" i="1"/>
  <c r="BG423" i="1"/>
  <c r="BJ311" i="1"/>
  <c r="BM119" i="1"/>
  <c r="BN502" i="1"/>
  <c r="BN494" i="1"/>
  <c r="BN486" i="1"/>
  <c r="BN478" i="1"/>
  <c r="BN470" i="1"/>
  <c r="BN462" i="1"/>
  <c r="BN454" i="1"/>
  <c r="BN446" i="1"/>
  <c r="BN438" i="1"/>
  <c r="BN430" i="1"/>
  <c r="BN422" i="1"/>
  <c r="BN414" i="1"/>
  <c r="BN406" i="1"/>
  <c r="BN398" i="1"/>
  <c r="BN390" i="1"/>
  <c r="BN382" i="1"/>
  <c r="BN374" i="1"/>
  <c r="BN366" i="1"/>
  <c r="BN358" i="1"/>
  <c r="BN350" i="1"/>
  <c r="BN342" i="1"/>
  <c r="BN334" i="1"/>
  <c r="BN326" i="1"/>
  <c r="BN318" i="1"/>
  <c r="BN310" i="1"/>
  <c r="BN302" i="1"/>
  <c r="BN286" i="1"/>
  <c r="BN278" i="1"/>
  <c r="BN270" i="1"/>
  <c r="BN262" i="1"/>
  <c r="BN254" i="1"/>
  <c r="BN238" i="1"/>
  <c r="BN230" i="1"/>
  <c r="BN222" i="1"/>
  <c r="BN214" i="1"/>
  <c r="BN206" i="1"/>
  <c r="BN198" i="1"/>
  <c r="BN190" i="1"/>
  <c r="BN182" i="1"/>
  <c r="BN174" i="1"/>
  <c r="BN166" i="1"/>
  <c r="BN158" i="1"/>
  <c r="BN150" i="1"/>
  <c r="BN142" i="1"/>
  <c r="BN134" i="1"/>
  <c r="BN126" i="1"/>
  <c r="BN118" i="1"/>
  <c r="BN110" i="1"/>
  <c r="BN102" i="1"/>
  <c r="BN94" i="1"/>
  <c r="BN86" i="1"/>
  <c r="BN78" i="1"/>
  <c r="BN70" i="1"/>
  <c r="BN62" i="1"/>
  <c r="BN54" i="1"/>
  <c r="BN46" i="1"/>
  <c r="BN38" i="1"/>
  <c r="BN30" i="1"/>
  <c r="BN22" i="1"/>
  <c r="BN14" i="1"/>
  <c r="BN6" i="1"/>
  <c r="BM423" i="1"/>
  <c r="BM479" i="1"/>
  <c r="BK427" i="1"/>
  <c r="BK379" i="1"/>
  <c r="BM455" i="1"/>
  <c r="BM260" i="1"/>
  <c r="BL140" i="1"/>
  <c r="BM124" i="1"/>
  <c r="BM447" i="1"/>
  <c r="BM503" i="1"/>
  <c r="BM439" i="1"/>
  <c r="BG294" i="1"/>
  <c r="BI246" i="1"/>
  <c r="BM431" i="1"/>
  <c r="BM471" i="1"/>
  <c r="BM487" i="1"/>
  <c r="BM415" i="1"/>
  <c r="BM501" i="1"/>
  <c r="BM461" i="1"/>
  <c r="BM421" i="1"/>
  <c r="BM405" i="1"/>
  <c r="BM397" i="1"/>
  <c r="BM389" i="1"/>
  <c r="BM373" i="1"/>
  <c r="BM365" i="1"/>
  <c r="BM357" i="1"/>
  <c r="BM349" i="1"/>
  <c r="BM333" i="1"/>
  <c r="BM309" i="1"/>
  <c r="BM301" i="1"/>
  <c r="BM277" i="1"/>
  <c r="BM261" i="1"/>
  <c r="BM245" i="1"/>
  <c r="BM237" i="1"/>
  <c r="BM229" i="1"/>
  <c r="BM213" i="1"/>
  <c r="BM173" i="1"/>
  <c r="BM157" i="1"/>
  <c r="BM149" i="1"/>
  <c r="BM141" i="1"/>
  <c r="BM117" i="1"/>
  <c r="BM101" i="1"/>
  <c r="BM85" i="1"/>
  <c r="BM53" i="1"/>
  <c r="BM45" i="1"/>
  <c r="BM29" i="1"/>
  <c r="BM500" i="1"/>
  <c r="BM492" i="1"/>
  <c r="BM444" i="1"/>
  <c r="BM436" i="1"/>
  <c r="BM428" i="1"/>
  <c r="BM412" i="1"/>
  <c r="BM388" i="1"/>
  <c r="BM316" i="1"/>
  <c r="BM300" i="1"/>
  <c r="BM292" i="1"/>
  <c r="BM276" i="1"/>
  <c r="BM220" i="1"/>
  <c r="BM212" i="1"/>
  <c r="BM196" i="1"/>
  <c r="BM188" i="1"/>
  <c r="BM148" i="1"/>
  <c r="BM140" i="1"/>
  <c r="BM100" i="1"/>
  <c r="BM92" i="1"/>
  <c r="BM76" i="1"/>
  <c r="BM68" i="1"/>
  <c r="BM52" i="1"/>
  <c r="BM20" i="1"/>
  <c r="BG34" i="1"/>
  <c r="BM499" i="1"/>
  <c r="BM491" i="1"/>
  <c r="BM475" i="1"/>
  <c r="BM467" i="1"/>
  <c r="BM459" i="1"/>
  <c r="BM443" i="1"/>
  <c r="BM435" i="1"/>
  <c r="BM427" i="1"/>
  <c r="BM419" i="1"/>
  <c r="BM411" i="1"/>
  <c r="BM403" i="1"/>
  <c r="BM387" i="1"/>
  <c r="BM379" i="1"/>
  <c r="BM371" i="1"/>
  <c r="BM363" i="1"/>
  <c r="BM355" i="1"/>
  <c r="BM339" i="1"/>
  <c r="BM323" i="1"/>
  <c r="BM315" i="1"/>
  <c r="BM307" i="1"/>
  <c r="BM299" i="1"/>
  <c r="BM283" i="1"/>
  <c r="BM267" i="1"/>
  <c r="BM259" i="1"/>
  <c r="BM251" i="1"/>
  <c r="BM235" i="1"/>
  <c r="BM219" i="1"/>
  <c r="BM211" i="1"/>
  <c r="BM203" i="1"/>
  <c r="BM195" i="1"/>
  <c r="BM187" i="1"/>
  <c r="BM179" i="1"/>
  <c r="BM155" i="1"/>
  <c r="BM147" i="1"/>
  <c r="BM139" i="1"/>
  <c r="BM131" i="1"/>
  <c r="BM123" i="1"/>
  <c r="BM115" i="1"/>
  <c r="BM99" i="1"/>
  <c r="BM83" i="1"/>
  <c r="BM75" i="1"/>
  <c r="BM59" i="1"/>
  <c r="BM51" i="1"/>
  <c r="BM43" i="1"/>
  <c r="BM35" i="1"/>
  <c r="BM27" i="1"/>
  <c r="BM19" i="1"/>
  <c r="BM498" i="1"/>
  <c r="BM490" i="1"/>
  <c r="BM474" i="1"/>
  <c r="BM466" i="1"/>
  <c r="BM458" i="1"/>
  <c r="BM442" i="1"/>
  <c r="BM426" i="1"/>
  <c r="BM418" i="1"/>
  <c r="BM410" i="1"/>
  <c r="BM402" i="1"/>
  <c r="BM378" i="1"/>
  <c r="BM370" i="1"/>
  <c r="BM362" i="1"/>
  <c r="BM354" i="1"/>
  <c r="BM330" i="1"/>
  <c r="BM314" i="1"/>
  <c r="BM306" i="1"/>
  <c r="BM298" i="1"/>
  <c r="BM290" i="1"/>
  <c r="BM282" i="1"/>
  <c r="BM274" i="1"/>
  <c r="BM258" i="1"/>
  <c r="BM250" i="1"/>
  <c r="BM242" i="1"/>
  <c r="BM234" i="1"/>
  <c r="BM226" i="1"/>
  <c r="BM210" i="1"/>
  <c r="BM202" i="1"/>
  <c r="BM194" i="1"/>
  <c r="BM186" i="1"/>
  <c r="BM178" i="1"/>
  <c r="BM146" i="1"/>
  <c r="BM130" i="1"/>
  <c r="BM122" i="1"/>
  <c r="BM114" i="1"/>
  <c r="BM106" i="1"/>
  <c r="BM98" i="1"/>
  <c r="BM82" i="1"/>
  <c r="BM74" i="1"/>
  <c r="BM50" i="1"/>
  <c r="BM42" i="1"/>
  <c r="BM34" i="1"/>
  <c r="BM26" i="1"/>
  <c r="BM497" i="1"/>
  <c r="BM489" i="1"/>
  <c r="BM449" i="1"/>
  <c r="BM441" i="1"/>
  <c r="BM433" i="1"/>
  <c r="BM425" i="1"/>
  <c r="BM417" i="1"/>
  <c r="BM401" i="1"/>
  <c r="BM385" i="1"/>
  <c r="BM369" i="1"/>
  <c r="BM353" i="1"/>
  <c r="BM345" i="1"/>
  <c r="BM337" i="1"/>
  <c r="BM313" i="1"/>
  <c r="BM265" i="1"/>
  <c r="BM249" i="1"/>
  <c r="BM241" i="1"/>
  <c r="BM233" i="1"/>
  <c r="BM209" i="1"/>
  <c r="BM201" i="1"/>
  <c r="BM185" i="1"/>
  <c r="BM169" i="1"/>
  <c r="BM121" i="1"/>
  <c r="BM113" i="1"/>
  <c r="BM81" i="1"/>
  <c r="BM57" i="1"/>
  <c r="BM41" i="1"/>
  <c r="BM33" i="1"/>
  <c r="BM25" i="1"/>
  <c r="BM17" i="1"/>
  <c r="BM504" i="1"/>
  <c r="BM496" i="1"/>
  <c r="BM488" i="1"/>
  <c r="BM480" i="1"/>
  <c r="BM472" i="1"/>
  <c r="BM464" i="1"/>
  <c r="BM456" i="1"/>
  <c r="BM448" i="1"/>
  <c r="BM432" i="1"/>
  <c r="BM424" i="1"/>
  <c r="BM416" i="1"/>
  <c r="BM400" i="1"/>
  <c r="BM384" i="1"/>
  <c r="BM368" i="1"/>
  <c r="BM360" i="1"/>
  <c r="BM344" i="1"/>
  <c r="BM336" i="1"/>
  <c r="BM328" i="1"/>
  <c r="BM320" i="1"/>
  <c r="BM296" i="1"/>
  <c r="BM288" i="1"/>
  <c r="BM256" i="1"/>
  <c r="BM248" i="1"/>
  <c r="BM232" i="1"/>
  <c r="BM208" i="1"/>
  <c r="BM200" i="1"/>
  <c r="BM192" i="1"/>
  <c r="BM168" i="1"/>
  <c r="BM160" i="1"/>
  <c r="BM128" i="1"/>
  <c r="BM112" i="1"/>
  <c r="BM104" i="1"/>
  <c r="BM96" i="1"/>
  <c r="BM80" i="1"/>
  <c r="BM72" i="1"/>
  <c r="BM48" i="1"/>
  <c r="BM32" i="1"/>
  <c r="BM16" i="1"/>
  <c r="BM391" i="1"/>
  <c r="BM383" i="1"/>
  <c r="BM375" i="1"/>
  <c r="BM367" i="1"/>
  <c r="BM359" i="1"/>
  <c r="BM343" i="1"/>
  <c r="BM335" i="1"/>
  <c r="BM327" i="1"/>
  <c r="BM319" i="1"/>
  <c r="BM311" i="1"/>
  <c r="BM295" i="1"/>
  <c r="BM287" i="1"/>
  <c r="BM279" i="1"/>
  <c r="BM271" i="1"/>
  <c r="BM255" i="1"/>
  <c r="BM247" i="1"/>
  <c r="BM231" i="1"/>
  <c r="BM223" i="1"/>
  <c r="BM215" i="1"/>
  <c r="BM207" i="1"/>
  <c r="BM199" i="1"/>
  <c r="BM183" i="1"/>
  <c r="BM175" i="1"/>
  <c r="BM159" i="1"/>
  <c r="BM151" i="1"/>
  <c r="BM143" i="1"/>
  <c r="BM103" i="1"/>
  <c r="BM95" i="1"/>
  <c r="BM87" i="1"/>
  <c r="BM79" i="1"/>
  <c r="BM71" i="1"/>
  <c r="BM63" i="1"/>
  <c r="BM55" i="1"/>
  <c r="BM47" i="1"/>
  <c r="BM39" i="1"/>
  <c r="BM31" i="1"/>
  <c r="BM23" i="1"/>
  <c r="BM15" i="1"/>
  <c r="BM502" i="1"/>
  <c r="BM486" i="1"/>
  <c r="BM478" i="1"/>
  <c r="BM462" i="1"/>
  <c r="BM454" i="1"/>
  <c r="BM446" i="1"/>
  <c r="BM430" i="1"/>
  <c r="BM422" i="1"/>
  <c r="BM406" i="1"/>
  <c r="BM398" i="1"/>
  <c r="BM390" i="1"/>
  <c r="BM374" i="1"/>
  <c r="BM358" i="1"/>
  <c r="BM350" i="1"/>
  <c r="BM334" i="1"/>
  <c r="BM302" i="1"/>
  <c r="BM294" i="1"/>
  <c r="BM286" i="1"/>
  <c r="BM270" i="1"/>
  <c r="BM262" i="1"/>
  <c r="BM246" i="1"/>
  <c r="BM222" i="1"/>
  <c r="BM214" i="1"/>
  <c r="BM206" i="1"/>
  <c r="BM198" i="1"/>
  <c r="BM190" i="1"/>
  <c r="BM174" i="1"/>
  <c r="BM166" i="1"/>
  <c r="BM150" i="1"/>
  <c r="BM118" i="1"/>
  <c r="BM102" i="1"/>
  <c r="BM94" i="1"/>
  <c r="BM86" i="1"/>
  <c r="BM78" i="1"/>
  <c r="BM70" i="1"/>
  <c r="BM62" i="1"/>
  <c r="BM54" i="1"/>
  <c r="BM46" i="1"/>
  <c r="BK12" i="1"/>
  <c r="BG177" i="1"/>
  <c r="BG171" i="1"/>
  <c r="BK483" i="1"/>
  <c r="BI485" i="1"/>
  <c r="CL5" i="1"/>
  <c r="BK297" i="1"/>
  <c r="BG89" i="1"/>
  <c r="CK5" i="1"/>
  <c r="BK429" i="1"/>
  <c r="BG221" i="1"/>
  <c r="CJ5" i="1"/>
  <c r="BG278" i="1"/>
  <c r="BG125" i="1"/>
  <c r="CI5" i="1"/>
  <c r="BK289" i="1"/>
  <c r="BH493" i="1"/>
  <c r="BH445" i="1"/>
  <c r="CH5" i="1"/>
  <c r="BG109" i="1"/>
  <c r="CG5" i="1"/>
  <c r="BG154" i="1"/>
  <c r="BG293" i="1"/>
  <c r="BJ205" i="1"/>
  <c r="CF5" i="1"/>
  <c r="BK158" i="1"/>
  <c r="BK340" i="1"/>
  <c r="BL303" i="1"/>
  <c r="BG135" i="1"/>
  <c r="BK120" i="1"/>
  <c r="BK64" i="1"/>
  <c r="BG107" i="1"/>
  <c r="BG93" i="1"/>
  <c r="BG69" i="1"/>
  <c r="CE5" i="1"/>
  <c r="BH133" i="1"/>
  <c r="CD5" i="1"/>
  <c r="BG376" i="1"/>
  <c r="BG49" i="1"/>
  <c r="BG469" i="1"/>
  <c r="BG142" i="1"/>
  <c r="BG126" i="1"/>
  <c r="BH181" i="1"/>
  <c r="CC5" i="1"/>
  <c r="BG269" i="1"/>
  <c r="CB5" i="1"/>
  <c r="BG134" i="1"/>
  <c r="BK40" i="1"/>
  <c r="BK331" i="1"/>
  <c r="BH91" i="1"/>
  <c r="BK264" i="1"/>
  <c r="BL144" i="1"/>
  <c r="BG161" i="1"/>
  <c r="BK364" i="1"/>
  <c r="BK228" i="1"/>
  <c r="CA5" i="1"/>
  <c r="BK273" i="1"/>
  <c r="BI285" i="1"/>
  <c r="BZ5" i="1"/>
  <c r="BG167" i="1"/>
  <c r="BK216" i="1"/>
  <c r="BK176" i="1"/>
  <c r="BK152" i="1"/>
  <c r="BG341" i="1"/>
  <c r="BY5" i="1"/>
  <c r="BG366" i="1"/>
  <c r="BK394" i="1"/>
  <c r="BH90" i="1"/>
  <c r="BG197" i="1"/>
  <c r="BX5" i="1"/>
  <c r="BG352" i="1"/>
  <c r="BL13" i="1"/>
  <c r="BW5" i="1"/>
  <c r="BV5" i="1"/>
  <c r="BG463" i="1"/>
  <c r="BK481" i="1"/>
  <c r="BU5" i="1"/>
  <c r="BT5" i="1"/>
  <c r="BI413" i="1"/>
  <c r="BS5" i="1"/>
  <c r="BG453" i="1"/>
  <c r="BG189" i="1"/>
  <c r="BI239" i="1"/>
  <c r="BG191" i="1"/>
  <c r="BH127" i="1"/>
  <c r="BK225" i="1"/>
  <c r="BK347" i="1"/>
  <c r="BK291" i="1"/>
  <c r="BG437" i="1"/>
  <c r="BG111" i="1"/>
  <c r="BP5" i="1"/>
  <c r="BK280" i="1"/>
  <c r="BK243" i="1"/>
  <c r="BK227" i="1"/>
  <c r="BO5" i="1"/>
  <c r="BG392" i="1"/>
  <c r="BG317" i="1"/>
  <c r="BJ253" i="1"/>
  <c r="BN5" i="1"/>
  <c r="BK77" i="1"/>
  <c r="BM5" i="1"/>
  <c r="BJ162" i="1"/>
  <c r="BH37" i="1"/>
  <c r="BL5" i="1"/>
  <c r="BK346" i="1"/>
  <c r="BG477" i="1"/>
  <c r="BK451" i="1"/>
  <c r="BK275" i="1"/>
  <c r="BH67" i="1"/>
  <c r="BI325" i="1"/>
  <c r="BG61" i="1"/>
  <c r="BI18" i="1"/>
  <c r="BK409" i="1"/>
  <c r="BL36" i="1"/>
  <c r="BG312" i="1"/>
  <c r="BK56" i="1"/>
  <c r="BJ218" i="1"/>
  <c r="BK420" i="1"/>
  <c r="BK11" i="1"/>
  <c r="BK88" i="1"/>
  <c r="BK450" i="1"/>
  <c r="BK434" i="1"/>
  <c r="BK322" i="1"/>
  <c r="BK476" i="1"/>
  <c r="BK452" i="1"/>
  <c r="BK361" i="1"/>
  <c r="BL172" i="1"/>
  <c r="BK164" i="1"/>
  <c r="BK230" i="1"/>
  <c r="BK395" i="1"/>
  <c r="BG119" i="1"/>
  <c r="BK468" i="1"/>
  <c r="BK348" i="1"/>
  <c r="BL440" i="1"/>
  <c r="BK240" i="1"/>
  <c r="BK24" i="1"/>
  <c r="BK457" i="1"/>
  <c r="BG193" i="1"/>
  <c r="BG145" i="1"/>
  <c r="BL408" i="1"/>
  <c r="BG153" i="1"/>
  <c r="BL137" i="1"/>
  <c r="BK268" i="1"/>
  <c r="BG129" i="1"/>
  <c r="BK284" i="1"/>
  <c r="BK136" i="1"/>
  <c r="BK377" i="1"/>
  <c r="BG97" i="1"/>
  <c r="BK372" i="1"/>
  <c r="BK482" i="1"/>
  <c r="BG170" i="1"/>
  <c r="BG254" i="1"/>
  <c r="BK10" i="1"/>
  <c r="BG351" i="1"/>
  <c r="BK494" i="1"/>
  <c r="BG470" i="1"/>
  <c r="BG326" i="1"/>
  <c r="BG22" i="1"/>
  <c r="BK224" i="1"/>
  <c r="BK308" i="1"/>
  <c r="BK204" i="1"/>
  <c r="BL132" i="1"/>
  <c r="BK332" i="1"/>
  <c r="BG414" i="1"/>
  <c r="BG318" i="1"/>
  <c r="BL6" i="1"/>
  <c r="BK244" i="1"/>
  <c r="BG105" i="1"/>
  <c r="BL404" i="1"/>
  <c r="BK356" i="1"/>
  <c r="BL266" i="1"/>
  <c r="BK380" i="1"/>
  <c r="BG263" i="1"/>
  <c r="BK14" i="1"/>
  <c r="BG138" i="1"/>
  <c r="BG66" i="1"/>
  <c r="BG58" i="1"/>
  <c r="BK484" i="1"/>
  <c r="BL124" i="1"/>
  <c r="BG342" i="1"/>
  <c r="BG310" i="1"/>
  <c r="BG110" i="1"/>
  <c r="BG38" i="1"/>
  <c r="BG495" i="1"/>
  <c r="BG407" i="1"/>
  <c r="BG399" i="1"/>
  <c r="BK180" i="1"/>
  <c r="BL84" i="1"/>
  <c r="BK272" i="1"/>
  <c r="BK184" i="1"/>
  <c r="BK386" i="1"/>
  <c r="BK338" i="1"/>
  <c r="BK396" i="1"/>
  <c r="BL44" i="1"/>
  <c r="BG438" i="1"/>
  <c r="BG182" i="1"/>
  <c r="BG30" i="1"/>
  <c r="BK393" i="1"/>
  <c r="BK257" i="1"/>
  <c r="BG73" i="1"/>
  <c r="BG65" i="1"/>
  <c r="BL252" i="1"/>
  <c r="BL156" i="1"/>
  <c r="BL304" i="1"/>
  <c r="BK236" i="1"/>
  <c r="BL116" i="1"/>
  <c r="BL108" i="1"/>
  <c r="BL60" i="1"/>
  <c r="BJ7" i="1"/>
  <c r="BK321" i="1"/>
  <c r="BK305" i="1"/>
  <c r="BK281" i="1"/>
  <c r="BG217" i="1"/>
  <c r="BL28" i="1"/>
  <c r="BK9" i="1"/>
  <c r="BG382" i="1"/>
  <c r="BH238" i="1"/>
  <c r="BK465" i="1"/>
  <c r="BK460" i="1"/>
  <c r="BK260" i="1"/>
  <c r="BK473" i="1"/>
  <c r="BK329" i="1"/>
  <c r="BL273" i="1"/>
  <c r="BG8" i="1"/>
  <c r="BL241" i="1"/>
  <c r="BL209" i="1"/>
  <c r="BL193" i="1"/>
  <c r="BL113" i="1"/>
  <c r="BL97" i="1"/>
  <c r="BK324" i="1"/>
  <c r="BL81" i="1"/>
  <c r="BH165" i="1"/>
  <c r="BL475" i="1"/>
  <c r="BL65" i="1"/>
  <c r="BL443" i="1"/>
  <c r="BL411" i="1"/>
  <c r="BL379" i="1"/>
  <c r="BL177" i="1"/>
  <c r="BL49" i="1"/>
  <c r="BL347" i="1"/>
  <c r="BL161" i="1"/>
  <c r="BL33" i="1"/>
  <c r="BL323" i="1"/>
  <c r="BL145" i="1"/>
  <c r="BL19" i="1"/>
  <c r="BL307" i="1"/>
  <c r="BL129" i="1"/>
  <c r="BL17" i="1"/>
  <c r="BL289" i="1"/>
  <c r="BL257" i="1"/>
  <c r="BL225" i="1"/>
  <c r="BI381" i="1"/>
  <c r="BG21" i="1"/>
  <c r="BL499" i="1"/>
  <c r="BL435" i="1"/>
  <c r="BL371" i="1"/>
  <c r="BL321" i="1"/>
  <c r="BL283" i="1"/>
  <c r="BL251" i="1"/>
  <c r="BL187" i="1"/>
  <c r="BL155" i="1"/>
  <c r="BL123" i="1"/>
  <c r="BL91" i="1"/>
  <c r="BL59" i="1"/>
  <c r="BL27" i="1"/>
  <c r="BL491" i="1"/>
  <c r="BL427" i="1"/>
  <c r="BL363" i="1"/>
  <c r="BL315" i="1"/>
  <c r="BL281" i="1"/>
  <c r="BL249" i="1"/>
  <c r="BL217" i="1"/>
  <c r="BL185" i="1"/>
  <c r="BL153" i="1"/>
  <c r="BL121" i="1"/>
  <c r="BL89" i="1"/>
  <c r="BL57" i="1"/>
  <c r="BL25" i="1"/>
  <c r="BL483" i="1"/>
  <c r="BL419" i="1"/>
  <c r="BL313" i="1"/>
  <c r="BL275" i="1"/>
  <c r="BL243" i="1"/>
  <c r="BL211" i="1"/>
  <c r="BL179" i="1"/>
  <c r="BL147" i="1"/>
  <c r="BL115" i="1"/>
  <c r="BL83" i="1"/>
  <c r="BL467" i="1"/>
  <c r="BL403" i="1"/>
  <c r="BL339" i="1"/>
  <c r="BL305" i="1"/>
  <c r="BL267" i="1"/>
  <c r="BL235" i="1"/>
  <c r="BL203" i="1"/>
  <c r="BL171" i="1"/>
  <c r="BL139" i="1"/>
  <c r="BL107" i="1"/>
  <c r="BL75" i="1"/>
  <c r="BL43" i="1"/>
  <c r="BL11" i="1"/>
  <c r="BL459" i="1"/>
  <c r="BL395" i="1"/>
  <c r="BL331" i="1"/>
  <c r="BL299" i="1"/>
  <c r="BL265" i="1"/>
  <c r="BL233" i="1"/>
  <c r="BL201" i="1"/>
  <c r="BL169" i="1"/>
  <c r="BL105" i="1"/>
  <c r="BL73" i="1"/>
  <c r="BL41" i="1"/>
  <c r="BL9" i="1"/>
  <c r="BL297" i="1"/>
  <c r="BG163" i="1"/>
  <c r="BL451" i="1"/>
  <c r="BL387" i="1"/>
  <c r="BL329" i="1"/>
  <c r="BL291" i="1"/>
  <c r="BL259" i="1"/>
  <c r="BL227" i="1"/>
  <c r="BL195" i="1"/>
  <c r="BL163" i="1"/>
  <c r="BL131" i="1"/>
  <c r="BL99" i="1"/>
  <c r="BL67" i="1"/>
  <c r="BL35" i="1"/>
  <c r="BL501" i="1"/>
  <c r="BL493" i="1"/>
  <c r="BL485" i="1"/>
  <c r="BL477" i="1"/>
  <c r="BL469" i="1"/>
  <c r="BL461" i="1"/>
  <c r="BL453" i="1"/>
  <c r="BL445" i="1"/>
  <c r="BL437" i="1"/>
  <c r="BL429" i="1"/>
  <c r="BL421" i="1"/>
  <c r="BL413" i="1"/>
  <c r="BL405" i="1"/>
  <c r="BL397" i="1"/>
  <c r="BL389" i="1"/>
  <c r="BL381" i="1"/>
  <c r="BL373" i="1"/>
  <c r="BL357" i="1"/>
  <c r="BL349" i="1"/>
  <c r="BL341" i="1"/>
  <c r="BL333" i="1"/>
  <c r="BL325" i="1"/>
  <c r="BL317" i="1"/>
  <c r="BL309" i="1"/>
  <c r="BL301" i="1"/>
  <c r="BL293" i="1"/>
  <c r="BL285" i="1"/>
  <c r="BL277" i="1"/>
  <c r="BL269" i="1"/>
  <c r="BL261" i="1"/>
  <c r="BL253" i="1"/>
  <c r="BL245" i="1"/>
  <c r="BL237" i="1"/>
  <c r="BL229" i="1"/>
  <c r="BL221" i="1"/>
  <c r="BL213" i="1"/>
  <c r="BL205" i="1"/>
  <c r="BL197" i="1"/>
  <c r="BL189" i="1"/>
  <c r="BL181" i="1"/>
  <c r="BL173" i="1"/>
  <c r="BL165" i="1"/>
  <c r="BL157" i="1"/>
  <c r="BL149" i="1"/>
  <c r="BL141" i="1"/>
  <c r="BL133" i="1"/>
  <c r="BL125" i="1"/>
  <c r="BL117" i="1"/>
  <c r="BL109" i="1"/>
  <c r="BL101" i="1"/>
  <c r="BL93" i="1"/>
  <c r="BL85" i="1"/>
  <c r="BL77" i="1"/>
  <c r="BL69" i="1"/>
  <c r="BL61" i="1"/>
  <c r="BL53" i="1"/>
  <c r="BL37" i="1"/>
  <c r="BL29" i="1"/>
  <c r="BL21" i="1"/>
  <c r="BJ137" i="1"/>
  <c r="BL500" i="1"/>
  <c r="BL492" i="1"/>
  <c r="BL484" i="1"/>
  <c r="BL476" i="1"/>
  <c r="BL468" i="1"/>
  <c r="BL460" i="1"/>
  <c r="BL452" i="1"/>
  <c r="BL444" i="1"/>
  <c r="BL436" i="1"/>
  <c r="BL428" i="1"/>
  <c r="BL420" i="1"/>
  <c r="BL412" i="1"/>
  <c r="BL396" i="1"/>
  <c r="BL388" i="1"/>
  <c r="BL380" i="1"/>
  <c r="BL372" i="1"/>
  <c r="BL364" i="1"/>
  <c r="BL356" i="1"/>
  <c r="BL348" i="1"/>
  <c r="BL340" i="1"/>
  <c r="BL332" i="1"/>
  <c r="BL324" i="1"/>
  <c r="BL316" i="1"/>
  <c r="BL308" i="1"/>
  <c r="BL300" i="1"/>
  <c r="BL292" i="1"/>
  <c r="BL284" i="1"/>
  <c r="BL268" i="1"/>
  <c r="BL260" i="1"/>
  <c r="BL244" i="1"/>
  <c r="BL236" i="1"/>
  <c r="BL228" i="1"/>
  <c r="BL220" i="1"/>
  <c r="BL204" i="1"/>
  <c r="BL188" i="1"/>
  <c r="BL180" i="1"/>
  <c r="BL164" i="1"/>
  <c r="BL12" i="1"/>
  <c r="BK355" i="1"/>
  <c r="BL498" i="1"/>
  <c r="BL490" i="1"/>
  <c r="BL482" i="1"/>
  <c r="BL466" i="1"/>
  <c r="BL450" i="1"/>
  <c r="BL442" i="1"/>
  <c r="BL434" i="1"/>
  <c r="BL426" i="1"/>
  <c r="BL418" i="1"/>
  <c r="BL402" i="1"/>
  <c r="BL394" i="1"/>
  <c r="BL386" i="1"/>
  <c r="BL378" i="1"/>
  <c r="BL370" i="1"/>
  <c r="BL354" i="1"/>
  <c r="BL346" i="1"/>
  <c r="BL338" i="1"/>
  <c r="BL330" i="1"/>
  <c r="BL322" i="1"/>
  <c r="BL314" i="1"/>
  <c r="BL306" i="1"/>
  <c r="BL298" i="1"/>
  <c r="BL290" i="1"/>
  <c r="BL282" i="1"/>
  <c r="BL258" i="1"/>
  <c r="BL250" i="1"/>
  <c r="BL242" i="1"/>
  <c r="BL234" i="1"/>
  <c r="BL226" i="1"/>
  <c r="BL218" i="1"/>
  <c r="BL210" i="1"/>
  <c r="BL202" i="1"/>
  <c r="BL194" i="1"/>
  <c r="BL186" i="1"/>
  <c r="BL178" i="1"/>
  <c r="BL170" i="1"/>
  <c r="BL162" i="1"/>
  <c r="BL154" i="1"/>
  <c r="BL138" i="1"/>
  <c r="BL130" i="1"/>
  <c r="BL122" i="1"/>
  <c r="BL114" i="1"/>
  <c r="BL98" i="1"/>
  <c r="BL90" i="1"/>
  <c r="BL74" i="1"/>
  <c r="BL66" i="1"/>
  <c r="BL58" i="1"/>
  <c r="BL50" i="1"/>
  <c r="BL42" i="1"/>
  <c r="BL34" i="1"/>
  <c r="BL18" i="1"/>
  <c r="BL10" i="1"/>
  <c r="BL400" i="1"/>
  <c r="BL392" i="1"/>
  <c r="BL384" i="1"/>
  <c r="BL376" i="1"/>
  <c r="BL368" i="1"/>
  <c r="BL360" i="1"/>
  <c r="BL352" i="1"/>
  <c r="BL344" i="1"/>
  <c r="BL336" i="1"/>
  <c r="BL328" i="1"/>
  <c r="BL320" i="1"/>
  <c r="BL312" i="1"/>
  <c r="BL296" i="1"/>
  <c r="BL288" i="1"/>
  <c r="BL280" i="1"/>
  <c r="BL272" i="1"/>
  <c r="BL264" i="1"/>
  <c r="BL256" i="1"/>
  <c r="BL248" i="1"/>
  <c r="BL240" i="1"/>
  <c r="BL232" i="1"/>
  <c r="BL224" i="1"/>
  <c r="BL216" i="1"/>
  <c r="BL208" i="1"/>
  <c r="BL200" i="1"/>
  <c r="BL192" i="1"/>
  <c r="BL184" i="1"/>
  <c r="BL176" i="1"/>
  <c r="BL168" i="1"/>
  <c r="BL160" i="1"/>
  <c r="BL152" i="1"/>
  <c r="BL136" i="1"/>
  <c r="BL128" i="1"/>
  <c r="BL120" i="1"/>
  <c r="BL112" i="1"/>
  <c r="BL104" i="1"/>
  <c r="BL96" i="1"/>
  <c r="BL88" i="1"/>
  <c r="BL80" i="1"/>
  <c r="BL72" i="1"/>
  <c r="BL64" i="1"/>
  <c r="BL56" i="1"/>
  <c r="BL48" i="1"/>
  <c r="BL40" i="1"/>
  <c r="BL32" i="1"/>
  <c r="BL24" i="1"/>
  <c r="BL16" i="1"/>
  <c r="BL8" i="1"/>
  <c r="BL481" i="1"/>
  <c r="BL473" i="1"/>
  <c r="BL457" i="1"/>
  <c r="BL441" i="1"/>
  <c r="BL425" i="1"/>
  <c r="BL409" i="1"/>
  <c r="BL385" i="1"/>
  <c r="BL377" i="1"/>
  <c r="BL361" i="1"/>
  <c r="BL345" i="1"/>
  <c r="BL337" i="1"/>
  <c r="BL503" i="1"/>
  <c r="BL495" i="1"/>
  <c r="BL487" i="1"/>
  <c r="BL471" i="1"/>
  <c r="BL463" i="1"/>
  <c r="BL455" i="1"/>
  <c r="BL447" i="1"/>
  <c r="BL439" i="1"/>
  <c r="BL431" i="1"/>
  <c r="BL423" i="1"/>
  <c r="BL415" i="1"/>
  <c r="BL407" i="1"/>
  <c r="BL399" i="1"/>
  <c r="BL391" i="1"/>
  <c r="BL383" i="1"/>
  <c r="BL375" i="1"/>
  <c r="BL367" i="1"/>
  <c r="BL359" i="1"/>
  <c r="BL351" i="1"/>
  <c r="BL343" i="1"/>
  <c r="BL335" i="1"/>
  <c r="BL327" i="1"/>
  <c r="BL319" i="1"/>
  <c r="BL311" i="1"/>
  <c r="BL295" i="1"/>
  <c r="BL287" i="1"/>
  <c r="BL279" i="1"/>
  <c r="BL271" i="1"/>
  <c r="BL263" i="1"/>
  <c r="BL255" i="1"/>
  <c r="BL247" i="1"/>
  <c r="BL239" i="1"/>
  <c r="BL231" i="1"/>
  <c r="BL223" i="1"/>
  <c r="BL215" i="1"/>
  <c r="BL207" i="1"/>
  <c r="BL199" i="1"/>
  <c r="BL191" i="1"/>
  <c r="BL183" i="1"/>
  <c r="BL175" i="1"/>
  <c r="BL167" i="1"/>
  <c r="BL159" i="1"/>
  <c r="BL151" i="1"/>
  <c r="BL143" i="1"/>
  <c r="BL135" i="1"/>
  <c r="BL127" i="1"/>
  <c r="BL119" i="1"/>
  <c r="BL111" i="1"/>
  <c r="BL103" i="1"/>
  <c r="BL95" i="1"/>
  <c r="BL87" i="1"/>
  <c r="BL79" i="1"/>
  <c r="BL71" i="1"/>
  <c r="BL63" i="1"/>
  <c r="BL55" i="1"/>
  <c r="BL47" i="1"/>
  <c r="BL39" i="1"/>
  <c r="BL31" i="1"/>
  <c r="BL23" i="1"/>
  <c r="BL15" i="1"/>
  <c r="BL7" i="1"/>
  <c r="BL497" i="1"/>
  <c r="BL489" i="1"/>
  <c r="BL465" i="1"/>
  <c r="BL449" i="1"/>
  <c r="BL433" i="1"/>
  <c r="BL417" i="1"/>
  <c r="BL401" i="1"/>
  <c r="BL393" i="1"/>
  <c r="BL369" i="1"/>
  <c r="BL353" i="1"/>
  <c r="BI303" i="1"/>
  <c r="BL502" i="1"/>
  <c r="BL494" i="1"/>
  <c r="BL486" i="1"/>
  <c r="BL478" i="1"/>
  <c r="BL470" i="1"/>
  <c r="BL462" i="1"/>
  <c r="BL454" i="1"/>
  <c r="BL446" i="1"/>
  <c r="BL438" i="1"/>
  <c r="BL430" i="1"/>
  <c r="BL422" i="1"/>
  <c r="BL414" i="1"/>
  <c r="BL406" i="1"/>
  <c r="BL398" i="1"/>
  <c r="BL390" i="1"/>
  <c r="BL382" i="1"/>
  <c r="BL374" i="1"/>
  <c r="BL366" i="1"/>
  <c r="BL358" i="1"/>
  <c r="BL350" i="1"/>
  <c r="BL342" i="1"/>
  <c r="BL334" i="1"/>
  <c r="BL326" i="1"/>
  <c r="BL318" i="1"/>
  <c r="BL310" i="1"/>
  <c r="BL302" i="1"/>
  <c r="BL294" i="1"/>
  <c r="BL286" i="1"/>
  <c r="BL278" i="1"/>
  <c r="BL270" i="1"/>
  <c r="BL262" i="1"/>
  <c r="BL254" i="1"/>
  <c r="BL246" i="1"/>
  <c r="BL238" i="1"/>
  <c r="BL230" i="1"/>
  <c r="BL222" i="1"/>
  <c r="BL214" i="1"/>
  <c r="BL206" i="1"/>
  <c r="BL198" i="1"/>
  <c r="BL190" i="1"/>
  <c r="BL182" i="1"/>
  <c r="BL174" i="1"/>
  <c r="BL166" i="1"/>
  <c r="BL158" i="1"/>
  <c r="BL150" i="1"/>
  <c r="BL142" i="1"/>
  <c r="BL134" i="1"/>
  <c r="BL126" i="1"/>
  <c r="BL118" i="1"/>
  <c r="BL110" i="1"/>
  <c r="BL102" i="1"/>
  <c r="BL94" i="1"/>
  <c r="BL86" i="1"/>
  <c r="BL78" i="1"/>
  <c r="BL70" i="1"/>
  <c r="BL62" i="1"/>
  <c r="BL54" i="1"/>
  <c r="BL46" i="1"/>
  <c r="BL38" i="1"/>
  <c r="BL30" i="1"/>
  <c r="BL22" i="1"/>
  <c r="BL14" i="1"/>
  <c r="BG479" i="1"/>
  <c r="BI219" i="1"/>
  <c r="BG51" i="1"/>
  <c r="BK196" i="1"/>
  <c r="BK304" i="1"/>
  <c r="BG82" i="1"/>
  <c r="BG45" i="1"/>
  <c r="BJ144" i="1"/>
  <c r="BK362" i="1"/>
  <c r="BG146" i="1"/>
  <c r="BI365" i="1"/>
  <c r="BK5" i="1"/>
  <c r="BK410" i="1"/>
  <c r="BK266" i="1"/>
  <c r="BK276" i="1"/>
  <c r="BK193" i="1"/>
  <c r="BK161" i="1"/>
  <c r="BK129" i="1"/>
  <c r="BK97" i="1"/>
  <c r="BK65" i="1"/>
  <c r="BK33" i="1"/>
  <c r="BK217" i="1"/>
  <c r="BK185" i="1"/>
  <c r="BK153" i="1"/>
  <c r="BK121" i="1"/>
  <c r="BK89" i="1"/>
  <c r="BK57" i="1"/>
  <c r="BK25" i="1"/>
  <c r="BK209" i="1"/>
  <c r="BK177" i="1"/>
  <c r="BK145" i="1"/>
  <c r="BK113" i="1"/>
  <c r="BK81" i="1"/>
  <c r="BK49" i="1"/>
  <c r="BK17" i="1"/>
  <c r="BK144" i="1"/>
  <c r="BK16" i="1"/>
  <c r="BK201" i="1"/>
  <c r="BK169" i="1"/>
  <c r="BK137" i="1"/>
  <c r="BK105" i="1"/>
  <c r="BK73" i="1"/>
  <c r="BK41" i="1"/>
  <c r="BK274" i="1"/>
  <c r="BG106" i="1"/>
  <c r="BG26" i="1"/>
  <c r="BK8" i="1"/>
  <c r="BJ6" i="1"/>
  <c r="BK6" i="1"/>
  <c r="BG496" i="1"/>
  <c r="BK496" i="1"/>
  <c r="BG488" i="1"/>
  <c r="BK488" i="1"/>
  <c r="BG480" i="1"/>
  <c r="BK480" i="1"/>
  <c r="BG472" i="1"/>
  <c r="BK472" i="1"/>
  <c r="BG464" i="1"/>
  <c r="BK464" i="1"/>
  <c r="BG456" i="1"/>
  <c r="BK456" i="1"/>
  <c r="BG448" i="1"/>
  <c r="BK448" i="1"/>
  <c r="BH440" i="1"/>
  <c r="BK440" i="1"/>
  <c r="BG432" i="1"/>
  <c r="BK432" i="1"/>
  <c r="BG424" i="1"/>
  <c r="BK424" i="1"/>
  <c r="BG416" i="1"/>
  <c r="BK416" i="1"/>
  <c r="BG408" i="1"/>
  <c r="BK408" i="1"/>
  <c r="BG504" i="1"/>
  <c r="BK504" i="1"/>
  <c r="BJ474" i="1"/>
  <c r="BK474" i="1"/>
  <c r="BK458" i="1"/>
  <c r="BJ404" i="1"/>
  <c r="BK404" i="1"/>
  <c r="BJ252" i="1"/>
  <c r="BK252" i="1"/>
  <c r="BG148" i="1"/>
  <c r="BK148" i="1"/>
  <c r="BG132" i="1"/>
  <c r="BK132" i="1"/>
  <c r="BG124" i="1"/>
  <c r="BK124" i="1"/>
  <c r="BH116" i="1"/>
  <c r="BK116" i="1"/>
  <c r="BG108" i="1"/>
  <c r="BK108" i="1"/>
  <c r="BG100" i="1"/>
  <c r="BK100" i="1"/>
  <c r="BG92" i="1"/>
  <c r="BK92" i="1"/>
  <c r="BG84" i="1"/>
  <c r="BK84" i="1"/>
  <c r="BI76" i="1"/>
  <c r="BK76" i="1"/>
  <c r="BI68" i="1"/>
  <c r="BK68" i="1"/>
  <c r="BG60" i="1"/>
  <c r="BK60" i="1"/>
  <c r="BG52" i="1"/>
  <c r="BK52" i="1"/>
  <c r="BG44" i="1"/>
  <c r="BK44" i="1"/>
  <c r="BG36" i="1"/>
  <c r="BK36" i="1"/>
  <c r="BG28" i="1"/>
  <c r="BK28" i="1"/>
  <c r="BG20" i="1"/>
  <c r="BK20" i="1"/>
  <c r="BG13" i="1"/>
  <c r="BK13" i="1"/>
  <c r="BJ212" i="1"/>
  <c r="BK212" i="1"/>
  <c r="BJ172" i="1"/>
  <c r="BK172" i="1"/>
  <c r="BG156" i="1"/>
  <c r="BK156" i="1"/>
  <c r="BI140" i="1"/>
  <c r="BK140" i="1"/>
  <c r="BK501" i="1"/>
  <c r="BK493" i="1"/>
  <c r="BK485" i="1"/>
  <c r="BK477" i="1"/>
  <c r="BK469" i="1"/>
  <c r="BK461" i="1"/>
  <c r="BK453" i="1"/>
  <c r="BK445" i="1"/>
  <c r="BK437" i="1"/>
  <c r="BK421" i="1"/>
  <c r="BK413" i="1"/>
  <c r="BK405" i="1"/>
  <c r="BK397" i="1"/>
  <c r="BK389" i="1"/>
  <c r="BK381" i="1"/>
  <c r="BK373" i="1"/>
  <c r="BK365" i="1"/>
  <c r="BK357" i="1"/>
  <c r="BK349" i="1"/>
  <c r="BK341" i="1"/>
  <c r="BK333" i="1"/>
  <c r="BK325" i="1"/>
  <c r="BK317" i="1"/>
  <c r="BK309" i="1"/>
  <c r="BK301" i="1"/>
  <c r="BK293" i="1"/>
  <c r="BK285" i="1"/>
  <c r="BK277" i="1"/>
  <c r="BK269" i="1"/>
  <c r="BK253" i="1"/>
  <c r="BK245" i="1"/>
  <c r="BK237" i="1"/>
  <c r="BK229" i="1"/>
  <c r="BK221" i="1"/>
  <c r="BK205" i="1"/>
  <c r="BK197" i="1"/>
  <c r="BK189" i="1"/>
  <c r="BK181" i="1"/>
  <c r="BK173" i="1"/>
  <c r="BK165" i="1"/>
  <c r="BK157" i="1"/>
  <c r="BK149" i="1"/>
  <c r="BK141" i="1"/>
  <c r="BK133" i="1"/>
  <c r="BK125" i="1"/>
  <c r="BK117" i="1"/>
  <c r="BK109" i="1"/>
  <c r="BK101" i="1"/>
  <c r="BK93" i="1"/>
  <c r="BK85" i="1"/>
  <c r="BK69" i="1"/>
  <c r="BK61" i="1"/>
  <c r="BK53" i="1"/>
  <c r="BK45" i="1"/>
  <c r="BK37" i="1"/>
  <c r="BK29" i="1"/>
  <c r="BK21" i="1"/>
  <c r="BK235" i="1"/>
  <c r="BK219" i="1"/>
  <c r="BK211" i="1"/>
  <c r="BK203" i="1"/>
  <c r="BK195" i="1"/>
  <c r="BK187" i="1"/>
  <c r="BK179" i="1"/>
  <c r="BK171" i="1"/>
  <c r="BK163" i="1"/>
  <c r="BK155" i="1"/>
  <c r="BK147" i="1"/>
  <c r="BK139" i="1"/>
  <c r="BK131" i="1"/>
  <c r="BK123" i="1"/>
  <c r="BK115" i="1"/>
  <c r="BK107" i="1"/>
  <c r="BK99" i="1"/>
  <c r="BK91" i="1"/>
  <c r="BK83" i="1"/>
  <c r="BK75" i="1"/>
  <c r="BK67" i="1"/>
  <c r="BK59" i="1"/>
  <c r="BK51" i="1"/>
  <c r="BK35" i="1"/>
  <c r="BK27" i="1"/>
  <c r="BK19" i="1"/>
  <c r="BK218" i="1"/>
  <c r="BK210" i="1"/>
  <c r="BK202" i="1"/>
  <c r="BK194" i="1"/>
  <c r="BK186" i="1"/>
  <c r="BK178" i="1"/>
  <c r="BK170" i="1"/>
  <c r="BK162" i="1"/>
  <c r="BK154" i="1"/>
  <c r="BK146" i="1"/>
  <c r="BK138" i="1"/>
  <c r="BK130" i="1"/>
  <c r="BK122" i="1"/>
  <c r="BK114" i="1"/>
  <c r="BK106" i="1"/>
  <c r="BK98" i="1"/>
  <c r="BK90" i="1"/>
  <c r="BK82" i="1"/>
  <c r="BK74" i="1"/>
  <c r="BK66" i="1"/>
  <c r="BK58" i="1"/>
  <c r="BK50" i="1"/>
  <c r="BK42" i="1"/>
  <c r="BK34" i="1"/>
  <c r="BK26" i="1"/>
  <c r="BK18" i="1"/>
  <c r="BK392" i="1"/>
  <c r="BK384" i="1"/>
  <c r="BK368" i="1"/>
  <c r="BK352" i="1"/>
  <c r="BK312" i="1"/>
  <c r="BK503" i="1"/>
  <c r="BK495" i="1"/>
  <c r="BK487" i="1"/>
  <c r="BK479" i="1"/>
  <c r="BK471" i="1"/>
  <c r="BK463" i="1"/>
  <c r="BK447" i="1"/>
  <c r="BK439" i="1"/>
  <c r="BK431" i="1"/>
  <c r="BK423" i="1"/>
  <c r="BK415" i="1"/>
  <c r="BK407" i="1"/>
  <c r="BK399" i="1"/>
  <c r="BK391" i="1"/>
  <c r="BK383" i="1"/>
  <c r="BK375" i="1"/>
  <c r="BK367" i="1"/>
  <c r="BK359" i="1"/>
  <c r="BK351" i="1"/>
  <c r="BK343" i="1"/>
  <c r="BK335" i="1"/>
  <c r="BK327" i="1"/>
  <c r="BK319" i="1"/>
  <c r="BK311" i="1"/>
  <c r="BK303" i="1"/>
  <c r="BK295" i="1"/>
  <c r="BK287" i="1"/>
  <c r="BK279" i="1"/>
  <c r="BK263" i="1"/>
  <c r="BK255" i="1"/>
  <c r="BK247" i="1"/>
  <c r="BK239" i="1"/>
  <c r="BK231" i="1"/>
  <c r="BK223" i="1"/>
  <c r="BK215" i="1"/>
  <c r="BK207" i="1"/>
  <c r="BK199" i="1"/>
  <c r="BK191" i="1"/>
  <c r="BK183" i="1"/>
  <c r="BK175" i="1"/>
  <c r="BK167" i="1"/>
  <c r="BK159" i="1"/>
  <c r="BK151" i="1"/>
  <c r="BK143" i="1"/>
  <c r="BK135" i="1"/>
  <c r="BK127" i="1"/>
  <c r="BK119" i="1"/>
  <c r="BK111" i="1"/>
  <c r="BK103" i="1"/>
  <c r="BK95" i="1"/>
  <c r="BK87" i="1"/>
  <c r="BK79" i="1"/>
  <c r="BK71" i="1"/>
  <c r="BK63" i="1"/>
  <c r="BK47" i="1"/>
  <c r="BK39" i="1"/>
  <c r="BK31" i="1"/>
  <c r="BK23" i="1"/>
  <c r="BK15" i="1"/>
  <c r="BK7" i="1"/>
  <c r="BK400" i="1"/>
  <c r="BK376" i="1"/>
  <c r="BK360" i="1"/>
  <c r="BK344" i="1"/>
  <c r="BK328" i="1"/>
  <c r="BK320" i="1"/>
  <c r="BK288" i="1"/>
  <c r="BG455" i="1"/>
  <c r="BK502" i="1"/>
  <c r="BK486" i="1"/>
  <c r="BK478" i="1"/>
  <c r="BK470" i="1"/>
  <c r="BK462" i="1"/>
  <c r="BK454" i="1"/>
  <c r="BK446" i="1"/>
  <c r="BK438" i="1"/>
  <c r="BK430" i="1"/>
  <c r="BK422" i="1"/>
  <c r="BK414" i="1"/>
  <c r="BK406" i="1"/>
  <c r="BK398" i="1"/>
  <c r="BK390" i="1"/>
  <c r="BK382" i="1"/>
  <c r="BK374" i="1"/>
  <c r="BK366" i="1"/>
  <c r="BK358" i="1"/>
  <c r="BK350" i="1"/>
  <c r="BK342" i="1"/>
  <c r="BK334" i="1"/>
  <c r="BK326" i="1"/>
  <c r="BK318" i="1"/>
  <c r="BK310" i="1"/>
  <c r="BK302" i="1"/>
  <c r="BK294" i="1"/>
  <c r="BK286" i="1"/>
  <c r="BK278" i="1"/>
  <c r="BK270" i="1"/>
  <c r="BK262" i="1"/>
  <c r="BK254" i="1"/>
  <c r="BK246" i="1"/>
  <c r="BK238" i="1"/>
  <c r="BK222" i="1"/>
  <c r="BK214" i="1"/>
  <c r="BK206" i="1"/>
  <c r="BK198" i="1"/>
  <c r="BK190" i="1"/>
  <c r="BK182" i="1"/>
  <c r="BK174" i="1"/>
  <c r="BK166" i="1"/>
  <c r="BK150" i="1"/>
  <c r="BK142" i="1"/>
  <c r="BK134" i="1"/>
  <c r="BK126" i="1"/>
  <c r="BK118" i="1"/>
  <c r="BK110" i="1"/>
  <c r="BK102" i="1"/>
  <c r="BK94" i="1"/>
  <c r="BK86" i="1"/>
  <c r="BK78" i="1"/>
  <c r="BK70" i="1"/>
  <c r="BK62" i="1"/>
  <c r="BK54" i="1"/>
  <c r="BK46" i="1"/>
  <c r="BK38" i="1"/>
  <c r="BK30" i="1"/>
  <c r="BK22" i="1"/>
  <c r="BG230" i="1"/>
  <c r="BG494" i="1"/>
  <c r="BG271" i="1"/>
  <c r="BJ336" i="1"/>
  <c r="BG43" i="1"/>
  <c r="BG429" i="1"/>
  <c r="BG213" i="1"/>
  <c r="BJ109" i="1"/>
  <c r="BJ5" i="1"/>
  <c r="BG261" i="1"/>
  <c r="BG77" i="1"/>
  <c r="BJ333" i="1"/>
  <c r="BG158" i="1"/>
  <c r="BJ293" i="1"/>
  <c r="BG304" i="1"/>
  <c r="BJ45" i="1"/>
  <c r="BJ397" i="1"/>
  <c r="BJ173" i="1"/>
  <c r="BJ365" i="1"/>
  <c r="BJ117" i="1"/>
  <c r="BJ301" i="1"/>
  <c r="BJ53" i="1"/>
  <c r="BJ493" i="1"/>
  <c r="BJ245" i="1"/>
  <c r="BJ16" i="1"/>
  <c r="BJ461" i="1"/>
  <c r="BJ237" i="1"/>
  <c r="BJ8" i="1"/>
  <c r="BG55" i="1"/>
  <c r="BJ429" i="1"/>
  <c r="BJ181" i="1"/>
  <c r="BG40" i="1"/>
  <c r="BJ40" i="1"/>
  <c r="BG497" i="1"/>
  <c r="BJ497" i="1"/>
  <c r="BG361" i="1"/>
  <c r="BJ361" i="1"/>
  <c r="BJ488" i="1"/>
  <c r="BJ456" i="1"/>
  <c r="BJ424" i="1"/>
  <c r="BJ392" i="1"/>
  <c r="BJ360" i="1"/>
  <c r="BH498" i="1"/>
  <c r="BJ498" i="1"/>
  <c r="BG410" i="1"/>
  <c r="BJ410" i="1"/>
  <c r="BG370" i="1"/>
  <c r="BJ370" i="1"/>
  <c r="BH306" i="1"/>
  <c r="BJ306" i="1"/>
  <c r="BG298" i="1"/>
  <c r="BJ298" i="1"/>
  <c r="BG290" i="1"/>
  <c r="BJ290" i="1"/>
  <c r="BG282" i="1"/>
  <c r="BJ282" i="1"/>
  <c r="BG274" i="1"/>
  <c r="BJ274" i="1"/>
  <c r="BG266" i="1"/>
  <c r="BJ266" i="1"/>
  <c r="BG258" i="1"/>
  <c r="BJ258" i="1"/>
  <c r="BG250" i="1"/>
  <c r="BJ250" i="1"/>
  <c r="BG242" i="1"/>
  <c r="BJ242" i="1"/>
  <c r="BG234" i="1"/>
  <c r="BJ234" i="1"/>
  <c r="BG226" i="1"/>
  <c r="BJ226" i="1"/>
  <c r="BJ485" i="1"/>
  <c r="BJ453" i="1"/>
  <c r="BJ357" i="1"/>
  <c r="BJ325" i="1"/>
  <c r="BJ288" i="1"/>
  <c r="BJ229" i="1"/>
  <c r="BJ165" i="1"/>
  <c r="BJ101" i="1"/>
  <c r="BJ37" i="1"/>
  <c r="BG296" i="1"/>
  <c r="BJ296" i="1"/>
  <c r="BG272" i="1"/>
  <c r="BJ272" i="1"/>
  <c r="BG248" i="1"/>
  <c r="BJ248" i="1"/>
  <c r="BG232" i="1"/>
  <c r="BJ232" i="1"/>
  <c r="BI208" i="1"/>
  <c r="BJ208" i="1"/>
  <c r="BG192" i="1"/>
  <c r="BJ192" i="1"/>
  <c r="BG184" i="1"/>
  <c r="BJ184" i="1"/>
  <c r="BG176" i="1"/>
  <c r="BJ176" i="1"/>
  <c r="BG168" i="1"/>
  <c r="BJ168" i="1"/>
  <c r="BG152" i="1"/>
  <c r="BJ152" i="1"/>
  <c r="BG128" i="1"/>
  <c r="BJ128" i="1"/>
  <c r="BG104" i="1"/>
  <c r="BJ104" i="1"/>
  <c r="BG96" i="1"/>
  <c r="BJ96" i="1"/>
  <c r="BG88" i="1"/>
  <c r="BJ88" i="1"/>
  <c r="BH72" i="1"/>
  <c r="BJ72" i="1"/>
  <c r="BG56" i="1"/>
  <c r="BJ56" i="1"/>
  <c r="BH489" i="1"/>
  <c r="BJ489" i="1"/>
  <c r="BG481" i="1"/>
  <c r="BJ481" i="1"/>
  <c r="BG473" i="1"/>
  <c r="BJ473" i="1"/>
  <c r="BG465" i="1"/>
  <c r="BJ465" i="1"/>
  <c r="BG457" i="1"/>
  <c r="BJ457" i="1"/>
  <c r="BG441" i="1"/>
  <c r="BJ441" i="1"/>
  <c r="BG385" i="1"/>
  <c r="BJ385" i="1"/>
  <c r="BG377" i="1"/>
  <c r="BJ377" i="1"/>
  <c r="BG353" i="1"/>
  <c r="BJ353" i="1"/>
  <c r="BG345" i="1"/>
  <c r="BJ345" i="1"/>
  <c r="BH321" i="1"/>
  <c r="BJ321" i="1"/>
  <c r="BG313" i="1"/>
  <c r="BJ313" i="1"/>
  <c r="BG305" i="1"/>
  <c r="BJ305" i="1"/>
  <c r="BG297" i="1"/>
  <c r="BJ297" i="1"/>
  <c r="BG289" i="1"/>
  <c r="BJ289" i="1"/>
  <c r="BG281" i="1"/>
  <c r="BJ281" i="1"/>
  <c r="BH265" i="1"/>
  <c r="BJ265" i="1"/>
  <c r="BH257" i="1"/>
  <c r="BJ257" i="1"/>
  <c r="BG249" i="1"/>
  <c r="BJ249" i="1"/>
  <c r="BG241" i="1"/>
  <c r="BJ241" i="1"/>
  <c r="BG233" i="1"/>
  <c r="BJ233" i="1"/>
  <c r="BG225" i="1"/>
  <c r="BJ225" i="1"/>
  <c r="BG12" i="1"/>
  <c r="BJ12" i="1"/>
  <c r="BG490" i="1"/>
  <c r="BJ490" i="1"/>
  <c r="BG482" i="1"/>
  <c r="BJ482" i="1"/>
  <c r="BG466" i="1"/>
  <c r="BJ466" i="1"/>
  <c r="BG458" i="1"/>
  <c r="BJ458" i="1"/>
  <c r="BG450" i="1"/>
  <c r="BJ450" i="1"/>
  <c r="BG442" i="1"/>
  <c r="BJ442" i="1"/>
  <c r="BG434" i="1"/>
  <c r="BJ434" i="1"/>
  <c r="BH426" i="1"/>
  <c r="BJ426" i="1"/>
  <c r="BG418" i="1"/>
  <c r="BJ418" i="1"/>
  <c r="BG402" i="1"/>
  <c r="BJ402" i="1"/>
  <c r="BG394" i="1"/>
  <c r="BJ394" i="1"/>
  <c r="BG386" i="1"/>
  <c r="BJ386" i="1"/>
  <c r="BI378" i="1"/>
  <c r="BJ378" i="1"/>
  <c r="BG362" i="1"/>
  <c r="BJ362" i="1"/>
  <c r="BG354" i="1"/>
  <c r="BJ354" i="1"/>
  <c r="BG346" i="1"/>
  <c r="BJ346" i="1"/>
  <c r="BG338" i="1"/>
  <c r="BJ338" i="1"/>
  <c r="BG330" i="1"/>
  <c r="BJ330" i="1"/>
  <c r="BG322" i="1"/>
  <c r="BJ322" i="1"/>
  <c r="BG314" i="1"/>
  <c r="BJ314" i="1"/>
  <c r="BG11" i="1"/>
  <c r="BJ11" i="1"/>
  <c r="BH499" i="1"/>
  <c r="BJ499" i="1"/>
  <c r="BG491" i="1"/>
  <c r="BJ491" i="1"/>
  <c r="BG483" i="1"/>
  <c r="BJ483" i="1"/>
  <c r="BH475" i="1"/>
  <c r="BJ475" i="1"/>
  <c r="BG467" i="1"/>
  <c r="BJ467" i="1"/>
  <c r="BH459" i="1"/>
  <c r="BJ459" i="1"/>
  <c r="BG451" i="1"/>
  <c r="BJ451" i="1"/>
  <c r="BH443" i="1"/>
  <c r="BJ443" i="1"/>
  <c r="BG435" i="1"/>
  <c r="BJ435" i="1"/>
  <c r="BG427" i="1"/>
  <c r="BJ427" i="1"/>
  <c r="BG419" i="1"/>
  <c r="BJ419" i="1"/>
  <c r="BG411" i="1"/>
  <c r="BJ411" i="1"/>
  <c r="BG403" i="1"/>
  <c r="BJ403" i="1"/>
  <c r="BG395" i="1"/>
  <c r="BJ395" i="1"/>
  <c r="BG387" i="1"/>
  <c r="BJ387" i="1"/>
  <c r="BG379" i="1"/>
  <c r="BJ379" i="1"/>
  <c r="BH371" i="1"/>
  <c r="BJ371" i="1"/>
  <c r="BG363" i="1"/>
  <c r="BJ363" i="1"/>
  <c r="BG355" i="1"/>
  <c r="BJ355" i="1"/>
  <c r="BI347" i="1"/>
  <c r="BJ347" i="1"/>
  <c r="BG339" i="1"/>
  <c r="BJ339" i="1"/>
  <c r="BG331" i="1"/>
  <c r="BJ331" i="1"/>
  <c r="BG323" i="1"/>
  <c r="BJ323" i="1"/>
  <c r="BG315" i="1"/>
  <c r="BJ315" i="1"/>
  <c r="BG307" i="1"/>
  <c r="BJ307" i="1"/>
  <c r="BH299" i="1"/>
  <c r="BJ299" i="1"/>
  <c r="BG291" i="1"/>
  <c r="BJ291" i="1"/>
  <c r="BG283" i="1"/>
  <c r="BJ283" i="1"/>
  <c r="BG275" i="1"/>
  <c r="BJ275" i="1"/>
  <c r="BG267" i="1"/>
  <c r="BJ267" i="1"/>
  <c r="BG259" i="1"/>
  <c r="BJ259" i="1"/>
  <c r="BG251" i="1"/>
  <c r="BJ251" i="1"/>
  <c r="BG243" i="1"/>
  <c r="BJ243" i="1"/>
  <c r="BI227" i="1"/>
  <c r="BJ227" i="1"/>
  <c r="BJ480" i="1"/>
  <c r="BJ448" i="1"/>
  <c r="BJ416" i="1"/>
  <c r="BJ384" i="1"/>
  <c r="BJ352" i="1"/>
  <c r="BJ320" i="1"/>
  <c r="BJ285" i="1"/>
  <c r="BJ221" i="1"/>
  <c r="BJ157" i="1"/>
  <c r="BJ93" i="1"/>
  <c r="BJ29" i="1"/>
  <c r="BG64" i="1"/>
  <c r="BJ64" i="1"/>
  <c r="BG48" i="1"/>
  <c r="BJ48" i="1"/>
  <c r="BG417" i="1"/>
  <c r="BJ417" i="1"/>
  <c r="BG396" i="1"/>
  <c r="BJ396" i="1"/>
  <c r="BG380" i="1"/>
  <c r="BJ380" i="1"/>
  <c r="BG372" i="1"/>
  <c r="BJ372" i="1"/>
  <c r="BG364" i="1"/>
  <c r="BJ364" i="1"/>
  <c r="BG356" i="1"/>
  <c r="BJ356" i="1"/>
  <c r="BI348" i="1"/>
  <c r="BJ348" i="1"/>
  <c r="BG340" i="1"/>
  <c r="BJ340" i="1"/>
  <c r="BG332" i="1"/>
  <c r="BJ332" i="1"/>
  <c r="BG324" i="1"/>
  <c r="BJ324" i="1"/>
  <c r="BG316" i="1"/>
  <c r="BJ316" i="1"/>
  <c r="BG308" i="1"/>
  <c r="BJ308" i="1"/>
  <c r="BI300" i="1"/>
  <c r="BJ300" i="1"/>
  <c r="BG292" i="1"/>
  <c r="BJ292" i="1"/>
  <c r="BH284" i="1"/>
  <c r="BJ284" i="1"/>
  <c r="BG276" i="1"/>
  <c r="BJ276" i="1"/>
  <c r="BG268" i="1"/>
  <c r="BJ268" i="1"/>
  <c r="BG260" i="1"/>
  <c r="BJ260" i="1"/>
  <c r="BG244" i="1"/>
  <c r="BJ244" i="1"/>
  <c r="BG236" i="1"/>
  <c r="BJ236" i="1"/>
  <c r="BG228" i="1"/>
  <c r="BJ228" i="1"/>
  <c r="BH220" i="1"/>
  <c r="BJ220" i="1"/>
  <c r="BG204" i="1"/>
  <c r="BJ204" i="1"/>
  <c r="BH196" i="1"/>
  <c r="BJ196" i="1"/>
  <c r="BG188" i="1"/>
  <c r="BJ188" i="1"/>
  <c r="BG180" i="1"/>
  <c r="BJ180" i="1"/>
  <c r="BG164" i="1"/>
  <c r="BJ164" i="1"/>
  <c r="BJ477" i="1"/>
  <c r="BJ445" i="1"/>
  <c r="BJ413" i="1"/>
  <c r="BJ381" i="1"/>
  <c r="BJ349" i="1"/>
  <c r="BJ317" i="1"/>
  <c r="BJ277" i="1"/>
  <c r="BJ213" i="1"/>
  <c r="BJ149" i="1"/>
  <c r="BJ85" i="1"/>
  <c r="BJ21" i="1"/>
  <c r="BG280" i="1"/>
  <c r="BJ280" i="1"/>
  <c r="BH216" i="1"/>
  <c r="BJ216" i="1"/>
  <c r="BG452" i="1"/>
  <c r="BJ452" i="1"/>
  <c r="BG388" i="1"/>
  <c r="BJ388" i="1"/>
  <c r="BG9" i="1"/>
  <c r="BJ9" i="1"/>
  <c r="BJ504" i="1"/>
  <c r="BJ472" i="1"/>
  <c r="BJ440" i="1"/>
  <c r="BJ408" i="1"/>
  <c r="BJ376" i="1"/>
  <c r="BJ312" i="1"/>
  <c r="BJ269" i="1"/>
  <c r="BJ141" i="1"/>
  <c r="BJ77" i="1"/>
  <c r="BG32" i="1"/>
  <c r="BJ32" i="1"/>
  <c r="BG449" i="1"/>
  <c r="BJ449" i="1"/>
  <c r="BG409" i="1"/>
  <c r="BJ409" i="1"/>
  <c r="BH337" i="1"/>
  <c r="BJ337" i="1"/>
  <c r="BG273" i="1"/>
  <c r="BJ273" i="1"/>
  <c r="BG468" i="1"/>
  <c r="BJ468" i="1"/>
  <c r="BG428" i="1"/>
  <c r="BJ428" i="1"/>
  <c r="BG420" i="1"/>
  <c r="BJ420" i="1"/>
  <c r="BJ437" i="1"/>
  <c r="BJ405" i="1"/>
  <c r="BJ373" i="1"/>
  <c r="BJ341" i="1"/>
  <c r="BJ309" i="1"/>
  <c r="BJ261" i="1"/>
  <c r="BJ197" i="1"/>
  <c r="BJ133" i="1"/>
  <c r="BJ13" i="1"/>
  <c r="BG14" i="1"/>
  <c r="BJ14" i="1"/>
  <c r="BG264" i="1"/>
  <c r="BJ264" i="1"/>
  <c r="BG256" i="1"/>
  <c r="BJ256" i="1"/>
  <c r="BG240" i="1"/>
  <c r="BJ240" i="1"/>
  <c r="BI224" i="1"/>
  <c r="BJ224" i="1"/>
  <c r="BG200" i="1"/>
  <c r="BJ200" i="1"/>
  <c r="BG160" i="1"/>
  <c r="BJ160" i="1"/>
  <c r="BG136" i="1"/>
  <c r="BJ136" i="1"/>
  <c r="BG120" i="1"/>
  <c r="BJ120" i="1"/>
  <c r="BG112" i="1"/>
  <c r="BJ112" i="1"/>
  <c r="BG80" i="1"/>
  <c r="BJ80" i="1"/>
  <c r="BG24" i="1"/>
  <c r="BJ24" i="1"/>
  <c r="BG433" i="1"/>
  <c r="BJ433" i="1"/>
  <c r="BG425" i="1"/>
  <c r="BJ425" i="1"/>
  <c r="BG401" i="1"/>
  <c r="BJ401" i="1"/>
  <c r="BG393" i="1"/>
  <c r="BJ393" i="1"/>
  <c r="BG369" i="1"/>
  <c r="BJ369" i="1"/>
  <c r="BG329" i="1"/>
  <c r="BJ329" i="1"/>
  <c r="BH10" i="1"/>
  <c r="BJ10" i="1"/>
  <c r="BG500" i="1"/>
  <c r="BJ500" i="1"/>
  <c r="BG492" i="1"/>
  <c r="BJ492" i="1"/>
  <c r="BG484" i="1"/>
  <c r="BJ484" i="1"/>
  <c r="BI476" i="1"/>
  <c r="BJ476" i="1"/>
  <c r="BG460" i="1"/>
  <c r="BJ460" i="1"/>
  <c r="BG444" i="1"/>
  <c r="BJ444" i="1"/>
  <c r="BG436" i="1"/>
  <c r="BJ436" i="1"/>
  <c r="BG412" i="1"/>
  <c r="BJ412" i="1"/>
  <c r="BJ501" i="1"/>
  <c r="BJ469" i="1"/>
  <c r="BJ69" i="1"/>
  <c r="BJ496" i="1"/>
  <c r="BJ464" i="1"/>
  <c r="BJ432" i="1"/>
  <c r="BJ400" i="1"/>
  <c r="BJ368" i="1"/>
  <c r="BJ304" i="1"/>
  <c r="BJ189" i="1"/>
  <c r="BJ125" i="1"/>
  <c r="BJ61" i="1"/>
  <c r="BJ156" i="1"/>
  <c r="BJ148" i="1"/>
  <c r="BJ140" i="1"/>
  <c r="BJ132" i="1"/>
  <c r="BJ124" i="1"/>
  <c r="BJ116" i="1"/>
  <c r="BJ108" i="1"/>
  <c r="BJ100" i="1"/>
  <c r="BJ92" i="1"/>
  <c r="BJ84" i="1"/>
  <c r="BJ76" i="1"/>
  <c r="BJ68" i="1"/>
  <c r="BJ60" i="1"/>
  <c r="BJ52" i="1"/>
  <c r="BJ44" i="1"/>
  <c r="BJ36" i="1"/>
  <c r="BJ28" i="1"/>
  <c r="BJ20" i="1"/>
  <c r="BJ219" i="1"/>
  <c r="BJ211" i="1"/>
  <c r="BJ203" i="1"/>
  <c r="BJ195" i="1"/>
  <c r="BJ187" i="1"/>
  <c r="BJ179" i="1"/>
  <c r="BJ171" i="1"/>
  <c r="BJ163" i="1"/>
  <c r="BJ155" i="1"/>
  <c r="BJ147" i="1"/>
  <c r="BJ139" i="1"/>
  <c r="BJ131" i="1"/>
  <c r="BJ115" i="1"/>
  <c r="BJ107" i="1"/>
  <c r="BJ99" i="1"/>
  <c r="BJ91" i="1"/>
  <c r="BJ75" i="1"/>
  <c r="BJ67" i="1"/>
  <c r="BJ59" i="1"/>
  <c r="BJ51" i="1"/>
  <c r="BJ43" i="1"/>
  <c r="BJ35" i="1"/>
  <c r="BJ27" i="1"/>
  <c r="BG83" i="1"/>
  <c r="BJ210" i="1"/>
  <c r="BJ202" i="1"/>
  <c r="BJ194" i="1"/>
  <c r="BJ186" i="1"/>
  <c r="BJ170" i="1"/>
  <c r="BJ154" i="1"/>
  <c r="BJ146" i="1"/>
  <c r="BJ138" i="1"/>
  <c r="BJ130" i="1"/>
  <c r="BJ122" i="1"/>
  <c r="BJ106" i="1"/>
  <c r="BJ98" i="1"/>
  <c r="BJ90" i="1"/>
  <c r="BJ82" i="1"/>
  <c r="BJ74" i="1"/>
  <c r="BJ66" i="1"/>
  <c r="BJ58" i="1"/>
  <c r="BJ50" i="1"/>
  <c r="BJ42" i="1"/>
  <c r="BJ34" i="1"/>
  <c r="BJ26" i="1"/>
  <c r="BJ18" i="1"/>
  <c r="BJ217" i="1"/>
  <c r="BJ209" i="1"/>
  <c r="BJ201" i="1"/>
  <c r="BJ193" i="1"/>
  <c r="BJ185" i="1"/>
  <c r="BJ177" i="1"/>
  <c r="BJ169" i="1"/>
  <c r="BJ161" i="1"/>
  <c r="BJ153" i="1"/>
  <c r="BJ145" i="1"/>
  <c r="BJ129" i="1"/>
  <c r="BJ121" i="1"/>
  <c r="BJ113" i="1"/>
  <c r="BJ105" i="1"/>
  <c r="BJ97" i="1"/>
  <c r="BJ89" i="1"/>
  <c r="BJ81" i="1"/>
  <c r="BJ73" i="1"/>
  <c r="BJ65" i="1"/>
  <c r="BJ57" i="1"/>
  <c r="BJ49" i="1"/>
  <c r="BJ41" i="1"/>
  <c r="BJ33" i="1"/>
  <c r="BJ25" i="1"/>
  <c r="BJ17" i="1"/>
  <c r="BJ503" i="1"/>
  <c r="BJ495" i="1"/>
  <c r="BJ487" i="1"/>
  <c r="BJ479" i="1"/>
  <c r="BJ471" i="1"/>
  <c r="BJ463" i="1"/>
  <c r="BJ455" i="1"/>
  <c r="BJ447" i="1"/>
  <c r="BJ439" i="1"/>
  <c r="BJ431" i="1"/>
  <c r="BJ423" i="1"/>
  <c r="BJ415" i="1"/>
  <c r="BJ407" i="1"/>
  <c r="BJ399" i="1"/>
  <c r="BJ391" i="1"/>
  <c r="BJ383" i="1"/>
  <c r="BJ375" i="1"/>
  <c r="BJ367" i="1"/>
  <c r="BJ359" i="1"/>
  <c r="BJ351" i="1"/>
  <c r="BJ343" i="1"/>
  <c r="BJ327" i="1"/>
  <c r="BJ319" i="1"/>
  <c r="BJ303" i="1"/>
  <c r="BJ295" i="1"/>
  <c r="BJ287" i="1"/>
  <c r="BJ279" i="1"/>
  <c r="BJ271" i="1"/>
  <c r="BJ263" i="1"/>
  <c r="BJ255" i="1"/>
  <c r="BJ247" i="1"/>
  <c r="BJ239" i="1"/>
  <c r="BJ231" i="1"/>
  <c r="BJ223" i="1"/>
  <c r="BJ215" i="1"/>
  <c r="BJ207" i="1"/>
  <c r="BJ199" i="1"/>
  <c r="BJ191" i="1"/>
  <c r="BJ183" i="1"/>
  <c r="BJ175" i="1"/>
  <c r="BJ167" i="1"/>
  <c r="BJ159" i="1"/>
  <c r="BJ151" i="1"/>
  <c r="BJ143" i="1"/>
  <c r="BJ135" i="1"/>
  <c r="BJ127" i="1"/>
  <c r="BJ119" i="1"/>
  <c r="BJ111" i="1"/>
  <c r="BJ103" i="1"/>
  <c r="BJ95" i="1"/>
  <c r="BJ87" i="1"/>
  <c r="BJ79" i="1"/>
  <c r="BJ71" i="1"/>
  <c r="BJ63" i="1"/>
  <c r="BJ55" i="1"/>
  <c r="BJ47" i="1"/>
  <c r="BJ39" i="1"/>
  <c r="BJ31" i="1"/>
  <c r="BJ23" i="1"/>
  <c r="BJ15" i="1"/>
  <c r="BI7" i="1"/>
  <c r="BJ502" i="1"/>
  <c r="BJ494" i="1"/>
  <c r="BJ486" i="1"/>
  <c r="BJ478" i="1"/>
  <c r="BJ470" i="1"/>
  <c r="BJ462" i="1"/>
  <c r="BJ454" i="1"/>
  <c r="BJ446" i="1"/>
  <c r="BJ438" i="1"/>
  <c r="BJ430" i="1"/>
  <c r="BJ422" i="1"/>
  <c r="BJ414" i="1"/>
  <c r="BJ406" i="1"/>
  <c r="BJ398" i="1"/>
  <c r="BJ390" i="1"/>
  <c r="BJ382" i="1"/>
  <c r="BJ374" i="1"/>
  <c r="BJ366" i="1"/>
  <c r="BJ358" i="1"/>
  <c r="BJ350" i="1"/>
  <c r="BJ342" i="1"/>
  <c r="BJ334" i="1"/>
  <c r="BJ326" i="1"/>
  <c r="BJ318" i="1"/>
  <c r="BJ310" i="1"/>
  <c r="BJ302" i="1"/>
  <c r="BJ294" i="1"/>
  <c r="BJ286" i="1"/>
  <c r="BJ278" i="1"/>
  <c r="BJ270" i="1"/>
  <c r="BJ262" i="1"/>
  <c r="BJ254" i="1"/>
  <c r="BJ246" i="1"/>
  <c r="BJ238" i="1"/>
  <c r="BJ230" i="1"/>
  <c r="BJ222" i="1"/>
  <c r="BJ214" i="1"/>
  <c r="BJ206" i="1"/>
  <c r="BJ198" i="1"/>
  <c r="BJ190" i="1"/>
  <c r="BJ182" i="1"/>
  <c r="BJ174" i="1"/>
  <c r="BJ166" i="1"/>
  <c r="BJ158" i="1"/>
  <c r="BJ150" i="1"/>
  <c r="BJ142" i="1"/>
  <c r="BJ134" i="1"/>
  <c r="BJ126" i="1"/>
  <c r="BJ118" i="1"/>
  <c r="BJ110" i="1"/>
  <c r="BJ102" i="1"/>
  <c r="BJ94" i="1"/>
  <c r="BJ86" i="1"/>
  <c r="BJ78" i="1"/>
  <c r="BJ70" i="1"/>
  <c r="BJ62" i="1"/>
  <c r="BJ54" i="1"/>
  <c r="BJ46" i="1"/>
  <c r="BJ38" i="1"/>
  <c r="BJ30" i="1"/>
  <c r="BJ22" i="1"/>
  <c r="BG344" i="1"/>
  <c r="BG144" i="1"/>
  <c r="BG389" i="1"/>
  <c r="BG253" i="1"/>
  <c r="BG205" i="1"/>
  <c r="BI5" i="1"/>
  <c r="BG328" i="1"/>
  <c r="BG162" i="1"/>
  <c r="BH404" i="1"/>
  <c r="BG252" i="1"/>
  <c r="BG311" i="1"/>
  <c r="BG6" i="1"/>
  <c r="BG212" i="1"/>
  <c r="BG172" i="1"/>
  <c r="BG336" i="1"/>
  <c r="BG421" i="1"/>
  <c r="BI111" i="1"/>
  <c r="BI109" i="1"/>
  <c r="BI79" i="1"/>
  <c r="BI277" i="1"/>
  <c r="BI245" i="1"/>
  <c r="BI45" i="1"/>
  <c r="BG235" i="1"/>
  <c r="BG123" i="1"/>
  <c r="BG19" i="1"/>
  <c r="BI469" i="1"/>
  <c r="BI213" i="1"/>
  <c r="BI437" i="1"/>
  <c r="BI205" i="1"/>
  <c r="BI77" i="1"/>
  <c r="BG335" i="1"/>
  <c r="BI175" i="1"/>
  <c r="BI47" i="1"/>
  <c r="BI173" i="1"/>
  <c r="BI341" i="1"/>
  <c r="BI143" i="1"/>
  <c r="BI15" i="1"/>
  <c r="BI373" i="1"/>
  <c r="BG474" i="1"/>
  <c r="BG178" i="1"/>
  <c r="BI309" i="1"/>
  <c r="BI141" i="1"/>
  <c r="BI13" i="1"/>
  <c r="BI501" i="1"/>
  <c r="BI463" i="1"/>
  <c r="BI399" i="1"/>
  <c r="BG218" i="1"/>
  <c r="BG114" i="1"/>
  <c r="BI453" i="1"/>
  <c r="BI421" i="1"/>
  <c r="BI389" i="1"/>
  <c r="BI357" i="1"/>
  <c r="BI293" i="1"/>
  <c r="BI261" i="1"/>
  <c r="BI229" i="1"/>
  <c r="BI191" i="1"/>
  <c r="BI159" i="1"/>
  <c r="BI127" i="1"/>
  <c r="BI95" i="1"/>
  <c r="BI63" i="1"/>
  <c r="BI31" i="1"/>
  <c r="BI479" i="1"/>
  <c r="BI447" i="1"/>
  <c r="BI415" i="1"/>
  <c r="BI383" i="1"/>
  <c r="BI351" i="1"/>
  <c r="BI319" i="1"/>
  <c r="BI287" i="1"/>
  <c r="BI255" i="1"/>
  <c r="BI223" i="1"/>
  <c r="BI189" i="1"/>
  <c r="BI157" i="1"/>
  <c r="BI125" i="1"/>
  <c r="BI93" i="1"/>
  <c r="BI61" i="1"/>
  <c r="BI29" i="1"/>
  <c r="BI477" i="1"/>
  <c r="BI445" i="1"/>
  <c r="BI317" i="1"/>
  <c r="BI253" i="1"/>
  <c r="BI221" i="1"/>
  <c r="BI183" i="1"/>
  <c r="BI151" i="1"/>
  <c r="BI119" i="1"/>
  <c r="BI87" i="1"/>
  <c r="BI55" i="1"/>
  <c r="BI23" i="1"/>
  <c r="BI471" i="1"/>
  <c r="BI439" i="1"/>
  <c r="BI407" i="1"/>
  <c r="BI375" i="1"/>
  <c r="BI343" i="1"/>
  <c r="BI311" i="1"/>
  <c r="BI247" i="1"/>
  <c r="BI181" i="1"/>
  <c r="BI149" i="1"/>
  <c r="BI117" i="1"/>
  <c r="BI85" i="1"/>
  <c r="BI53" i="1"/>
  <c r="BI21" i="1"/>
  <c r="BI493" i="1"/>
  <c r="BI461" i="1"/>
  <c r="BI429" i="1"/>
  <c r="BI397" i="1"/>
  <c r="BI333" i="1"/>
  <c r="BI301" i="1"/>
  <c r="BI269" i="1"/>
  <c r="BI237" i="1"/>
  <c r="BI199" i="1"/>
  <c r="BI167" i="1"/>
  <c r="BI135" i="1"/>
  <c r="BI103" i="1"/>
  <c r="BI71" i="1"/>
  <c r="BI39" i="1"/>
  <c r="BI495" i="1"/>
  <c r="BI431" i="1"/>
  <c r="BI367" i="1"/>
  <c r="BI335" i="1"/>
  <c r="BI271" i="1"/>
  <c r="BI207" i="1"/>
  <c r="BI487" i="1"/>
  <c r="BI455" i="1"/>
  <c r="BI423" i="1"/>
  <c r="BI359" i="1"/>
  <c r="BI327" i="1"/>
  <c r="BI295" i="1"/>
  <c r="BI263" i="1"/>
  <c r="BI231" i="1"/>
  <c r="BI197" i="1"/>
  <c r="BI165" i="1"/>
  <c r="BI133" i="1"/>
  <c r="BI101" i="1"/>
  <c r="BI69" i="1"/>
  <c r="BI37" i="1"/>
  <c r="BH137" i="1"/>
  <c r="BI500" i="1"/>
  <c r="BI492" i="1"/>
  <c r="BI484" i="1"/>
  <c r="BI468" i="1"/>
  <c r="BI460" i="1"/>
  <c r="BI452" i="1"/>
  <c r="BI444" i="1"/>
  <c r="BI436" i="1"/>
  <c r="BI428" i="1"/>
  <c r="BI420" i="1"/>
  <c r="BI412" i="1"/>
  <c r="BI404" i="1"/>
  <c r="BI396" i="1"/>
  <c r="BI388" i="1"/>
  <c r="BI380" i="1"/>
  <c r="BI372" i="1"/>
  <c r="BI364" i="1"/>
  <c r="BI356" i="1"/>
  <c r="BI340" i="1"/>
  <c r="BI332" i="1"/>
  <c r="BI324" i="1"/>
  <c r="BI316" i="1"/>
  <c r="BI308" i="1"/>
  <c r="BI292" i="1"/>
  <c r="BI284" i="1"/>
  <c r="BI276" i="1"/>
  <c r="BI268" i="1"/>
  <c r="BI260" i="1"/>
  <c r="BI252" i="1"/>
  <c r="BI244" i="1"/>
  <c r="BI236" i="1"/>
  <c r="BI228" i="1"/>
  <c r="BI220" i="1"/>
  <c r="BI212" i="1"/>
  <c r="BI204" i="1"/>
  <c r="BI196" i="1"/>
  <c r="BI188" i="1"/>
  <c r="BI180" i="1"/>
  <c r="BI172" i="1"/>
  <c r="BI164" i="1"/>
  <c r="BI156" i="1"/>
  <c r="BI148" i="1"/>
  <c r="BI132" i="1"/>
  <c r="BI124" i="1"/>
  <c r="BI116" i="1"/>
  <c r="BI108" i="1"/>
  <c r="BI100" i="1"/>
  <c r="BI92" i="1"/>
  <c r="BI84" i="1"/>
  <c r="BI60" i="1"/>
  <c r="BI52" i="1"/>
  <c r="BI44" i="1"/>
  <c r="BI36" i="1"/>
  <c r="BI28" i="1"/>
  <c r="BI20" i="1"/>
  <c r="BI12" i="1"/>
  <c r="BI499" i="1"/>
  <c r="BI491" i="1"/>
  <c r="BI483" i="1"/>
  <c r="BI475" i="1"/>
  <c r="BI467" i="1"/>
  <c r="BI459" i="1"/>
  <c r="BI451" i="1"/>
  <c r="BI443" i="1"/>
  <c r="BI435" i="1"/>
  <c r="BI427" i="1"/>
  <c r="BI419" i="1"/>
  <c r="BI411" i="1"/>
  <c r="BI403" i="1"/>
  <c r="BI395" i="1"/>
  <c r="BI387" i="1"/>
  <c r="BI379" i="1"/>
  <c r="BI371" i="1"/>
  <c r="BI363" i="1"/>
  <c r="BI355" i="1"/>
  <c r="BI339" i="1"/>
  <c r="BI331" i="1"/>
  <c r="BI323" i="1"/>
  <c r="BI315" i="1"/>
  <c r="BI307" i="1"/>
  <c r="BI299" i="1"/>
  <c r="BI291" i="1"/>
  <c r="BI283" i="1"/>
  <c r="BI275" i="1"/>
  <c r="BI267" i="1"/>
  <c r="BI259" i="1"/>
  <c r="BI251" i="1"/>
  <c r="BI243" i="1"/>
  <c r="BI235" i="1"/>
  <c r="BI211" i="1"/>
  <c r="BI203" i="1"/>
  <c r="BI195" i="1"/>
  <c r="BI187" i="1"/>
  <c r="BI179" i="1"/>
  <c r="BI171" i="1"/>
  <c r="BI163" i="1"/>
  <c r="BI155" i="1"/>
  <c r="BI147" i="1"/>
  <c r="BI139" i="1"/>
  <c r="BI131" i="1"/>
  <c r="BI123" i="1"/>
  <c r="BI115" i="1"/>
  <c r="BI107" i="1"/>
  <c r="BI99" i="1"/>
  <c r="BI91" i="1"/>
  <c r="BI83" i="1"/>
  <c r="BI75" i="1"/>
  <c r="BI67" i="1"/>
  <c r="BI59" i="1"/>
  <c r="BI51" i="1"/>
  <c r="BI43" i="1"/>
  <c r="BI35" i="1"/>
  <c r="BI27" i="1"/>
  <c r="BI19" i="1"/>
  <c r="BI11" i="1"/>
  <c r="BI498" i="1"/>
  <c r="BI490" i="1"/>
  <c r="BI482" i="1"/>
  <c r="BI474" i="1"/>
  <c r="BI466" i="1"/>
  <c r="BI458" i="1"/>
  <c r="BI450" i="1"/>
  <c r="BI442" i="1"/>
  <c r="BI434" i="1"/>
  <c r="BI426" i="1"/>
  <c r="BI418" i="1"/>
  <c r="BI410" i="1"/>
  <c r="BI402" i="1"/>
  <c r="BI394" i="1"/>
  <c r="BI386" i="1"/>
  <c r="BI370" i="1"/>
  <c r="BI362" i="1"/>
  <c r="BI354" i="1"/>
  <c r="BI346" i="1"/>
  <c r="BI338" i="1"/>
  <c r="BI330" i="1"/>
  <c r="BI322" i="1"/>
  <c r="BI314" i="1"/>
  <c r="BI306" i="1"/>
  <c r="BI298" i="1"/>
  <c r="BI290" i="1"/>
  <c r="BI282" i="1"/>
  <c r="BI274" i="1"/>
  <c r="BI266" i="1"/>
  <c r="BI258" i="1"/>
  <c r="BI250" i="1"/>
  <c r="BI242" i="1"/>
  <c r="BI234" i="1"/>
  <c r="BI226" i="1"/>
  <c r="BI218" i="1"/>
  <c r="BI210" i="1"/>
  <c r="BI202" i="1"/>
  <c r="BI194" i="1"/>
  <c r="BI186" i="1"/>
  <c r="BI178" i="1"/>
  <c r="BI170" i="1"/>
  <c r="BI162" i="1"/>
  <c r="BI154" i="1"/>
  <c r="BI146" i="1"/>
  <c r="BI138" i="1"/>
  <c r="BI130" i="1"/>
  <c r="BI122" i="1"/>
  <c r="BI114" i="1"/>
  <c r="BI106" i="1"/>
  <c r="BI98" i="1"/>
  <c r="BI90" i="1"/>
  <c r="BI82" i="1"/>
  <c r="BI74" i="1"/>
  <c r="BI66" i="1"/>
  <c r="BI58" i="1"/>
  <c r="BI50" i="1"/>
  <c r="BI42" i="1"/>
  <c r="BI34" i="1"/>
  <c r="BI26" i="1"/>
  <c r="BI10" i="1"/>
  <c r="BI497" i="1"/>
  <c r="BI489" i="1"/>
  <c r="BI481" i="1"/>
  <c r="BI473" i="1"/>
  <c r="BI465" i="1"/>
  <c r="BI457" i="1"/>
  <c r="BI449" i="1"/>
  <c r="BI441" i="1"/>
  <c r="BI433" i="1"/>
  <c r="BI425" i="1"/>
  <c r="BI417" i="1"/>
  <c r="BI409" i="1"/>
  <c r="BI401" i="1"/>
  <c r="BI393" i="1"/>
  <c r="BI385" i="1"/>
  <c r="BI377" i="1"/>
  <c r="BI369" i="1"/>
  <c r="BI361" i="1"/>
  <c r="BI353" i="1"/>
  <c r="BI345" i="1"/>
  <c r="BI337" i="1"/>
  <c r="BI329" i="1"/>
  <c r="BI321" i="1"/>
  <c r="BI313" i="1"/>
  <c r="BI305" i="1"/>
  <c r="BI297" i="1"/>
  <c r="BI289" i="1"/>
  <c r="BI281" i="1"/>
  <c r="BI273" i="1"/>
  <c r="BI265" i="1"/>
  <c r="BI257" i="1"/>
  <c r="BI249" i="1"/>
  <c r="BI241" i="1"/>
  <c r="BI233" i="1"/>
  <c r="BI225" i="1"/>
  <c r="BI217" i="1"/>
  <c r="BI209" i="1"/>
  <c r="BI201" i="1"/>
  <c r="BI193" i="1"/>
  <c r="BI185" i="1"/>
  <c r="BI177" i="1"/>
  <c r="BI169" i="1"/>
  <c r="BI161" i="1"/>
  <c r="BI153" i="1"/>
  <c r="BI145" i="1"/>
  <c r="BI137" i="1"/>
  <c r="BI129" i="1"/>
  <c r="BI121" i="1"/>
  <c r="BI113" i="1"/>
  <c r="BI105" i="1"/>
  <c r="BI97" i="1"/>
  <c r="BI89" i="1"/>
  <c r="BI81" i="1"/>
  <c r="BI73" i="1"/>
  <c r="BI65" i="1"/>
  <c r="BI57" i="1"/>
  <c r="BI49" i="1"/>
  <c r="BI41" i="1"/>
  <c r="BI33" i="1"/>
  <c r="BI25" i="1"/>
  <c r="BI17" i="1"/>
  <c r="BI9" i="1"/>
  <c r="BG405" i="1"/>
  <c r="BH325" i="1"/>
  <c r="BI504" i="1"/>
  <c r="BI496" i="1"/>
  <c r="BI488" i="1"/>
  <c r="BI480" i="1"/>
  <c r="BI472" i="1"/>
  <c r="BI464" i="1"/>
  <c r="BI456" i="1"/>
  <c r="BI448" i="1"/>
  <c r="BI440" i="1"/>
  <c r="BI432" i="1"/>
  <c r="BI424" i="1"/>
  <c r="BI416" i="1"/>
  <c r="BI408" i="1"/>
  <c r="BI400" i="1"/>
  <c r="BI392" i="1"/>
  <c r="BI384" i="1"/>
  <c r="BI376" i="1"/>
  <c r="BI368" i="1"/>
  <c r="BI360" i="1"/>
  <c r="BI352" i="1"/>
  <c r="BI344" i="1"/>
  <c r="BI336" i="1"/>
  <c r="BI328" i="1"/>
  <c r="BI320" i="1"/>
  <c r="BI312" i="1"/>
  <c r="BI304" i="1"/>
  <c r="BI296" i="1"/>
  <c r="BI288" i="1"/>
  <c r="BI280" i="1"/>
  <c r="BI272" i="1"/>
  <c r="BI264" i="1"/>
  <c r="BI256" i="1"/>
  <c r="BI248" i="1"/>
  <c r="BI240" i="1"/>
  <c r="BI232" i="1"/>
  <c r="BI216" i="1"/>
  <c r="BI200" i="1"/>
  <c r="BI192" i="1"/>
  <c r="BI184" i="1"/>
  <c r="BI176" i="1"/>
  <c r="BI168" i="1"/>
  <c r="BI160" i="1"/>
  <c r="BI152" i="1"/>
  <c r="BI144" i="1"/>
  <c r="BI136" i="1"/>
  <c r="BI128" i="1"/>
  <c r="BI120" i="1"/>
  <c r="BI112" i="1"/>
  <c r="BI104" i="1"/>
  <c r="BI96" i="1"/>
  <c r="BI88" i="1"/>
  <c r="BI80" i="1"/>
  <c r="BI72" i="1"/>
  <c r="BI64" i="1"/>
  <c r="BI56" i="1"/>
  <c r="BI48" i="1"/>
  <c r="BI40" i="1"/>
  <c r="BI32" i="1"/>
  <c r="BI24" i="1"/>
  <c r="BI16" i="1"/>
  <c r="BI8" i="1"/>
  <c r="BG279" i="1"/>
  <c r="BG239" i="1"/>
  <c r="BH215" i="1"/>
  <c r="BI494" i="1"/>
  <c r="BI486" i="1"/>
  <c r="BI478" i="1"/>
  <c r="BI470" i="1"/>
  <c r="BI462" i="1"/>
  <c r="BI454" i="1"/>
  <c r="BI446" i="1"/>
  <c r="BI438" i="1"/>
  <c r="BI430" i="1"/>
  <c r="BI422" i="1"/>
  <c r="BI414" i="1"/>
  <c r="BI406" i="1"/>
  <c r="BI398" i="1"/>
  <c r="BI390" i="1"/>
  <c r="BI382" i="1"/>
  <c r="BI374" i="1"/>
  <c r="BI366" i="1"/>
  <c r="BI358" i="1"/>
  <c r="BI350" i="1"/>
  <c r="BI342" i="1"/>
  <c r="BI334" i="1"/>
  <c r="BI326" i="1"/>
  <c r="BI318" i="1"/>
  <c r="BI310" i="1"/>
  <c r="BI302" i="1"/>
  <c r="BI294" i="1"/>
  <c r="BI286" i="1"/>
  <c r="BI278" i="1"/>
  <c r="BI270" i="1"/>
  <c r="BI262" i="1"/>
  <c r="BI254" i="1"/>
  <c r="BI238" i="1"/>
  <c r="BI230" i="1"/>
  <c r="BI222" i="1"/>
  <c r="BI214" i="1"/>
  <c r="BI206" i="1"/>
  <c r="BI198" i="1"/>
  <c r="BI190" i="1"/>
  <c r="BI182" i="1"/>
  <c r="BI174" i="1"/>
  <c r="BI166" i="1"/>
  <c r="BI158" i="1"/>
  <c r="BI150" i="1"/>
  <c r="BI142" i="1"/>
  <c r="BI134" i="1"/>
  <c r="BI126" i="1"/>
  <c r="BI118" i="1"/>
  <c r="BI110" i="1"/>
  <c r="BI102" i="1"/>
  <c r="BI94" i="1"/>
  <c r="BI86" i="1"/>
  <c r="BI78" i="1"/>
  <c r="BI70" i="1"/>
  <c r="BI62" i="1"/>
  <c r="BI54" i="1"/>
  <c r="BI46" i="1"/>
  <c r="BI38" i="1"/>
  <c r="BI30" i="1"/>
  <c r="BI22" i="1"/>
  <c r="BI14" i="1"/>
  <c r="BI6" i="1"/>
  <c r="BG349" i="1"/>
  <c r="BG502" i="1"/>
  <c r="BG485" i="1"/>
  <c r="BH5" i="1"/>
  <c r="BG413" i="1"/>
  <c r="BG381" i="1"/>
  <c r="BG140" i="1"/>
  <c r="BG76" i="1"/>
  <c r="BG347" i="1"/>
  <c r="BG227" i="1"/>
  <c r="BG219" i="1"/>
  <c r="BH191" i="1"/>
  <c r="BH246" i="1"/>
  <c r="BH63" i="1"/>
  <c r="BG378" i="1"/>
  <c r="BG18" i="1"/>
  <c r="BG348" i="1"/>
  <c r="BG300" i="1"/>
  <c r="BH68" i="1"/>
  <c r="BH377" i="1"/>
  <c r="BG7" i="1"/>
  <c r="BG503" i="1"/>
  <c r="BG391" i="1"/>
  <c r="BH375" i="1"/>
  <c r="BH153" i="1"/>
  <c r="BH343" i="1"/>
  <c r="BH151" i="1"/>
  <c r="BH281" i="1"/>
  <c r="BH279" i="1"/>
  <c r="BH89" i="1"/>
  <c r="BH255" i="1"/>
  <c r="BH87" i="1"/>
  <c r="BH217" i="1"/>
  <c r="BG365" i="1"/>
  <c r="BH285" i="1"/>
  <c r="BH463" i="1"/>
  <c r="BH25" i="1"/>
  <c r="BH455" i="1"/>
  <c r="BH319" i="1"/>
  <c r="BH249" i="1"/>
  <c r="BH185" i="1"/>
  <c r="BG303" i="1"/>
  <c r="BG215" i="1"/>
  <c r="BH447" i="1"/>
  <c r="BH313" i="1"/>
  <c r="BH247" i="1"/>
  <c r="BH183" i="1"/>
  <c r="BH119" i="1"/>
  <c r="BH55" i="1"/>
  <c r="BH224" i="1"/>
  <c r="BH409" i="1"/>
  <c r="BH311" i="1"/>
  <c r="BH241" i="1"/>
  <c r="BH177" i="1"/>
  <c r="BH113" i="1"/>
  <c r="BH49" i="1"/>
  <c r="BG57" i="1"/>
  <c r="BH407" i="1"/>
  <c r="BH287" i="1"/>
  <c r="BH223" i="1"/>
  <c r="BH95" i="1"/>
  <c r="BH31" i="1"/>
  <c r="BH23" i="1"/>
  <c r="BG476" i="1"/>
  <c r="BH345" i="1"/>
  <c r="BH273" i="1"/>
  <c r="BH209" i="1"/>
  <c r="BH145" i="1"/>
  <c r="BH81" i="1"/>
  <c r="BH401" i="1"/>
  <c r="BH369" i="1"/>
  <c r="BH305" i="1"/>
  <c r="BH503" i="1"/>
  <c r="BH439" i="1"/>
  <c r="BH399" i="1"/>
  <c r="BH367" i="1"/>
  <c r="BH335" i="1"/>
  <c r="BH303" i="1"/>
  <c r="BH271" i="1"/>
  <c r="BH239" i="1"/>
  <c r="BH207" i="1"/>
  <c r="BH175" i="1"/>
  <c r="BH143" i="1"/>
  <c r="BH111" i="1"/>
  <c r="BH47" i="1"/>
  <c r="BH495" i="1"/>
  <c r="BH431" i="1"/>
  <c r="BH393" i="1"/>
  <c r="BH361" i="1"/>
  <c r="BH329" i="1"/>
  <c r="BH297" i="1"/>
  <c r="BH233" i="1"/>
  <c r="BH201" i="1"/>
  <c r="BH105" i="1"/>
  <c r="BH73" i="1"/>
  <c r="BH41" i="1"/>
  <c r="BH9" i="1"/>
  <c r="BH487" i="1"/>
  <c r="BH423" i="1"/>
  <c r="BH391" i="1"/>
  <c r="BH359" i="1"/>
  <c r="BH327" i="1"/>
  <c r="BH295" i="1"/>
  <c r="BH263" i="1"/>
  <c r="BH231" i="1"/>
  <c r="BH199" i="1"/>
  <c r="BH167" i="1"/>
  <c r="BH135" i="1"/>
  <c r="BH103" i="1"/>
  <c r="BH71" i="1"/>
  <c r="BH39" i="1"/>
  <c r="BH7" i="1"/>
  <c r="BH479" i="1"/>
  <c r="BH417" i="1"/>
  <c r="BH385" i="1"/>
  <c r="BH353" i="1"/>
  <c r="BH289" i="1"/>
  <c r="BH225" i="1"/>
  <c r="BH193" i="1"/>
  <c r="BH161" i="1"/>
  <c r="BH129" i="1"/>
  <c r="BH97" i="1"/>
  <c r="BH65" i="1"/>
  <c r="BH33" i="1"/>
  <c r="BG337" i="1"/>
  <c r="BG265" i="1"/>
  <c r="BG257" i="1"/>
  <c r="BG17" i="1"/>
  <c r="BH471" i="1"/>
  <c r="BH415" i="1"/>
  <c r="BH383" i="1"/>
  <c r="BH351" i="1"/>
  <c r="BH497" i="1"/>
  <c r="BH473" i="1"/>
  <c r="BH449" i="1"/>
  <c r="BH433" i="1"/>
  <c r="BG208" i="1"/>
  <c r="BH501" i="1"/>
  <c r="BH485" i="1"/>
  <c r="BH477" i="1"/>
  <c r="BH469" i="1"/>
  <c r="BH461" i="1"/>
  <c r="BH453" i="1"/>
  <c r="BH437" i="1"/>
  <c r="BH429" i="1"/>
  <c r="BH421" i="1"/>
  <c r="BH413" i="1"/>
  <c r="BH405" i="1"/>
  <c r="BH397" i="1"/>
  <c r="BH389" i="1"/>
  <c r="BH381" i="1"/>
  <c r="BH373" i="1"/>
  <c r="BH365" i="1"/>
  <c r="BH357" i="1"/>
  <c r="BH349" i="1"/>
  <c r="BH341" i="1"/>
  <c r="BH333" i="1"/>
  <c r="BH317" i="1"/>
  <c r="BH309" i="1"/>
  <c r="BH293" i="1"/>
  <c r="BH277" i="1"/>
  <c r="BH269" i="1"/>
  <c r="BH261" i="1"/>
  <c r="BH253" i="1"/>
  <c r="BH245" i="1"/>
  <c r="BH237" i="1"/>
  <c r="BH229" i="1"/>
  <c r="BH221" i="1"/>
  <c r="BH213" i="1"/>
  <c r="BH205" i="1"/>
  <c r="BH197" i="1"/>
  <c r="BH189" i="1"/>
  <c r="BH173" i="1"/>
  <c r="BH157" i="1"/>
  <c r="BH149" i="1"/>
  <c r="BH141" i="1"/>
  <c r="BH125" i="1"/>
  <c r="BH117" i="1"/>
  <c r="BH109" i="1"/>
  <c r="BH101" i="1"/>
  <c r="BH93" i="1"/>
  <c r="BH77" i="1"/>
  <c r="BH69" i="1"/>
  <c r="BH61" i="1"/>
  <c r="BH53" i="1"/>
  <c r="BH45" i="1"/>
  <c r="BH29" i="1"/>
  <c r="BH21" i="1"/>
  <c r="BH13" i="1"/>
  <c r="BH500" i="1"/>
  <c r="BH492" i="1"/>
  <c r="BH484" i="1"/>
  <c r="BH476" i="1"/>
  <c r="BH468" i="1"/>
  <c r="BH460" i="1"/>
  <c r="BH452" i="1"/>
  <c r="BH444" i="1"/>
  <c r="BH436" i="1"/>
  <c r="BH428" i="1"/>
  <c r="BH420" i="1"/>
  <c r="BH412" i="1"/>
  <c r="BH396" i="1"/>
  <c r="BH388" i="1"/>
  <c r="BH380" i="1"/>
  <c r="BH372" i="1"/>
  <c r="BH364" i="1"/>
  <c r="BH356" i="1"/>
  <c r="BH348" i="1"/>
  <c r="BH340" i="1"/>
  <c r="BH332" i="1"/>
  <c r="BH324" i="1"/>
  <c r="BH316" i="1"/>
  <c r="BH308" i="1"/>
  <c r="BH300" i="1"/>
  <c r="BH292" i="1"/>
  <c r="BH276" i="1"/>
  <c r="BH268" i="1"/>
  <c r="BH260" i="1"/>
  <c r="BH252" i="1"/>
  <c r="BH244" i="1"/>
  <c r="BH236" i="1"/>
  <c r="BH228" i="1"/>
  <c r="BH212" i="1"/>
  <c r="BH204" i="1"/>
  <c r="BH188" i="1"/>
  <c r="BH180" i="1"/>
  <c r="BH172" i="1"/>
  <c r="BH164" i="1"/>
  <c r="BH156" i="1"/>
  <c r="BH148" i="1"/>
  <c r="BH140" i="1"/>
  <c r="BH132" i="1"/>
  <c r="BH124" i="1"/>
  <c r="BH108" i="1"/>
  <c r="BH100" i="1"/>
  <c r="BH92" i="1"/>
  <c r="BH84" i="1"/>
  <c r="BH76" i="1"/>
  <c r="BH60" i="1"/>
  <c r="BH52" i="1"/>
  <c r="BH44" i="1"/>
  <c r="BH36" i="1"/>
  <c r="BH28" i="1"/>
  <c r="BH20" i="1"/>
  <c r="BH12" i="1"/>
  <c r="BH491" i="1"/>
  <c r="BH483" i="1"/>
  <c r="BH467" i="1"/>
  <c r="BH451" i="1"/>
  <c r="BH435" i="1"/>
  <c r="BH427" i="1"/>
  <c r="BH419" i="1"/>
  <c r="BH411" i="1"/>
  <c r="BH403" i="1"/>
  <c r="BH395" i="1"/>
  <c r="BH387" i="1"/>
  <c r="BH379" i="1"/>
  <c r="BH363" i="1"/>
  <c r="BH355" i="1"/>
  <c r="BH347" i="1"/>
  <c r="BH339" i="1"/>
  <c r="BH331" i="1"/>
  <c r="BH323" i="1"/>
  <c r="BH315" i="1"/>
  <c r="BH307" i="1"/>
  <c r="BH291" i="1"/>
  <c r="BH283" i="1"/>
  <c r="BH275" i="1"/>
  <c r="BH267" i="1"/>
  <c r="BH259" i="1"/>
  <c r="BH251" i="1"/>
  <c r="BH243" i="1"/>
  <c r="BH235" i="1"/>
  <c r="BH227" i="1"/>
  <c r="BH219" i="1"/>
  <c r="BH211" i="1"/>
  <c r="BH203" i="1"/>
  <c r="BH195" i="1"/>
  <c r="BH187" i="1"/>
  <c r="BH179" i="1"/>
  <c r="BH171" i="1"/>
  <c r="BH163" i="1"/>
  <c r="BH147" i="1"/>
  <c r="BH139" i="1"/>
  <c r="BH131" i="1"/>
  <c r="BH123" i="1"/>
  <c r="BH115" i="1"/>
  <c r="BH107" i="1"/>
  <c r="BH99" i="1"/>
  <c r="BH83" i="1"/>
  <c r="BH75" i="1"/>
  <c r="BH59" i="1"/>
  <c r="BH51" i="1"/>
  <c r="BH43" i="1"/>
  <c r="BH35" i="1"/>
  <c r="BH27" i="1"/>
  <c r="BH19" i="1"/>
  <c r="BH11" i="1"/>
  <c r="BH490" i="1"/>
  <c r="BH482" i="1"/>
  <c r="BH474" i="1"/>
  <c r="BH466" i="1"/>
  <c r="BH458" i="1"/>
  <c r="BH450" i="1"/>
  <c r="BH442" i="1"/>
  <c r="BH434" i="1"/>
  <c r="BH418" i="1"/>
  <c r="BH410" i="1"/>
  <c r="BH402" i="1"/>
  <c r="BH394" i="1"/>
  <c r="BH386" i="1"/>
  <c r="BH378" i="1"/>
  <c r="BH370" i="1"/>
  <c r="BH362" i="1"/>
  <c r="BH354" i="1"/>
  <c r="BH346" i="1"/>
  <c r="BH338" i="1"/>
  <c r="BH330" i="1"/>
  <c r="BH322" i="1"/>
  <c r="BH314" i="1"/>
  <c r="BH298" i="1"/>
  <c r="BH290" i="1"/>
  <c r="BH282" i="1"/>
  <c r="BH274" i="1"/>
  <c r="BH266" i="1"/>
  <c r="BH258" i="1"/>
  <c r="BH250" i="1"/>
  <c r="BH242" i="1"/>
  <c r="BH234" i="1"/>
  <c r="BH226" i="1"/>
  <c r="BH218" i="1"/>
  <c r="BH210" i="1"/>
  <c r="BH202" i="1"/>
  <c r="BH194" i="1"/>
  <c r="BH186" i="1"/>
  <c r="BH178" i="1"/>
  <c r="BH170" i="1"/>
  <c r="BH162" i="1"/>
  <c r="BH154" i="1"/>
  <c r="BH146" i="1"/>
  <c r="BH138" i="1"/>
  <c r="BH130" i="1"/>
  <c r="BH122" i="1"/>
  <c r="BH114" i="1"/>
  <c r="BH106" i="1"/>
  <c r="BH98" i="1"/>
  <c r="BH82" i="1"/>
  <c r="BH74" i="1"/>
  <c r="BH66" i="1"/>
  <c r="BH58" i="1"/>
  <c r="BH50" i="1"/>
  <c r="BH42" i="1"/>
  <c r="BH34" i="1"/>
  <c r="BH26" i="1"/>
  <c r="BH18" i="1"/>
  <c r="BG133" i="1"/>
  <c r="BH504" i="1"/>
  <c r="BH496" i="1"/>
  <c r="BH488" i="1"/>
  <c r="BH480" i="1"/>
  <c r="BH472" i="1"/>
  <c r="BH464" i="1"/>
  <c r="BH456" i="1"/>
  <c r="BH448" i="1"/>
  <c r="BH432" i="1"/>
  <c r="BH424" i="1"/>
  <c r="BH416" i="1"/>
  <c r="BH408" i="1"/>
  <c r="BH400" i="1"/>
  <c r="BH392" i="1"/>
  <c r="BH384" i="1"/>
  <c r="BH376" i="1"/>
  <c r="BH360" i="1"/>
  <c r="BH352" i="1"/>
  <c r="BH344" i="1"/>
  <c r="BH336" i="1"/>
  <c r="BH328" i="1"/>
  <c r="BH320" i="1"/>
  <c r="BH312" i="1"/>
  <c r="BH304" i="1"/>
  <c r="BH296" i="1"/>
  <c r="BH280" i="1"/>
  <c r="BH272" i="1"/>
  <c r="BH264" i="1"/>
  <c r="BH256" i="1"/>
  <c r="BH248" i="1"/>
  <c r="BH240" i="1"/>
  <c r="BH232" i="1"/>
  <c r="BH208" i="1"/>
  <c r="BH200" i="1"/>
  <c r="BH192" i="1"/>
  <c r="BH184" i="1"/>
  <c r="BH176" i="1"/>
  <c r="BH168" i="1"/>
  <c r="BH160" i="1"/>
  <c r="BH152" i="1"/>
  <c r="BH144" i="1"/>
  <c r="BH136" i="1"/>
  <c r="BH128" i="1"/>
  <c r="BH120" i="1"/>
  <c r="BH112" i="1"/>
  <c r="BH104" i="1"/>
  <c r="BH96" i="1"/>
  <c r="BH88" i="1"/>
  <c r="BH80" i="1"/>
  <c r="BH64" i="1"/>
  <c r="BH56" i="1"/>
  <c r="BH48" i="1"/>
  <c r="BH40" i="1"/>
  <c r="BH32" i="1"/>
  <c r="BH24" i="1"/>
  <c r="BH16" i="1"/>
  <c r="BH8" i="1"/>
  <c r="BH481" i="1"/>
  <c r="BH465" i="1"/>
  <c r="BH457" i="1"/>
  <c r="BH441" i="1"/>
  <c r="BH425" i="1"/>
  <c r="BH502" i="1"/>
  <c r="BH494" i="1"/>
  <c r="BH486" i="1"/>
  <c r="BH478" i="1"/>
  <c r="BH470" i="1"/>
  <c r="BH462" i="1"/>
  <c r="BH454" i="1"/>
  <c r="BH446" i="1"/>
  <c r="BH438" i="1"/>
  <c r="BH430" i="1"/>
  <c r="BH422" i="1"/>
  <c r="BH414" i="1"/>
  <c r="BH406" i="1"/>
  <c r="BH398" i="1"/>
  <c r="BH390" i="1"/>
  <c r="BH382" i="1"/>
  <c r="BH374" i="1"/>
  <c r="BH366" i="1"/>
  <c r="BH358" i="1"/>
  <c r="BH350" i="1"/>
  <c r="BH342" i="1"/>
  <c r="BH334" i="1"/>
  <c r="BH326" i="1"/>
  <c r="BH318" i="1"/>
  <c r="BH310" i="1"/>
  <c r="BH302" i="1"/>
  <c r="BH294" i="1"/>
  <c r="BH286" i="1"/>
  <c r="BH278" i="1"/>
  <c r="BH270" i="1"/>
  <c r="BH262" i="1"/>
  <c r="BH254" i="1"/>
  <c r="BH230" i="1"/>
  <c r="BH214" i="1"/>
  <c r="BH206" i="1"/>
  <c r="BH198" i="1"/>
  <c r="BH190" i="1"/>
  <c r="BH182" i="1"/>
  <c r="BH174" i="1"/>
  <c r="BH158" i="1"/>
  <c r="BH150" i="1"/>
  <c r="BH142" i="1"/>
  <c r="BH134" i="1"/>
  <c r="BH126" i="1"/>
  <c r="BH118" i="1"/>
  <c r="BH110" i="1"/>
  <c r="BH102" i="1"/>
  <c r="BH94" i="1"/>
  <c r="BH86" i="1"/>
  <c r="BH78" i="1"/>
  <c r="BH70" i="1"/>
  <c r="BH62" i="1"/>
  <c r="BH54" i="1"/>
  <c r="BH46" i="1"/>
  <c r="BH38" i="1"/>
  <c r="BH30" i="1"/>
  <c r="BH22" i="1"/>
  <c r="BH14" i="1"/>
  <c r="BH6" i="1"/>
  <c r="BG443" i="1"/>
  <c r="BG155" i="1"/>
  <c r="BG301" i="1"/>
  <c r="BG85" i="1"/>
  <c r="BG181" i="1"/>
  <c r="BG440" i="1"/>
  <c r="BG288" i="1"/>
  <c r="BG489" i="1"/>
  <c r="BG137" i="1"/>
  <c r="BG165" i="1"/>
  <c r="BG37" i="1"/>
  <c r="BG238" i="1"/>
  <c r="BG222" i="1"/>
  <c r="BG426" i="1"/>
  <c r="BG306" i="1"/>
  <c r="BG220" i="1"/>
  <c r="BG68" i="1"/>
  <c r="BG246" i="1"/>
  <c r="BG166" i="1"/>
  <c r="BG499" i="1"/>
  <c r="BG67" i="1"/>
  <c r="BG493" i="1"/>
  <c r="BG325" i="1"/>
  <c r="BG15" i="1"/>
  <c r="BG498" i="1"/>
  <c r="BG459" i="1"/>
  <c r="BG10" i="1"/>
  <c r="BG196" i="1"/>
  <c r="BG127" i="1"/>
  <c r="BG475" i="1"/>
  <c r="BG299" i="1"/>
  <c r="BG91" i="1"/>
  <c r="BG159" i="1"/>
  <c r="BG79" i="1"/>
  <c r="BG321" i="1"/>
  <c r="BG169" i="1"/>
  <c r="BG121" i="1"/>
  <c r="BG404" i="1"/>
  <c r="BG284" i="1"/>
  <c r="BG116" i="1"/>
  <c r="BG445" i="1"/>
  <c r="BG371" i="1"/>
  <c r="BG224" i="1"/>
  <c r="BG90" i="1"/>
  <c r="BG285" i="1"/>
  <c r="BG368" i="1"/>
  <c r="BG216" i="1"/>
  <c r="BG72" i="1"/>
  <c r="AU4" i="1"/>
  <c r="H16" i="2" s="1"/>
  <c r="AK5" i="1"/>
  <c r="AK10" i="1"/>
  <c r="AL493" i="1"/>
  <c r="AK493" i="1"/>
  <c r="AJ461" i="1"/>
  <c r="AK461" i="1"/>
  <c r="AM485" i="1"/>
  <c r="AK485" i="1"/>
  <c r="AJ453" i="1"/>
  <c r="AK453" i="1"/>
  <c r="AJ469" i="1"/>
  <c r="AK469" i="1"/>
  <c r="AJ437" i="1"/>
  <c r="AK437" i="1"/>
  <c r="AM501" i="1"/>
  <c r="AK501" i="1"/>
  <c r="AL477" i="1"/>
  <c r="AK477" i="1"/>
  <c r="AO445" i="1"/>
  <c r="AK445" i="1"/>
  <c r="AJ429" i="1"/>
  <c r="AK429" i="1"/>
  <c r="AJ421" i="1"/>
  <c r="AK421" i="1"/>
  <c r="AN413" i="1"/>
  <c r="AK413" i="1"/>
  <c r="AJ397" i="1"/>
  <c r="AK397" i="1"/>
  <c r="AJ389" i="1"/>
  <c r="AK389" i="1"/>
  <c r="AL381" i="1"/>
  <c r="AK381" i="1"/>
  <c r="AO373" i="1"/>
  <c r="AK373" i="1"/>
  <c r="AJ365" i="1"/>
  <c r="AK365" i="1"/>
  <c r="AJ357" i="1"/>
  <c r="AK357" i="1"/>
  <c r="AM349" i="1"/>
  <c r="AK349" i="1"/>
  <c r="AM341" i="1"/>
  <c r="AK341" i="1"/>
  <c r="AL317" i="1"/>
  <c r="AK317" i="1"/>
  <c r="AJ301" i="1"/>
  <c r="AK301" i="1"/>
  <c r="AJ293" i="1"/>
  <c r="AK293" i="1"/>
  <c r="AJ285" i="1"/>
  <c r="AK285" i="1"/>
  <c r="AJ277" i="1"/>
  <c r="AK277" i="1"/>
  <c r="AJ269" i="1"/>
  <c r="AK269" i="1"/>
  <c r="AM261" i="1"/>
  <c r="AK261" i="1"/>
  <c r="AJ53" i="1"/>
  <c r="AK53" i="1"/>
  <c r="AJ45" i="1"/>
  <c r="AK45" i="1"/>
  <c r="AJ37" i="1"/>
  <c r="AK37" i="1"/>
  <c r="AJ29" i="1"/>
  <c r="AK29" i="1"/>
  <c r="AK13" i="1"/>
  <c r="AK8" i="1"/>
  <c r="AK15" i="1"/>
  <c r="AK14" i="1"/>
  <c r="AK6" i="1"/>
  <c r="AJ16" i="1"/>
  <c r="AJ11" i="1"/>
  <c r="AJ12" i="1"/>
  <c r="AJ300" i="1"/>
  <c r="AJ480" i="1"/>
  <c r="AJ495" i="1"/>
  <c r="AJ491" i="1"/>
  <c r="AJ486" i="1"/>
  <c r="AJ482" i="1"/>
  <c r="AJ479" i="1"/>
  <c r="AJ467" i="1"/>
  <c r="AJ459" i="1"/>
  <c r="AJ457" i="1"/>
  <c r="AJ447" i="1"/>
  <c r="AJ441" i="1"/>
  <c r="AJ439" i="1"/>
  <c r="AJ435" i="1"/>
  <c r="AJ433" i="1"/>
  <c r="AJ427" i="1"/>
  <c r="AJ415" i="1"/>
  <c r="AJ409" i="1"/>
  <c r="AJ406" i="1"/>
  <c r="AM404" i="1"/>
  <c r="AJ402" i="1"/>
  <c r="AJ396" i="1"/>
  <c r="AJ390" i="1"/>
  <c r="AJ386" i="1"/>
  <c r="AJ376" i="1"/>
  <c r="AJ375" i="1"/>
  <c r="AJ372" i="1"/>
  <c r="AJ368" i="1"/>
  <c r="AJ364" i="1"/>
  <c r="AJ362" i="1"/>
  <c r="AJ353" i="1"/>
  <c r="AJ345" i="1"/>
  <c r="AJ337" i="1"/>
  <c r="AJ329" i="1"/>
  <c r="AJ321" i="1"/>
  <c r="AJ319" i="1"/>
  <c r="AJ310" i="1"/>
  <c r="AJ308" i="1"/>
  <c r="AJ291" i="1"/>
  <c r="AJ289" i="1"/>
  <c r="AJ281" i="1"/>
  <c r="AJ271" i="1"/>
  <c r="AJ260" i="1"/>
  <c r="AJ258" i="1"/>
  <c r="AJ254" i="1"/>
  <c r="AJ252" i="1"/>
  <c r="AJ248" i="1"/>
  <c r="AJ246" i="1"/>
  <c r="AJ244" i="1"/>
  <c r="AJ242" i="1"/>
  <c r="AJ238" i="1"/>
  <c r="AJ236" i="1"/>
  <c r="AJ234" i="1"/>
  <c r="AJ232" i="1"/>
  <c r="AJ230" i="1"/>
  <c r="AJ228" i="1"/>
  <c r="AJ226" i="1"/>
  <c r="AJ224" i="1"/>
  <c r="AJ223" i="1"/>
  <c r="AJ221" i="1"/>
  <c r="AJ219" i="1"/>
  <c r="AJ217" i="1"/>
  <c r="AJ215" i="1"/>
  <c r="AJ213" i="1"/>
  <c r="AJ209" i="1"/>
  <c r="AJ207" i="1"/>
  <c r="AJ205" i="1"/>
  <c r="AJ203" i="1"/>
  <c r="AJ198" i="1"/>
  <c r="AJ196" i="1"/>
  <c r="AJ194" i="1"/>
  <c r="AJ192" i="1"/>
  <c r="AJ190" i="1"/>
  <c r="AJ188" i="1"/>
  <c r="AJ186" i="1"/>
  <c r="AJ184" i="1"/>
  <c r="AJ182" i="1"/>
  <c r="AJ180" i="1"/>
  <c r="AJ178" i="1"/>
  <c r="AJ176" i="1"/>
  <c r="AJ174" i="1"/>
  <c r="AJ172" i="1"/>
  <c r="AJ170" i="1"/>
  <c r="AJ168" i="1"/>
  <c r="AJ167" i="1"/>
  <c r="AJ165" i="1"/>
  <c r="AJ163" i="1"/>
  <c r="AJ161" i="1"/>
  <c r="AJ159" i="1"/>
  <c r="AJ157" i="1"/>
  <c r="AJ155" i="1"/>
  <c r="AJ153" i="1"/>
  <c r="AJ151" i="1"/>
  <c r="AJ149" i="1"/>
  <c r="AJ147" i="1"/>
  <c r="AJ145" i="1"/>
  <c r="AJ143" i="1"/>
  <c r="AJ141" i="1"/>
  <c r="AJ140" i="1"/>
  <c r="AJ138" i="1"/>
  <c r="AJ136" i="1"/>
  <c r="AJ134" i="1"/>
  <c r="AJ132" i="1"/>
  <c r="AJ130" i="1"/>
  <c r="AJ128" i="1"/>
  <c r="AJ126" i="1"/>
  <c r="AJ124" i="1"/>
  <c r="AJ122" i="1"/>
  <c r="AJ120" i="1"/>
  <c r="AJ118" i="1"/>
  <c r="AJ116" i="1"/>
  <c r="AJ114" i="1"/>
  <c r="AJ112" i="1"/>
  <c r="AJ110" i="1"/>
  <c r="AJ108" i="1"/>
  <c r="AJ107" i="1"/>
  <c r="AJ105" i="1"/>
  <c r="AJ103" i="1"/>
  <c r="AJ101" i="1"/>
  <c r="AJ99" i="1"/>
  <c r="AJ97" i="1"/>
  <c r="AJ95" i="1"/>
  <c r="AJ94" i="1"/>
  <c r="AJ92" i="1"/>
  <c r="AJ90" i="1"/>
  <c r="AJ88" i="1"/>
  <c r="AJ86" i="1"/>
  <c r="AJ84" i="1"/>
  <c r="AJ82" i="1"/>
  <c r="AJ80" i="1"/>
  <c r="AJ76" i="1"/>
  <c r="AJ502" i="1"/>
  <c r="AO500" i="1"/>
  <c r="AJ498" i="1"/>
  <c r="AJ496" i="1"/>
  <c r="AO484" i="1"/>
  <c r="AJ475" i="1"/>
  <c r="AJ470" i="1"/>
  <c r="AJ468" i="1"/>
  <c r="AJ464" i="1"/>
  <c r="AJ462" i="1"/>
  <c r="AO460" i="1"/>
  <c r="AJ456" i="1"/>
  <c r="AL452" i="1"/>
  <c r="AJ450" i="1"/>
  <c r="AJ444" i="1"/>
  <c r="AM436" i="1"/>
  <c r="AO428" i="1"/>
  <c r="AM420" i="1"/>
  <c r="AJ403" i="1"/>
  <c r="AJ385" i="1"/>
  <c r="AJ383" i="1"/>
  <c r="AJ382" i="1"/>
  <c r="AN380" i="1"/>
  <c r="AJ371" i="1"/>
  <c r="AJ369" i="1"/>
  <c r="AJ361" i="1"/>
  <c r="AJ360" i="1"/>
  <c r="AJ356" i="1"/>
  <c r="AJ352" i="1"/>
  <c r="AO348" i="1"/>
  <c r="AJ344" i="1"/>
  <c r="AN340" i="1"/>
  <c r="AJ336" i="1"/>
  <c r="AN332" i="1"/>
  <c r="AJ328" i="1"/>
  <c r="AM324" i="1"/>
  <c r="AJ322" i="1"/>
  <c r="AJ320" i="1"/>
  <c r="AJ316" i="1"/>
  <c r="AJ315" i="1"/>
  <c r="AJ311" i="1"/>
  <c r="AJ307" i="1"/>
  <c r="AJ302" i="1"/>
  <c r="AJ292" i="1"/>
  <c r="AJ290" i="1"/>
  <c r="AJ286" i="1"/>
  <c r="AJ282" i="1"/>
  <c r="AJ280" i="1"/>
  <c r="AJ278" i="1"/>
  <c r="AJ274" i="1"/>
  <c r="AJ270" i="1"/>
  <c r="AJ266" i="1"/>
  <c r="AJ263" i="1"/>
  <c r="AJ259" i="1"/>
  <c r="AJ255" i="1"/>
  <c r="AJ253" i="1"/>
  <c r="AJ251" i="1"/>
  <c r="AJ249" i="1"/>
  <c r="AJ247" i="1"/>
  <c r="AJ245" i="1"/>
  <c r="AJ241" i="1"/>
  <c r="AJ239" i="1"/>
  <c r="AJ237" i="1"/>
  <c r="AJ235" i="1"/>
  <c r="AJ233" i="1"/>
  <c r="AJ231" i="1"/>
  <c r="AJ229" i="1"/>
  <c r="AJ227" i="1"/>
  <c r="AJ225" i="1"/>
  <c r="AJ220" i="1"/>
  <c r="AJ216" i="1"/>
  <c r="AJ214" i="1"/>
  <c r="AJ212" i="1"/>
  <c r="AJ210" i="1"/>
  <c r="AJ206" i="1"/>
  <c r="AJ204" i="1"/>
  <c r="AJ202" i="1"/>
  <c r="AJ201" i="1"/>
  <c r="AJ199" i="1"/>
  <c r="AJ197" i="1"/>
  <c r="AJ195" i="1"/>
  <c r="AJ193" i="1"/>
  <c r="AJ191" i="1"/>
  <c r="AJ189" i="1"/>
  <c r="AJ187" i="1"/>
  <c r="AJ185" i="1"/>
  <c r="AJ183" i="1"/>
  <c r="AJ181" i="1"/>
  <c r="AJ179" i="1"/>
  <c r="AJ175" i="1"/>
  <c r="AJ173" i="1"/>
  <c r="AJ171" i="1"/>
  <c r="AJ169" i="1"/>
  <c r="AJ166" i="1"/>
  <c r="AJ164" i="1"/>
  <c r="AJ162" i="1"/>
  <c r="AJ160" i="1"/>
  <c r="AJ158" i="1"/>
  <c r="AJ156" i="1"/>
  <c r="AJ154" i="1"/>
  <c r="AJ152" i="1"/>
  <c r="AJ150" i="1"/>
  <c r="AJ148" i="1"/>
  <c r="AJ146" i="1"/>
  <c r="AJ144" i="1"/>
  <c r="AJ142" i="1"/>
  <c r="AJ139" i="1"/>
  <c r="AJ137" i="1"/>
  <c r="AJ135" i="1"/>
  <c r="AJ133" i="1"/>
  <c r="AJ131" i="1"/>
  <c r="AJ129" i="1"/>
  <c r="AJ127" i="1"/>
  <c r="AJ125" i="1"/>
  <c r="AJ123" i="1"/>
  <c r="AJ121" i="1"/>
  <c r="AJ119" i="1"/>
  <c r="AJ117" i="1"/>
  <c r="AJ115" i="1"/>
  <c r="AJ113" i="1"/>
  <c r="AJ111" i="1"/>
  <c r="AJ109" i="1"/>
  <c r="AJ106" i="1"/>
  <c r="AJ104" i="1"/>
  <c r="AJ102" i="1"/>
  <c r="AJ100" i="1"/>
  <c r="AJ98" i="1"/>
  <c r="AJ96" i="1"/>
  <c r="AJ93" i="1"/>
  <c r="AJ91" i="1"/>
  <c r="AJ89" i="1"/>
  <c r="AJ87" i="1"/>
  <c r="AJ85" i="1"/>
  <c r="AJ83" i="1"/>
  <c r="AJ81" i="1"/>
  <c r="AJ79" i="1"/>
  <c r="AJ78" i="1"/>
  <c r="AJ77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2" i="1"/>
  <c r="AJ51" i="1"/>
  <c r="AJ50" i="1"/>
  <c r="AJ49" i="1"/>
  <c r="AJ48" i="1"/>
  <c r="AJ47" i="1"/>
  <c r="AJ46" i="1"/>
  <c r="AJ44" i="1"/>
  <c r="AJ43" i="1"/>
  <c r="AJ42" i="1"/>
  <c r="AJ41" i="1"/>
  <c r="AJ40" i="1"/>
  <c r="AJ39" i="1"/>
  <c r="AJ38" i="1"/>
  <c r="AJ36" i="1"/>
  <c r="AJ35" i="1"/>
  <c r="AJ34" i="1"/>
  <c r="AJ33" i="1"/>
  <c r="AJ32" i="1"/>
  <c r="AJ31" i="1"/>
  <c r="AJ30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466" i="1"/>
  <c r="AJ476" i="1"/>
  <c r="AJ412" i="1"/>
  <c r="AJ380" i="1"/>
  <c r="AJ348" i="1"/>
  <c r="AJ284" i="1"/>
  <c r="AJ503" i="1"/>
  <c r="AL489" i="1"/>
  <c r="AJ489" i="1"/>
  <c r="AM483" i="1"/>
  <c r="AJ483" i="1"/>
  <c r="AO481" i="1"/>
  <c r="AJ481" i="1"/>
  <c r="AL473" i="1"/>
  <c r="AJ473" i="1"/>
  <c r="AJ471" i="1"/>
  <c r="AJ465" i="1"/>
  <c r="AM463" i="1"/>
  <c r="AJ463" i="1"/>
  <c r="AM458" i="1"/>
  <c r="AJ458" i="1"/>
  <c r="AJ454" i="1"/>
  <c r="AO448" i="1"/>
  <c r="AJ448" i="1"/>
  <c r="AO446" i="1"/>
  <c r="AJ446" i="1"/>
  <c r="AN442" i="1"/>
  <c r="AJ442" i="1"/>
  <c r="AN440" i="1"/>
  <c r="AJ440" i="1"/>
  <c r="AO438" i="1"/>
  <c r="AJ438" i="1"/>
  <c r="AJ434" i="1"/>
  <c r="AN432" i="1"/>
  <c r="AJ432" i="1"/>
  <c r="AM430" i="1"/>
  <c r="AJ430" i="1"/>
  <c r="AO425" i="1"/>
  <c r="AJ425" i="1"/>
  <c r="AL423" i="1"/>
  <c r="AJ423" i="1"/>
  <c r="AL417" i="1"/>
  <c r="AJ417" i="1"/>
  <c r="AL414" i="1"/>
  <c r="AJ414" i="1"/>
  <c r="AN410" i="1"/>
  <c r="AJ410" i="1"/>
  <c r="AJ408" i="1"/>
  <c r="AN407" i="1"/>
  <c r="AJ407" i="1"/>
  <c r="AM401" i="1"/>
  <c r="AJ401" i="1"/>
  <c r="AO399" i="1"/>
  <c r="AJ399" i="1"/>
  <c r="AL395" i="1"/>
  <c r="AJ395" i="1"/>
  <c r="AM393" i="1"/>
  <c r="AJ393" i="1"/>
  <c r="AJ391" i="1"/>
  <c r="AN387" i="1"/>
  <c r="AJ387" i="1"/>
  <c r="AO378" i="1"/>
  <c r="AJ378" i="1"/>
  <c r="AL374" i="1"/>
  <c r="AJ374" i="1"/>
  <c r="AJ370" i="1"/>
  <c r="AN366" i="1"/>
  <c r="AJ366" i="1"/>
  <c r="AO358" i="1"/>
  <c r="AJ358" i="1"/>
  <c r="AO354" i="1"/>
  <c r="AJ354" i="1"/>
  <c r="AO350" i="1"/>
  <c r="AJ350" i="1"/>
  <c r="AN347" i="1"/>
  <c r="AJ347" i="1"/>
  <c r="AL339" i="1"/>
  <c r="AJ339" i="1"/>
  <c r="AM335" i="1"/>
  <c r="AJ335" i="1"/>
  <c r="AL331" i="1"/>
  <c r="AJ331" i="1"/>
  <c r="AJ327" i="1"/>
  <c r="AJ323" i="1"/>
  <c r="AO314" i="1"/>
  <c r="AJ314" i="1"/>
  <c r="AO312" i="1"/>
  <c r="AJ312" i="1"/>
  <c r="AO305" i="1"/>
  <c r="AJ305" i="1"/>
  <c r="AM303" i="1"/>
  <c r="AJ303" i="1"/>
  <c r="AM299" i="1"/>
  <c r="AJ299" i="1"/>
  <c r="AL297" i="1"/>
  <c r="AJ297" i="1"/>
  <c r="AJ295" i="1"/>
  <c r="AL287" i="1"/>
  <c r="AJ287" i="1"/>
  <c r="AN283" i="1"/>
  <c r="AJ283" i="1"/>
  <c r="AL275" i="1"/>
  <c r="AJ275" i="1"/>
  <c r="AM273" i="1"/>
  <c r="AJ273" i="1"/>
  <c r="AL267" i="1"/>
  <c r="AJ267" i="1"/>
  <c r="AM265" i="1"/>
  <c r="AJ265" i="1"/>
  <c r="AM257" i="1"/>
  <c r="AJ257" i="1"/>
  <c r="AL250" i="1"/>
  <c r="AJ250" i="1"/>
  <c r="AN240" i="1"/>
  <c r="AJ240" i="1"/>
  <c r="AJ211" i="1"/>
  <c r="AO177" i="1"/>
  <c r="AJ177" i="1"/>
  <c r="AJ484" i="1"/>
  <c r="AJ452" i="1"/>
  <c r="AJ420" i="1"/>
  <c r="AJ388" i="1"/>
  <c r="AJ324" i="1"/>
  <c r="AJ477" i="1"/>
  <c r="AJ445" i="1"/>
  <c r="AJ413" i="1"/>
  <c r="AJ381" i="1"/>
  <c r="AJ349" i="1"/>
  <c r="AJ317" i="1"/>
  <c r="AJ501" i="1"/>
  <c r="AJ405" i="1"/>
  <c r="AJ373" i="1"/>
  <c r="AJ341" i="1"/>
  <c r="AJ309" i="1"/>
  <c r="AL505" i="1"/>
  <c r="AJ505" i="1"/>
  <c r="AN426" i="1"/>
  <c r="AJ426" i="1"/>
  <c r="AJ500" i="1"/>
  <c r="AJ436" i="1"/>
  <c r="AJ404" i="1"/>
  <c r="AJ340" i="1"/>
  <c r="AJ276" i="1"/>
  <c r="AM419" i="1"/>
  <c r="AJ419" i="1"/>
  <c r="AJ493" i="1"/>
  <c r="AJ333" i="1"/>
  <c r="AO497" i="1"/>
  <c r="AJ497" i="1"/>
  <c r="AN342" i="1"/>
  <c r="AJ342" i="1"/>
  <c r="AL279" i="1"/>
  <c r="AJ279" i="1"/>
  <c r="AJ492" i="1"/>
  <c r="AJ460" i="1"/>
  <c r="AJ428" i="1"/>
  <c r="AJ332" i="1"/>
  <c r="AJ268" i="1"/>
  <c r="AJ9" i="1"/>
  <c r="AM504" i="1"/>
  <c r="AJ504" i="1"/>
  <c r="AM499" i="1"/>
  <c r="AJ499" i="1"/>
  <c r="AJ494" i="1"/>
  <c r="AO490" i="1"/>
  <c r="AJ490" i="1"/>
  <c r="AM488" i="1"/>
  <c r="AJ488" i="1"/>
  <c r="AJ487" i="1"/>
  <c r="AJ478" i="1"/>
  <c r="AO474" i="1"/>
  <c r="AJ474" i="1"/>
  <c r="AM472" i="1"/>
  <c r="AJ472" i="1"/>
  <c r="AL455" i="1"/>
  <c r="AJ455" i="1"/>
  <c r="AM451" i="1"/>
  <c r="AJ451" i="1"/>
  <c r="AL449" i="1"/>
  <c r="AJ449" i="1"/>
  <c r="AJ443" i="1"/>
  <c r="AM431" i="1"/>
  <c r="AJ431" i="1"/>
  <c r="AL424" i="1"/>
  <c r="AJ424" i="1"/>
  <c r="AJ422" i="1"/>
  <c r="AL418" i="1"/>
  <c r="AJ418" i="1"/>
  <c r="AJ416" i="1"/>
  <c r="AJ411" i="1"/>
  <c r="AM400" i="1"/>
  <c r="AJ400" i="1"/>
  <c r="AJ398" i="1"/>
  <c r="AM394" i="1"/>
  <c r="AJ394" i="1"/>
  <c r="AO392" i="1"/>
  <c r="AJ392" i="1"/>
  <c r="AJ384" i="1"/>
  <c r="AN379" i="1"/>
  <c r="AJ379" i="1"/>
  <c r="AJ377" i="1"/>
  <c r="AM367" i="1"/>
  <c r="AJ367" i="1"/>
  <c r="AJ363" i="1"/>
  <c r="AO359" i="1"/>
  <c r="AJ359" i="1"/>
  <c r="AN355" i="1"/>
  <c r="AJ355" i="1"/>
  <c r="AM351" i="1"/>
  <c r="AJ351" i="1"/>
  <c r="AN346" i="1"/>
  <c r="AJ346" i="1"/>
  <c r="AM343" i="1"/>
  <c r="AJ343" i="1"/>
  <c r="AN338" i="1"/>
  <c r="AJ338" i="1"/>
  <c r="AM334" i="1"/>
  <c r="AJ334" i="1"/>
  <c r="AM330" i="1"/>
  <c r="AJ330" i="1"/>
  <c r="AM326" i="1"/>
  <c r="AJ326" i="1"/>
  <c r="AL318" i="1"/>
  <c r="AJ318" i="1"/>
  <c r="AL313" i="1"/>
  <c r="AJ313" i="1"/>
  <c r="AM306" i="1"/>
  <c r="AJ306" i="1"/>
  <c r="AJ304" i="1"/>
  <c r="AO298" i="1"/>
  <c r="AJ298" i="1"/>
  <c r="AM296" i="1"/>
  <c r="AJ296" i="1"/>
  <c r="AJ294" i="1"/>
  <c r="AO288" i="1"/>
  <c r="AJ288" i="1"/>
  <c r="AO272" i="1"/>
  <c r="AJ272" i="1"/>
  <c r="AM264" i="1"/>
  <c r="AJ264" i="1"/>
  <c r="AO262" i="1"/>
  <c r="AJ262" i="1"/>
  <c r="AM256" i="1"/>
  <c r="AJ256" i="1"/>
  <c r="AO243" i="1"/>
  <c r="AJ243" i="1"/>
  <c r="AM222" i="1"/>
  <c r="AJ222" i="1"/>
  <c r="AO218" i="1"/>
  <c r="AJ218" i="1"/>
  <c r="AJ208" i="1"/>
  <c r="AM200" i="1"/>
  <c r="AJ200" i="1"/>
  <c r="AJ485" i="1"/>
  <c r="AJ325" i="1"/>
  <c r="AJ261" i="1"/>
  <c r="AJ7" i="1"/>
  <c r="AN484" i="1"/>
  <c r="AN470" i="1"/>
  <c r="AL454" i="1"/>
  <c r="AO437" i="1"/>
  <c r="AO421" i="1"/>
  <c r="AL497" i="1"/>
  <c r="AL468" i="1"/>
  <c r="AN419" i="1"/>
  <c r="AL495" i="1"/>
  <c r="AL481" i="1"/>
  <c r="AM466" i="1"/>
  <c r="AN417" i="1"/>
  <c r="AN493" i="1"/>
  <c r="AL479" i="1"/>
  <c r="AM464" i="1"/>
  <c r="AO431" i="1"/>
  <c r="AN477" i="1"/>
  <c r="AL462" i="1"/>
  <c r="AL446" i="1"/>
  <c r="AO429" i="1"/>
  <c r="AL504" i="1"/>
  <c r="AL460" i="1"/>
  <c r="AN502" i="1"/>
  <c r="AL488" i="1"/>
  <c r="AN425" i="1"/>
  <c r="AN500" i="1"/>
  <c r="AN486" i="1"/>
  <c r="AL472" i="1"/>
  <c r="AO423" i="1"/>
  <c r="AL16" i="1"/>
  <c r="AM16" i="1"/>
  <c r="AN16" i="1"/>
  <c r="AO16" i="1"/>
  <c r="AO505" i="1"/>
  <c r="AM500" i="1"/>
  <c r="AO498" i="1"/>
  <c r="AO496" i="1"/>
  <c r="AM493" i="1"/>
  <c r="AM491" i="1"/>
  <c r="AO489" i="1"/>
  <c r="AM484" i="1"/>
  <c r="AO482" i="1"/>
  <c r="AO480" i="1"/>
  <c r="AM477" i="1"/>
  <c r="AM475" i="1"/>
  <c r="AO473" i="1"/>
  <c r="AL466" i="1"/>
  <c r="AO457" i="1"/>
  <c r="AO451" i="1"/>
  <c r="AO449" i="1"/>
  <c r="AN445" i="1"/>
  <c r="AO443" i="1"/>
  <c r="AO441" i="1"/>
  <c r="AN439" i="1"/>
  <c r="AN437" i="1"/>
  <c r="AO435" i="1"/>
  <c r="AM433" i="1"/>
  <c r="AN431" i="1"/>
  <c r="AN429" i="1"/>
  <c r="AL427" i="1"/>
  <c r="AM425" i="1"/>
  <c r="AN423" i="1"/>
  <c r="AL421" i="1"/>
  <c r="AL419" i="1"/>
  <c r="AM417" i="1"/>
  <c r="AN505" i="1"/>
  <c r="AL500" i="1"/>
  <c r="AN498" i="1"/>
  <c r="AN496" i="1"/>
  <c r="AL491" i="1"/>
  <c r="AN489" i="1"/>
  <c r="AL484" i="1"/>
  <c r="AN482" i="1"/>
  <c r="AN480" i="1"/>
  <c r="AL475" i="1"/>
  <c r="AN473" i="1"/>
  <c r="AO469" i="1"/>
  <c r="AO463" i="1"/>
  <c r="AO461" i="1"/>
  <c r="AN457" i="1"/>
  <c r="AO455" i="1"/>
  <c r="AO453" i="1"/>
  <c r="AN451" i="1"/>
  <c r="AN449" i="1"/>
  <c r="AO447" i="1"/>
  <c r="AM445" i="1"/>
  <c r="AN443" i="1"/>
  <c r="AN441" i="1"/>
  <c r="AL439" i="1"/>
  <c r="AM437" i="1"/>
  <c r="AN435" i="1"/>
  <c r="AL433" i="1"/>
  <c r="AL431" i="1"/>
  <c r="AM429" i="1"/>
  <c r="AL425" i="1"/>
  <c r="AN412" i="1"/>
  <c r="AN406" i="1"/>
  <c r="AM386" i="1"/>
  <c r="AN372" i="1"/>
  <c r="AM365" i="1"/>
  <c r="AM357" i="1"/>
  <c r="AN13" i="1"/>
  <c r="AO13" i="1"/>
  <c r="AL13" i="1"/>
  <c r="AM13" i="1"/>
  <c r="AM505" i="1"/>
  <c r="AM503" i="1"/>
  <c r="AO501" i="1"/>
  <c r="AM496" i="1"/>
  <c r="AO494" i="1"/>
  <c r="AO492" i="1"/>
  <c r="AM489" i="1"/>
  <c r="AM487" i="1"/>
  <c r="AO485" i="1"/>
  <c r="AM480" i="1"/>
  <c r="AO478" i="1"/>
  <c r="AO476" i="1"/>
  <c r="AM473" i="1"/>
  <c r="AM471" i="1"/>
  <c r="AN469" i="1"/>
  <c r="AO467" i="1"/>
  <c r="AM465" i="1"/>
  <c r="AN463" i="1"/>
  <c r="AN461" i="1"/>
  <c r="AL459" i="1"/>
  <c r="AM457" i="1"/>
  <c r="AN455" i="1"/>
  <c r="AL453" i="1"/>
  <c r="AL451" i="1"/>
  <c r="AM449" i="1"/>
  <c r="AL445" i="1"/>
  <c r="AL443" i="1"/>
  <c r="AL437" i="1"/>
  <c r="AO422" i="1"/>
  <c r="AN416" i="1"/>
  <c r="AN15" i="1"/>
  <c r="AO15" i="1"/>
  <c r="AL15" i="1"/>
  <c r="AM15" i="1"/>
  <c r="AL503" i="1"/>
  <c r="AN501" i="1"/>
  <c r="AL496" i="1"/>
  <c r="AN494" i="1"/>
  <c r="AN492" i="1"/>
  <c r="AL487" i="1"/>
  <c r="AN485" i="1"/>
  <c r="AL480" i="1"/>
  <c r="AN478" i="1"/>
  <c r="AN476" i="1"/>
  <c r="AL471" i="1"/>
  <c r="AM469" i="1"/>
  <c r="AN467" i="1"/>
  <c r="AL465" i="1"/>
  <c r="AL463" i="1"/>
  <c r="AM461" i="1"/>
  <c r="AL457" i="1"/>
  <c r="AO434" i="1"/>
  <c r="AN428" i="1"/>
  <c r="AO426" i="1"/>
  <c r="AN422" i="1"/>
  <c r="AN420" i="1"/>
  <c r="AO418" i="1"/>
  <c r="AL416" i="1"/>
  <c r="AN398" i="1"/>
  <c r="AO391" i="1"/>
  <c r="AO384" i="1"/>
  <c r="AO377" i="1"/>
  <c r="AO370" i="1"/>
  <c r="AN363" i="1"/>
  <c r="AO504" i="1"/>
  <c r="AM492" i="1"/>
  <c r="AO488" i="1"/>
  <c r="AM476" i="1"/>
  <c r="AO472" i="1"/>
  <c r="AL469" i="1"/>
  <c r="AO454" i="1"/>
  <c r="AN448" i="1"/>
  <c r="AN434" i="1"/>
  <c r="AM428" i="1"/>
  <c r="AM422" i="1"/>
  <c r="AM11" i="1"/>
  <c r="AN11" i="1"/>
  <c r="AO11" i="1"/>
  <c r="AL11" i="1"/>
  <c r="AL12" i="1"/>
  <c r="AM12" i="1"/>
  <c r="AN12" i="1"/>
  <c r="AO12" i="1"/>
  <c r="AN503" i="1"/>
  <c r="AO503" i="1"/>
  <c r="AL502" i="1"/>
  <c r="AM502" i="1"/>
  <c r="AN499" i="1"/>
  <c r="AO499" i="1"/>
  <c r="AL498" i="1"/>
  <c r="AM498" i="1"/>
  <c r="AN495" i="1"/>
  <c r="AO495" i="1"/>
  <c r="AL494" i="1"/>
  <c r="AM494" i="1"/>
  <c r="AN491" i="1"/>
  <c r="AO491" i="1"/>
  <c r="AL490" i="1"/>
  <c r="AM490" i="1"/>
  <c r="AN487" i="1"/>
  <c r="AO487" i="1"/>
  <c r="AL486" i="1"/>
  <c r="AM486" i="1"/>
  <c r="AN483" i="1"/>
  <c r="AO483" i="1"/>
  <c r="AL482" i="1"/>
  <c r="AM482" i="1"/>
  <c r="AN479" i="1"/>
  <c r="AO479" i="1"/>
  <c r="AL478" i="1"/>
  <c r="AM478" i="1"/>
  <c r="AN475" i="1"/>
  <c r="AO475" i="1"/>
  <c r="AL474" i="1"/>
  <c r="AM474" i="1"/>
  <c r="AN471" i="1"/>
  <c r="AO471" i="1"/>
  <c r="AL470" i="1"/>
  <c r="AM470" i="1"/>
  <c r="AO468" i="1"/>
  <c r="AN468" i="1"/>
  <c r="AM467" i="1"/>
  <c r="AL467" i="1"/>
  <c r="AN465" i="1"/>
  <c r="AO465" i="1"/>
  <c r="AO464" i="1"/>
  <c r="AL464" i="1"/>
  <c r="AN462" i="1"/>
  <c r="AO462" i="1"/>
  <c r="AL461" i="1"/>
  <c r="AM459" i="1"/>
  <c r="AN459" i="1"/>
  <c r="AO459" i="1"/>
  <c r="AL458" i="1"/>
  <c r="AO456" i="1"/>
  <c r="AM456" i="1"/>
  <c r="AN456" i="1"/>
  <c r="AM455" i="1"/>
  <c r="AM453" i="1"/>
  <c r="AN453" i="1"/>
  <c r="AO452" i="1"/>
  <c r="AM450" i="1"/>
  <c r="AN450" i="1"/>
  <c r="AM447" i="1"/>
  <c r="AL447" i="1"/>
  <c r="AN447" i="1"/>
  <c r="AO444" i="1"/>
  <c r="AL444" i="1"/>
  <c r="AM444" i="1"/>
  <c r="AM443" i="1"/>
  <c r="AO442" i="1"/>
  <c r="AL441" i="1"/>
  <c r="AM441" i="1"/>
  <c r="AO440" i="1"/>
  <c r="AM439" i="1"/>
  <c r="AO439" i="1"/>
  <c r="AL438" i="1"/>
  <c r="AM438" i="1"/>
  <c r="AO436" i="1"/>
  <c r="AN436" i="1"/>
  <c r="AM435" i="1"/>
  <c r="AL435" i="1"/>
  <c r="AN433" i="1"/>
  <c r="AO433" i="1"/>
  <c r="AO432" i="1"/>
  <c r="AL432" i="1"/>
  <c r="AN430" i="1"/>
  <c r="AO430" i="1"/>
  <c r="AL429" i="1"/>
  <c r="AM427" i="1"/>
  <c r="AN427" i="1"/>
  <c r="AO427" i="1"/>
  <c r="AL426" i="1"/>
  <c r="AO424" i="1"/>
  <c r="AM424" i="1"/>
  <c r="AN424" i="1"/>
  <c r="AM423" i="1"/>
  <c r="AM421" i="1"/>
  <c r="AN421" i="1"/>
  <c r="AO420" i="1"/>
  <c r="AM418" i="1"/>
  <c r="AN418" i="1"/>
  <c r="AO416" i="1"/>
  <c r="AM416" i="1"/>
  <c r="AM415" i="1"/>
  <c r="AL415" i="1"/>
  <c r="AN415" i="1"/>
  <c r="AM414" i="1"/>
  <c r="AN414" i="1"/>
  <c r="AO414" i="1"/>
  <c r="AO413" i="1"/>
  <c r="AL413" i="1"/>
  <c r="AM413" i="1"/>
  <c r="AO412" i="1"/>
  <c r="AL412" i="1"/>
  <c r="AM412" i="1"/>
  <c r="AM411" i="1"/>
  <c r="AL411" i="1"/>
  <c r="AN411" i="1"/>
  <c r="AO411" i="1"/>
  <c r="AO410" i="1"/>
  <c r="AL410" i="1"/>
  <c r="AM410" i="1"/>
  <c r="AL409" i="1"/>
  <c r="AM409" i="1"/>
  <c r="AO409" i="1"/>
  <c r="AO408" i="1"/>
  <c r="AL408" i="1"/>
  <c r="AM408" i="1"/>
  <c r="AN408" i="1"/>
  <c r="AM407" i="1"/>
  <c r="AO407" i="1"/>
  <c r="AL407" i="1"/>
  <c r="AL406" i="1"/>
  <c r="AM406" i="1"/>
  <c r="AO406" i="1"/>
  <c r="AL405" i="1"/>
  <c r="AM405" i="1"/>
  <c r="AN405" i="1"/>
  <c r="AO405" i="1"/>
  <c r="AO404" i="1"/>
  <c r="AN404" i="1"/>
  <c r="AL404" i="1"/>
  <c r="AM403" i="1"/>
  <c r="AL403" i="1"/>
  <c r="AO403" i="1"/>
  <c r="AL402" i="1"/>
  <c r="AM402" i="1"/>
  <c r="AN402" i="1"/>
  <c r="AO402" i="1"/>
  <c r="AN401" i="1"/>
  <c r="AO401" i="1"/>
  <c r="AL401" i="1"/>
  <c r="AL400" i="1"/>
  <c r="AO400" i="1"/>
  <c r="AN400" i="1"/>
  <c r="AL399" i="1"/>
  <c r="AM399" i="1"/>
  <c r="AN399" i="1"/>
  <c r="AL398" i="1"/>
  <c r="AM398" i="1"/>
  <c r="AO398" i="1"/>
  <c r="AN397" i="1"/>
  <c r="AO397" i="1"/>
  <c r="AL397" i="1"/>
  <c r="AM397" i="1"/>
  <c r="AL396" i="1"/>
  <c r="AN396" i="1"/>
  <c r="AO396" i="1"/>
  <c r="AM395" i="1"/>
  <c r="AN395" i="1"/>
  <c r="AO395" i="1"/>
  <c r="AN394" i="1"/>
  <c r="AO394" i="1"/>
  <c r="AL394" i="1"/>
  <c r="AN393" i="1"/>
  <c r="AL393" i="1"/>
  <c r="AO393" i="1"/>
  <c r="AL392" i="1"/>
  <c r="AM392" i="1"/>
  <c r="AN392" i="1"/>
  <c r="AN391" i="1"/>
  <c r="AL391" i="1"/>
  <c r="AM391" i="1"/>
  <c r="AL390" i="1"/>
  <c r="AM390" i="1"/>
  <c r="AN390" i="1"/>
  <c r="AO390" i="1"/>
  <c r="AN389" i="1"/>
  <c r="AM389" i="1"/>
  <c r="AO389" i="1"/>
  <c r="AL388" i="1"/>
  <c r="AN388" i="1"/>
  <c r="AM388" i="1"/>
  <c r="AO388" i="1"/>
  <c r="AO387" i="1"/>
  <c r="AL387" i="1"/>
  <c r="AM387" i="1"/>
  <c r="AL386" i="1"/>
  <c r="AN386" i="1"/>
  <c r="AO386" i="1"/>
  <c r="AN385" i="1"/>
  <c r="AM385" i="1"/>
  <c r="AL385" i="1"/>
  <c r="AO385" i="1"/>
  <c r="AL384" i="1"/>
  <c r="AM384" i="1"/>
  <c r="AN384" i="1"/>
  <c r="AL383" i="1"/>
  <c r="AM383" i="1"/>
  <c r="AN383" i="1"/>
  <c r="AO383" i="1"/>
  <c r="AM382" i="1"/>
  <c r="AN382" i="1"/>
  <c r="AO382" i="1"/>
  <c r="AN381" i="1"/>
  <c r="AM381" i="1"/>
  <c r="AO381" i="1"/>
  <c r="AL380" i="1"/>
  <c r="AO380" i="1"/>
  <c r="AM380" i="1"/>
  <c r="AM379" i="1"/>
  <c r="AL379" i="1"/>
  <c r="AO379" i="1"/>
  <c r="AL378" i="1"/>
  <c r="AM378" i="1"/>
  <c r="AN378" i="1"/>
  <c r="AN377" i="1"/>
  <c r="AL377" i="1"/>
  <c r="AM377" i="1"/>
  <c r="AL376" i="1"/>
  <c r="AM376" i="1"/>
  <c r="AN376" i="1"/>
  <c r="AO376" i="1"/>
  <c r="AN375" i="1"/>
  <c r="AO375" i="1"/>
  <c r="AL375" i="1"/>
  <c r="AO374" i="1"/>
  <c r="AM374" i="1"/>
  <c r="AN374" i="1"/>
  <c r="AN373" i="1"/>
  <c r="AL373" i="1"/>
  <c r="AM373" i="1"/>
  <c r="AL372" i="1"/>
  <c r="AM372" i="1"/>
  <c r="AO372" i="1"/>
  <c r="AO371" i="1"/>
  <c r="AL371" i="1"/>
  <c r="AM371" i="1"/>
  <c r="AN371" i="1"/>
  <c r="AL370" i="1"/>
  <c r="AM370" i="1"/>
  <c r="AN370" i="1"/>
  <c r="AN369" i="1"/>
  <c r="AL369" i="1"/>
  <c r="AM369" i="1"/>
  <c r="AO369" i="1"/>
  <c r="AL368" i="1"/>
  <c r="AO368" i="1"/>
  <c r="AN368" i="1"/>
  <c r="AL367" i="1"/>
  <c r="AN367" i="1"/>
  <c r="AO367" i="1"/>
  <c r="AO366" i="1"/>
  <c r="AL366" i="1"/>
  <c r="AM366" i="1"/>
  <c r="AN365" i="1"/>
  <c r="AO365" i="1"/>
  <c r="AL365" i="1"/>
  <c r="AL364" i="1"/>
  <c r="AM364" i="1"/>
  <c r="AN364" i="1"/>
  <c r="AO364" i="1"/>
  <c r="AO363" i="1"/>
  <c r="AL363" i="1"/>
  <c r="AM363" i="1"/>
  <c r="AN362" i="1"/>
  <c r="AL362" i="1"/>
  <c r="AM362" i="1"/>
  <c r="AO362" i="1"/>
  <c r="AN361" i="1"/>
  <c r="AL361" i="1"/>
  <c r="AM361" i="1"/>
  <c r="AL360" i="1"/>
  <c r="AO360" i="1"/>
  <c r="AM360" i="1"/>
  <c r="AN360" i="1"/>
  <c r="AN359" i="1"/>
  <c r="AL359" i="1"/>
  <c r="AM359" i="1"/>
  <c r="AL358" i="1"/>
  <c r="AM358" i="1"/>
  <c r="AN358" i="1"/>
  <c r="AN357" i="1"/>
  <c r="AO357" i="1"/>
  <c r="AL357" i="1"/>
  <c r="AL356" i="1"/>
  <c r="AN356" i="1"/>
  <c r="AM356" i="1"/>
  <c r="AO356" i="1"/>
  <c r="AL355" i="1"/>
  <c r="AM355" i="1"/>
  <c r="AO355" i="1"/>
  <c r="AN354" i="1"/>
  <c r="AL354" i="1"/>
  <c r="AM354" i="1"/>
  <c r="AN353" i="1"/>
  <c r="AM353" i="1"/>
  <c r="AL353" i="1"/>
  <c r="AL352" i="1"/>
  <c r="AM352" i="1"/>
  <c r="AN352" i="1"/>
  <c r="AN351" i="1"/>
  <c r="AL351" i="1"/>
  <c r="AO351" i="1"/>
  <c r="AM350" i="1"/>
  <c r="AL350" i="1"/>
  <c r="AN350" i="1"/>
  <c r="AN349" i="1"/>
  <c r="AL349" i="1"/>
  <c r="AO349" i="1"/>
  <c r="AL348" i="1"/>
  <c r="AN348" i="1"/>
  <c r="AM348" i="1"/>
  <c r="AM347" i="1"/>
  <c r="AL347" i="1"/>
  <c r="AO347" i="1"/>
  <c r="AO346" i="1"/>
  <c r="AL346" i="1"/>
  <c r="AM346" i="1"/>
  <c r="AN345" i="1"/>
  <c r="AM345" i="1"/>
  <c r="AO345" i="1"/>
  <c r="AL344" i="1"/>
  <c r="AM344" i="1"/>
  <c r="AN344" i="1"/>
  <c r="AL343" i="1"/>
  <c r="AN343" i="1"/>
  <c r="AO343" i="1"/>
  <c r="AO342" i="1"/>
  <c r="AM342" i="1"/>
  <c r="AL342" i="1"/>
  <c r="AN341" i="1"/>
  <c r="AL341" i="1"/>
  <c r="AO341" i="1"/>
  <c r="AL340" i="1"/>
  <c r="AO340" i="1"/>
  <c r="AM340" i="1"/>
  <c r="AO339" i="1"/>
  <c r="AM339" i="1"/>
  <c r="AN339" i="1"/>
  <c r="AL338" i="1"/>
  <c r="AO338" i="1"/>
  <c r="AM338" i="1"/>
  <c r="AN337" i="1"/>
  <c r="AM337" i="1"/>
  <c r="AO337" i="1"/>
  <c r="AL336" i="1"/>
  <c r="AO336" i="1"/>
  <c r="AM336" i="1"/>
  <c r="AL335" i="1"/>
  <c r="AN335" i="1"/>
  <c r="AO335" i="1"/>
  <c r="AO334" i="1"/>
  <c r="AN334" i="1"/>
  <c r="AL334" i="1"/>
  <c r="AN333" i="1"/>
  <c r="AO333" i="1"/>
  <c r="AL333" i="1"/>
  <c r="AM333" i="1"/>
  <c r="AL332" i="1"/>
  <c r="AO332" i="1"/>
  <c r="AM332" i="1"/>
  <c r="AO331" i="1"/>
  <c r="AM331" i="1"/>
  <c r="AN331" i="1"/>
  <c r="AN330" i="1"/>
  <c r="AL330" i="1"/>
  <c r="AO330" i="1"/>
  <c r="AN329" i="1"/>
  <c r="AM329" i="1"/>
  <c r="AO329" i="1"/>
  <c r="AL328" i="1"/>
  <c r="AO328" i="1"/>
  <c r="AN328" i="1"/>
  <c r="AN327" i="1"/>
  <c r="AL327" i="1"/>
  <c r="AM327" i="1"/>
  <c r="AO327" i="1"/>
  <c r="AN326" i="1"/>
  <c r="AO326" i="1"/>
  <c r="AL326" i="1"/>
  <c r="AN325" i="1"/>
  <c r="AO325" i="1"/>
  <c r="AL325" i="1"/>
  <c r="AM325" i="1"/>
  <c r="AL324" i="1"/>
  <c r="AN324" i="1"/>
  <c r="AO324" i="1"/>
  <c r="AL323" i="1"/>
  <c r="AM323" i="1"/>
  <c r="AN323" i="1"/>
  <c r="AO323" i="1"/>
  <c r="AN322" i="1"/>
  <c r="AO322" i="1"/>
  <c r="AL322" i="1"/>
  <c r="AM322" i="1"/>
  <c r="AN321" i="1"/>
  <c r="AL321" i="1"/>
  <c r="AM321" i="1"/>
  <c r="AO321" i="1"/>
  <c r="AL320" i="1"/>
  <c r="AN320" i="1"/>
  <c r="AO320" i="1"/>
  <c r="AN319" i="1"/>
  <c r="AL319" i="1"/>
  <c r="AM319" i="1"/>
  <c r="AO318" i="1"/>
  <c r="AM318" i="1"/>
  <c r="AN318" i="1"/>
  <c r="AN317" i="1"/>
  <c r="AM317" i="1"/>
  <c r="AO317" i="1"/>
  <c r="AL316" i="1"/>
  <c r="AN316" i="1"/>
  <c r="AM316" i="1"/>
  <c r="AO316" i="1"/>
  <c r="AO315" i="1"/>
  <c r="AM315" i="1"/>
  <c r="AL315" i="1"/>
  <c r="AN315" i="1"/>
  <c r="AL314" i="1"/>
  <c r="AM314" i="1"/>
  <c r="AN314" i="1"/>
  <c r="AN313" i="1"/>
  <c r="AM313" i="1"/>
  <c r="AO313" i="1"/>
  <c r="AL312" i="1"/>
  <c r="AM312" i="1"/>
  <c r="AN312" i="1"/>
  <c r="AO311" i="1"/>
  <c r="AM311" i="1"/>
  <c r="AN311" i="1"/>
  <c r="AM310" i="1"/>
  <c r="AN310" i="1"/>
  <c r="AO310" i="1"/>
  <c r="AN309" i="1"/>
  <c r="AL309" i="1"/>
  <c r="AM309" i="1"/>
  <c r="AO309" i="1"/>
  <c r="AL308" i="1"/>
  <c r="AO308" i="1"/>
  <c r="AM308" i="1"/>
  <c r="AN308" i="1"/>
  <c r="AM307" i="1"/>
  <c r="AL307" i="1"/>
  <c r="AN307" i="1"/>
  <c r="AO307" i="1"/>
  <c r="AN306" i="1"/>
  <c r="AL306" i="1"/>
  <c r="AO306" i="1"/>
  <c r="AN305" i="1"/>
  <c r="AL305" i="1"/>
  <c r="AM305" i="1"/>
  <c r="AL304" i="1"/>
  <c r="AM304" i="1"/>
  <c r="AN304" i="1"/>
  <c r="AO304" i="1"/>
  <c r="AN303" i="1"/>
  <c r="AL303" i="1"/>
  <c r="AO303" i="1"/>
  <c r="AO302" i="1"/>
  <c r="AL302" i="1"/>
  <c r="AM302" i="1"/>
  <c r="AN302" i="1"/>
  <c r="AN301" i="1"/>
  <c r="AL301" i="1"/>
  <c r="AM301" i="1"/>
  <c r="AO301" i="1"/>
  <c r="AL300" i="1"/>
  <c r="AM300" i="1"/>
  <c r="AN300" i="1"/>
  <c r="AO300" i="1"/>
  <c r="AO299" i="1"/>
  <c r="AN299" i="1"/>
  <c r="AL299" i="1"/>
  <c r="AL298" i="1"/>
  <c r="AM298" i="1"/>
  <c r="AN298" i="1"/>
  <c r="AN297" i="1"/>
  <c r="AM297" i="1"/>
  <c r="AO297" i="1"/>
  <c r="AL296" i="1"/>
  <c r="AO296" i="1"/>
  <c r="AN296" i="1"/>
  <c r="AL295" i="1"/>
  <c r="AM295" i="1"/>
  <c r="AN295" i="1"/>
  <c r="AO295" i="1"/>
  <c r="AO294" i="1"/>
  <c r="AM294" i="1"/>
  <c r="AL294" i="1"/>
  <c r="AN294" i="1"/>
  <c r="AN293" i="1"/>
  <c r="AO293" i="1"/>
  <c r="AL293" i="1"/>
  <c r="AM293" i="1"/>
  <c r="AL292" i="1"/>
  <c r="AM292" i="1"/>
  <c r="AO292" i="1"/>
  <c r="AL291" i="1"/>
  <c r="AO291" i="1"/>
  <c r="AM291" i="1"/>
  <c r="AN290" i="1"/>
  <c r="AO290" i="1"/>
  <c r="AM290" i="1"/>
  <c r="AL290" i="1"/>
  <c r="AN289" i="1"/>
  <c r="AL289" i="1"/>
  <c r="AM289" i="1"/>
  <c r="AO289" i="1"/>
  <c r="AL288" i="1"/>
  <c r="AN288" i="1"/>
  <c r="AM288" i="1"/>
  <c r="AN287" i="1"/>
  <c r="AO287" i="1"/>
  <c r="AM287" i="1"/>
  <c r="AL286" i="1"/>
  <c r="AN286" i="1"/>
  <c r="AM286" i="1"/>
  <c r="AO286" i="1"/>
  <c r="AN285" i="1"/>
  <c r="AL285" i="1"/>
  <c r="AM285" i="1"/>
  <c r="AO285" i="1"/>
  <c r="AL284" i="1"/>
  <c r="AN284" i="1"/>
  <c r="AO284" i="1"/>
  <c r="AM284" i="1"/>
  <c r="AL283" i="1"/>
  <c r="AO283" i="1"/>
  <c r="AM283" i="1"/>
  <c r="AO282" i="1"/>
  <c r="AM282" i="1"/>
  <c r="AL282" i="1"/>
  <c r="AN282" i="1"/>
  <c r="AN281" i="1"/>
  <c r="AM281" i="1"/>
  <c r="AO281" i="1"/>
  <c r="AL281" i="1"/>
  <c r="AL280" i="1"/>
  <c r="AN280" i="1"/>
  <c r="AM280" i="1"/>
  <c r="AM279" i="1"/>
  <c r="AN279" i="1"/>
  <c r="AO279" i="1"/>
  <c r="AM278" i="1"/>
  <c r="AN278" i="1"/>
  <c r="AL278" i="1"/>
  <c r="AO278" i="1"/>
  <c r="AN277" i="1"/>
  <c r="AL277" i="1"/>
  <c r="AM277" i="1"/>
  <c r="AO277" i="1"/>
  <c r="AL276" i="1"/>
  <c r="AO276" i="1"/>
  <c r="AM276" i="1"/>
  <c r="AN276" i="1"/>
  <c r="AM275" i="1"/>
  <c r="AN275" i="1"/>
  <c r="AO275" i="1"/>
  <c r="AO274" i="1"/>
  <c r="AM274" i="1"/>
  <c r="AL274" i="1"/>
  <c r="AN274" i="1"/>
  <c r="AN273" i="1"/>
  <c r="AL273" i="1"/>
  <c r="AO273" i="1"/>
  <c r="AL272" i="1"/>
  <c r="AM272" i="1"/>
  <c r="AN272" i="1"/>
  <c r="AM271" i="1"/>
  <c r="AN271" i="1"/>
  <c r="AO271" i="1"/>
  <c r="AO270" i="1"/>
  <c r="AN270" i="1"/>
  <c r="AL270" i="1"/>
  <c r="AM270" i="1"/>
  <c r="AN269" i="1"/>
  <c r="AL269" i="1"/>
  <c r="AM269" i="1"/>
  <c r="AO269" i="1"/>
  <c r="AL268" i="1"/>
  <c r="AO268" i="1"/>
  <c r="AM268" i="1"/>
  <c r="AN268" i="1"/>
  <c r="AO267" i="1"/>
  <c r="AM267" i="1"/>
  <c r="AN267" i="1"/>
  <c r="AL266" i="1"/>
  <c r="AM266" i="1"/>
  <c r="AO266" i="1"/>
  <c r="AN266" i="1"/>
  <c r="AN265" i="1"/>
  <c r="AL265" i="1"/>
  <c r="AO265" i="1"/>
  <c r="AL264" i="1"/>
  <c r="AO264" i="1"/>
  <c r="AN264" i="1"/>
  <c r="AL263" i="1"/>
  <c r="AM263" i="1"/>
  <c r="AN263" i="1"/>
  <c r="AO263" i="1"/>
  <c r="AN262" i="1"/>
  <c r="AL262" i="1"/>
  <c r="AM262" i="1"/>
  <c r="AN261" i="1"/>
  <c r="AO261" i="1"/>
  <c r="AL261" i="1"/>
  <c r="AL260" i="1"/>
  <c r="AM260" i="1"/>
  <c r="AO260" i="1"/>
  <c r="AN260" i="1"/>
  <c r="AM259" i="1"/>
  <c r="AN259" i="1"/>
  <c r="AN258" i="1"/>
  <c r="AO258" i="1"/>
  <c r="AM258" i="1"/>
  <c r="AL258" i="1"/>
  <c r="AN257" i="1"/>
  <c r="AL257" i="1"/>
  <c r="AO257" i="1"/>
  <c r="AL256" i="1"/>
  <c r="AN256" i="1"/>
  <c r="AO256" i="1"/>
  <c r="AN255" i="1"/>
  <c r="AO255" i="1"/>
  <c r="AL255" i="1"/>
  <c r="AM255" i="1"/>
  <c r="AL254" i="1"/>
  <c r="AN254" i="1"/>
  <c r="AM254" i="1"/>
  <c r="AO254" i="1"/>
  <c r="AN253" i="1"/>
  <c r="AL253" i="1"/>
  <c r="AM253" i="1"/>
  <c r="AO253" i="1"/>
  <c r="AL252" i="1"/>
  <c r="AN252" i="1"/>
  <c r="AO252" i="1"/>
  <c r="AM252" i="1"/>
  <c r="AL251" i="1"/>
  <c r="AM251" i="1"/>
  <c r="AN251" i="1"/>
  <c r="AO251" i="1"/>
  <c r="AM250" i="1"/>
  <c r="AO250" i="1"/>
  <c r="AN250" i="1"/>
  <c r="AM249" i="1"/>
  <c r="AL249" i="1"/>
  <c r="AN249" i="1"/>
  <c r="AO249" i="1"/>
  <c r="AO248" i="1"/>
  <c r="AL248" i="1"/>
  <c r="AN248" i="1"/>
  <c r="AM248" i="1"/>
  <c r="AM247" i="1"/>
  <c r="AN247" i="1"/>
  <c r="AO247" i="1"/>
  <c r="AL247" i="1"/>
  <c r="AM246" i="1"/>
  <c r="AN246" i="1"/>
  <c r="AO246" i="1"/>
  <c r="AL246" i="1"/>
  <c r="AO245" i="1"/>
  <c r="AN245" i="1"/>
  <c r="AL245" i="1"/>
  <c r="AM245" i="1"/>
  <c r="AO244" i="1"/>
  <c r="AL244" i="1"/>
  <c r="AM244" i="1"/>
  <c r="AN244" i="1"/>
  <c r="AM243" i="1"/>
  <c r="AL243" i="1"/>
  <c r="AN243" i="1"/>
  <c r="AL242" i="1"/>
  <c r="AM242" i="1"/>
  <c r="AN242" i="1"/>
  <c r="AO242" i="1"/>
  <c r="AO241" i="1"/>
  <c r="AM241" i="1"/>
  <c r="AL241" i="1"/>
  <c r="AN241" i="1"/>
  <c r="AO240" i="1"/>
  <c r="AL240" i="1"/>
  <c r="AM240" i="1"/>
  <c r="AM239" i="1"/>
  <c r="AL239" i="1"/>
  <c r="AN239" i="1"/>
  <c r="AO239" i="1"/>
  <c r="AO238" i="1"/>
  <c r="AM238" i="1"/>
  <c r="AL238" i="1"/>
  <c r="AN238" i="1"/>
  <c r="AL237" i="1"/>
  <c r="AO237" i="1"/>
  <c r="AM237" i="1"/>
  <c r="AN237" i="1"/>
  <c r="AO236" i="1"/>
  <c r="AL236" i="1"/>
  <c r="AM236" i="1"/>
  <c r="AN236" i="1"/>
  <c r="AM235" i="1"/>
  <c r="AO235" i="1"/>
  <c r="AL235" i="1"/>
  <c r="AN235" i="1"/>
  <c r="AL234" i="1"/>
  <c r="AM234" i="1"/>
  <c r="AN234" i="1"/>
  <c r="AO234" i="1"/>
  <c r="AO233" i="1"/>
  <c r="AL233" i="1"/>
  <c r="AM233" i="1"/>
  <c r="AN233" i="1"/>
  <c r="AO232" i="1"/>
  <c r="AN232" i="1"/>
  <c r="AL232" i="1"/>
  <c r="AM232" i="1"/>
  <c r="AM231" i="1"/>
  <c r="AL231" i="1"/>
  <c r="AN231" i="1"/>
  <c r="AO231" i="1"/>
  <c r="AO230" i="1"/>
  <c r="AL230" i="1"/>
  <c r="AN230" i="1"/>
  <c r="AM230" i="1"/>
  <c r="AN229" i="1"/>
  <c r="AL229" i="1"/>
  <c r="AO229" i="1"/>
  <c r="AO228" i="1"/>
  <c r="AL228" i="1"/>
  <c r="AM228" i="1"/>
  <c r="AN228" i="1"/>
  <c r="AM227" i="1"/>
  <c r="AO227" i="1"/>
  <c r="AN227" i="1"/>
  <c r="AL227" i="1"/>
  <c r="AN226" i="1"/>
  <c r="AL226" i="1"/>
  <c r="AM226" i="1"/>
  <c r="AO226" i="1"/>
  <c r="AO225" i="1"/>
  <c r="AL225" i="1"/>
  <c r="AM225" i="1"/>
  <c r="AN225" i="1"/>
  <c r="AO224" i="1"/>
  <c r="AN224" i="1"/>
  <c r="AM224" i="1"/>
  <c r="AL224" i="1"/>
  <c r="AM223" i="1"/>
  <c r="AN223" i="1"/>
  <c r="AL223" i="1"/>
  <c r="AO223" i="1"/>
  <c r="AL222" i="1"/>
  <c r="AN222" i="1"/>
  <c r="AO222" i="1"/>
  <c r="AN221" i="1"/>
  <c r="AO221" i="1"/>
  <c r="AM221" i="1"/>
  <c r="AL221" i="1"/>
  <c r="AO220" i="1"/>
  <c r="AM220" i="1"/>
  <c r="AL220" i="1"/>
  <c r="AN220" i="1"/>
  <c r="AM219" i="1"/>
  <c r="AO219" i="1"/>
  <c r="AN219" i="1"/>
  <c r="AL219" i="1"/>
  <c r="AN218" i="1"/>
  <c r="AL218" i="1"/>
  <c r="AM218" i="1"/>
  <c r="AM217" i="1"/>
  <c r="AO217" i="1"/>
  <c r="AL217" i="1"/>
  <c r="AN217" i="1"/>
  <c r="AO216" i="1"/>
  <c r="AM216" i="1"/>
  <c r="AL216" i="1"/>
  <c r="AN216" i="1"/>
  <c r="AM215" i="1"/>
  <c r="AN215" i="1"/>
  <c r="AO215" i="1"/>
  <c r="AL215" i="1"/>
  <c r="AM214" i="1"/>
  <c r="AN214" i="1"/>
  <c r="AO214" i="1"/>
  <c r="AL214" i="1"/>
  <c r="AN213" i="1"/>
  <c r="AO213" i="1"/>
  <c r="AM213" i="1"/>
  <c r="AL213" i="1"/>
  <c r="AO212" i="1"/>
  <c r="AM212" i="1"/>
  <c r="AL212" i="1"/>
  <c r="AN212" i="1"/>
  <c r="AM211" i="1"/>
  <c r="AL211" i="1"/>
  <c r="AO211" i="1"/>
  <c r="AN211" i="1"/>
  <c r="AO210" i="1"/>
  <c r="AL210" i="1"/>
  <c r="AM210" i="1"/>
  <c r="AN210" i="1"/>
  <c r="AO209" i="1"/>
  <c r="AM209" i="1"/>
  <c r="AN209" i="1"/>
  <c r="AL209" i="1"/>
  <c r="AO208" i="1"/>
  <c r="AL208" i="1"/>
  <c r="AM208" i="1"/>
  <c r="AN208" i="1"/>
  <c r="AM207" i="1"/>
  <c r="AN207" i="1"/>
  <c r="AO207" i="1"/>
  <c r="AL207" i="1"/>
  <c r="AO206" i="1"/>
  <c r="AM206" i="1"/>
  <c r="AL206" i="1"/>
  <c r="AN206" i="1"/>
  <c r="AL205" i="1"/>
  <c r="AN205" i="1"/>
  <c r="AO205" i="1"/>
  <c r="AM205" i="1"/>
  <c r="AO204" i="1"/>
  <c r="AL204" i="1"/>
  <c r="AM204" i="1"/>
  <c r="AN204" i="1"/>
  <c r="AM203" i="1"/>
  <c r="AO203" i="1"/>
  <c r="AL203" i="1"/>
  <c r="AN203" i="1"/>
  <c r="AL202" i="1"/>
  <c r="AO202" i="1"/>
  <c r="AM202" i="1"/>
  <c r="AN202" i="1"/>
  <c r="AO201" i="1"/>
  <c r="AM201" i="1"/>
  <c r="AN201" i="1"/>
  <c r="AL201" i="1"/>
  <c r="AO200" i="1"/>
  <c r="AN200" i="1"/>
  <c r="AL200" i="1"/>
  <c r="AM199" i="1"/>
  <c r="AN199" i="1"/>
  <c r="AO199" i="1"/>
  <c r="AL199" i="1"/>
  <c r="AO198" i="1"/>
  <c r="AL198" i="1"/>
  <c r="AN198" i="1"/>
  <c r="AM198" i="1"/>
  <c r="AN197" i="1"/>
  <c r="AL197" i="1"/>
  <c r="AM197" i="1"/>
  <c r="AO197" i="1"/>
  <c r="AO196" i="1"/>
  <c r="AL196" i="1"/>
  <c r="AN196" i="1"/>
  <c r="AM196" i="1"/>
  <c r="AM195" i="1"/>
  <c r="AO195" i="1"/>
  <c r="AL195" i="1"/>
  <c r="AN195" i="1"/>
  <c r="AN194" i="1"/>
  <c r="AL194" i="1"/>
  <c r="AO194" i="1"/>
  <c r="AM194" i="1"/>
  <c r="AM193" i="1"/>
  <c r="AN193" i="1"/>
  <c r="AO193" i="1"/>
  <c r="AL193" i="1"/>
  <c r="AO192" i="1"/>
  <c r="AN192" i="1"/>
  <c r="AM192" i="1"/>
  <c r="AL192" i="1"/>
  <c r="AM191" i="1"/>
  <c r="AN191" i="1"/>
  <c r="AL191" i="1"/>
  <c r="AO191" i="1"/>
  <c r="AL190" i="1"/>
  <c r="AN190" i="1"/>
  <c r="AM190" i="1"/>
  <c r="AO190" i="1"/>
  <c r="AN189" i="1"/>
  <c r="AL189" i="1"/>
  <c r="AM189" i="1"/>
  <c r="AO189" i="1"/>
  <c r="AO188" i="1"/>
  <c r="AM188" i="1"/>
  <c r="AN188" i="1"/>
  <c r="AL188" i="1"/>
  <c r="AM187" i="1"/>
  <c r="AL187" i="1"/>
  <c r="AN187" i="1"/>
  <c r="AO187" i="1"/>
  <c r="AN186" i="1"/>
  <c r="AM186" i="1"/>
  <c r="AL186" i="1"/>
  <c r="AO186" i="1"/>
  <c r="AM185" i="1"/>
  <c r="AL185" i="1"/>
  <c r="AN185" i="1"/>
  <c r="AO185" i="1"/>
  <c r="AO184" i="1"/>
  <c r="AM184" i="1"/>
  <c r="AN184" i="1"/>
  <c r="AL184" i="1"/>
  <c r="AM183" i="1"/>
  <c r="AO183" i="1"/>
  <c r="AL183" i="1"/>
  <c r="AN183" i="1"/>
  <c r="AN182" i="1"/>
  <c r="AL182" i="1"/>
  <c r="AM182" i="1"/>
  <c r="AO182" i="1"/>
  <c r="AL181" i="1"/>
  <c r="AN181" i="1"/>
  <c r="AM181" i="1"/>
  <c r="AO181" i="1"/>
  <c r="AO180" i="1"/>
  <c r="AL180" i="1"/>
  <c r="AN180" i="1"/>
  <c r="AM180" i="1"/>
  <c r="AM179" i="1"/>
  <c r="AO179" i="1"/>
  <c r="AN179" i="1"/>
  <c r="AL179" i="1"/>
  <c r="AN178" i="1"/>
  <c r="AM178" i="1"/>
  <c r="AL178" i="1"/>
  <c r="AO178" i="1"/>
  <c r="AL177" i="1"/>
  <c r="AM177" i="1"/>
  <c r="AN177" i="1"/>
  <c r="AO176" i="1"/>
  <c r="AN176" i="1"/>
  <c r="AL176" i="1"/>
  <c r="AM176" i="1"/>
  <c r="AM175" i="1"/>
  <c r="AO175" i="1"/>
  <c r="AL175" i="1"/>
  <c r="AN175" i="1"/>
  <c r="AN174" i="1"/>
  <c r="AM174" i="1"/>
  <c r="AL174" i="1"/>
  <c r="AO174" i="1"/>
  <c r="AL173" i="1"/>
  <c r="AN173" i="1"/>
  <c r="AO173" i="1"/>
  <c r="AM173" i="1"/>
  <c r="AO172" i="1"/>
  <c r="AN172" i="1"/>
  <c r="AM172" i="1"/>
  <c r="AL172" i="1"/>
  <c r="AM171" i="1"/>
  <c r="AL171" i="1"/>
  <c r="AN171" i="1"/>
  <c r="AO171" i="1"/>
  <c r="AN170" i="1"/>
  <c r="AL170" i="1"/>
  <c r="AM170" i="1"/>
  <c r="AO170" i="1"/>
  <c r="AL169" i="1"/>
  <c r="AN169" i="1"/>
  <c r="AM169" i="1"/>
  <c r="AO169" i="1"/>
  <c r="AO168" i="1"/>
  <c r="AN168" i="1"/>
  <c r="AL168" i="1"/>
  <c r="AM168" i="1"/>
  <c r="AM167" i="1"/>
  <c r="AO167" i="1"/>
  <c r="AL167" i="1"/>
  <c r="AN167" i="1"/>
  <c r="AN166" i="1"/>
  <c r="AM166" i="1"/>
  <c r="AO166" i="1"/>
  <c r="AL165" i="1"/>
  <c r="AN165" i="1"/>
  <c r="AM165" i="1"/>
  <c r="AO165" i="1"/>
  <c r="AO164" i="1"/>
  <c r="AL164" i="1"/>
  <c r="AM164" i="1"/>
  <c r="AN164" i="1"/>
  <c r="AM163" i="1"/>
  <c r="AO163" i="1"/>
  <c r="AL163" i="1"/>
  <c r="AN163" i="1"/>
  <c r="AM162" i="1"/>
  <c r="AL162" i="1"/>
  <c r="AN162" i="1"/>
  <c r="AO162" i="1"/>
  <c r="AO161" i="1"/>
  <c r="AN161" i="1"/>
  <c r="AL161" i="1"/>
  <c r="AM161" i="1"/>
  <c r="AM160" i="1"/>
  <c r="AL160" i="1"/>
  <c r="AN160" i="1"/>
  <c r="AO160" i="1"/>
  <c r="AM159" i="1"/>
  <c r="AO159" i="1"/>
  <c r="AL159" i="1"/>
  <c r="AN159" i="1"/>
  <c r="AO158" i="1"/>
  <c r="AL158" i="1"/>
  <c r="AN158" i="1"/>
  <c r="AM158" i="1"/>
  <c r="AO157" i="1"/>
  <c r="AL157" i="1"/>
  <c r="AN157" i="1"/>
  <c r="AM157" i="1"/>
  <c r="AM156" i="1"/>
  <c r="AL156" i="1"/>
  <c r="AN156" i="1"/>
  <c r="AO156" i="1"/>
  <c r="AO155" i="1"/>
  <c r="AN155" i="1"/>
  <c r="AL155" i="1"/>
  <c r="AM155" i="1"/>
  <c r="AL154" i="1"/>
  <c r="AO154" i="1"/>
  <c r="AM154" i="1"/>
  <c r="AN154" i="1"/>
  <c r="AO153" i="1"/>
  <c r="AL153" i="1"/>
  <c r="AN153" i="1"/>
  <c r="AM153" i="1"/>
  <c r="AM152" i="1"/>
  <c r="AO152" i="1"/>
  <c r="AL152" i="1"/>
  <c r="AN152" i="1"/>
  <c r="AL151" i="1"/>
  <c r="AO151" i="1"/>
  <c r="AN151" i="1"/>
  <c r="AM151" i="1"/>
  <c r="AL150" i="1"/>
  <c r="AN150" i="1"/>
  <c r="AO150" i="1"/>
  <c r="AM150" i="1"/>
  <c r="AO149" i="1"/>
  <c r="AM149" i="1"/>
  <c r="AL149" i="1"/>
  <c r="AN149" i="1"/>
  <c r="AM148" i="1"/>
  <c r="AO148" i="1"/>
  <c r="AL148" i="1"/>
  <c r="AN148" i="1"/>
  <c r="AM147" i="1"/>
  <c r="AO147" i="1"/>
  <c r="AN147" i="1"/>
  <c r="AL147" i="1"/>
  <c r="AN146" i="1"/>
  <c r="AL146" i="1"/>
  <c r="AM146" i="1"/>
  <c r="AO146" i="1"/>
  <c r="AO145" i="1"/>
  <c r="AL145" i="1"/>
  <c r="AM145" i="1"/>
  <c r="AN145" i="1"/>
  <c r="AM144" i="1"/>
  <c r="AO144" i="1"/>
  <c r="AN144" i="1"/>
  <c r="AL144" i="1"/>
  <c r="AM143" i="1"/>
  <c r="AL143" i="1"/>
  <c r="AN143" i="1"/>
  <c r="AO143" i="1"/>
  <c r="AM142" i="1"/>
  <c r="AO142" i="1"/>
  <c r="AL142" i="1"/>
  <c r="AN142" i="1"/>
  <c r="AO141" i="1"/>
  <c r="AL141" i="1"/>
  <c r="AM141" i="1"/>
  <c r="AN141" i="1"/>
  <c r="AM140" i="1"/>
  <c r="AO140" i="1"/>
  <c r="AN140" i="1"/>
  <c r="AL140" i="1"/>
  <c r="AM139" i="1"/>
  <c r="AN139" i="1"/>
  <c r="AO139" i="1"/>
  <c r="AL139" i="1"/>
  <c r="AO138" i="1"/>
  <c r="AL138" i="1"/>
  <c r="AM138" i="1"/>
  <c r="AN138" i="1"/>
  <c r="AO137" i="1"/>
  <c r="AN137" i="1"/>
  <c r="AM137" i="1"/>
  <c r="AL137" i="1"/>
  <c r="AM136" i="1"/>
  <c r="AO136" i="1"/>
  <c r="AN136" i="1"/>
  <c r="AL136" i="1"/>
  <c r="AM135" i="1"/>
  <c r="AL135" i="1"/>
  <c r="AO135" i="1"/>
  <c r="AN135" i="1"/>
  <c r="AL134" i="1"/>
  <c r="AM134" i="1"/>
  <c r="AN134" i="1"/>
  <c r="AO134" i="1"/>
  <c r="AO133" i="1"/>
  <c r="AM133" i="1"/>
  <c r="AL133" i="1"/>
  <c r="AN133" i="1"/>
  <c r="AM132" i="1"/>
  <c r="AO132" i="1"/>
  <c r="AL132" i="1"/>
  <c r="AN132" i="1"/>
  <c r="AM131" i="1"/>
  <c r="AO131" i="1"/>
  <c r="AL131" i="1"/>
  <c r="AN131" i="1"/>
  <c r="AN130" i="1"/>
  <c r="AL130" i="1"/>
  <c r="AM130" i="1"/>
  <c r="AO130" i="1"/>
  <c r="AO129" i="1"/>
  <c r="AM129" i="1"/>
  <c r="AN129" i="1"/>
  <c r="AL129" i="1"/>
  <c r="AM128" i="1"/>
  <c r="AO128" i="1"/>
  <c r="AN128" i="1"/>
  <c r="AL128" i="1"/>
  <c r="AM127" i="1"/>
  <c r="AL127" i="1"/>
  <c r="AN127" i="1"/>
  <c r="AO127" i="1"/>
  <c r="AM126" i="1"/>
  <c r="AL126" i="1"/>
  <c r="AN126" i="1"/>
  <c r="AO126" i="1"/>
  <c r="AO125" i="1"/>
  <c r="AL125" i="1"/>
  <c r="AM125" i="1"/>
  <c r="AN125" i="1"/>
  <c r="AM124" i="1"/>
  <c r="AO124" i="1"/>
  <c r="AN124" i="1"/>
  <c r="AL124" i="1"/>
  <c r="AM123" i="1"/>
  <c r="AN123" i="1"/>
  <c r="AL123" i="1"/>
  <c r="AO123" i="1"/>
  <c r="AN122" i="1"/>
  <c r="AL122" i="1"/>
  <c r="AM122" i="1"/>
  <c r="AO122" i="1"/>
  <c r="AN121" i="1"/>
  <c r="AM121" i="1"/>
  <c r="AL121" i="1"/>
  <c r="AO121" i="1"/>
  <c r="AL120" i="1"/>
  <c r="AM120" i="1"/>
  <c r="AO120" i="1"/>
  <c r="AN120" i="1"/>
  <c r="AM119" i="1"/>
  <c r="AN119" i="1"/>
  <c r="AO119" i="1"/>
  <c r="AL119" i="1"/>
  <c r="AM118" i="1"/>
  <c r="AO118" i="1"/>
  <c r="AN118" i="1"/>
  <c r="AL118" i="1"/>
  <c r="AN117" i="1"/>
  <c r="AL117" i="1"/>
  <c r="AM117" i="1"/>
  <c r="AO117" i="1"/>
  <c r="AL116" i="1"/>
  <c r="AN116" i="1"/>
  <c r="AO116" i="1"/>
  <c r="AM116" i="1"/>
  <c r="AM115" i="1"/>
  <c r="AO115" i="1"/>
  <c r="AL115" i="1"/>
  <c r="AN115" i="1"/>
  <c r="AL114" i="1"/>
  <c r="AN114" i="1"/>
  <c r="AM114" i="1"/>
  <c r="AO114" i="1"/>
  <c r="AN113" i="1"/>
  <c r="AL113" i="1"/>
  <c r="AM113" i="1"/>
  <c r="AO113" i="1"/>
  <c r="AL112" i="1"/>
  <c r="AM112" i="1"/>
  <c r="AO112" i="1"/>
  <c r="AN112" i="1"/>
  <c r="AL111" i="1"/>
  <c r="AM111" i="1"/>
  <c r="AN111" i="1"/>
  <c r="AO111" i="1"/>
  <c r="AO110" i="1"/>
  <c r="AM110" i="1"/>
  <c r="AL110" i="1"/>
  <c r="AN110" i="1"/>
  <c r="AN109" i="1"/>
  <c r="AL109" i="1"/>
  <c r="AO109" i="1"/>
  <c r="AM109" i="1"/>
  <c r="AL108" i="1"/>
  <c r="AN108" i="1"/>
  <c r="AO108" i="1"/>
  <c r="AM108" i="1"/>
  <c r="AO107" i="1"/>
  <c r="AL107" i="1"/>
  <c r="AN107" i="1"/>
  <c r="AM107" i="1"/>
  <c r="AL106" i="1"/>
  <c r="AN106" i="1"/>
  <c r="AM106" i="1"/>
  <c r="AO106" i="1"/>
  <c r="AN105" i="1"/>
  <c r="AO105" i="1"/>
  <c r="AL105" i="1"/>
  <c r="AM105" i="1"/>
  <c r="AL104" i="1"/>
  <c r="AM104" i="1"/>
  <c r="AN104" i="1"/>
  <c r="AO104" i="1"/>
  <c r="AL103" i="1"/>
  <c r="AM103" i="1"/>
  <c r="AN103" i="1"/>
  <c r="AO103" i="1"/>
  <c r="AN102" i="1"/>
  <c r="AM102" i="1"/>
  <c r="AO102" i="1"/>
  <c r="AL102" i="1"/>
  <c r="AN101" i="1"/>
  <c r="AO101" i="1"/>
  <c r="AL101" i="1"/>
  <c r="AM101" i="1"/>
  <c r="AL100" i="1"/>
  <c r="AM100" i="1"/>
  <c r="AN100" i="1"/>
  <c r="AO100" i="1"/>
  <c r="AL99" i="1"/>
  <c r="AN99" i="1"/>
  <c r="AM99" i="1"/>
  <c r="AO99" i="1"/>
  <c r="AL98" i="1"/>
  <c r="AM98" i="1"/>
  <c r="AO98" i="1"/>
  <c r="AN98" i="1"/>
  <c r="AN97" i="1"/>
  <c r="AO97" i="1"/>
  <c r="AL97" i="1"/>
  <c r="AM97" i="1"/>
  <c r="AL96" i="1"/>
  <c r="AM96" i="1"/>
  <c r="AN96" i="1"/>
  <c r="AO96" i="1"/>
  <c r="AN95" i="1"/>
  <c r="AL95" i="1"/>
  <c r="AM95" i="1"/>
  <c r="AO95" i="1"/>
  <c r="AL94" i="1"/>
  <c r="AN94" i="1"/>
  <c r="AO94" i="1"/>
  <c r="AM94" i="1"/>
  <c r="AN93" i="1"/>
  <c r="AO93" i="1"/>
  <c r="AL93" i="1"/>
  <c r="AM93" i="1"/>
  <c r="AN504" i="1"/>
  <c r="AL501" i="1"/>
  <c r="AL499" i="1"/>
  <c r="AN497" i="1"/>
  <c r="AL492" i="1"/>
  <c r="AN490" i="1"/>
  <c r="AN488" i="1"/>
  <c r="AL485" i="1"/>
  <c r="AL483" i="1"/>
  <c r="AN481" i="1"/>
  <c r="AL476" i="1"/>
  <c r="AN474" i="1"/>
  <c r="AN472" i="1"/>
  <c r="AO466" i="1"/>
  <c r="AN460" i="1"/>
  <c r="AO458" i="1"/>
  <c r="AN454" i="1"/>
  <c r="AN452" i="1"/>
  <c r="AO450" i="1"/>
  <c r="AM448" i="1"/>
  <c r="AN446" i="1"/>
  <c r="AN444" i="1"/>
  <c r="AM442" i="1"/>
  <c r="AM440" i="1"/>
  <c r="AN438" i="1"/>
  <c r="AL436" i="1"/>
  <c r="AM434" i="1"/>
  <c r="AM432" i="1"/>
  <c r="AL430" i="1"/>
  <c r="AL428" i="1"/>
  <c r="AM426" i="1"/>
  <c r="AL422" i="1"/>
  <c r="AL420" i="1"/>
  <c r="AO415" i="1"/>
  <c r="AN409" i="1"/>
  <c r="AN403" i="1"/>
  <c r="AO361" i="1"/>
  <c r="AO353" i="1"/>
  <c r="AL345" i="1"/>
  <c r="AL337" i="1"/>
  <c r="AL329" i="1"/>
  <c r="AM320" i="1"/>
  <c r="AL311" i="1"/>
  <c r="AN292" i="1"/>
  <c r="AL271" i="1"/>
  <c r="AO259" i="1"/>
  <c r="AL14" i="1"/>
  <c r="AM14" i="1"/>
  <c r="AN14" i="1"/>
  <c r="AO14" i="1"/>
  <c r="AO502" i="1"/>
  <c r="AM497" i="1"/>
  <c r="AM495" i="1"/>
  <c r="AO493" i="1"/>
  <c r="AO486" i="1"/>
  <c r="AM481" i="1"/>
  <c r="AM479" i="1"/>
  <c r="AO477" i="1"/>
  <c r="AO470" i="1"/>
  <c r="AM468" i="1"/>
  <c r="AN466" i="1"/>
  <c r="AN464" i="1"/>
  <c r="AM462" i="1"/>
  <c r="AM460" i="1"/>
  <c r="AN458" i="1"/>
  <c r="AL456" i="1"/>
  <c r="AM454" i="1"/>
  <c r="AM452" i="1"/>
  <c r="AL450" i="1"/>
  <c r="AL448" i="1"/>
  <c r="AM446" i="1"/>
  <c r="AL442" i="1"/>
  <c r="AL440" i="1"/>
  <c r="AL434" i="1"/>
  <c r="AO419" i="1"/>
  <c r="AO417" i="1"/>
  <c r="AM396" i="1"/>
  <c r="AL389" i="1"/>
  <c r="AL382" i="1"/>
  <c r="AM375" i="1"/>
  <c r="AM368" i="1"/>
  <c r="AO352" i="1"/>
  <c r="AO344" i="1"/>
  <c r="AN336" i="1"/>
  <c r="AM328" i="1"/>
  <c r="AO319" i="1"/>
  <c r="AL310" i="1"/>
  <c r="AN291" i="1"/>
  <c r="AO280" i="1"/>
  <c r="AL259" i="1"/>
  <c r="AM229" i="1"/>
  <c r="AL166" i="1"/>
  <c r="AL92" i="1"/>
  <c r="AM92" i="1"/>
  <c r="AN92" i="1"/>
  <c r="AO92" i="1"/>
  <c r="AL91" i="1"/>
  <c r="AM91" i="1"/>
  <c r="AN91" i="1"/>
  <c r="AO91" i="1"/>
  <c r="AL90" i="1"/>
  <c r="AN90" i="1"/>
  <c r="AM90" i="1"/>
  <c r="AO90" i="1"/>
  <c r="AN89" i="1"/>
  <c r="AO89" i="1"/>
  <c r="AM89" i="1"/>
  <c r="AL89" i="1"/>
  <c r="AL88" i="1"/>
  <c r="AM88" i="1"/>
  <c r="AN88" i="1"/>
  <c r="AO88" i="1"/>
  <c r="AL87" i="1"/>
  <c r="AN87" i="1"/>
  <c r="AO87" i="1"/>
  <c r="AM87" i="1"/>
  <c r="AN86" i="1"/>
  <c r="AL86" i="1"/>
  <c r="AM86" i="1"/>
  <c r="AO86" i="1"/>
  <c r="AN85" i="1"/>
  <c r="AO85" i="1"/>
  <c r="AL85" i="1"/>
  <c r="AM85" i="1"/>
  <c r="AL84" i="1"/>
  <c r="AM84" i="1"/>
  <c r="AN84" i="1"/>
  <c r="AO84" i="1"/>
  <c r="AL83" i="1"/>
  <c r="AN83" i="1"/>
  <c r="AM83" i="1"/>
  <c r="AO83" i="1"/>
  <c r="AN82" i="1"/>
  <c r="AO82" i="1"/>
  <c r="AL82" i="1"/>
  <c r="AM82" i="1"/>
  <c r="AN81" i="1"/>
  <c r="AO81" i="1"/>
  <c r="AL81" i="1"/>
  <c r="AM81" i="1"/>
  <c r="AL80" i="1"/>
  <c r="AM80" i="1"/>
  <c r="AN80" i="1"/>
  <c r="AO80" i="1"/>
  <c r="AN79" i="1"/>
  <c r="AL79" i="1"/>
  <c r="AM79" i="1"/>
  <c r="AO79" i="1"/>
  <c r="AL78" i="1"/>
  <c r="AM78" i="1"/>
  <c r="AN78" i="1"/>
  <c r="AO78" i="1"/>
  <c r="AN77" i="1"/>
  <c r="AO77" i="1"/>
  <c r="AL77" i="1"/>
  <c r="AM77" i="1"/>
  <c r="AL76" i="1"/>
  <c r="AM76" i="1"/>
  <c r="AN76" i="1"/>
  <c r="AO76" i="1"/>
  <c r="AN75" i="1"/>
  <c r="AO75" i="1"/>
  <c r="AL75" i="1"/>
  <c r="AM75" i="1"/>
  <c r="AL74" i="1"/>
  <c r="AN74" i="1"/>
  <c r="AM74" i="1"/>
  <c r="AO74" i="1"/>
  <c r="AN73" i="1"/>
  <c r="AO73" i="1"/>
  <c r="AL73" i="1"/>
  <c r="AM73" i="1"/>
  <c r="AL72" i="1"/>
  <c r="AM72" i="1"/>
  <c r="AN72" i="1"/>
  <c r="AO72" i="1"/>
  <c r="AL71" i="1"/>
  <c r="AM71" i="1"/>
  <c r="AN71" i="1"/>
  <c r="AO71" i="1"/>
  <c r="AN70" i="1"/>
  <c r="AO70" i="1"/>
  <c r="AM70" i="1"/>
  <c r="AL70" i="1"/>
  <c r="AN69" i="1"/>
  <c r="AO69" i="1"/>
  <c r="AL69" i="1"/>
  <c r="AM69" i="1"/>
  <c r="AL68" i="1"/>
  <c r="AM68" i="1"/>
  <c r="AN68" i="1"/>
  <c r="AO68" i="1"/>
  <c r="AL67" i="1"/>
  <c r="AN67" i="1"/>
  <c r="AM67" i="1"/>
  <c r="AO67" i="1"/>
  <c r="AL66" i="1"/>
  <c r="AM66" i="1"/>
  <c r="AN66" i="1"/>
  <c r="AO66" i="1"/>
  <c r="AN65" i="1"/>
  <c r="AO65" i="1"/>
  <c r="AL65" i="1"/>
  <c r="AM65" i="1"/>
  <c r="AL64" i="1"/>
  <c r="AM64" i="1"/>
  <c r="AN64" i="1"/>
  <c r="AO64" i="1"/>
  <c r="AN63" i="1"/>
  <c r="AO63" i="1"/>
  <c r="AL63" i="1"/>
  <c r="AM63" i="1"/>
  <c r="AL62" i="1"/>
  <c r="AM62" i="1"/>
  <c r="AN62" i="1"/>
  <c r="AO62" i="1"/>
  <c r="AN61" i="1"/>
  <c r="AO61" i="1"/>
  <c r="AL61" i="1"/>
  <c r="AM61" i="1"/>
  <c r="AL60" i="1"/>
  <c r="AM60" i="1"/>
  <c r="AN60" i="1"/>
  <c r="AO60" i="1"/>
  <c r="AL59" i="1"/>
  <c r="AM59" i="1"/>
  <c r="AN59" i="1"/>
  <c r="AO59" i="1"/>
  <c r="AL58" i="1"/>
  <c r="AN58" i="1"/>
  <c r="AM58" i="1"/>
  <c r="AO58" i="1"/>
  <c r="AN57" i="1"/>
  <c r="AO57" i="1"/>
  <c r="AL57" i="1"/>
  <c r="AM57" i="1"/>
  <c r="AL56" i="1"/>
  <c r="AM56" i="1"/>
  <c r="AN56" i="1"/>
  <c r="AO56" i="1"/>
  <c r="AL55" i="1"/>
  <c r="AM55" i="1"/>
  <c r="AN55" i="1"/>
  <c r="AO55" i="1"/>
  <c r="AN54" i="1"/>
  <c r="AL54" i="1"/>
  <c r="AM54" i="1"/>
  <c r="AO54" i="1"/>
  <c r="AN53" i="1"/>
  <c r="AO53" i="1"/>
  <c r="AL53" i="1"/>
  <c r="AM53" i="1"/>
  <c r="AL52" i="1"/>
  <c r="AM52" i="1"/>
  <c r="AN52" i="1"/>
  <c r="AO52" i="1"/>
  <c r="AL51" i="1"/>
  <c r="AN51" i="1"/>
  <c r="AO51" i="1"/>
  <c r="AM51" i="1"/>
  <c r="AL50" i="1"/>
  <c r="AM50" i="1"/>
  <c r="AN50" i="1"/>
  <c r="AO50" i="1"/>
  <c r="AN49" i="1"/>
  <c r="AO49" i="1"/>
  <c r="AL49" i="1"/>
  <c r="AM49" i="1"/>
  <c r="AL48" i="1"/>
  <c r="AM48" i="1"/>
  <c r="AN48" i="1"/>
  <c r="AO48" i="1"/>
  <c r="AN47" i="1"/>
  <c r="AL47" i="1"/>
  <c r="AM47" i="1"/>
  <c r="AO47" i="1"/>
  <c r="AL46" i="1"/>
  <c r="AM46" i="1"/>
  <c r="AN46" i="1"/>
  <c r="AO46" i="1"/>
  <c r="AN45" i="1"/>
  <c r="AO45" i="1"/>
  <c r="AL45" i="1"/>
  <c r="AM45" i="1"/>
  <c r="AL44" i="1"/>
  <c r="AM44" i="1"/>
  <c r="AN44" i="1"/>
  <c r="AO44" i="1"/>
  <c r="AL43" i="1"/>
  <c r="AM43" i="1"/>
  <c r="AN43" i="1"/>
  <c r="AO43" i="1"/>
  <c r="AL42" i="1"/>
  <c r="AN42" i="1"/>
  <c r="AM42" i="1"/>
  <c r="AO42" i="1"/>
  <c r="AN41" i="1"/>
  <c r="AO41" i="1"/>
  <c r="AL41" i="1"/>
  <c r="AM41" i="1"/>
  <c r="AL40" i="1"/>
  <c r="AM40" i="1"/>
  <c r="AN40" i="1"/>
  <c r="AO40" i="1"/>
  <c r="AL39" i="1"/>
  <c r="AM39" i="1"/>
  <c r="AN39" i="1"/>
  <c r="AO39" i="1"/>
  <c r="AN38" i="1"/>
  <c r="AL38" i="1"/>
  <c r="AM38" i="1"/>
  <c r="AO38" i="1"/>
  <c r="AN37" i="1"/>
  <c r="AO37" i="1"/>
  <c r="AL37" i="1"/>
  <c r="AM37" i="1"/>
  <c r="AL36" i="1"/>
  <c r="AM36" i="1"/>
  <c r="AN36" i="1"/>
  <c r="AO36" i="1"/>
  <c r="AL35" i="1"/>
  <c r="AN35" i="1"/>
  <c r="AM35" i="1"/>
  <c r="AO35" i="1"/>
  <c r="AL34" i="1"/>
  <c r="AM34" i="1"/>
  <c r="AN34" i="1"/>
  <c r="AO34" i="1"/>
  <c r="AN33" i="1"/>
  <c r="AO33" i="1"/>
  <c r="AL33" i="1"/>
  <c r="AM33" i="1"/>
  <c r="AL32" i="1"/>
  <c r="AM32" i="1"/>
  <c r="AO32" i="1"/>
  <c r="AN32" i="1"/>
  <c r="AN31" i="1"/>
  <c r="AL31" i="1"/>
  <c r="AM31" i="1"/>
  <c r="AO31" i="1"/>
  <c r="AL30" i="1"/>
  <c r="AN30" i="1"/>
  <c r="AO30" i="1"/>
  <c r="AM30" i="1"/>
  <c r="AN29" i="1"/>
  <c r="AO29" i="1"/>
  <c r="AL29" i="1"/>
  <c r="AM29" i="1"/>
  <c r="AL28" i="1"/>
  <c r="AM28" i="1"/>
  <c r="AN28" i="1"/>
  <c r="AO28" i="1"/>
  <c r="AO27" i="1"/>
  <c r="AL27" i="1"/>
  <c r="AM27" i="1"/>
  <c r="AN27" i="1"/>
  <c r="AL26" i="1"/>
  <c r="AM26" i="1"/>
  <c r="AN26" i="1"/>
  <c r="AO26" i="1"/>
  <c r="AN25" i="1"/>
  <c r="AO25" i="1"/>
  <c r="AL25" i="1"/>
  <c r="AM25" i="1"/>
  <c r="AL24" i="1"/>
  <c r="AM24" i="1"/>
  <c r="AN24" i="1"/>
  <c r="AO24" i="1"/>
  <c r="AL23" i="1"/>
  <c r="AM23" i="1"/>
  <c r="AN23" i="1"/>
  <c r="AO23" i="1"/>
  <c r="AN22" i="1"/>
  <c r="AO22" i="1"/>
  <c r="AL22" i="1"/>
  <c r="AM22" i="1"/>
  <c r="AN21" i="1"/>
  <c r="AO21" i="1"/>
  <c r="AL21" i="1"/>
  <c r="AM21" i="1"/>
  <c r="AL20" i="1"/>
  <c r="AM20" i="1"/>
  <c r="AN20" i="1"/>
  <c r="AO20" i="1"/>
  <c r="AL19" i="1"/>
  <c r="AM19" i="1"/>
  <c r="AN19" i="1"/>
  <c r="AO19" i="1"/>
  <c r="AL18" i="1"/>
  <c r="AO18" i="1"/>
  <c r="AM18" i="1"/>
  <c r="AN18" i="1"/>
  <c r="AN17" i="1"/>
  <c r="AO17" i="1"/>
  <c r="AL17" i="1"/>
  <c r="AM17" i="1"/>
  <c r="AO10" i="1"/>
  <c r="AO9" i="1"/>
  <c r="AO8" i="1"/>
  <c r="AO7" i="1"/>
  <c r="AO6" i="1"/>
  <c r="AN10" i="1"/>
  <c r="AN9" i="1"/>
  <c r="AN8" i="1"/>
  <c r="AN7" i="1"/>
  <c r="AN6" i="1"/>
  <c r="AL10" i="1"/>
  <c r="AM10" i="1"/>
  <c r="AM9" i="1"/>
  <c r="AM8" i="1"/>
  <c r="AM7" i="1"/>
  <c r="AM6" i="1"/>
  <c r="AL9" i="1"/>
  <c r="AL8" i="1"/>
  <c r="AL7" i="1"/>
  <c r="AL6" i="1"/>
  <c r="AO5" i="1"/>
  <c r="AN5" i="1"/>
  <c r="AM5" i="1"/>
  <c r="AL5" i="1"/>
  <c r="AI4" i="1"/>
  <c r="H11" i="2" s="1"/>
  <c r="R68" i="1"/>
  <c r="M372" i="1"/>
  <c r="R439" i="1"/>
  <c r="AD179" i="1"/>
  <c r="M331" i="1"/>
  <c r="AC231" i="1"/>
  <c r="AD231" i="1"/>
  <c r="AC285" i="1"/>
  <c r="Q339" i="1"/>
  <c r="AD316" i="1"/>
  <c r="Q202" i="1"/>
  <c r="AC199" i="1"/>
  <c r="AD199" i="1"/>
  <c r="AC198" i="1"/>
  <c r="AD198" i="1"/>
  <c r="AC188" i="1"/>
  <c r="AD188" i="1"/>
  <c r="AD185" i="1"/>
  <c r="AD369" i="1"/>
  <c r="AC298" i="1"/>
  <c r="AD298" i="1"/>
  <c r="AD169" i="1"/>
  <c r="AC119" i="1"/>
  <c r="AD119" i="1"/>
  <c r="AC213" i="1"/>
  <c r="AD227" i="1"/>
  <c r="M58" i="1"/>
  <c r="AC34" i="1"/>
  <c r="AD34" i="1"/>
  <c r="AC25" i="1"/>
  <c r="AD25" i="1"/>
  <c r="M53" i="1"/>
  <c r="O84" i="1"/>
  <c r="Q403" i="1"/>
  <c r="O32" i="1"/>
  <c r="Q58" i="1"/>
  <c r="R491" i="1"/>
  <c r="Q450" i="1"/>
  <c r="Q225" i="1"/>
  <c r="O333" i="1"/>
  <c r="M471" i="1"/>
  <c r="O157" i="1"/>
  <c r="O393" i="1"/>
  <c r="M339" i="1"/>
  <c r="O479" i="1"/>
  <c r="Q256" i="1"/>
  <c r="O335" i="1"/>
  <c r="Q410" i="1"/>
  <c r="O175" i="1"/>
  <c r="O293" i="1"/>
  <c r="R322" i="1"/>
  <c r="R43" i="1"/>
  <c r="R353" i="1"/>
  <c r="M132" i="1"/>
  <c r="O70" i="1"/>
  <c r="O65" i="1"/>
  <c r="M450" i="1"/>
  <c r="M378" i="1"/>
  <c r="R489" i="1"/>
  <c r="O286" i="1"/>
  <c r="Q326" i="1"/>
  <c r="R189" i="1"/>
  <c r="R175" i="1"/>
  <c r="O256" i="1"/>
  <c r="O108" i="1"/>
  <c r="O487" i="1"/>
  <c r="Q314" i="1"/>
  <c r="M326" i="1"/>
  <c r="O353" i="1"/>
  <c r="Q331" i="1"/>
  <c r="M112" i="1"/>
  <c r="M474" i="1"/>
  <c r="M189" i="1"/>
  <c r="R97" i="1"/>
  <c r="Q32" i="1"/>
  <c r="O301" i="1"/>
  <c r="M265" i="1"/>
  <c r="O492" i="1"/>
  <c r="M488" i="1"/>
  <c r="O243" i="1"/>
  <c r="M216" i="1"/>
  <c r="Q172" i="1"/>
  <c r="R32" i="1"/>
  <c r="M224" i="1"/>
  <c r="O246" i="1"/>
  <c r="O317" i="1"/>
  <c r="M266" i="1"/>
  <c r="M228" i="1"/>
  <c r="Q137" i="1"/>
  <c r="Q349" i="1"/>
  <c r="O222" i="1"/>
  <c r="R291" i="1"/>
  <c r="O172" i="1"/>
  <c r="O266" i="1"/>
  <c r="Q291" i="1"/>
  <c r="O137" i="1"/>
  <c r="O349" i="1"/>
  <c r="R428" i="1"/>
  <c r="R384" i="1"/>
  <c r="R492" i="1"/>
  <c r="O283" i="1"/>
  <c r="M279" i="1"/>
  <c r="R246" i="1"/>
  <c r="O94" i="1"/>
  <c r="O502" i="1"/>
  <c r="Q428" i="1"/>
  <c r="R474" i="1"/>
  <c r="M384" i="1"/>
  <c r="Q192" i="1"/>
  <c r="R243" i="1"/>
  <c r="M353" i="1"/>
  <c r="O281" i="1"/>
  <c r="R372" i="1"/>
  <c r="R53" i="1"/>
  <c r="O215" i="1"/>
  <c r="R498" i="1"/>
  <c r="O214" i="1"/>
  <c r="R475" i="1"/>
  <c r="Q103" i="1"/>
  <c r="R497" i="1"/>
  <c r="R45" i="1"/>
  <c r="O307" i="1"/>
  <c r="M184" i="1"/>
  <c r="M464" i="1"/>
  <c r="M21" i="1"/>
  <c r="M368" i="1"/>
  <c r="R140" i="1"/>
  <c r="M91" i="1"/>
  <c r="R308" i="1"/>
  <c r="M491" i="1"/>
  <c r="O404" i="1"/>
  <c r="R134" i="1"/>
  <c r="O368" i="1"/>
  <c r="Q99" i="1"/>
  <c r="O140" i="1"/>
  <c r="O91" i="1"/>
  <c r="O468" i="1"/>
  <c r="Q500" i="1"/>
  <c r="M251" i="1"/>
  <c r="O73" i="1"/>
  <c r="O337" i="1"/>
  <c r="R137" i="1"/>
  <c r="O395" i="1"/>
  <c r="O200" i="1"/>
  <c r="O338" i="1"/>
  <c r="O331" i="1"/>
  <c r="Q200" i="1"/>
  <c r="M15" i="1"/>
  <c r="M120" i="1"/>
  <c r="R70" i="1"/>
  <c r="R408" i="1"/>
  <c r="R310" i="1"/>
  <c r="M172" i="1"/>
  <c r="M293" i="1"/>
  <c r="M246" i="1"/>
  <c r="Q317" i="1"/>
  <c r="O204" i="1"/>
  <c r="O154" i="1"/>
  <c r="R200" i="1"/>
  <c r="O282" i="1"/>
  <c r="R382" i="1"/>
  <c r="Q382" i="1"/>
  <c r="Q347" i="1"/>
  <c r="R464" i="1"/>
  <c r="Q274" i="1"/>
  <c r="O104" i="1"/>
  <c r="Q125" i="1"/>
  <c r="O291" i="1"/>
  <c r="Q21" i="1"/>
  <c r="O450" i="1"/>
  <c r="R368" i="1"/>
  <c r="O61" i="1"/>
  <c r="O463" i="1"/>
  <c r="M90" i="1"/>
  <c r="O224" i="1"/>
  <c r="R327" i="1"/>
  <c r="O439" i="1"/>
  <c r="M404" i="1"/>
  <c r="Q481" i="1"/>
  <c r="R481" i="1"/>
  <c r="O324" i="1"/>
  <c r="Q207" i="1"/>
  <c r="R207" i="1"/>
  <c r="O433" i="1"/>
  <c r="R245" i="1"/>
  <c r="M245" i="1"/>
  <c r="Q434" i="1"/>
  <c r="R434" i="1"/>
  <c r="Q113" i="1"/>
  <c r="M113" i="1"/>
  <c r="R414" i="1"/>
  <c r="M414" i="1"/>
  <c r="O122" i="1"/>
  <c r="O66" i="1"/>
  <c r="R219" i="1"/>
  <c r="O219" i="1"/>
  <c r="Q268" i="1"/>
  <c r="M268" i="1"/>
  <c r="Q465" i="1"/>
  <c r="M465" i="1"/>
  <c r="O76" i="1"/>
  <c r="O130" i="1"/>
  <c r="O448" i="1"/>
  <c r="Q429" i="1"/>
  <c r="M429" i="1"/>
  <c r="O213" i="1"/>
  <c r="O312" i="1"/>
  <c r="O45" i="1"/>
  <c r="R398" i="1"/>
  <c r="M398" i="1"/>
  <c r="Q398" i="1"/>
  <c r="O399" i="1"/>
  <c r="O431" i="1"/>
  <c r="Q201" i="1"/>
  <c r="R174" i="1"/>
  <c r="O290" i="1"/>
  <c r="O398" i="1"/>
  <c r="M39" i="1"/>
  <c r="Q39" i="1"/>
  <c r="M336" i="1"/>
  <c r="R336" i="1"/>
  <c r="Q286" i="1"/>
  <c r="M286" i="1"/>
  <c r="R286" i="1"/>
  <c r="R109" i="1"/>
  <c r="Q109" i="1"/>
  <c r="R324" i="1"/>
  <c r="Q324" i="1"/>
  <c r="M483" i="1"/>
  <c r="R483" i="1"/>
  <c r="Q177" i="1"/>
  <c r="M177" i="1"/>
  <c r="M309" i="1"/>
  <c r="R309" i="1"/>
  <c r="Q30" i="1"/>
  <c r="R30" i="1"/>
  <c r="O201" i="1"/>
  <c r="M247" i="1"/>
  <c r="O247" i="1"/>
  <c r="Q143" i="1"/>
  <c r="M143" i="1"/>
  <c r="R343" i="1"/>
  <c r="Q343" i="1"/>
  <c r="R296" i="1"/>
  <c r="M201" i="1"/>
  <c r="Q213" i="1"/>
  <c r="Q174" i="1"/>
  <c r="R380" i="1"/>
  <c r="R74" i="1"/>
  <c r="O497" i="1"/>
  <c r="Q312" i="1"/>
  <c r="O176" i="1"/>
  <c r="R143" i="1"/>
  <c r="R429" i="1"/>
  <c r="Q490" i="1"/>
  <c r="M490" i="1"/>
  <c r="O483" i="1"/>
  <c r="O454" i="1"/>
  <c r="O113" i="1"/>
  <c r="Q216" i="1"/>
  <c r="O143" i="1"/>
  <c r="O190" i="1"/>
  <c r="M175" i="1"/>
  <c r="R371" i="1"/>
  <c r="R366" i="1"/>
  <c r="O245" i="1"/>
  <c r="O456" i="1"/>
  <c r="M410" i="1"/>
  <c r="O343" i="1"/>
  <c r="O150" i="1"/>
  <c r="O339" i="1"/>
  <c r="O58" i="1"/>
  <c r="Q243" i="1"/>
  <c r="O356" i="1"/>
  <c r="O280" i="1"/>
  <c r="O449" i="1"/>
  <c r="O18" i="1"/>
  <c r="O359" i="1"/>
  <c r="O21" i="1"/>
  <c r="O189" i="1"/>
  <c r="M501" i="1"/>
  <c r="O162" i="1"/>
  <c r="O111" i="1"/>
  <c r="O102" i="1"/>
  <c r="O490" i="1"/>
  <c r="O87" i="1"/>
  <c r="O72" i="1"/>
  <c r="O109" i="1"/>
  <c r="M492" i="1"/>
  <c r="O369" i="1"/>
  <c r="O474" i="1"/>
  <c r="O142" i="1"/>
  <c r="Q131" i="1"/>
  <c r="M422" i="1"/>
  <c r="O42" i="1"/>
  <c r="O97" i="1"/>
  <c r="M61" i="1"/>
  <c r="O371" i="1"/>
  <c r="O44" i="1"/>
  <c r="O90" i="1"/>
  <c r="O10" i="1"/>
  <c r="R295" i="1"/>
  <c r="R84" i="1"/>
  <c r="O410" i="1"/>
  <c r="R251" i="1"/>
  <c r="O491" i="1"/>
  <c r="O409" i="1"/>
  <c r="M103" i="1"/>
  <c r="O352" i="1"/>
  <c r="O308" i="1"/>
  <c r="O221" i="1"/>
  <c r="R114" i="1"/>
  <c r="O326" i="1"/>
  <c r="O13" i="1"/>
  <c r="O159" i="1"/>
  <c r="Q266" i="1"/>
  <c r="O33" i="1"/>
  <c r="M70" i="1"/>
  <c r="O406" i="1"/>
  <c r="O482" i="1"/>
  <c r="R202" i="1"/>
  <c r="O309" i="1"/>
  <c r="O80" i="1"/>
  <c r="O28" i="1"/>
  <c r="O177" i="1"/>
  <c r="R297" i="1"/>
  <c r="O117" i="1"/>
  <c r="O346" i="1"/>
  <c r="O239" i="1"/>
  <c r="O394" i="1"/>
  <c r="R224" i="1"/>
  <c r="O489" i="1"/>
  <c r="O36" i="1"/>
  <c r="R392" i="1"/>
  <c r="M392" i="1"/>
  <c r="Q145" i="1"/>
  <c r="M145" i="1"/>
  <c r="R145" i="1"/>
  <c r="R50" i="1"/>
  <c r="Q480" i="1"/>
  <c r="M480" i="1"/>
  <c r="O207" i="1"/>
  <c r="Q122" i="1"/>
  <c r="M477" i="1"/>
  <c r="Q477" i="1"/>
  <c r="O392" i="1"/>
  <c r="Q350" i="1"/>
  <c r="R350" i="1"/>
  <c r="O350" i="1"/>
  <c r="O74" i="1"/>
  <c r="Q281" i="1"/>
  <c r="M281" i="1"/>
  <c r="O5" i="1"/>
  <c r="O379" i="1"/>
  <c r="M497" i="1"/>
  <c r="M472" i="1"/>
  <c r="Q472" i="1"/>
  <c r="Q282" i="1"/>
  <c r="Q421" i="1"/>
  <c r="M421" i="1"/>
  <c r="O160" i="1"/>
  <c r="O39" i="1"/>
  <c r="Q156" i="1"/>
  <c r="M122" i="1"/>
  <c r="O477" i="1"/>
  <c r="R436" i="1"/>
  <c r="Q446" i="1"/>
  <c r="Q153" i="1"/>
  <c r="R153" i="1"/>
  <c r="M445" i="1"/>
  <c r="R445" i="1"/>
  <c r="R238" i="1"/>
  <c r="M238" i="1"/>
  <c r="Q263" i="1"/>
  <c r="R263" i="1"/>
  <c r="M263" i="1"/>
  <c r="O263" i="1"/>
  <c r="R415" i="1"/>
  <c r="M415" i="1"/>
  <c r="M212" i="1"/>
  <c r="Q212" i="1"/>
  <c r="Q296" i="1"/>
  <c r="O100" i="1"/>
  <c r="R6" i="1"/>
  <c r="M74" i="1"/>
  <c r="R116" i="1"/>
  <c r="Q6" i="1"/>
  <c r="O54" i="1"/>
  <c r="R141" i="1"/>
  <c r="M149" i="1"/>
  <c r="O120" i="1"/>
  <c r="M116" i="1"/>
  <c r="O372" i="1"/>
  <c r="O208" i="1"/>
  <c r="M50" i="1"/>
  <c r="R34" i="1"/>
  <c r="Q448" i="1"/>
  <c r="M448" i="1"/>
  <c r="R271" i="1"/>
  <c r="R261" i="1"/>
  <c r="O15" i="1"/>
  <c r="O151" i="1"/>
  <c r="O384" i="1"/>
  <c r="M204" i="1"/>
  <c r="R204" i="1"/>
  <c r="O421" i="1"/>
  <c r="O422" i="1"/>
  <c r="O464" i="1"/>
  <c r="R469" i="1"/>
  <c r="M469" i="1"/>
  <c r="M156" i="1"/>
  <c r="M311" i="1"/>
  <c r="M324" i="1"/>
  <c r="R164" i="1"/>
  <c r="M164" i="1"/>
  <c r="M98" i="1"/>
  <c r="Q98" i="1"/>
  <c r="Q436" i="1"/>
  <c r="M433" i="1"/>
  <c r="Q433" i="1"/>
  <c r="M446" i="1"/>
  <c r="Q52" i="1"/>
  <c r="Q276" i="1"/>
  <c r="Q166" i="1"/>
  <c r="R166" i="1"/>
  <c r="Q303" i="1"/>
  <c r="Q63" i="1"/>
  <c r="M63" i="1"/>
  <c r="O106" i="1"/>
  <c r="Q238" i="1"/>
  <c r="R413" i="1"/>
  <c r="R146" i="1"/>
  <c r="R162" i="1"/>
  <c r="M162" i="1"/>
  <c r="R165" i="1"/>
  <c r="Q165" i="1"/>
  <c r="M377" i="1"/>
  <c r="Q377" i="1"/>
  <c r="R377" i="1"/>
  <c r="Q373" i="1"/>
  <c r="R373" i="1"/>
  <c r="M373" i="1"/>
  <c r="M34" i="1"/>
  <c r="M271" i="1"/>
  <c r="O296" i="1"/>
  <c r="R100" i="1"/>
  <c r="R444" i="1"/>
  <c r="R107" i="1"/>
  <c r="M276" i="1"/>
  <c r="O166" i="1"/>
  <c r="Q148" i="1"/>
  <c r="R148" i="1"/>
  <c r="M110" i="1"/>
  <c r="Q110" i="1"/>
  <c r="O288" i="1"/>
  <c r="M303" i="1"/>
  <c r="M106" i="1"/>
  <c r="M345" i="1"/>
  <c r="R345" i="1"/>
  <c r="R361" i="1"/>
  <c r="O361" i="1"/>
  <c r="Q413" i="1"/>
  <c r="R370" i="1"/>
  <c r="O370" i="1"/>
  <c r="O373" i="1"/>
  <c r="M479" i="1"/>
  <c r="R479" i="1"/>
  <c r="M284" i="1"/>
  <c r="R284" i="1"/>
  <c r="Q284" i="1"/>
  <c r="Q444" i="1"/>
  <c r="R403" i="1"/>
  <c r="Q269" i="1"/>
  <c r="M269" i="1"/>
  <c r="R466" i="1"/>
  <c r="Q15" i="1"/>
  <c r="R379" i="1"/>
  <c r="O148" i="1"/>
  <c r="O149" i="1"/>
  <c r="R120" i="1"/>
  <c r="O418" i="1"/>
  <c r="Q38" i="1"/>
  <c r="M38" i="1"/>
  <c r="Q272" i="1"/>
  <c r="O50" i="1"/>
  <c r="O345" i="1"/>
  <c r="R422" i="1"/>
  <c r="M389" i="1"/>
  <c r="R39" i="1"/>
  <c r="R235" i="1"/>
  <c r="O235" i="1"/>
  <c r="Q336" i="1"/>
  <c r="M60" i="1"/>
  <c r="R60" i="1"/>
  <c r="M207" i="1"/>
  <c r="M68" i="1"/>
  <c r="M467" i="1"/>
  <c r="Q228" i="1"/>
  <c r="R259" i="1"/>
  <c r="M259" i="1"/>
  <c r="Q259" i="1"/>
  <c r="O234" i="1"/>
  <c r="Q366" i="1"/>
  <c r="Q124" i="1"/>
  <c r="M124" i="1"/>
  <c r="Q441" i="1"/>
  <c r="R441" i="1"/>
  <c r="O284" i="1"/>
  <c r="R72" i="1"/>
  <c r="Q72" i="1"/>
  <c r="M236" i="1"/>
  <c r="R236" i="1"/>
  <c r="O505" i="1"/>
  <c r="Q395" i="1"/>
  <c r="M395" i="1"/>
  <c r="O236" i="1"/>
  <c r="O268" i="1"/>
  <c r="R257" i="1"/>
  <c r="O295" i="1"/>
  <c r="R86" i="1"/>
  <c r="Q86" i="1"/>
  <c r="M250" i="1"/>
  <c r="Q250" i="1"/>
  <c r="R250" i="1"/>
  <c r="O380" i="1"/>
  <c r="O241" i="1"/>
  <c r="O413" i="1"/>
  <c r="O467" i="1"/>
  <c r="O146" i="1"/>
  <c r="Q487" i="1"/>
  <c r="M487" i="1"/>
  <c r="O436" i="1"/>
  <c r="R206" i="1"/>
  <c r="Q206" i="1"/>
  <c r="R505" i="1"/>
  <c r="M239" i="1"/>
  <c r="R239" i="1"/>
  <c r="O19" i="1"/>
  <c r="Q299" i="1"/>
  <c r="M299" i="1"/>
  <c r="Q87" i="1"/>
  <c r="M87" i="1"/>
  <c r="Q505" i="1"/>
  <c r="Q144" i="1"/>
  <c r="M144" i="1"/>
  <c r="Q351" i="1"/>
  <c r="M351" i="1"/>
  <c r="O188" i="1"/>
  <c r="O397" i="1"/>
  <c r="O303" i="1"/>
  <c r="O59" i="1"/>
  <c r="O181" i="1"/>
  <c r="O389" i="1"/>
  <c r="O274" i="1"/>
  <c r="O480" i="1"/>
  <c r="O494" i="1"/>
  <c r="O47" i="1"/>
  <c r="O77" i="1"/>
  <c r="Q478" i="1"/>
  <c r="M478" i="1"/>
  <c r="M371" i="1"/>
  <c r="R24" i="1"/>
  <c r="Q24" i="1"/>
  <c r="M476" i="1"/>
  <c r="Q476" i="1"/>
  <c r="M434" i="1"/>
  <c r="O145" i="1"/>
  <c r="M295" i="1"/>
  <c r="Q414" i="1"/>
  <c r="O391" i="1"/>
  <c r="R391" i="1"/>
  <c r="M452" i="1"/>
  <c r="R452" i="1"/>
  <c r="M294" i="1"/>
  <c r="Q236" i="1"/>
  <c r="O8" i="1"/>
  <c r="O86" i="1"/>
  <c r="Q308" i="1"/>
  <c r="M349" i="1"/>
  <c r="O233" i="1"/>
  <c r="O99" i="1"/>
  <c r="O458" i="1"/>
  <c r="O228" i="1"/>
  <c r="O461" i="1"/>
  <c r="O24" i="1"/>
  <c r="O165" i="1"/>
  <c r="O173" i="1"/>
  <c r="O432" i="1"/>
  <c r="O334" i="1"/>
  <c r="O103" i="1"/>
  <c r="R404" i="1"/>
  <c r="R8" i="1"/>
  <c r="O23" i="1"/>
  <c r="M8" i="1"/>
  <c r="O402" i="1"/>
  <c r="O68" i="1"/>
  <c r="O202" i="1"/>
  <c r="O478" i="1"/>
  <c r="O377" i="1"/>
  <c r="R91" i="1"/>
  <c r="O64" i="1"/>
  <c r="O144" i="1"/>
  <c r="O250" i="1"/>
  <c r="M114" i="1"/>
  <c r="O299" i="1"/>
  <c r="R82" i="1"/>
  <c r="M82" i="1"/>
  <c r="R381" i="1"/>
  <c r="Q381" i="1"/>
  <c r="O381" i="1"/>
  <c r="M93" i="1"/>
  <c r="R93" i="1"/>
  <c r="Q93" i="1"/>
  <c r="O169" i="1"/>
  <c r="R139" i="1"/>
  <c r="M139" i="1"/>
  <c r="O139" i="1"/>
  <c r="Q139" i="1"/>
  <c r="Q78" i="1"/>
  <c r="R78" i="1"/>
  <c r="M79" i="1"/>
  <c r="Q79" i="1"/>
  <c r="R79" i="1"/>
  <c r="M230" i="1"/>
  <c r="Q230" i="1"/>
  <c r="R230" i="1"/>
  <c r="M244" i="1"/>
  <c r="Q244" i="1"/>
  <c r="M252" i="1"/>
  <c r="R252" i="1"/>
  <c r="M186" i="1"/>
  <c r="O186" i="1"/>
  <c r="Q186" i="1"/>
  <c r="R186" i="1"/>
  <c r="Q255" i="1"/>
  <c r="M255" i="1"/>
  <c r="Q316" i="1"/>
  <c r="O316" i="1"/>
  <c r="M227" i="1"/>
  <c r="Q227" i="1"/>
  <c r="R227" i="1"/>
  <c r="M270" i="1"/>
  <c r="Q270" i="1"/>
  <c r="R270" i="1"/>
  <c r="O119" i="1"/>
  <c r="O471" i="1"/>
  <c r="R471" i="1"/>
  <c r="R226" i="1"/>
  <c r="M226" i="1"/>
  <c r="Q226" i="1"/>
  <c r="Q431" i="1"/>
  <c r="M431" i="1"/>
  <c r="R169" i="1"/>
  <c r="Q119" i="1"/>
  <c r="R244" i="1"/>
  <c r="M369" i="1"/>
  <c r="Q369" i="1"/>
  <c r="R369" i="1"/>
  <c r="O78" i="1"/>
  <c r="R55" i="1"/>
  <c r="M55" i="1"/>
  <c r="Q55" i="1"/>
  <c r="O79" i="1"/>
  <c r="O95" i="1"/>
  <c r="R130" i="1"/>
  <c r="M130" i="1"/>
  <c r="M158" i="1"/>
  <c r="R158" i="1"/>
  <c r="R427" i="1"/>
  <c r="M427" i="1"/>
  <c r="Q427" i="1"/>
  <c r="O427" i="1"/>
  <c r="M71" i="1"/>
  <c r="Q71" i="1"/>
  <c r="R71" i="1"/>
  <c r="Q157" i="1"/>
  <c r="R157" i="1"/>
  <c r="M157" i="1"/>
  <c r="M101" i="1"/>
  <c r="Q101" i="1"/>
  <c r="Q188" i="1"/>
  <c r="R188" i="1"/>
  <c r="M188" i="1"/>
  <c r="R358" i="1"/>
  <c r="M358" i="1"/>
  <c r="Q358" i="1"/>
  <c r="M209" i="1"/>
  <c r="R209" i="1"/>
  <c r="Q209" i="1"/>
  <c r="O278" i="1"/>
  <c r="Q237" i="1"/>
  <c r="R237" i="1"/>
  <c r="R119" i="1"/>
  <c r="M169" i="1"/>
  <c r="R316" i="1"/>
  <c r="M185" i="1"/>
  <c r="R185" i="1"/>
  <c r="R101" i="1"/>
  <c r="M133" i="1"/>
  <c r="Q133" i="1"/>
  <c r="R133" i="1"/>
  <c r="M321" i="1"/>
  <c r="O321" i="1"/>
  <c r="Q321" i="1"/>
  <c r="R321" i="1"/>
  <c r="M316" i="1"/>
  <c r="R199" i="1"/>
  <c r="M199" i="1"/>
  <c r="M393" i="1"/>
  <c r="Q393" i="1"/>
  <c r="R393" i="1"/>
  <c r="O269" i="1"/>
  <c r="R52" i="1"/>
  <c r="R374" i="1"/>
  <c r="Q374" i="1"/>
  <c r="M374" i="1"/>
  <c r="R81" i="1"/>
  <c r="M81" i="1"/>
  <c r="Q81" i="1"/>
  <c r="Q69" i="1"/>
  <c r="M69" i="1"/>
  <c r="R69" i="1"/>
  <c r="O203" i="1"/>
  <c r="M180" i="1"/>
  <c r="Q180" i="1"/>
  <c r="Q493" i="1"/>
  <c r="O493" i="1"/>
  <c r="M495" i="1"/>
  <c r="Q495" i="1"/>
  <c r="Q359" i="1"/>
  <c r="R359" i="1"/>
  <c r="R77" i="1"/>
  <c r="M319" i="1"/>
  <c r="R319" i="1"/>
  <c r="Q163" i="1"/>
  <c r="R163" i="1"/>
  <c r="M242" i="1"/>
  <c r="Q242" i="1"/>
  <c r="R242" i="1"/>
  <c r="Q411" i="1"/>
  <c r="M411" i="1"/>
  <c r="R411" i="1"/>
  <c r="O261" i="1"/>
  <c r="O180" i="1"/>
  <c r="O473" i="1"/>
  <c r="O348" i="1"/>
  <c r="O63" i="1"/>
  <c r="R167" i="1"/>
  <c r="M241" i="1"/>
  <c r="R241" i="1"/>
  <c r="M43" i="1"/>
  <c r="O43" i="1"/>
  <c r="R18" i="1"/>
  <c r="O152" i="1"/>
  <c r="M125" i="1"/>
  <c r="O495" i="1"/>
  <c r="O265" i="1"/>
  <c r="O183" i="1"/>
  <c r="Q408" i="1"/>
  <c r="Q310" i="1"/>
  <c r="O310" i="1"/>
  <c r="Q459" i="1"/>
  <c r="O242" i="1"/>
  <c r="O411" i="1"/>
  <c r="Q194" i="1"/>
  <c r="M194" i="1"/>
  <c r="O194" i="1"/>
  <c r="R194" i="1"/>
  <c r="R16" i="1"/>
  <c r="M16" i="1"/>
  <c r="O16" i="1"/>
  <c r="Q16" i="1"/>
  <c r="M210" i="1"/>
  <c r="R210" i="1"/>
  <c r="O167" i="1"/>
  <c r="R305" i="1"/>
  <c r="R46" i="1"/>
  <c r="O156" i="1"/>
  <c r="O60" i="1"/>
  <c r="O96" i="1"/>
  <c r="Q18" i="1"/>
  <c r="Q443" i="1"/>
  <c r="M443" i="1"/>
  <c r="O98" i="1"/>
  <c r="O17" i="1"/>
  <c r="M234" i="1"/>
  <c r="Q234" i="1"/>
  <c r="R234" i="1"/>
  <c r="M463" i="1"/>
  <c r="Q463" i="1"/>
  <c r="R463" i="1"/>
  <c r="R470" i="1"/>
  <c r="Q470" i="1"/>
  <c r="O71" i="1"/>
  <c r="O185" i="1"/>
  <c r="O298" i="1"/>
  <c r="O174" i="1"/>
  <c r="R437" i="1"/>
  <c r="O210" i="1"/>
  <c r="M141" i="1"/>
  <c r="R348" i="1"/>
  <c r="R253" i="1"/>
  <c r="M459" i="1"/>
  <c r="M12" i="1"/>
  <c r="Q12" i="1"/>
  <c r="R12" i="1"/>
  <c r="M171" i="1"/>
  <c r="Q171" i="1"/>
  <c r="R171" i="1"/>
  <c r="O340" i="1"/>
  <c r="O227" i="1"/>
  <c r="O92" i="1"/>
  <c r="O244" i="1"/>
  <c r="O306" i="1"/>
  <c r="M347" i="1"/>
  <c r="M107" i="1"/>
  <c r="O135" i="1"/>
  <c r="Q466" i="1"/>
  <c r="M150" i="1"/>
  <c r="R150" i="1"/>
  <c r="M341" i="1"/>
  <c r="O116" i="1"/>
  <c r="O38" i="1"/>
  <c r="R63" i="1"/>
  <c r="R106" i="1"/>
  <c r="M167" i="1"/>
  <c r="O322" i="1"/>
  <c r="O469" i="1"/>
  <c r="Q305" i="1"/>
  <c r="Q46" i="1"/>
  <c r="M47" i="1"/>
  <c r="Q47" i="1"/>
  <c r="R265" i="1"/>
  <c r="R54" i="1"/>
  <c r="O271" i="1"/>
  <c r="R247" i="1"/>
  <c r="R110" i="1"/>
  <c r="Q338" i="1"/>
  <c r="R338" i="1"/>
  <c r="R502" i="1"/>
  <c r="R131" i="1"/>
  <c r="Q348" i="1"/>
  <c r="R282" i="1"/>
  <c r="M208" i="1"/>
  <c r="O253" i="1"/>
  <c r="O305" i="1"/>
  <c r="O46" i="1"/>
  <c r="O125" i="1"/>
  <c r="R495" i="1"/>
  <c r="O501" i="1"/>
  <c r="O408" i="1"/>
  <c r="M364" i="1"/>
  <c r="O364" i="1"/>
  <c r="R364" i="1"/>
  <c r="O237" i="1"/>
  <c r="O6" i="1"/>
  <c r="O199" i="1"/>
  <c r="O101" i="1"/>
  <c r="O428" i="1"/>
  <c r="O52" i="1"/>
  <c r="M261" i="1"/>
  <c r="O252" i="1"/>
  <c r="O226" i="1"/>
  <c r="R31" i="1"/>
  <c r="M502" i="1"/>
  <c r="R38" i="1"/>
  <c r="O147" i="1"/>
  <c r="O81" i="1"/>
  <c r="O55" i="1"/>
  <c r="O270" i="1"/>
  <c r="O198" i="1"/>
  <c r="O230" i="1"/>
  <c r="O382" i="1"/>
  <c r="R213" i="1"/>
  <c r="O444" i="1"/>
  <c r="M54" i="1"/>
  <c r="O403" i="1"/>
  <c r="O161" i="1"/>
  <c r="O107" i="1"/>
  <c r="O285" i="1"/>
  <c r="Q150" i="1"/>
  <c r="M5" i="1"/>
  <c r="R5" i="1"/>
  <c r="O437" i="1"/>
  <c r="Q247" i="1"/>
  <c r="Q136" i="1"/>
  <c r="M136" i="1"/>
  <c r="Q210" i="1"/>
  <c r="O141" i="1"/>
  <c r="M288" i="1"/>
  <c r="Q288" i="1"/>
  <c r="O220" i="1"/>
  <c r="O211" i="1"/>
  <c r="R192" i="1"/>
  <c r="R33" i="1"/>
  <c r="M322" i="1"/>
  <c r="O238" i="1"/>
  <c r="Q469" i="1"/>
  <c r="M65" i="1"/>
  <c r="R65" i="1"/>
  <c r="Q134" i="1"/>
  <c r="R47" i="1"/>
  <c r="R501" i="1"/>
  <c r="Q482" i="1"/>
  <c r="R482" i="1"/>
  <c r="M140" i="1"/>
  <c r="R218" i="1"/>
  <c r="M218" i="1"/>
  <c r="O218" i="1"/>
  <c r="O442" i="1"/>
  <c r="M155" i="1"/>
  <c r="Q155" i="1"/>
  <c r="R155" i="1"/>
  <c r="O407" i="1"/>
  <c r="M407" i="1"/>
  <c r="Q407" i="1"/>
  <c r="O163" i="1"/>
  <c r="R102" i="1"/>
  <c r="R254" i="1"/>
  <c r="O12" i="1"/>
  <c r="M206" i="1"/>
  <c r="M456" i="1"/>
  <c r="R456" i="1"/>
  <c r="Q88" i="1"/>
  <c r="O57" i="1"/>
  <c r="R9" i="1"/>
  <c r="Q9" i="1"/>
  <c r="O171" i="1"/>
  <c r="Q342" i="1"/>
  <c r="R342" i="1"/>
  <c r="M111" i="1"/>
  <c r="Q111" i="1"/>
  <c r="O378" i="1"/>
  <c r="M499" i="1"/>
  <c r="O499" i="1"/>
  <c r="O277" i="1"/>
  <c r="M88" i="1"/>
  <c r="O9" i="1"/>
  <c r="R451" i="1"/>
  <c r="O451" i="1"/>
  <c r="Q451" i="1"/>
  <c r="M205" i="1"/>
  <c r="R205" i="1"/>
  <c r="O412" i="1"/>
  <c r="O85" i="1"/>
  <c r="O170" i="1"/>
  <c r="O192" i="1"/>
  <c r="O69" i="1"/>
  <c r="O481" i="1"/>
  <c r="O14" i="1"/>
  <c r="O311" i="1"/>
  <c r="O360" i="1"/>
  <c r="O53" i="1"/>
  <c r="R467" i="1"/>
  <c r="M314" i="1"/>
  <c r="O11" i="1"/>
  <c r="O197" i="1"/>
  <c r="Q257" i="1"/>
  <c r="R260" i="1"/>
  <c r="Q260" i="1"/>
  <c r="O292" i="1"/>
  <c r="M394" i="1"/>
  <c r="Q394" i="1"/>
  <c r="R394" i="1"/>
  <c r="M126" i="1"/>
  <c r="Q126" i="1"/>
  <c r="M419" i="1"/>
  <c r="R419" i="1"/>
  <c r="O486" i="1"/>
  <c r="R111" i="1"/>
  <c r="R378" i="1"/>
  <c r="O254" i="1"/>
  <c r="O206" i="1"/>
  <c r="O88" i="1"/>
  <c r="R214" i="1"/>
  <c r="M214" i="1"/>
  <c r="Q214" i="1"/>
  <c r="Q415" i="1"/>
  <c r="O126" i="1"/>
  <c r="M455" i="1"/>
  <c r="R455" i="1"/>
  <c r="O466" i="1"/>
  <c r="O133" i="1"/>
  <c r="O110" i="1"/>
  <c r="R149" i="1"/>
  <c r="O131" i="1"/>
  <c r="O472" i="1"/>
  <c r="R274" i="1"/>
  <c r="O336" i="1"/>
  <c r="AV295" i="1" s="1"/>
  <c r="O315" i="1"/>
  <c r="O134" i="1"/>
  <c r="O443" i="1"/>
  <c r="R477" i="1"/>
  <c r="R99" i="1"/>
  <c r="Q479" i="1"/>
  <c r="Q162" i="1"/>
  <c r="M461" i="1"/>
  <c r="R461" i="1"/>
  <c r="R256" i="1"/>
  <c r="R433" i="1"/>
  <c r="R499" i="1"/>
  <c r="M215" i="1"/>
  <c r="Q215" i="1"/>
  <c r="R396" i="1"/>
  <c r="Q41" i="1"/>
  <c r="M10" i="1"/>
  <c r="R10" i="1"/>
  <c r="M9" i="1"/>
  <c r="Q56" i="1"/>
  <c r="R56" i="1"/>
  <c r="M153" i="1"/>
  <c r="M313" i="1"/>
  <c r="O342" i="1"/>
  <c r="O376" i="1"/>
  <c r="O396" i="1"/>
  <c r="O41" i="1"/>
  <c r="O155" i="1"/>
  <c r="O124" i="1"/>
  <c r="M441" i="1"/>
  <c r="R468" i="1"/>
  <c r="Q468" i="1"/>
  <c r="Q346" i="1"/>
  <c r="R346" i="1"/>
  <c r="M500" i="1"/>
  <c r="O153" i="1"/>
  <c r="M334" i="1"/>
  <c r="Q334" i="1"/>
  <c r="Q123" i="1"/>
  <c r="R212" i="1"/>
  <c r="Q409" i="1"/>
  <c r="R409" i="1"/>
  <c r="M489" i="1"/>
  <c r="M391" i="1"/>
  <c r="Q391" i="1"/>
  <c r="R294" i="1"/>
  <c r="M332" i="1"/>
  <c r="Q332" i="1"/>
  <c r="Q445" i="1"/>
  <c r="Q376" i="1"/>
  <c r="Q73" i="1"/>
  <c r="M23" i="1"/>
  <c r="Q23" i="1"/>
  <c r="O470" i="1"/>
  <c r="O300" i="1"/>
  <c r="Q146" i="1"/>
  <c r="O446" i="1"/>
  <c r="O319" i="1"/>
  <c r="O434" i="1"/>
  <c r="O500" i="1"/>
  <c r="O452" i="1"/>
  <c r="Q313" i="1"/>
  <c r="O332" i="1"/>
  <c r="R395" i="1"/>
  <c r="M376" i="1"/>
  <c r="R123" i="1"/>
  <c r="M86" i="1"/>
  <c r="O212" i="1"/>
  <c r="M73" i="1"/>
  <c r="R301" i="1"/>
  <c r="O414" i="1"/>
  <c r="O441" i="1"/>
  <c r="O455" i="1"/>
  <c r="Q239" i="1"/>
  <c r="O313" i="1"/>
  <c r="O123" i="1"/>
  <c r="O225" i="1"/>
  <c r="O56" i="1"/>
  <c r="R299" i="1"/>
  <c r="O415" i="1"/>
  <c r="O257" i="1"/>
  <c r="O260" i="1"/>
  <c r="O344" i="1"/>
  <c r="O297" i="1"/>
  <c r="O294" i="1"/>
  <c r="O279" i="1"/>
  <c r="O445" i="1"/>
  <c r="O251" i="1"/>
  <c r="O419" i="1"/>
  <c r="O259" i="1"/>
  <c r="O30" i="1"/>
  <c r="O114" i="1"/>
  <c r="M325" i="1"/>
  <c r="Q325" i="1"/>
  <c r="R325" i="1"/>
  <c r="R278" i="1"/>
  <c r="M92" i="1"/>
  <c r="Q399" i="1"/>
  <c r="M278" i="1"/>
  <c r="Q35" i="1"/>
  <c r="M237" i="1"/>
  <c r="R496" i="1"/>
  <c r="R355" i="1"/>
  <c r="Q503" i="1"/>
  <c r="O503" i="1"/>
  <c r="Q240" i="1"/>
  <c r="R240" i="1"/>
  <c r="O240" i="1"/>
  <c r="R399" i="1"/>
  <c r="R255" i="1"/>
  <c r="R431" i="1"/>
  <c r="Q496" i="1"/>
  <c r="O209" i="1"/>
  <c r="Q45" i="1"/>
  <c r="M289" i="1"/>
  <c r="Q289" i="1"/>
  <c r="O289" i="1"/>
  <c r="R289" i="1"/>
  <c r="O35" i="1"/>
  <c r="O496" i="1"/>
  <c r="Q195" i="1"/>
  <c r="R195" i="1"/>
  <c r="R36" i="1"/>
  <c r="M453" i="1"/>
  <c r="R453" i="1"/>
  <c r="Q355" i="1"/>
  <c r="O355" i="1"/>
  <c r="Q267" i="1"/>
  <c r="R267" i="1"/>
  <c r="Q105" i="1"/>
  <c r="R105" i="1"/>
  <c r="R161" i="1"/>
  <c r="Q161" i="1"/>
  <c r="M161" i="1"/>
  <c r="M273" i="1"/>
  <c r="Q273" i="1"/>
  <c r="O273" i="1"/>
  <c r="R273" i="1"/>
  <c r="M76" i="1"/>
  <c r="R76" i="1"/>
  <c r="R92" i="1"/>
  <c r="M503" i="1"/>
  <c r="Q453" i="1"/>
  <c r="M328" i="1"/>
  <c r="O328" i="1"/>
  <c r="Q328" i="1"/>
  <c r="O255" i="1"/>
  <c r="M100" i="1"/>
  <c r="R35" i="1"/>
  <c r="O34" i="1"/>
  <c r="M195" i="1"/>
  <c r="M298" i="1"/>
  <c r="Q298" i="1"/>
  <c r="Q36" i="1"/>
  <c r="R306" i="1"/>
  <c r="Q306" i="1"/>
  <c r="O453" i="1"/>
  <c r="M151" i="1"/>
  <c r="Q151" i="1"/>
  <c r="R151" i="1"/>
  <c r="M447" i="1"/>
  <c r="Q447" i="1"/>
  <c r="O447" i="1"/>
  <c r="AV369" i="1" s="1"/>
  <c r="R447" i="1"/>
  <c r="R89" i="1"/>
  <c r="M89" i="1"/>
  <c r="Q89" i="1"/>
  <c r="M262" i="1"/>
  <c r="M357" i="1"/>
  <c r="O357" i="1"/>
  <c r="R357" i="1"/>
  <c r="M176" i="1"/>
  <c r="Q176" i="1"/>
  <c r="R26" i="1"/>
  <c r="O26" i="1"/>
  <c r="M26" i="1"/>
  <c r="Q26" i="1"/>
  <c r="M320" i="1"/>
  <c r="R320" i="1"/>
  <c r="M438" i="1"/>
  <c r="Q438" i="1"/>
  <c r="R438" i="1"/>
  <c r="M333" i="1"/>
  <c r="R333" i="1"/>
  <c r="O347" i="1"/>
  <c r="M135" i="1"/>
  <c r="R135" i="1"/>
  <c r="R397" i="1"/>
  <c r="M397" i="1"/>
  <c r="M437" i="1"/>
  <c r="Q307" i="1"/>
  <c r="M307" i="1"/>
  <c r="R307" i="1"/>
  <c r="M142" i="1"/>
  <c r="O179" i="1"/>
  <c r="M454" i="1"/>
  <c r="Q454" i="1"/>
  <c r="M385" i="1"/>
  <c r="O385" i="1"/>
  <c r="R385" i="1"/>
  <c r="Q380" i="1"/>
  <c r="O320" i="1"/>
  <c r="M275" i="1"/>
  <c r="Q275" i="1"/>
  <c r="M390" i="1"/>
  <c r="Q390" i="1"/>
  <c r="R390" i="1"/>
  <c r="Q121" i="1"/>
  <c r="M121" i="1"/>
  <c r="O121" i="1"/>
  <c r="R121" i="1"/>
  <c r="Q191" i="1"/>
  <c r="O191" i="1"/>
  <c r="R187" i="1"/>
  <c r="Q187" i="1"/>
  <c r="M159" i="1"/>
  <c r="Q159" i="1"/>
  <c r="M31" i="1"/>
  <c r="M473" i="1"/>
  <c r="Q462" i="1"/>
  <c r="O462" i="1"/>
  <c r="M462" i="1"/>
  <c r="R217" i="1"/>
  <c r="Q440" i="1"/>
  <c r="M440" i="1"/>
  <c r="Q420" i="1"/>
  <c r="M420" i="1"/>
  <c r="O420" i="1"/>
  <c r="R420" i="1"/>
  <c r="O184" i="1"/>
  <c r="O112" i="1"/>
  <c r="Q363" i="1"/>
  <c r="R179" i="1"/>
  <c r="R176" i="1"/>
  <c r="M154" i="1"/>
  <c r="R154" i="1"/>
  <c r="R330" i="1"/>
  <c r="M330" i="1"/>
  <c r="O82" i="1"/>
  <c r="O341" i="1"/>
  <c r="O136" i="1"/>
  <c r="AV418" i="1" s="1"/>
  <c r="R112" i="1"/>
  <c r="M85" i="1"/>
  <c r="R85" i="1"/>
  <c r="R220" i="1"/>
  <c r="R262" i="1"/>
  <c r="Q357" i="1"/>
  <c r="Q179" i="1"/>
  <c r="Q147" i="1"/>
  <c r="R147" i="1"/>
  <c r="M147" i="1"/>
  <c r="O330" i="1"/>
  <c r="Q320" i="1"/>
  <c r="R29" i="1"/>
  <c r="Q29" i="1"/>
  <c r="M29" i="1"/>
  <c r="O29" i="1"/>
  <c r="O105" i="1"/>
  <c r="M285" i="1"/>
  <c r="Q285" i="1"/>
  <c r="R363" i="1"/>
  <c r="O262" i="1"/>
  <c r="M426" i="1"/>
  <c r="R426" i="1"/>
  <c r="R488" i="1"/>
  <c r="Q154" i="1"/>
  <c r="R170" i="1"/>
  <c r="M33" i="1"/>
  <c r="Q33" i="1"/>
  <c r="M217" i="1"/>
  <c r="Q356" i="1"/>
  <c r="R356" i="1"/>
  <c r="R440" i="1"/>
  <c r="Q405" i="1"/>
  <c r="M405" i="1"/>
  <c r="O405" i="1"/>
  <c r="R405" i="1"/>
  <c r="O267" i="1"/>
  <c r="O195" i="1"/>
  <c r="Q82" i="1"/>
  <c r="Q252" i="1"/>
  <c r="Q341" i="1"/>
  <c r="R191" i="1"/>
  <c r="R136" i="1"/>
  <c r="Q132" i="1"/>
  <c r="R184" i="1"/>
  <c r="O187" i="1"/>
  <c r="R159" i="1"/>
  <c r="M272" i="1"/>
  <c r="Q473" i="1"/>
  <c r="R462" i="1"/>
  <c r="R312" i="1"/>
  <c r="Q290" i="1"/>
  <c r="R290" i="1"/>
  <c r="M412" i="1"/>
  <c r="R412" i="1"/>
  <c r="O363" i="1"/>
  <c r="Q85" i="1"/>
  <c r="Q220" i="1"/>
  <c r="M381" i="1"/>
  <c r="Q211" i="1"/>
  <c r="R211" i="1"/>
  <c r="O426" i="1"/>
  <c r="O272" i="1"/>
  <c r="R142" i="1"/>
  <c r="R472" i="1"/>
  <c r="Q222" i="1"/>
  <c r="M222" i="1"/>
  <c r="R222" i="1"/>
  <c r="M170" i="1"/>
  <c r="M181" i="1"/>
  <c r="R181" i="1"/>
  <c r="Q160" i="1"/>
  <c r="R160" i="1"/>
  <c r="Q253" i="1"/>
  <c r="M361" i="1"/>
  <c r="O440" i="1"/>
  <c r="M129" i="1"/>
  <c r="Q129" i="1"/>
  <c r="R129" i="1"/>
  <c r="O129" i="1"/>
  <c r="M280" i="1"/>
  <c r="Q280" i="1"/>
  <c r="R280" i="1"/>
  <c r="M96" i="1"/>
  <c r="Q96" i="1"/>
  <c r="R96" i="1"/>
  <c r="M365" i="1"/>
  <c r="R365" i="1"/>
  <c r="Q365" i="1"/>
  <c r="Q62" i="1"/>
  <c r="R62" i="1"/>
  <c r="M62" i="1"/>
  <c r="O417" i="1"/>
  <c r="O390" i="1"/>
  <c r="R494" i="1"/>
  <c r="M20" i="1"/>
  <c r="Q20" i="1"/>
  <c r="R20" i="1"/>
  <c r="Q128" i="1"/>
  <c r="R128" i="1"/>
  <c r="M128" i="1"/>
  <c r="O276" i="1"/>
  <c r="O31" i="1"/>
  <c r="M14" i="1"/>
  <c r="R14" i="1"/>
  <c r="Q406" i="1"/>
  <c r="O128" i="1"/>
  <c r="M493" i="1"/>
  <c r="O275" i="1"/>
  <c r="Q417" i="1"/>
  <c r="R417" i="1"/>
  <c r="M494" i="1"/>
  <c r="Q494" i="1"/>
  <c r="Q315" i="1"/>
  <c r="R315" i="1"/>
  <c r="M258" i="1"/>
  <c r="R258" i="1"/>
  <c r="Q83" i="1"/>
  <c r="O83" i="1"/>
  <c r="M83" i="1"/>
  <c r="R83" i="1"/>
  <c r="O358" i="1"/>
  <c r="O132" i="1"/>
  <c r="Q379" i="1"/>
  <c r="Q59" i="1"/>
  <c r="M59" i="1"/>
  <c r="M418" i="1"/>
  <c r="Q418" i="1"/>
  <c r="R180" i="1"/>
  <c r="O488" i="1"/>
  <c r="Q208" i="1"/>
  <c r="O89" i="1"/>
  <c r="Q389" i="1"/>
  <c r="O62" i="1"/>
  <c r="Q40" i="1"/>
  <c r="R40" i="1"/>
  <c r="O40" i="1"/>
  <c r="Q388" i="1"/>
  <c r="R388" i="1"/>
  <c r="O388" i="1"/>
  <c r="R406" i="1"/>
  <c r="Q104" i="1"/>
  <c r="R104" i="1"/>
  <c r="M104" i="1"/>
  <c r="M95" i="1"/>
  <c r="R95" i="1"/>
  <c r="M67" i="1"/>
  <c r="O67" i="1"/>
  <c r="Q67" i="1"/>
  <c r="R67" i="1"/>
  <c r="M300" i="1"/>
  <c r="Q300" i="1"/>
  <c r="R300" i="1"/>
  <c r="M460" i="1"/>
  <c r="Q460" i="1"/>
  <c r="R460" i="1"/>
  <c r="Q401" i="1"/>
  <c r="O401" i="1"/>
  <c r="M401" i="1"/>
  <c r="R401" i="1"/>
  <c r="Q504" i="1"/>
  <c r="M504" i="1"/>
  <c r="R504" i="1"/>
  <c r="O216" i="1"/>
  <c r="Q152" i="1"/>
  <c r="R152" i="1"/>
  <c r="M360" i="1"/>
  <c r="Q360" i="1"/>
  <c r="M42" i="1"/>
  <c r="Q42" i="1"/>
  <c r="M66" i="1"/>
  <c r="Q66" i="1"/>
  <c r="O460" i="1"/>
  <c r="Q17" i="1"/>
  <c r="M17" i="1"/>
  <c r="R17" i="1"/>
  <c r="O504" i="1"/>
  <c r="M190" i="1"/>
  <c r="Q190" i="1"/>
  <c r="R190" i="1"/>
  <c r="O365" i="1"/>
  <c r="R287" i="1"/>
  <c r="M287" i="1"/>
  <c r="Q287" i="1"/>
  <c r="M108" i="1"/>
  <c r="Q108" i="1"/>
  <c r="R108" i="1"/>
  <c r="O374" i="1"/>
  <c r="AV391" i="1" s="1"/>
  <c r="O325" i="1"/>
  <c r="O217" i="1"/>
  <c r="M78" i="1"/>
  <c r="M235" i="1"/>
  <c r="Q235" i="1"/>
  <c r="Q449" i="1"/>
  <c r="R449" i="1"/>
  <c r="M152" i="1"/>
  <c r="Q311" i="1"/>
  <c r="R465" i="1"/>
  <c r="R42" i="1"/>
  <c r="Q203" i="1"/>
  <c r="M203" i="1"/>
  <c r="M233" i="1"/>
  <c r="R233" i="1"/>
  <c r="O20" i="1"/>
  <c r="Q249" i="1"/>
  <c r="M249" i="1"/>
  <c r="O249" i="1"/>
  <c r="R249" i="1"/>
  <c r="Q367" i="1"/>
  <c r="R367" i="1"/>
  <c r="M127" i="1"/>
  <c r="Q127" i="1"/>
  <c r="Q229" i="1"/>
  <c r="R229" i="1"/>
  <c r="M229" i="1"/>
  <c r="O229" i="1"/>
  <c r="Q442" i="1"/>
  <c r="M442" i="1"/>
  <c r="R442" i="1"/>
  <c r="M400" i="1"/>
  <c r="O258" i="1"/>
  <c r="O367" i="1"/>
  <c r="M77" i="1"/>
  <c r="Q77" i="1"/>
  <c r="O465" i="1"/>
  <c r="R443" i="1"/>
  <c r="O93" i="1"/>
  <c r="O429" i="1"/>
  <c r="R183" i="1"/>
  <c r="Q97" i="1"/>
  <c r="Q458" i="1"/>
  <c r="R458" i="1"/>
  <c r="Q402" i="1"/>
  <c r="M402" i="1"/>
  <c r="M370" i="1"/>
  <c r="Q370" i="1"/>
  <c r="Q183" i="1"/>
  <c r="M367" i="1"/>
  <c r="M198" i="1"/>
  <c r="R198" i="1"/>
  <c r="Q486" i="1"/>
  <c r="R486" i="1"/>
  <c r="R400" i="1"/>
  <c r="Q392" i="1"/>
  <c r="O127" i="1"/>
  <c r="M277" i="1"/>
  <c r="Q277" i="1"/>
  <c r="R277" i="1"/>
  <c r="Q319" i="1"/>
  <c r="Q44" i="1"/>
  <c r="M44" i="1"/>
  <c r="Q22" i="1"/>
  <c r="O22" i="1"/>
  <c r="R22" i="1"/>
  <c r="O287" i="1"/>
  <c r="O400" i="1"/>
  <c r="R478" i="1"/>
  <c r="M485" i="1"/>
  <c r="Q485" i="1"/>
  <c r="Q158" i="1"/>
  <c r="O158" i="1"/>
  <c r="R44" i="1"/>
  <c r="O438" i="1"/>
  <c r="O164" i="1"/>
  <c r="O459" i="1"/>
  <c r="O485" i="1"/>
  <c r="M22" i="1"/>
  <c r="R196" i="1"/>
  <c r="M196" i="1"/>
  <c r="O196" i="1"/>
  <c r="M37" i="1"/>
  <c r="Q37" i="1"/>
  <c r="R484" i="1"/>
  <c r="M484" i="1"/>
  <c r="O37" i="1"/>
  <c r="M383" i="1"/>
  <c r="O383" i="1"/>
  <c r="Q383" i="1"/>
  <c r="R383" i="1"/>
  <c r="M178" i="1"/>
  <c r="Q178" i="1"/>
  <c r="O178" i="1"/>
  <c r="R178" i="1"/>
  <c r="R430" i="1"/>
  <c r="M430" i="1"/>
  <c r="O430" i="1"/>
  <c r="M51" i="1"/>
  <c r="Q51" i="1"/>
  <c r="R51" i="1"/>
  <c r="M304" i="1"/>
  <c r="Q304" i="1"/>
  <c r="R304" i="1"/>
  <c r="Q364" i="1"/>
  <c r="Q102" i="1"/>
  <c r="Q196" i="1"/>
  <c r="O51" i="1"/>
  <c r="O304" i="1"/>
  <c r="R61" i="1"/>
  <c r="O366" i="1"/>
  <c r="O314" i="1"/>
  <c r="Q293" i="1"/>
  <c r="M163" i="1"/>
  <c r="R80" i="1"/>
  <c r="M80" i="1"/>
  <c r="R37" i="1"/>
  <c r="Q484" i="1"/>
  <c r="Q375" i="1"/>
  <c r="M375" i="1"/>
  <c r="O375" i="1"/>
  <c r="R375" i="1"/>
  <c r="Q57" i="1"/>
  <c r="R57" i="1"/>
  <c r="Q387" i="1"/>
  <c r="O387" i="1"/>
  <c r="R90" i="1"/>
  <c r="R354" i="1"/>
  <c r="O354" i="1"/>
  <c r="Q28" i="1"/>
  <c r="M28" i="1"/>
  <c r="Q193" i="1"/>
  <c r="M193" i="1"/>
  <c r="R64" i="1"/>
  <c r="M232" i="1"/>
  <c r="Q232" i="1"/>
  <c r="R232" i="1"/>
  <c r="Q354" i="1"/>
  <c r="Q396" i="1"/>
  <c r="Q309" i="1"/>
  <c r="R387" i="1"/>
  <c r="O476" i="1"/>
  <c r="R11" i="1"/>
  <c r="M219" i="1"/>
  <c r="Q219" i="1"/>
  <c r="M197" i="1"/>
  <c r="Q197" i="1"/>
  <c r="Q182" i="1"/>
  <c r="R182" i="1"/>
  <c r="O498" i="1"/>
  <c r="R476" i="1"/>
  <c r="Q11" i="1"/>
  <c r="R28" i="1"/>
  <c r="R407" i="1"/>
  <c r="O182" i="1"/>
  <c r="Q344" i="1"/>
  <c r="R344" i="1"/>
  <c r="Q318" i="1"/>
  <c r="O318" i="1"/>
  <c r="R318" i="1"/>
  <c r="Q64" i="1"/>
  <c r="M64" i="1"/>
  <c r="Q254" i="1"/>
  <c r="M498" i="1"/>
  <c r="M41" i="1"/>
  <c r="O193" i="1"/>
  <c r="M223" i="1"/>
  <c r="R223" i="1"/>
  <c r="O223" i="1"/>
  <c r="Q223" i="1"/>
  <c r="R424" i="1"/>
  <c r="M424" i="1"/>
  <c r="Q118" i="1"/>
  <c r="R118" i="1"/>
  <c r="M335" i="1"/>
  <c r="R335" i="1"/>
  <c r="M173" i="1"/>
  <c r="Q173" i="1"/>
  <c r="Q292" i="1"/>
  <c r="M292" i="1"/>
  <c r="O424" i="1"/>
  <c r="Q115" i="1"/>
  <c r="R115" i="1"/>
  <c r="O115" i="1"/>
  <c r="Q335" i="1"/>
  <c r="O484" i="1"/>
  <c r="Q424" i="1"/>
  <c r="O118" i="1"/>
  <c r="Q117" i="1"/>
  <c r="M117" i="1"/>
  <c r="Q475" i="1"/>
  <c r="O475" i="1"/>
  <c r="M340" i="1"/>
  <c r="R340" i="1"/>
  <c r="O232" i="1"/>
  <c r="M416" i="1"/>
  <c r="O416" i="1"/>
  <c r="Q416" i="1"/>
  <c r="R416" i="1"/>
  <c r="M386" i="1"/>
  <c r="Q386" i="1"/>
  <c r="M423" i="1"/>
  <c r="Q423" i="1"/>
  <c r="R423" i="1"/>
  <c r="M27" i="1"/>
  <c r="O27" i="1"/>
  <c r="Q27" i="1"/>
  <c r="Q283" i="1"/>
  <c r="M283" i="1"/>
  <c r="Q7" i="1"/>
  <c r="M7" i="1"/>
  <c r="O7" i="1"/>
  <c r="R7" i="1"/>
  <c r="Q297" i="1"/>
  <c r="M84" i="1"/>
  <c r="Q432" i="1"/>
  <c r="M432" i="1"/>
  <c r="R283" i="1"/>
  <c r="O386" i="1"/>
  <c r="M468" i="1"/>
  <c r="M168" i="1"/>
  <c r="R168" i="1"/>
  <c r="O168" i="1"/>
  <c r="Q168" i="1"/>
  <c r="R334" i="1"/>
  <c r="Q362" i="1"/>
  <c r="M362" i="1"/>
  <c r="O362" i="1"/>
  <c r="Q327" i="1"/>
  <c r="Q25" i="1"/>
  <c r="M25" i="1"/>
  <c r="O25" i="1"/>
  <c r="M19" i="1"/>
  <c r="R19" i="1"/>
  <c r="Q435" i="1"/>
  <c r="M435" i="1"/>
  <c r="O435" i="1"/>
  <c r="Q279" i="1"/>
  <c r="M337" i="1"/>
  <c r="Q337" i="1"/>
  <c r="R337" i="1"/>
  <c r="O423" i="1"/>
  <c r="R352" i="1"/>
  <c r="M30" i="1"/>
  <c r="O205" i="1"/>
  <c r="R221" i="1"/>
  <c r="M342" i="1"/>
  <c r="R13" i="1"/>
  <c r="M317" i="1"/>
  <c r="O138" i="1"/>
  <c r="Q352" i="1"/>
  <c r="Q221" i="1"/>
  <c r="Q13" i="1"/>
  <c r="M72" i="1"/>
  <c r="O327" i="1"/>
  <c r="M343" i="1"/>
  <c r="M439" i="1"/>
  <c r="M225" i="1"/>
  <c r="M470" i="1"/>
  <c r="M301" i="1"/>
  <c r="O351" i="1"/>
  <c r="Q205" i="1"/>
  <c r="Q8" i="1"/>
  <c r="Q138" i="1"/>
  <c r="R138" i="1"/>
  <c r="R323" i="1"/>
  <c r="O425" i="1"/>
  <c r="O231" i="1"/>
  <c r="O323" i="1"/>
  <c r="R329" i="1"/>
  <c r="O329" i="1"/>
  <c r="Q94" i="1"/>
  <c r="R457" i="1"/>
  <c r="Q323" i="1"/>
  <c r="R49" i="1"/>
  <c r="Q302" i="1"/>
  <c r="R248" i="1"/>
  <c r="R94" i="1"/>
  <c r="R302" i="1"/>
  <c r="R264" i="1"/>
  <c r="R48" i="1"/>
  <c r="R425" i="1"/>
  <c r="R231" i="1"/>
  <c r="Q457" i="1"/>
  <c r="Q49" i="1"/>
  <c r="Q248" i="1"/>
  <c r="Q264" i="1"/>
  <c r="Q48" i="1"/>
  <c r="Q329" i="1"/>
  <c r="O457" i="1"/>
  <c r="O49" i="1"/>
  <c r="Q425" i="1"/>
  <c r="Q231" i="1"/>
  <c r="O302" i="1"/>
  <c r="AV7" i="1" s="1"/>
  <c r="O248" i="1"/>
  <c r="O264" i="1"/>
  <c r="O48" i="1"/>
  <c r="M75" i="1"/>
  <c r="O75" i="1"/>
  <c r="R75" i="1"/>
  <c r="AV333" i="1" l="1"/>
  <c r="AC150" i="1"/>
  <c r="AC94" i="1"/>
  <c r="AC174" i="1"/>
  <c r="AC187" i="1"/>
  <c r="AD302" i="1"/>
  <c r="AD158" i="1"/>
  <c r="AC278" i="1"/>
  <c r="AD70" i="1"/>
  <c r="AV136" i="1"/>
  <c r="AD30" i="1"/>
  <c r="AD296" i="1"/>
  <c r="AD116" i="1"/>
  <c r="AC502" i="1"/>
  <c r="AD390" i="1"/>
  <c r="AC128" i="1"/>
  <c r="AC113" i="1"/>
  <c r="AC100" i="1"/>
  <c r="AD397" i="1"/>
  <c r="AC304" i="1"/>
  <c r="AC122" i="1"/>
  <c r="AC282" i="1"/>
  <c r="AC81" i="1"/>
  <c r="AC112" i="1"/>
  <c r="AC193" i="1"/>
  <c r="AD252" i="1"/>
  <c r="AC255" i="1"/>
  <c r="AC222" i="1"/>
  <c r="AV45" i="1"/>
  <c r="AD220" i="1"/>
  <c r="AD36" i="1"/>
  <c r="AD153" i="1"/>
  <c r="AC62" i="1"/>
  <c r="AD426" i="1"/>
  <c r="AD403" i="1"/>
  <c r="AD494" i="1"/>
  <c r="AC28" i="1"/>
  <c r="AC330" i="1"/>
  <c r="AC156" i="1"/>
  <c r="AC217" i="1"/>
  <c r="AC200" i="1"/>
  <c r="AD134" i="1"/>
  <c r="AD219" i="1"/>
  <c r="AC474" i="1"/>
  <c r="AC42" i="1"/>
  <c r="AD172" i="1"/>
  <c r="AC313" i="1"/>
  <c r="AC288" i="1"/>
  <c r="AD493" i="1"/>
  <c r="AD258" i="1"/>
  <c r="AD297" i="1"/>
  <c r="AD495" i="1"/>
  <c r="AC17" i="1"/>
  <c r="AD107" i="1"/>
  <c r="AD230" i="1"/>
  <c r="AD9" i="1"/>
  <c r="AD147" i="1"/>
  <c r="AC21" i="1"/>
  <c r="AD352" i="1"/>
  <c r="AC74" i="1"/>
  <c r="AC225" i="1"/>
  <c r="AD151" i="1"/>
  <c r="AC203" i="1"/>
  <c r="AD71" i="1"/>
  <c r="AD398" i="1"/>
  <c r="AC157" i="1"/>
  <c r="AC392" i="1"/>
  <c r="AD504" i="1"/>
  <c r="AC114" i="1"/>
  <c r="AD322" i="1"/>
  <c r="AD233" i="1"/>
  <c r="AC132" i="1"/>
  <c r="AC127" i="1"/>
  <c r="AD271" i="1"/>
  <c r="AD241" i="1"/>
  <c r="AC206" i="1"/>
  <c r="AC251" i="1"/>
  <c r="AD149" i="1"/>
  <c r="AC456" i="1"/>
  <c r="AD332" i="1"/>
  <c r="AC82" i="1"/>
  <c r="AD255" i="1"/>
  <c r="AC87" i="1"/>
  <c r="AD166" i="1"/>
  <c r="AD466" i="1"/>
  <c r="AC26" i="1"/>
  <c r="AC275" i="1"/>
  <c r="AD182" i="1"/>
  <c r="AV376" i="1"/>
  <c r="AV220" i="1"/>
  <c r="AD336" i="1"/>
  <c r="AD186" i="1"/>
  <c r="AD235" i="1"/>
  <c r="AD20" i="1"/>
  <c r="AD143" i="1"/>
  <c r="AD484" i="1"/>
  <c r="AD413" i="1"/>
  <c r="AD52" i="1"/>
  <c r="AD408" i="1"/>
  <c r="AC192" i="1"/>
  <c r="AD124" i="1"/>
  <c r="AD178" i="1"/>
  <c r="AC308" i="1"/>
  <c r="AD54" i="1"/>
  <c r="AC201" i="1"/>
  <c r="AC235" i="1"/>
  <c r="AD27" i="1"/>
  <c r="AD437" i="1"/>
  <c r="AD283" i="1"/>
  <c r="AC118" i="1"/>
  <c r="AD436" i="1"/>
  <c r="AC428" i="1"/>
  <c r="AC424" i="1"/>
  <c r="AC444" i="1"/>
  <c r="AD194" i="1"/>
  <c r="AD274" i="1"/>
  <c r="AD498" i="1"/>
  <c r="AD368" i="1"/>
  <c r="AC140" i="1"/>
  <c r="AD207" i="1"/>
  <c r="AC331" i="1"/>
  <c r="AD250" i="1"/>
  <c r="AD69" i="1"/>
  <c r="AD357" i="1"/>
  <c r="AC306" i="1"/>
  <c r="AC165" i="1"/>
  <c r="AD111" i="1"/>
  <c r="AC210" i="1"/>
  <c r="AC236" i="1"/>
  <c r="AD31" i="1"/>
  <c r="AD43" i="1"/>
  <c r="AD48" i="1"/>
  <c r="AC263" i="1"/>
  <c r="AC214" i="1"/>
  <c r="AC315" i="1"/>
  <c r="AC318" i="1"/>
  <c r="AD180" i="1"/>
  <c r="AC14" i="1"/>
  <c r="AD57" i="1"/>
  <c r="AC76" i="1"/>
  <c r="AC256" i="1"/>
  <c r="AC78" i="1"/>
  <c r="AV488" i="1"/>
  <c r="AD130" i="1"/>
  <c r="AD162" i="1"/>
  <c r="AD177" i="1"/>
  <c r="AD292" i="1"/>
  <c r="AC415" i="1"/>
  <c r="AD99" i="1"/>
  <c r="AD41" i="1"/>
  <c r="AD59" i="1"/>
  <c r="AD89" i="1"/>
  <c r="AD276" i="1"/>
  <c r="AC246" i="1"/>
  <c r="AD32" i="1"/>
  <c r="AC59" i="1"/>
  <c r="AC91" i="1"/>
  <c r="AC135" i="1"/>
  <c r="AC446" i="1"/>
  <c r="AD310" i="1"/>
  <c r="AC480" i="1"/>
  <c r="AC144" i="1"/>
  <c r="AD15" i="1"/>
  <c r="AD86" i="1"/>
  <c r="AC254" i="1"/>
  <c r="AD16" i="1"/>
  <c r="AV456" i="1"/>
  <c r="AC249" i="1"/>
  <c r="AC15" i="1"/>
  <c r="AC98" i="1"/>
  <c r="AD108" i="1"/>
  <c r="AC311" i="1"/>
  <c r="AC482" i="1"/>
  <c r="AD87" i="1"/>
  <c r="AD164" i="1"/>
  <c r="AC83" i="1"/>
  <c r="AC64" i="1"/>
  <c r="AC61" i="1"/>
  <c r="AC131" i="1"/>
  <c r="AC371" i="1"/>
  <c r="AC154" i="1"/>
  <c r="AC234" i="1"/>
  <c r="AD277" i="1"/>
  <c r="AD459" i="1"/>
  <c r="AC499" i="1"/>
  <c r="AD176" i="1"/>
  <c r="AC173" i="1"/>
  <c r="AD324" i="1"/>
  <c r="AD85" i="1"/>
  <c r="AC460" i="1"/>
  <c r="AD284" i="1"/>
  <c r="AD6" i="1"/>
  <c r="AD97" i="1"/>
  <c r="AC293" i="1"/>
  <c r="AD388" i="1"/>
  <c r="AD262" i="1"/>
  <c r="AD191" i="1"/>
  <c r="AD44" i="1"/>
  <c r="AC37" i="1"/>
  <c r="AC44" i="1"/>
  <c r="AC272" i="1"/>
  <c r="AD497" i="1"/>
  <c r="AD63" i="1"/>
  <c r="AD290" i="1"/>
  <c r="AC212" i="1"/>
  <c r="AC455" i="1"/>
  <c r="AC399" i="1"/>
  <c r="AD49" i="1"/>
  <c r="AC492" i="1"/>
  <c r="AD238" i="1"/>
  <c r="AD50" i="1"/>
  <c r="AD351" i="1"/>
  <c r="AC123" i="1"/>
  <c r="AD145" i="1"/>
  <c r="AC145" i="1"/>
  <c r="AD445" i="1"/>
  <c r="AC290" i="1"/>
  <c r="AD374" i="1"/>
  <c r="AC141" i="1"/>
  <c r="AD197" i="1"/>
  <c r="AC243" i="1"/>
  <c r="AD190" i="1"/>
  <c r="AC190" i="1"/>
  <c r="AC80" i="1"/>
  <c r="AD80" i="1"/>
  <c r="AC155" i="1"/>
  <c r="AD155" i="1"/>
  <c r="AC146" i="1"/>
  <c r="AD146" i="1"/>
  <c r="AC105" i="1"/>
  <c r="AD105" i="1"/>
  <c r="AC159" i="1"/>
  <c r="AD159" i="1"/>
  <c r="AC244" i="1"/>
  <c r="AD244" i="1"/>
  <c r="AC161" i="1"/>
  <c r="AD161" i="1"/>
  <c r="AC84" i="1"/>
  <c r="AD84" i="1"/>
  <c r="AC102" i="1"/>
  <c r="AD102" i="1"/>
  <c r="AC35" i="1"/>
  <c r="AD56" i="1"/>
  <c r="AD115" i="1"/>
  <c r="AD342" i="1"/>
  <c r="AC5" i="1"/>
  <c r="AD75" i="1"/>
  <c r="AC46" i="1"/>
  <c r="AD46" i="1"/>
  <c r="AC106" i="1"/>
  <c r="AD106" i="1"/>
  <c r="AC204" i="1"/>
  <c r="AD204" i="1"/>
  <c r="AD103" i="1"/>
  <c r="AC103" i="1"/>
  <c r="AC90" i="1"/>
  <c r="AD90" i="1"/>
  <c r="AD110" i="1"/>
  <c r="AC110" i="1"/>
  <c r="AD286" i="1"/>
  <c r="AC286" i="1"/>
  <c r="AC152" i="1"/>
  <c r="AD73" i="1"/>
  <c r="AD33" i="1"/>
  <c r="AD295" i="1"/>
  <c r="AC414" i="1"/>
  <c r="AD307" i="1"/>
  <c r="AD285" i="1"/>
  <c r="AC18" i="1"/>
  <c r="AD18" i="1"/>
  <c r="AD429" i="1"/>
  <c r="AC429" i="1"/>
  <c r="AC281" i="1"/>
  <c r="AC137" i="1"/>
  <c r="AD137" i="1"/>
  <c r="AD320" i="1"/>
  <c r="AD53" i="1"/>
  <c r="AD411" i="1"/>
  <c r="AV251" i="1"/>
  <c r="AV151" i="1"/>
  <c r="AD481" i="1"/>
  <c r="AC501" i="1"/>
  <c r="AC248" i="1"/>
  <c r="AD450" i="1"/>
  <c r="AV149" i="1"/>
  <c r="AC462" i="1"/>
  <c r="AC329" i="1"/>
  <c r="AV346" i="1"/>
  <c r="AV305" i="1"/>
  <c r="AC380" i="1"/>
  <c r="AC441" i="1"/>
  <c r="AC120" i="1"/>
  <c r="AV13" i="1"/>
  <c r="AV130" i="1"/>
  <c r="AV165" i="1"/>
  <c r="AV150" i="1"/>
  <c r="AV362" i="1"/>
  <c r="AV370" i="1"/>
  <c r="AV115" i="1"/>
  <c r="AV269" i="1"/>
  <c r="AV428" i="1"/>
  <c r="AV103" i="1"/>
  <c r="AV153" i="1"/>
  <c r="AV224" i="1"/>
  <c r="AV228" i="1"/>
  <c r="AV288" i="1"/>
  <c r="AV272" i="1"/>
  <c r="AV24" i="1"/>
  <c r="AV87" i="1"/>
  <c r="AV445" i="1"/>
  <c r="AV207" i="1"/>
  <c r="AV233" i="1"/>
  <c r="AV18" i="1"/>
  <c r="AV123" i="1"/>
  <c r="AV206" i="1"/>
  <c r="AV307" i="1"/>
  <c r="AV490" i="1"/>
  <c r="AV315" i="1"/>
  <c r="AV339" i="1"/>
  <c r="AV100" i="1"/>
  <c r="AV28" i="1"/>
  <c r="AV465" i="1"/>
  <c r="AC8" i="1"/>
  <c r="AD406" i="1"/>
  <c r="AC55" i="1"/>
  <c r="AD181" i="1"/>
  <c r="AC237" i="1"/>
  <c r="AD325" i="1"/>
  <c r="AD479" i="1"/>
  <c r="AC136" i="1"/>
  <c r="AC323" i="1"/>
  <c r="AC29" i="1"/>
  <c r="AC387" i="1"/>
  <c r="AD327" i="1"/>
  <c r="AC488" i="1"/>
  <c r="AV81" i="1"/>
  <c r="AV33" i="1"/>
  <c r="AV407" i="1"/>
  <c r="AV183" i="1"/>
  <c r="AV436" i="1"/>
  <c r="AV278" i="1"/>
  <c r="AV448" i="1"/>
  <c r="AV77" i="1"/>
  <c r="AV90" i="1"/>
  <c r="AV226" i="1"/>
  <c r="AV459" i="1"/>
  <c r="AV364" i="1"/>
  <c r="AV429" i="1"/>
  <c r="AV15" i="1"/>
  <c r="AV89" i="1"/>
  <c r="AV110" i="1"/>
  <c r="AV275" i="1"/>
  <c r="AV186" i="1"/>
  <c r="AV172" i="1"/>
  <c r="AV447" i="1"/>
  <c r="AV416" i="1"/>
  <c r="AV431" i="1"/>
  <c r="AV299" i="1"/>
  <c r="AV494" i="1"/>
  <c r="AV137" i="1"/>
  <c r="AV214" i="1"/>
  <c r="AV261" i="1"/>
  <c r="AV62" i="1"/>
  <c r="AV67" i="1"/>
  <c r="AV297" i="1"/>
  <c r="AD195" i="1"/>
  <c r="AV161" i="1"/>
  <c r="AV65" i="1"/>
  <c r="AV390" i="1"/>
  <c r="AV496" i="1"/>
  <c r="AD12" i="1"/>
  <c r="AD490" i="1"/>
  <c r="AC477" i="1"/>
  <c r="AC332" i="1"/>
  <c r="AV158" i="1"/>
  <c r="AV249" i="1"/>
  <c r="AD333" i="1"/>
  <c r="AC365" i="1"/>
  <c r="AD29" i="1"/>
  <c r="AD68" i="1"/>
  <c r="AD348" i="1"/>
  <c r="AD433" i="1"/>
  <c r="AC68" i="1"/>
  <c r="AC73" i="1"/>
  <c r="AD363" i="1"/>
  <c r="AC367" i="1"/>
  <c r="AC104" i="1"/>
  <c r="AV463" i="1"/>
  <c r="AV94" i="1"/>
  <c r="AC11" i="1"/>
  <c r="AC205" i="1"/>
  <c r="AC216" i="1"/>
  <c r="AC433" i="1"/>
  <c r="AV145" i="1"/>
  <c r="AD167" i="1"/>
  <c r="AD92" i="1"/>
  <c r="AC148" i="1"/>
  <c r="AD382" i="1"/>
  <c r="AC458" i="1"/>
  <c r="AC470" i="1"/>
  <c r="AC300" i="1"/>
  <c r="AC384" i="1"/>
  <c r="AC408" i="1"/>
  <c r="AC391" i="1"/>
  <c r="AD239" i="1"/>
  <c r="AV329" i="1"/>
  <c r="AV372" i="1"/>
  <c r="AV229" i="1"/>
  <c r="AD22" i="1"/>
  <c r="AD273" i="1"/>
  <c r="AV4" i="1"/>
  <c r="AD242" i="1"/>
  <c r="AD418" i="1"/>
  <c r="AC267" i="1"/>
  <c r="AD205" i="1"/>
  <c r="AD268" i="1"/>
  <c r="AD126" i="1"/>
  <c r="AC229" i="1"/>
  <c r="AD430" i="1"/>
  <c r="AD223" i="1"/>
  <c r="AD385" i="1"/>
  <c r="AD72" i="1"/>
  <c r="AD349" i="1"/>
  <c r="AD171" i="1"/>
  <c r="AC291" i="1"/>
  <c r="AC257" i="1"/>
  <c r="AV109" i="1"/>
  <c r="BB302" i="1"/>
  <c r="BC302" i="1" s="1"/>
  <c r="AC420" i="1"/>
  <c r="AV188" i="1"/>
  <c r="AC265" i="1"/>
  <c r="AD245" i="1"/>
  <c r="AD328" i="1"/>
  <c r="AD267" i="1"/>
  <c r="AC273" i="1"/>
  <c r="AD443" i="1"/>
  <c r="AC93" i="1"/>
  <c r="AC341" i="1"/>
  <c r="AC442" i="1"/>
  <c r="AC495" i="1"/>
  <c r="AD67" i="1"/>
  <c r="AC301" i="1"/>
  <c r="AV247" i="1"/>
  <c r="AV49" i="1"/>
  <c r="AV252" i="1"/>
  <c r="AV154" i="1"/>
  <c r="AV134" i="1"/>
  <c r="AV197" i="1"/>
  <c r="AV434" i="1"/>
  <c r="AV501" i="1"/>
  <c r="AV74" i="1"/>
  <c r="AV262" i="1"/>
  <c r="AV484" i="1"/>
  <c r="AV377" i="1"/>
  <c r="AV210" i="1"/>
  <c r="AV348" i="1"/>
  <c r="AV264" i="1"/>
  <c r="AV328" i="1"/>
  <c r="AV238" i="1"/>
  <c r="AV258" i="1"/>
  <c r="AV336" i="1"/>
  <c r="AV276" i="1"/>
  <c r="AV127" i="1"/>
  <c r="AV98" i="1"/>
  <c r="AV326" i="1"/>
  <c r="AC400" i="1"/>
  <c r="AC168" i="1"/>
  <c r="AC125" i="1"/>
  <c r="AD260" i="1"/>
  <c r="AD165" i="1"/>
  <c r="AD196" i="1"/>
  <c r="AC269" i="1"/>
  <c r="AC47" i="1"/>
  <c r="AD47" i="1"/>
  <c r="AV32" i="1"/>
  <c r="AV48" i="1"/>
  <c r="AV200" i="1"/>
  <c r="AV282" i="1"/>
  <c r="AV379" i="1"/>
  <c r="AV414" i="1"/>
  <c r="AV341" i="1"/>
  <c r="AC280" i="1"/>
  <c r="AD77" i="1"/>
  <c r="AD226" i="1"/>
  <c r="AD395" i="1"/>
  <c r="AD229" i="1"/>
  <c r="AC51" i="1"/>
  <c r="AD208" i="1"/>
  <c r="AC432" i="1"/>
  <c r="AD7" i="1"/>
  <c r="AC60" i="1"/>
  <c r="AC505" i="1"/>
  <c r="AD452" i="1"/>
  <c r="AC77" i="1"/>
  <c r="AC448" i="1"/>
  <c r="AC289" i="1"/>
  <c r="AC431" i="1"/>
  <c r="AC383" i="1"/>
  <c r="AC215" i="1"/>
  <c r="AC407" i="1"/>
  <c r="AC364" i="1"/>
  <c r="AV16" i="1"/>
  <c r="AV156" i="1"/>
  <c r="AV309" i="1"/>
  <c r="AD438" i="1"/>
  <c r="AV192" i="1"/>
  <c r="AV243" i="1"/>
  <c r="AV458" i="1"/>
  <c r="AV235" i="1"/>
  <c r="AV185" i="1"/>
  <c r="AC362" i="1"/>
  <c r="AD142" i="1"/>
  <c r="AV101" i="1"/>
  <c r="AV246" i="1"/>
  <c r="AV421" i="1"/>
  <c r="AV351" i="1"/>
  <c r="AV359" i="1"/>
  <c r="AC342" i="1"/>
  <c r="AD453" i="1"/>
  <c r="AD218" i="1"/>
  <c r="AC339" i="1"/>
  <c r="AC333" i="1"/>
  <c r="AC451" i="1"/>
  <c r="AD224" i="1"/>
  <c r="AD39" i="1"/>
  <c r="AC259" i="1"/>
  <c r="AC449" i="1"/>
  <c r="AD109" i="1"/>
  <c r="AC163" i="1"/>
  <c r="AD337" i="1"/>
  <c r="AC209" i="1"/>
  <c r="AC393" i="1"/>
  <c r="AC19" i="1"/>
  <c r="AC401" i="1"/>
  <c r="AC218" i="1"/>
  <c r="AD468" i="1"/>
  <c r="AC24" i="1"/>
  <c r="AC375" i="1"/>
  <c r="AD427" i="1"/>
  <c r="AC347" i="1"/>
  <c r="AC253" i="1"/>
  <c r="AD362" i="1"/>
  <c r="AD423" i="1"/>
  <c r="AC465" i="1"/>
  <c r="AC348" i="1"/>
  <c r="AV292" i="1"/>
  <c r="AV133" i="1"/>
  <c r="AV301" i="1"/>
  <c r="AV298" i="1"/>
  <c r="AV223" i="1"/>
  <c r="AV209" i="1"/>
  <c r="AV99" i="1"/>
  <c r="AD23" i="1"/>
  <c r="AC38" i="1"/>
  <c r="AD65" i="1"/>
  <c r="AC75" i="1"/>
  <c r="AD353" i="1"/>
  <c r="AD440" i="1"/>
  <c r="AD486" i="1"/>
  <c r="BB220" i="1"/>
  <c r="BC220" i="1" s="1"/>
  <c r="AC467" i="1"/>
  <c r="AC410" i="1"/>
  <c r="AC356" i="1"/>
  <c r="AC363" i="1"/>
  <c r="AV5" i="1"/>
  <c r="AV72" i="1"/>
  <c r="AV267" i="1"/>
  <c r="AV173" i="1"/>
  <c r="AV405" i="1"/>
  <c r="AV452" i="1"/>
  <c r="AV433" i="1"/>
  <c r="AV324" i="1"/>
  <c r="AV476" i="1"/>
  <c r="AV467" i="1"/>
  <c r="AV195" i="1"/>
  <c r="AV313" i="1"/>
  <c r="AV201" i="1"/>
  <c r="AV450" i="1"/>
  <c r="AV430" i="1"/>
  <c r="AV454" i="1"/>
  <c r="AV245" i="1"/>
  <c r="AV500" i="1"/>
  <c r="AV218" i="1"/>
  <c r="AV237" i="1"/>
  <c r="AV400" i="1"/>
  <c r="AV337" i="1"/>
  <c r="AV182" i="1"/>
  <c r="AV340" i="1"/>
  <c r="AV408" i="1"/>
  <c r="AV350" i="1"/>
  <c r="AV271" i="1"/>
  <c r="AV121" i="1"/>
  <c r="AV273" i="1"/>
  <c r="AV427" i="1"/>
  <c r="AV242" i="1"/>
  <c r="AV492" i="1"/>
  <c r="AV289" i="1"/>
  <c r="AV353" i="1"/>
  <c r="AV383" i="1"/>
  <c r="AV17" i="1"/>
  <c r="AV446" i="1"/>
  <c r="AV331" i="1"/>
  <c r="AV107" i="1"/>
  <c r="AC96" i="1"/>
  <c r="AD364" i="1"/>
  <c r="AC23" i="1"/>
  <c r="AC208" i="1"/>
  <c r="AC65" i="1"/>
  <c r="AD209" i="1"/>
  <c r="AD228" i="1"/>
  <c r="AD117" i="1"/>
  <c r="AC56" i="1"/>
  <c r="AC279" i="1"/>
  <c r="AC379" i="1"/>
  <c r="AV102" i="1"/>
  <c r="AV322" i="1"/>
  <c r="AV78" i="1"/>
  <c r="AV38" i="1"/>
  <c r="AV58" i="1"/>
  <c r="AV181" i="1"/>
  <c r="AV159" i="1"/>
  <c r="AV254" i="1"/>
  <c r="AV308" i="1"/>
  <c r="AV335" i="1"/>
  <c r="AV461" i="1"/>
  <c r="AV105" i="1"/>
  <c r="AV61" i="1"/>
  <c r="AV82" i="1"/>
  <c r="AV152" i="1"/>
  <c r="AV219" i="1"/>
  <c r="AV114" i="1"/>
  <c r="AV225" i="1"/>
  <c r="AV374" i="1"/>
  <c r="AV395" i="1"/>
  <c r="AV122" i="1"/>
  <c r="AV59" i="1"/>
  <c r="AV330" i="1"/>
  <c r="AV120" i="1"/>
  <c r="AV86" i="1"/>
  <c r="AV425" i="1"/>
  <c r="AV46" i="1"/>
  <c r="AV176" i="1"/>
  <c r="AD441" i="1"/>
  <c r="AD247" i="1"/>
  <c r="AD478" i="1"/>
  <c r="AD163" i="1"/>
  <c r="AD66" i="1"/>
  <c r="AC328" i="1"/>
  <c r="AD152" i="1"/>
  <c r="AC139" i="1"/>
  <c r="AD415" i="1"/>
  <c r="AC185" i="1"/>
  <c r="AC395" i="1"/>
  <c r="AC115" i="1"/>
  <c r="AC355" i="1"/>
  <c r="AC184" i="1"/>
  <c r="AC88" i="1"/>
  <c r="AC266" i="1"/>
  <c r="AD101" i="1"/>
  <c r="AC67" i="1"/>
  <c r="AC202" i="1"/>
  <c r="AD383" i="1"/>
  <c r="AC109" i="1"/>
  <c r="AC232" i="1"/>
  <c r="AC496" i="1"/>
  <c r="AV317" i="1"/>
  <c r="AV166" i="1"/>
  <c r="AV380" i="1"/>
  <c r="AV469" i="1"/>
  <c r="AV406" i="1"/>
  <c r="AV495" i="1"/>
  <c r="AV111" i="1"/>
  <c r="AV73" i="1"/>
  <c r="AV216" i="1"/>
  <c r="AV169" i="1"/>
  <c r="AV358" i="1"/>
  <c r="AV457" i="1"/>
  <c r="AV277" i="1"/>
  <c r="AV236" i="1"/>
  <c r="AV202" i="1"/>
  <c r="AV27" i="1"/>
  <c r="AV146" i="1"/>
  <c r="AV6" i="1"/>
  <c r="AV148" i="1"/>
  <c r="AV189" i="1"/>
  <c r="AV253" i="1"/>
  <c r="AV310" i="1"/>
  <c r="AV485" i="1"/>
  <c r="AV410" i="1"/>
  <c r="AV71" i="1"/>
  <c r="AV30" i="1"/>
  <c r="AV95" i="1"/>
  <c r="AV365" i="1"/>
  <c r="AV435" i="1"/>
  <c r="AV464" i="1"/>
  <c r="AV155" i="1"/>
  <c r="AV360" i="1"/>
  <c r="AV325" i="1"/>
  <c r="AV287" i="1"/>
  <c r="AV296" i="1"/>
  <c r="AV367" i="1"/>
  <c r="AV162" i="1"/>
  <c r="AV396" i="1"/>
  <c r="AV42" i="1"/>
  <c r="AV387" i="1"/>
  <c r="AV306" i="1"/>
  <c r="AV144" i="1"/>
  <c r="AV31" i="1"/>
  <c r="AV180" i="1"/>
  <c r="AV357" i="1"/>
  <c r="AV22" i="1"/>
  <c r="AV160" i="1"/>
  <c r="AD442" i="1"/>
  <c r="AC270" i="1"/>
  <c r="AC169" i="1"/>
  <c r="AC175" i="1"/>
  <c r="AC307" i="1"/>
  <c r="AC478" i="1"/>
  <c r="AD317" i="1"/>
  <c r="AC421" i="1"/>
  <c r="AC469" i="1"/>
  <c r="AC170" i="1"/>
  <c r="AC372" i="1"/>
  <c r="AD340" i="1"/>
  <c r="AC13" i="1"/>
  <c r="AD287" i="1"/>
  <c r="AC294" i="1"/>
  <c r="AC183" i="1"/>
  <c r="AD366" i="1"/>
  <c r="AC359" i="1"/>
  <c r="AD386" i="1"/>
  <c r="AC295" i="1"/>
  <c r="AV230" i="1"/>
  <c r="AV386" i="1"/>
  <c r="AD492" i="1"/>
  <c r="AD200" i="1"/>
  <c r="AC484" i="1"/>
  <c r="AC361" i="1"/>
  <c r="AV163" i="1"/>
  <c r="AV196" i="1"/>
  <c r="AV473" i="1"/>
  <c r="AD422" i="1"/>
  <c r="AD345" i="1"/>
  <c r="AC221" i="1"/>
  <c r="AC303" i="1"/>
  <c r="AC40" i="1"/>
  <c r="AD40" i="1"/>
  <c r="AC179" i="1"/>
  <c r="AC129" i="1"/>
  <c r="AD299" i="1"/>
  <c r="AC376" i="1"/>
  <c r="AD305" i="1"/>
  <c r="AC457" i="1"/>
  <c r="AV222" i="1"/>
  <c r="AV124" i="1"/>
  <c r="AV411" i="1"/>
  <c r="AV389" i="1"/>
  <c r="AV117" i="1"/>
  <c r="AV394" i="1"/>
  <c r="AV401" i="1"/>
  <c r="AV497" i="1"/>
  <c r="AV266" i="1"/>
  <c r="AV419" i="1"/>
  <c r="AV63" i="1"/>
  <c r="AD95" i="1"/>
  <c r="AD215" i="1"/>
  <c r="AC486" i="1"/>
  <c r="AD55" i="1"/>
  <c r="AV108" i="1"/>
  <c r="AV204" i="1"/>
  <c r="AV312" i="1"/>
  <c r="AV274" i="1"/>
  <c r="AV55" i="1"/>
  <c r="AV88" i="1"/>
  <c r="AV438" i="1"/>
  <c r="AV199" i="1"/>
  <c r="AV9" i="1"/>
  <c r="AV119" i="1"/>
  <c r="AV286" i="1"/>
  <c r="AD376" i="1"/>
  <c r="AV10" i="1"/>
  <c r="AV44" i="1"/>
  <c r="AV164" i="1"/>
  <c r="AV241" i="1"/>
  <c r="AV327" i="1"/>
  <c r="AV208" i="1"/>
  <c r="AV439" i="1"/>
  <c r="AV294" i="1"/>
  <c r="AV398" i="1"/>
  <c r="AV442" i="1"/>
  <c r="AV345" i="1"/>
  <c r="AV334" i="1"/>
  <c r="AV483" i="1"/>
  <c r="AV70" i="1"/>
  <c r="AV147" i="1"/>
  <c r="AV338" i="1"/>
  <c r="AV92" i="1"/>
  <c r="AV399" i="1"/>
  <c r="AV420" i="1"/>
  <c r="AV444" i="1"/>
  <c r="AV318" i="1"/>
  <c r="AV472" i="1"/>
  <c r="AV290" i="1"/>
  <c r="AV113" i="1"/>
  <c r="AV93" i="1"/>
  <c r="AV285" i="1"/>
  <c r="AV443" i="1"/>
  <c r="AV51" i="1"/>
  <c r="AV96" i="1"/>
  <c r="AV453" i="1"/>
  <c r="AV375" i="1"/>
  <c r="AV171" i="1"/>
  <c r="AV293" i="1"/>
  <c r="AV361" i="1"/>
  <c r="AV504" i="1"/>
  <c r="AV142" i="1"/>
  <c r="AV191" i="1"/>
  <c r="AV53" i="1"/>
  <c r="AV489" i="1"/>
  <c r="AV221" i="1"/>
  <c r="AD359" i="1"/>
  <c r="AD58" i="1"/>
  <c r="AD279" i="1"/>
  <c r="AC138" i="1"/>
  <c r="AD10" i="1"/>
  <c r="AC404" i="1"/>
  <c r="AC344" i="1"/>
  <c r="AC314" i="1"/>
  <c r="AC435" i="1"/>
  <c r="AV83" i="1"/>
  <c r="AV193" i="1"/>
  <c r="AV76" i="1"/>
  <c r="AV138" i="1"/>
  <c r="AV139" i="1"/>
  <c r="AV184" i="1"/>
  <c r="AV256" i="1"/>
  <c r="AV385" i="1"/>
  <c r="AV481" i="1"/>
  <c r="AV34" i="1"/>
  <c r="AV366" i="1"/>
  <c r="AV347" i="1"/>
  <c r="AV466" i="1"/>
  <c r="AV323" i="1"/>
  <c r="AV474" i="1"/>
  <c r="AV291" i="1"/>
  <c r="AV23" i="1"/>
  <c r="AV257" i="1"/>
  <c r="AV41" i="1"/>
  <c r="AV265" i="1"/>
  <c r="AV118" i="1"/>
  <c r="AV203" i="1"/>
  <c r="AV349" i="1"/>
  <c r="AV437" i="1"/>
  <c r="AC58" i="1"/>
  <c r="AD456" i="1"/>
  <c r="AC345" i="1"/>
  <c r="AC405" i="1"/>
  <c r="AC476" i="1"/>
  <c r="AC425" i="1"/>
  <c r="AD425" i="1"/>
  <c r="AC412" i="1"/>
  <c r="AC416" i="1"/>
  <c r="AC483" i="1"/>
  <c r="AD96" i="1"/>
  <c r="AD346" i="1"/>
  <c r="AC503" i="1"/>
  <c r="AC471" i="1"/>
  <c r="AD261" i="1"/>
  <c r="AC366" i="1"/>
  <c r="AC309" i="1"/>
  <c r="AC354" i="1"/>
  <c r="AC453" i="1"/>
  <c r="AC316" i="1"/>
  <c r="AD160" i="1"/>
  <c r="AD319" i="1"/>
  <c r="AC479" i="1"/>
  <c r="AV37" i="1"/>
  <c r="AC45" i="1"/>
  <c r="AC487" i="1"/>
  <c r="AV12" i="1"/>
  <c r="AV280" i="1"/>
  <c r="AV47" i="1"/>
  <c r="AV392" i="1"/>
  <c r="AV402" i="1"/>
  <c r="AV471" i="1"/>
  <c r="BB457" i="1"/>
  <c r="BC457" i="1" s="1"/>
  <c r="AD358" i="1"/>
  <c r="AC443" i="1"/>
  <c r="AD133" i="1"/>
  <c r="AC79" i="1"/>
  <c r="AV56" i="1"/>
  <c r="AV125" i="1"/>
  <c r="AV281" i="1"/>
  <c r="AV141" i="1"/>
  <c r="AV259" i="1"/>
  <c r="AV491" i="1"/>
  <c r="AV39" i="1"/>
  <c r="AV480" i="1"/>
  <c r="AV29" i="1"/>
  <c r="AC95" i="1"/>
  <c r="AV14" i="1"/>
  <c r="AV40" i="1"/>
  <c r="AV178" i="1"/>
  <c r="AV232" i="1"/>
  <c r="AD303" i="1"/>
  <c r="AV8" i="1"/>
  <c r="AV11" i="1"/>
  <c r="AV68" i="1"/>
  <c r="AV415" i="1"/>
  <c r="AV270" i="1"/>
  <c r="AV217" i="1"/>
  <c r="AV26" i="1"/>
  <c r="AV57" i="1"/>
  <c r="AV80" i="1"/>
  <c r="AV404" i="1"/>
  <c r="AV320" i="1"/>
  <c r="AV403" i="1"/>
  <c r="AV493" i="1"/>
  <c r="AV470" i="1"/>
  <c r="AV441" i="1"/>
  <c r="AV227" i="1"/>
  <c r="AV179" i="1"/>
  <c r="AV215" i="1"/>
  <c r="AV388" i="1"/>
  <c r="AV244" i="1"/>
  <c r="AV424" i="1"/>
  <c r="AV363" i="1"/>
  <c r="AV174" i="1"/>
  <c r="AV342" i="1"/>
  <c r="AV426" i="1"/>
  <c r="AV21" i="1"/>
  <c r="AV384" i="1"/>
  <c r="AV487" i="1"/>
  <c r="AV397" i="1"/>
  <c r="AV91" i="1"/>
  <c r="AV382" i="1"/>
  <c r="AV35" i="1"/>
  <c r="AV205" i="1"/>
  <c r="AV475" i="1"/>
  <c r="AD457" i="1"/>
  <c r="AC121" i="1"/>
  <c r="AC452" i="1"/>
  <c r="AC296" i="1"/>
  <c r="AC211" i="1"/>
  <c r="AD472" i="1"/>
  <c r="AC472" i="1"/>
  <c r="AC461" i="1"/>
  <c r="AC419" i="1"/>
  <c r="AD491" i="1"/>
  <c r="AC473" i="1"/>
  <c r="AD354" i="1"/>
  <c r="AC189" i="1"/>
  <c r="AC434" i="1"/>
  <c r="AC377" i="1"/>
  <c r="AC360" i="1"/>
  <c r="AC490" i="1"/>
  <c r="AC489" i="1"/>
  <c r="AV378" i="1"/>
  <c r="AV423" i="1"/>
  <c r="AV66" i="1"/>
  <c r="AV128" i="1"/>
  <c r="AV104" i="1"/>
  <c r="AV25" i="1"/>
  <c r="AV126" i="1"/>
  <c r="AV319" i="1"/>
  <c r="AV194" i="1"/>
  <c r="AV135" i="1"/>
  <c r="AV175" i="1"/>
  <c r="AV212" i="1"/>
  <c r="AV381" i="1"/>
  <c r="AV451" i="1"/>
  <c r="AV303" i="1"/>
  <c r="AV177" i="1"/>
  <c r="AV479" i="1"/>
  <c r="AV263" i="1"/>
  <c r="AV486" i="1"/>
  <c r="AV19" i="1"/>
  <c r="AV213" i="1"/>
  <c r="AV69" i="1"/>
  <c r="AV231" i="1"/>
  <c r="AV268" i="1"/>
  <c r="AV422" i="1"/>
  <c r="AV343" i="1"/>
  <c r="AV132" i="1"/>
  <c r="AV344" i="1"/>
  <c r="AV321" i="1"/>
  <c r="AV502" i="1"/>
  <c r="AV352" i="1"/>
  <c r="AV240" i="1"/>
  <c r="AV157" i="1"/>
  <c r="AV455" i="1"/>
  <c r="AV106" i="1"/>
  <c r="AV332" i="1"/>
  <c r="AV36" i="1"/>
  <c r="AV143" i="1"/>
  <c r="AV140" i="1"/>
  <c r="AV284" i="1"/>
  <c r="AV54" i="1"/>
  <c r="AV260" i="1"/>
  <c r="AV498" i="1"/>
  <c r="AV499" i="1"/>
  <c r="AV279" i="1"/>
  <c r="AV355" i="1"/>
  <c r="AV52" i="1"/>
  <c r="AV234" i="1"/>
  <c r="AV129" i="1"/>
  <c r="AV85" i="1"/>
  <c r="AV190" i="1"/>
  <c r="AV43" i="1"/>
  <c r="BB6" i="1"/>
  <c r="BC6" i="1" s="1"/>
  <c r="AC326" i="1"/>
  <c r="AC454" i="1"/>
  <c r="AC373" i="1"/>
  <c r="AD500" i="1"/>
  <c r="AC464" i="1"/>
  <c r="AD370" i="1"/>
  <c r="AD402" i="1"/>
  <c r="AC447" i="1"/>
  <c r="BB274" i="1"/>
  <c r="BC274" i="1" s="1"/>
  <c r="AC334" i="1"/>
  <c r="AC381" i="1"/>
  <c r="AC485" i="1"/>
  <c r="AC440" i="1"/>
  <c r="AD339" i="1"/>
  <c r="AC403" i="1"/>
  <c r="AD378" i="1"/>
  <c r="AC389" i="1"/>
  <c r="AC396" i="1"/>
  <c r="AC394" i="1"/>
  <c r="AC417" i="1"/>
  <c r="AC321" i="1"/>
  <c r="AC463" i="1"/>
  <c r="AV248" i="1"/>
  <c r="AV300" i="1"/>
  <c r="AV354" i="1"/>
  <c r="AV314" i="1"/>
  <c r="AV373" i="1"/>
  <c r="AV449" i="1"/>
  <c r="AV409" i="1"/>
  <c r="AV79" i="1"/>
  <c r="AV371" i="1"/>
  <c r="AV116" i="1"/>
  <c r="AV131" i="1"/>
  <c r="AV462" i="1"/>
  <c r="AV255" i="1"/>
  <c r="AV97" i="1"/>
  <c r="AV477" i="1"/>
  <c r="AV302" i="1"/>
  <c r="AV283" i="1"/>
  <c r="AV368" i="1"/>
  <c r="AV503" i="1"/>
  <c r="AV393" i="1"/>
  <c r="AV64" i="1"/>
  <c r="AV168" i="1"/>
  <c r="AV84" i="1"/>
  <c r="AV304" i="1"/>
  <c r="AV60" i="1"/>
  <c r="AV432" i="1"/>
  <c r="AV417" i="1"/>
  <c r="AV356" i="1"/>
  <c r="AV311" i="1"/>
  <c r="AV412" i="1"/>
  <c r="AV198" i="1"/>
  <c r="AV75" i="1"/>
  <c r="AV170" i="1"/>
  <c r="AV20" i="1"/>
  <c r="AV50" i="1"/>
  <c r="AV187" i="1"/>
  <c r="AV440" i="1"/>
  <c r="AV211" i="1"/>
  <c r="AV316" i="1"/>
  <c r="AV167" i="1"/>
  <c r="AV478" i="1"/>
  <c r="AV468" i="1"/>
  <c r="AV250" i="1"/>
  <c r="AV239" i="1"/>
  <c r="AV482" i="1"/>
  <c r="AV413" i="1"/>
  <c r="AV460" i="1"/>
  <c r="AV112" i="1"/>
  <c r="BB344" i="1"/>
  <c r="BC344" i="1" s="1"/>
  <c r="AD350" i="1"/>
  <c r="AC475" i="1"/>
  <c r="AC264" i="1"/>
  <c r="AC343" i="1"/>
  <c r="AC312" i="1"/>
  <c r="AD240" i="1"/>
  <c r="AC409" i="1"/>
  <c r="AC335" i="1"/>
  <c r="AC439" i="1"/>
  <c r="P12" i="2"/>
  <c r="DI505" i="1"/>
  <c r="N37" i="2" s="1"/>
  <c r="DH505" i="1"/>
  <c r="V37" i="2" s="1"/>
  <c r="DG505" i="1"/>
  <c r="T37" i="2" s="1"/>
  <c r="DF505" i="1"/>
  <c r="P37" i="2" s="1"/>
  <c r="DE505" i="1"/>
  <c r="R37" i="2" s="1"/>
  <c r="DD505" i="1"/>
  <c r="L37" i="2" s="1"/>
  <c r="DB505" i="1"/>
  <c r="T83" i="2" s="1"/>
  <c r="DA505" i="1"/>
  <c r="R83" i="2" s="1"/>
  <c r="CZ505" i="1"/>
  <c r="P83" i="2" s="1"/>
  <c r="N402" i="1"/>
  <c r="N442" i="1"/>
  <c r="N460" i="1"/>
  <c r="N405" i="1"/>
  <c r="N285" i="1"/>
  <c r="N147" i="1"/>
  <c r="N420" i="1"/>
  <c r="N76" i="1"/>
  <c r="N86" i="1"/>
  <c r="N214" i="1"/>
  <c r="N141" i="1"/>
  <c r="N230" i="1"/>
  <c r="N295" i="1"/>
  <c r="BB118" i="1" s="1"/>
  <c r="BC118" i="1" s="1"/>
  <c r="N68" i="1"/>
  <c r="N303" i="1"/>
  <c r="N98" i="1"/>
  <c r="N116" i="1"/>
  <c r="N281" i="1"/>
  <c r="N135" i="1"/>
  <c r="N155" i="1"/>
  <c r="N47" i="1"/>
  <c r="N171" i="1"/>
  <c r="N209" i="1"/>
  <c r="N227" i="1"/>
  <c r="N82" i="1"/>
  <c r="N236" i="1"/>
  <c r="N164" i="1"/>
  <c r="N175" i="1"/>
  <c r="N353" i="1"/>
  <c r="N30" i="1"/>
  <c r="N468" i="1"/>
  <c r="N498" i="1"/>
  <c r="BB166" i="1" s="1"/>
  <c r="BC166" i="1" s="1"/>
  <c r="N80" i="1"/>
  <c r="N235" i="1"/>
  <c r="BB297" i="1" s="1"/>
  <c r="BC297" i="1" s="1"/>
  <c r="N104" i="1"/>
  <c r="N494" i="1"/>
  <c r="N357" i="1"/>
  <c r="N376" i="1"/>
  <c r="N205" i="1"/>
  <c r="N194" i="1"/>
  <c r="N321" i="1"/>
  <c r="N427" i="1"/>
  <c r="N434" i="1"/>
  <c r="N87" i="1"/>
  <c r="N448" i="1"/>
  <c r="N70" i="1"/>
  <c r="N113" i="1"/>
  <c r="BB350" i="1" s="1"/>
  <c r="BC350" i="1" s="1"/>
  <c r="N90" i="1"/>
  <c r="N368" i="1"/>
  <c r="N112" i="1"/>
  <c r="N470" i="1"/>
  <c r="N362" i="1"/>
  <c r="BB57" i="1" s="1"/>
  <c r="BC57" i="1" s="1"/>
  <c r="N7" i="1"/>
  <c r="N77" i="1"/>
  <c r="N78" i="1"/>
  <c r="N287" i="1"/>
  <c r="N360" i="1"/>
  <c r="N300" i="1"/>
  <c r="N418" i="1"/>
  <c r="N365" i="1"/>
  <c r="N159" i="1"/>
  <c r="N298" i="1"/>
  <c r="BB458" i="1" s="1"/>
  <c r="BC458" i="1" s="1"/>
  <c r="N261" i="1"/>
  <c r="N411" i="1"/>
  <c r="N252" i="1"/>
  <c r="N60" i="1"/>
  <c r="N446" i="1"/>
  <c r="BB446" i="1" s="1"/>
  <c r="BC446" i="1" s="1"/>
  <c r="N238" i="1"/>
  <c r="N480" i="1"/>
  <c r="N132" i="1"/>
  <c r="N343" i="1"/>
  <c r="N386" i="1"/>
  <c r="N219" i="1"/>
  <c r="N375" i="1"/>
  <c r="N383" i="1"/>
  <c r="N400" i="1"/>
  <c r="N152" i="1"/>
  <c r="N258" i="1"/>
  <c r="BB254" i="1" s="1"/>
  <c r="BC254" i="1" s="1"/>
  <c r="N493" i="1"/>
  <c r="N62" i="1"/>
  <c r="N96" i="1"/>
  <c r="N390" i="1"/>
  <c r="N397" i="1"/>
  <c r="N237" i="1"/>
  <c r="N325" i="1"/>
  <c r="N73" i="1"/>
  <c r="N334" i="1"/>
  <c r="N215" i="1"/>
  <c r="N394" i="1"/>
  <c r="N456" i="1"/>
  <c r="BB99" i="1" s="1"/>
  <c r="BC99" i="1" s="1"/>
  <c r="N140" i="1"/>
  <c r="N288" i="1"/>
  <c r="N5" i="1"/>
  <c r="N167" i="1"/>
  <c r="N234" i="1"/>
  <c r="BB183" i="1" s="1"/>
  <c r="BC183" i="1" s="1"/>
  <c r="N16" i="1"/>
  <c r="BB24" i="1" s="1"/>
  <c r="BC24" i="1" s="1"/>
  <c r="N316" i="1"/>
  <c r="N130" i="1"/>
  <c r="N270" i="1"/>
  <c r="N8" i="1"/>
  <c r="N250" i="1"/>
  <c r="N269" i="1"/>
  <c r="BB449" i="1" s="1"/>
  <c r="BC449" i="1" s="1"/>
  <c r="N479" i="1"/>
  <c r="N345" i="1"/>
  <c r="N373" i="1"/>
  <c r="N162" i="1"/>
  <c r="N469" i="1"/>
  <c r="BB305" i="1" s="1"/>
  <c r="BC305" i="1" s="1"/>
  <c r="N445" i="1"/>
  <c r="N39" i="1"/>
  <c r="BB312" i="1" s="1"/>
  <c r="BC312" i="1" s="1"/>
  <c r="N398" i="1"/>
  <c r="BB398" i="1" s="1"/>
  <c r="BC398" i="1" s="1"/>
  <c r="N245" i="1"/>
  <c r="N404" i="1"/>
  <c r="N293" i="1"/>
  <c r="N491" i="1"/>
  <c r="N58" i="1"/>
  <c r="N342" i="1"/>
  <c r="N337" i="1"/>
  <c r="N25" i="1"/>
  <c r="N84" i="1"/>
  <c r="N335" i="1"/>
  <c r="N223" i="1"/>
  <c r="N232" i="1"/>
  <c r="N22" i="1"/>
  <c r="N44" i="1"/>
  <c r="N370" i="1"/>
  <c r="N127" i="1"/>
  <c r="N66" i="1"/>
  <c r="N67" i="1"/>
  <c r="N361" i="1"/>
  <c r="N222" i="1"/>
  <c r="N381" i="1"/>
  <c r="N33" i="1"/>
  <c r="N454" i="1"/>
  <c r="N438" i="1"/>
  <c r="N176" i="1"/>
  <c r="N100" i="1"/>
  <c r="N453" i="1"/>
  <c r="BB496" i="1" s="1"/>
  <c r="BC496" i="1" s="1"/>
  <c r="N23" i="1"/>
  <c r="N391" i="1"/>
  <c r="N88" i="1"/>
  <c r="N206" i="1"/>
  <c r="BB146" i="1" s="1"/>
  <c r="BC146" i="1" s="1"/>
  <c r="N502" i="1"/>
  <c r="N242" i="1"/>
  <c r="N69" i="1"/>
  <c r="N71" i="1"/>
  <c r="N226" i="1"/>
  <c r="N371" i="1"/>
  <c r="N144" i="1"/>
  <c r="N124" i="1"/>
  <c r="N467" i="1"/>
  <c r="BB221" i="1" s="1"/>
  <c r="BC221" i="1" s="1"/>
  <c r="N106" i="1"/>
  <c r="N276" i="1"/>
  <c r="N74" i="1"/>
  <c r="N145" i="1"/>
  <c r="BB134" i="1" s="1"/>
  <c r="BC134" i="1" s="1"/>
  <c r="N61" i="1"/>
  <c r="N492" i="1"/>
  <c r="N501" i="1"/>
  <c r="BB256" i="1" s="1"/>
  <c r="BC256" i="1" s="1"/>
  <c r="N143" i="1"/>
  <c r="N309" i="1"/>
  <c r="N172" i="1"/>
  <c r="N216" i="1"/>
  <c r="N378" i="1"/>
  <c r="N331" i="1"/>
  <c r="N485" i="1"/>
  <c r="BB485" i="1" s="1"/>
  <c r="BC485" i="1" s="1"/>
  <c r="N154" i="1"/>
  <c r="N107" i="1"/>
  <c r="N239" i="1"/>
  <c r="N490" i="1"/>
  <c r="N177" i="1"/>
  <c r="N414" i="1"/>
  <c r="N91" i="1"/>
  <c r="N228" i="1"/>
  <c r="N189" i="1"/>
  <c r="N450" i="1"/>
  <c r="N471" i="1"/>
  <c r="N304" i="1"/>
  <c r="N190" i="1"/>
  <c r="N275" i="1"/>
  <c r="N278" i="1"/>
  <c r="N500" i="1"/>
  <c r="N263" i="1"/>
  <c r="N419" i="1"/>
  <c r="BB56" i="1" s="1"/>
  <c r="BC56" i="1" s="1"/>
  <c r="N347" i="1"/>
  <c r="N488" i="1"/>
  <c r="N53" i="1"/>
  <c r="N233" i="1"/>
  <c r="N495" i="1"/>
  <c r="N369" i="1"/>
  <c r="N421" i="1"/>
  <c r="N465" i="1"/>
  <c r="N41" i="1"/>
  <c r="N203" i="1"/>
  <c r="N272" i="1"/>
  <c r="BB409" i="1" s="1"/>
  <c r="BC409" i="1" s="1"/>
  <c r="N81" i="1"/>
  <c r="BB359" i="1" s="1"/>
  <c r="BC359" i="1" s="1"/>
  <c r="N117" i="1"/>
  <c r="N289" i="1"/>
  <c r="N489" i="1"/>
  <c r="N185" i="1"/>
  <c r="N139" i="1"/>
  <c r="BB396" i="1" s="1"/>
  <c r="BC396" i="1" s="1"/>
  <c r="N168" i="1"/>
  <c r="N72" i="1"/>
  <c r="N484" i="1"/>
  <c r="N504" i="1"/>
  <c r="N85" i="1"/>
  <c r="N473" i="1"/>
  <c r="N9" i="1"/>
  <c r="N322" i="1"/>
  <c r="N478" i="1"/>
  <c r="N389" i="1"/>
  <c r="N477" i="1"/>
  <c r="N27" i="1"/>
  <c r="N193" i="1"/>
  <c r="N108" i="1"/>
  <c r="N42" i="1"/>
  <c r="N95" i="1"/>
  <c r="N280" i="1"/>
  <c r="N31" i="1"/>
  <c r="BB387" i="1" s="1"/>
  <c r="BC387" i="1" s="1"/>
  <c r="N142" i="1"/>
  <c r="N320" i="1"/>
  <c r="N136" i="1"/>
  <c r="N443" i="1"/>
  <c r="N43" i="1"/>
  <c r="N101" i="1"/>
  <c r="N186" i="1"/>
  <c r="N207" i="1"/>
  <c r="BB272" i="1" s="1"/>
  <c r="BC272" i="1" s="1"/>
  <c r="N392" i="1"/>
  <c r="N286" i="1"/>
  <c r="N266" i="1"/>
  <c r="N474" i="1"/>
  <c r="N301" i="1"/>
  <c r="N435" i="1"/>
  <c r="BB49" i="1" s="1"/>
  <c r="BC49" i="1" s="1"/>
  <c r="N416" i="1"/>
  <c r="N292" i="1"/>
  <c r="N424" i="1"/>
  <c r="N178" i="1"/>
  <c r="N83" i="1"/>
  <c r="N14" i="1"/>
  <c r="N20" i="1"/>
  <c r="N440" i="1"/>
  <c r="BB315" i="1" s="1"/>
  <c r="BC315" i="1" s="1"/>
  <c r="N121" i="1"/>
  <c r="N447" i="1"/>
  <c r="N92" i="1"/>
  <c r="N10" i="1"/>
  <c r="N499" i="1"/>
  <c r="N169" i="1"/>
  <c r="N157" i="1"/>
  <c r="N294" i="1"/>
  <c r="N149" i="1"/>
  <c r="BB149" i="1" s="1"/>
  <c r="BC149" i="1" s="1"/>
  <c r="N422" i="1"/>
  <c r="N247" i="1"/>
  <c r="N268" i="1"/>
  <c r="N279" i="1"/>
  <c r="N372" i="1"/>
  <c r="N28" i="1"/>
  <c r="N51" i="1"/>
  <c r="N37" i="1"/>
  <c r="BB37" i="1" s="1"/>
  <c r="BC37" i="1" s="1"/>
  <c r="N198" i="1"/>
  <c r="N229" i="1"/>
  <c r="BB174" i="1" s="1"/>
  <c r="BC174" i="1" s="1"/>
  <c r="N17" i="1"/>
  <c r="BB17" i="1" s="1"/>
  <c r="BC17" i="1" s="1"/>
  <c r="N401" i="1"/>
  <c r="N29" i="1"/>
  <c r="N307" i="1"/>
  <c r="N26" i="1"/>
  <c r="N262" i="1"/>
  <c r="N328" i="1"/>
  <c r="N461" i="1"/>
  <c r="N126" i="1"/>
  <c r="N341" i="1"/>
  <c r="N463" i="1"/>
  <c r="N210" i="1"/>
  <c r="N241" i="1"/>
  <c r="BB338" i="1" s="1"/>
  <c r="BC338" i="1" s="1"/>
  <c r="N319" i="1"/>
  <c r="N393" i="1"/>
  <c r="N358" i="1"/>
  <c r="N55" i="1"/>
  <c r="N79" i="1"/>
  <c r="N110" i="1"/>
  <c r="BB408" i="1" s="1"/>
  <c r="BC408" i="1" s="1"/>
  <c r="N377" i="1"/>
  <c r="BB138" i="1" s="1"/>
  <c r="BC138" i="1" s="1"/>
  <c r="N324" i="1"/>
  <c r="N201" i="1"/>
  <c r="N483" i="1"/>
  <c r="N429" i="1"/>
  <c r="N120" i="1"/>
  <c r="N21" i="1"/>
  <c r="BB267" i="1" s="1"/>
  <c r="BC267" i="1" s="1"/>
  <c r="N265" i="1"/>
  <c r="BB264" i="1" s="1"/>
  <c r="BC264" i="1" s="1"/>
  <c r="N225" i="1"/>
  <c r="N423" i="1"/>
  <c r="BB45" i="1" s="1"/>
  <c r="BC45" i="1" s="1"/>
  <c r="N64" i="1"/>
  <c r="N197" i="1"/>
  <c r="N163" i="1"/>
  <c r="N277" i="1"/>
  <c r="N367" i="1"/>
  <c r="N249" i="1"/>
  <c r="N59" i="1"/>
  <c r="N181" i="1"/>
  <c r="N412" i="1"/>
  <c r="N426" i="1"/>
  <c r="N333" i="1"/>
  <c r="N195" i="1"/>
  <c r="N273" i="1"/>
  <c r="N332" i="1"/>
  <c r="N313" i="1"/>
  <c r="N455" i="1"/>
  <c r="N218" i="1"/>
  <c r="N54" i="1"/>
  <c r="N364" i="1"/>
  <c r="N208" i="1"/>
  <c r="N12" i="1"/>
  <c r="N180" i="1"/>
  <c r="N374" i="1"/>
  <c r="N199" i="1"/>
  <c r="BB471" i="1" s="1"/>
  <c r="BC471" i="1" s="1"/>
  <c r="N431" i="1"/>
  <c r="N255" i="1"/>
  <c r="N114" i="1"/>
  <c r="N452" i="1"/>
  <c r="N476" i="1"/>
  <c r="N299" i="1"/>
  <c r="N259" i="1"/>
  <c r="BB46" i="1" s="1"/>
  <c r="BC46" i="1" s="1"/>
  <c r="N284" i="1"/>
  <c r="BB97" i="1" s="1"/>
  <c r="BC97" i="1" s="1"/>
  <c r="N271" i="1"/>
  <c r="N63" i="1"/>
  <c r="BB361" i="1" s="1"/>
  <c r="BC361" i="1" s="1"/>
  <c r="N311" i="1"/>
  <c r="N204" i="1"/>
  <c r="BB356" i="1" s="1"/>
  <c r="BC356" i="1" s="1"/>
  <c r="N212" i="1"/>
  <c r="N122" i="1"/>
  <c r="BB253" i="1" s="1"/>
  <c r="BC253" i="1" s="1"/>
  <c r="N472" i="1"/>
  <c r="N103" i="1"/>
  <c r="BB40" i="1" s="1"/>
  <c r="BC40" i="1" s="1"/>
  <c r="N410" i="1"/>
  <c r="N336" i="1"/>
  <c r="BB296" i="1" s="1"/>
  <c r="BC296" i="1" s="1"/>
  <c r="N15" i="1"/>
  <c r="BB425" i="1" s="1"/>
  <c r="BC425" i="1" s="1"/>
  <c r="N464" i="1"/>
  <c r="BB329" i="1" s="1"/>
  <c r="BC329" i="1" s="1"/>
  <c r="N384" i="1"/>
  <c r="N224" i="1"/>
  <c r="N439" i="1"/>
  <c r="N317" i="1"/>
  <c r="BB18" i="1" s="1"/>
  <c r="BC18" i="1" s="1"/>
  <c r="N19" i="1"/>
  <c r="N432" i="1"/>
  <c r="BB94" i="1" s="1"/>
  <c r="BC94" i="1" s="1"/>
  <c r="N283" i="1"/>
  <c r="N340" i="1"/>
  <c r="N173" i="1"/>
  <c r="BB119" i="1" s="1"/>
  <c r="BC119" i="1" s="1"/>
  <c r="N430" i="1"/>
  <c r="N196" i="1"/>
  <c r="N128" i="1"/>
  <c r="N129" i="1"/>
  <c r="N170" i="1"/>
  <c r="BB170" i="1" s="1"/>
  <c r="BC170" i="1" s="1"/>
  <c r="N217" i="1"/>
  <c r="N330" i="1"/>
  <c r="N462" i="1"/>
  <c r="N385" i="1"/>
  <c r="BB346" i="1" s="1"/>
  <c r="BC346" i="1" s="1"/>
  <c r="N437" i="1"/>
  <c r="N89" i="1"/>
  <c r="BB355" i="1" s="1"/>
  <c r="BC355" i="1" s="1"/>
  <c r="N151" i="1"/>
  <c r="N503" i="1"/>
  <c r="BB318" i="1" s="1"/>
  <c r="BC318" i="1" s="1"/>
  <c r="N161" i="1"/>
  <c r="N441" i="1"/>
  <c r="N153" i="1"/>
  <c r="N314" i="1"/>
  <c r="N111" i="1"/>
  <c r="N407" i="1"/>
  <c r="N65" i="1"/>
  <c r="N150" i="1"/>
  <c r="N459" i="1"/>
  <c r="N125" i="1"/>
  <c r="N133" i="1"/>
  <c r="N188" i="1"/>
  <c r="BB444" i="1" s="1"/>
  <c r="BC444" i="1" s="1"/>
  <c r="N158" i="1"/>
  <c r="N244" i="1"/>
  <c r="N93" i="1"/>
  <c r="N349" i="1"/>
  <c r="BB36" i="1" s="1"/>
  <c r="BC36" i="1" s="1"/>
  <c r="N351" i="1"/>
  <c r="N487" i="1"/>
  <c r="N395" i="1"/>
  <c r="N38" i="1"/>
  <c r="BB380" i="1" s="1"/>
  <c r="BC380" i="1" s="1"/>
  <c r="N34" i="1"/>
  <c r="BB482" i="1" s="1"/>
  <c r="BC482" i="1" s="1"/>
  <c r="N433" i="1"/>
  <c r="BB433" i="1" s="1"/>
  <c r="BC433" i="1" s="1"/>
  <c r="N156" i="1"/>
  <c r="N50" i="1"/>
  <c r="N415" i="1"/>
  <c r="N497" i="1"/>
  <c r="N246" i="1"/>
  <c r="N251" i="1"/>
  <c r="N184" i="1"/>
  <c r="N326" i="1"/>
  <c r="N339" i="1"/>
  <c r="BB403" i="1" s="1"/>
  <c r="BC403" i="1" s="1"/>
  <c r="N75" i="1"/>
  <c r="CY505" i="1"/>
  <c r="N83" i="2" s="1"/>
  <c r="CX505" i="1"/>
  <c r="L83" i="2" s="1"/>
  <c r="CW505" i="1"/>
  <c r="J83" i="2" s="1"/>
  <c r="CV505" i="1"/>
  <c r="H83" i="2" s="1"/>
  <c r="CU505" i="1"/>
  <c r="CT505" i="1"/>
  <c r="CS505" i="1"/>
  <c r="T78" i="2" s="1"/>
  <c r="CR505" i="1"/>
  <c r="R78" i="2" s="1"/>
  <c r="CQ505" i="1"/>
  <c r="P78" i="2" s="1"/>
  <c r="CP505" i="1"/>
  <c r="N78" i="2" s="1"/>
  <c r="CO505" i="1"/>
  <c r="L78" i="2" s="1"/>
  <c r="CN505" i="1"/>
  <c r="J78" i="2" s="1"/>
  <c r="CM505" i="1"/>
  <c r="H78" i="2" s="1"/>
  <c r="CL505" i="1"/>
  <c r="F78" i="2" s="1"/>
  <c r="CK505" i="1"/>
  <c r="D78" i="2" s="1"/>
  <c r="CJ505" i="1"/>
  <c r="V73" i="2" s="1"/>
  <c r="CI505" i="1"/>
  <c r="T73" i="2" s="1"/>
  <c r="CH505" i="1"/>
  <c r="R73" i="2" s="1"/>
  <c r="CG505" i="1"/>
  <c r="P73" i="2" s="1"/>
  <c r="CF505" i="1"/>
  <c r="N73" i="2" s="1"/>
  <c r="CE505" i="1"/>
  <c r="L73" i="2" s="1"/>
  <c r="CD505" i="1"/>
  <c r="J73" i="2" s="1"/>
  <c r="CC505" i="1"/>
  <c r="H73" i="2" s="1"/>
  <c r="CB505" i="1"/>
  <c r="F73" i="2" s="1"/>
  <c r="CA505" i="1"/>
  <c r="D73" i="2" s="1"/>
  <c r="BZ505" i="1"/>
  <c r="V68" i="2" s="1"/>
  <c r="BY505" i="1"/>
  <c r="T68" i="2" s="1"/>
  <c r="BX505" i="1"/>
  <c r="R68" i="2" s="1"/>
  <c r="BW505" i="1"/>
  <c r="P68" i="2" s="1"/>
  <c r="BV505" i="1"/>
  <c r="N68" i="2" s="1"/>
  <c r="BU505" i="1"/>
  <c r="L68" i="2" s="1"/>
  <c r="BT505" i="1"/>
  <c r="J68" i="2" s="1"/>
  <c r="BS505" i="1"/>
  <c r="H68" i="2" s="1"/>
  <c r="BR505" i="1"/>
  <c r="F68" i="2" s="1"/>
  <c r="BQ505" i="1"/>
  <c r="D68" i="2" s="1"/>
  <c r="BP505" i="1"/>
  <c r="V63" i="2" s="1"/>
  <c r="BO505" i="1"/>
  <c r="T63" i="2" s="1"/>
  <c r="BN505" i="1"/>
  <c r="R63" i="2" s="1"/>
  <c r="BM505" i="1"/>
  <c r="P63" i="2" s="1"/>
  <c r="BL505" i="1"/>
  <c r="N63" i="2" s="1"/>
  <c r="BK505" i="1"/>
  <c r="L63" i="2" s="1"/>
  <c r="BJ505" i="1"/>
  <c r="J63" i="2" s="1"/>
  <c r="BI505" i="1"/>
  <c r="H63" i="2" s="1"/>
  <c r="BH505" i="1"/>
  <c r="F63" i="2" s="1"/>
  <c r="BG505" i="1"/>
  <c r="D63" i="2" s="1"/>
  <c r="P89" i="1"/>
  <c r="P289" i="1"/>
  <c r="P124" i="1"/>
  <c r="P17" i="1"/>
  <c r="P310" i="1"/>
  <c r="T310" i="1" s="1"/>
  <c r="P473" i="1"/>
  <c r="P139" i="1"/>
  <c r="P64" i="1"/>
  <c r="P23" i="1"/>
  <c r="P86" i="1"/>
  <c r="P389" i="1"/>
  <c r="P146" i="1"/>
  <c r="T146" i="1" s="1"/>
  <c r="P505" i="1"/>
  <c r="T505" i="1" s="1"/>
  <c r="P418" i="1"/>
  <c r="P373" i="1"/>
  <c r="P15" i="1"/>
  <c r="P372" i="1"/>
  <c r="P263" i="1"/>
  <c r="P160" i="1"/>
  <c r="T160" i="1" s="1"/>
  <c r="P5" i="1"/>
  <c r="P239" i="1"/>
  <c r="P326" i="1"/>
  <c r="P483" i="1"/>
  <c r="P398" i="1"/>
  <c r="P76" i="1"/>
  <c r="S122" i="1"/>
  <c r="P439" i="1"/>
  <c r="P338" i="1"/>
  <c r="T338" i="1" s="1"/>
  <c r="P468" i="1"/>
  <c r="P502" i="1"/>
  <c r="P349" i="1"/>
  <c r="P487" i="1"/>
  <c r="P293" i="1"/>
  <c r="P157" i="1"/>
  <c r="P216" i="1"/>
  <c r="P440" i="1"/>
  <c r="P452" i="1"/>
  <c r="P394" i="1"/>
  <c r="P248" i="1"/>
  <c r="T248" i="1" s="1"/>
  <c r="P53" i="1"/>
  <c r="P141" i="1"/>
  <c r="P382" i="1"/>
  <c r="T382" i="1" s="1"/>
  <c r="P193" i="1"/>
  <c r="P387" i="1"/>
  <c r="T387" i="1" s="1"/>
  <c r="P30" i="1"/>
  <c r="P277" i="1"/>
  <c r="P95" i="1"/>
  <c r="P186" i="1"/>
  <c r="P181" i="1"/>
  <c r="P464" i="1"/>
  <c r="P482" i="1"/>
  <c r="T482" i="1" s="1"/>
  <c r="P200" i="1"/>
  <c r="T200" i="1" s="1"/>
  <c r="P175" i="1"/>
  <c r="P9" i="1"/>
  <c r="P309" i="1"/>
  <c r="P366" i="1"/>
  <c r="T366" i="1" s="1"/>
  <c r="P93" i="1"/>
  <c r="P132" i="1"/>
  <c r="P330" i="1"/>
  <c r="P240" i="1"/>
  <c r="T240" i="1" s="1"/>
  <c r="P486" i="1"/>
  <c r="T486" i="1" s="1"/>
  <c r="P135" i="1"/>
  <c r="P27" i="1"/>
  <c r="P476" i="1"/>
  <c r="P488" i="1"/>
  <c r="P255" i="1"/>
  <c r="P115" i="1"/>
  <c r="T115" i="1" s="1"/>
  <c r="P314" i="1"/>
  <c r="P20" i="1"/>
  <c r="P374" i="1"/>
  <c r="P67" i="1"/>
  <c r="P462" i="1"/>
  <c r="P453" i="1"/>
  <c r="P294" i="1"/>
  <c r="P131" i="1"/>
  <c r="T131" i="1" s="1"/>
  <c r="P501" i="1"/>
  <c r="P71" i="1"/>
  <c r="P156" i="1"/>
  <c r="P348" i="1"/>
  <c r="T348" i="1" s="1"/>
  <c r="P208" i="1"/>
  <c r="P392" i="1"/>
  <c r="P491" i="1"/>
  <c r="P369" i="1"/>
  <c r="P245" i="1"/>
  <c r="P497" i="1"/>
  <c r="P130" i="1"/>
  <c r="P307" i="1"/>
  <c r="P393" i="1"/>
  <c r="P329" i="1"/>
  <c r="T329" i="1" s="1"/>
  <c r="P168" i="1"/>
  <c r="P318" i="1"/>
  <c r="T318" i="1" s="1"/>
  <c r="P37" i="1"/>
  <c r="P128" i="1"/>
  <c r="P405" i="1"/>
  <c r="P420" i="1"/>
  <c r="P114" i="1"/>
  <c r="P297" i="1"/>
  <c r="T297" i="1" s="1"/>
  <c r="P123" i="1"/>
  <c r="T123" i="1" s="1"/>
  <c r="P212" i="1"/>
  <c r="P500" i="1"/>
  <c r="P153" i="1"/>
  <c r="P155" i="1"/>
  <c r="S292" i="1"/>
  <c r="P85" i="1"/>
  <c r="P238" i="1"/>
  <c r="P199" i="1"/>
  <c r="P302" i="1"/>
  <c r="T302" i="1" s="1"/>
  <c r="P498" i="1"/>
  <c r="P358" i="1"/>
  <c r="P179" i="1"/>
  <c r="T179" i="1" s="1"/>
  <c r="P344" i="1"/>
  <c r="T344" i="1" s="1"/>
  <c r="P434" i="1"/>
  <c r="P41" i="1"/>
  <c r="P443" i="1"/>
  <c r="P110" i="1"/>
  <c r="S360" i="1"/>
  <c r="P412" i="1"/>
  <c r="P171" i="1"/>
  <c r="P12" i="1"/>
  <c r="P285" i="1"/>
  <c r="P230" i="1"/>
  <c r="P6" i="1"/>
  <c r="T6" i="1" s="1"/>
  <c r="P125" i="1"/>
  <c r="P98" i="1"/>
  <c r="P43" i="1"/>
  <c r="P180" i="1"/>
  <c r="S269" i="1"/>
  <c r="P427" i="1"/>
  <c r="P461" i="1"/>
  <c r="P8" i="1"/>
  <c r="P467" i="1"/>
  <c r="P370" i="1"/>
  <c r="P346" i="1"/>
  <c r="T346" i="1" s="1"/>
  <c r="P410" i="1"/>
  <c r="P97" i="1"/>
  <c r="T97" i="1" s="1"/>
  <c r="P109" i="1"/>
  <c r="T109" i="1" s="1"/>
  <c r="P189" i="1"/>
  <c r="S58" i="1"/>
  <c r="P290" i="1"/>
  <c r="T290" i="1" s="1"/>
  <c r="P45" i="1"/>
  <c r="T45" i="1" s="1"/>
  <c r="P433" i="1"/>
  <c r="P291" i="1"/>
  <c r="T291" i="1" s="1"/>
  <c r="P282" i="1"/>
  <c r="T282" i="1" s="1"/>
  <c r="P91" i="1"/>
  <c r="P281" i="1"/>
  <c r="P94" i="1"/>
  <c r="T94" i="1" s="1"/>
  <c r="P137" i="1"/>
  <c r="T137" i="1" s="1"/>
  <c r="P243" i="1"/>
  <c r="T243" i="1" s="1"/>
  <c r="P108" i="1"/>
  <c r="P323" i="1"/>
  <c r="T323" i="1" s="1"/>
  <c r="P351" i="1"/>
  <c r="P205" i="1"/>
  <c r="P435" i="1"/>
  <c r="P416" i="1"/>
  <c r="P424" i="1"/>
  <c r="P304" i="1"/>
  <c r="P459" i="1"/>
  <c r="P465" i="1"/>
  <c r="P504" i="1"/>
  <c r="P40" i="1"/>
  <c r="T40" i="1" s="1"/>
  <c r="P105" i="1"/>
  <c r="T105" i="1" s="1"/>
  <c r="P121" i="1"/>
  <c r="P320" i="1"/>
  <c r="P357" i="1"/>
  <c r="P260" i="1"/>
  <c r="T260" i="1" s="1"/>
  <c r="P319" i="1"/>
  <c r="P396" i="1"/>
  <c r="T396" i="1" s="1"/>
  <c r="P133" i="1"/>
  <c r="P311" i="1"/>
  <c r="P107" i="1"/>
  <c r="P198" i="1"/>
  <c r="P226" i="1"/>
  <c r="P237" i="1"/>
  <c r="P46" i="1"/>
  <c r="T46" i="1" s="1"/>
  <c r="P38" i="1"/>
  <c r="P210" i="1"/>
  <c r="P167" i="1"/>
  <c r="P194" i="1"/>
  <c r="P261" i="1"/>
  <c r="P493" i="1"/>
  <c r="P321" i="1"/>
  <c r="P79" i="1"/>
  <c r="P377" i="1"/>
  <c r="P228" i="1"/>
  <c r="P145" i="1"/>
  <c r="P59" i="1"/>
  <c r="P413" i="1"/>
  <c r="T413" i="1" s="1"/>
  <c r="P295" i="1"/>
  <c r="P149" i="1"/>
  <c r="P288" i="1"/>
  <c r="P422" i="1"/>
  <c r="P120" i="1"/>
  <c r="P100" i="1"/>
  <c r="P117" i="1"/>
  <c r="P406" i="1"/>
  <c r="T406" i="1" s="1"/>
  <c r="P221" i="1"/>
  <c r="T221" i="1" s="1"/>
  <c r="P42" i="1"/>
  <c r="P72" i="1"/>
  <c r="P21" i="1"/>
  <c r="P339" i="1"/>
  <c r="P247" i="1"/>
  <c r="P312" i="1"/>
  <c r="T312" i="1" s="1"/>
  <c r="P224" i="1"/>
  <c r="P395" i="1"/>
  <c r="P140" i="1"/>
  <c r="P256" i="1"/>
  <c r="T256" i="1" s="1"/>
  <c r="P65" i="1"/>
  <c r="P333" i="1"/>
  <c r="P7" i="1"/>
  <c r="P118" i="1"/>
  <c r="T118" i="1" s="1"/>
  <c r="P51" i="1"/>
  <c r="P164" i="1"/>
  <c r="P400" i="1"/>
  <c r="P229" i="1"/>
  <c r="P129" i="1"/>
  <c r="P363" i="1"/>
  <c r="T363" i="1" s="1"/>
  <c r="P29" i="1"/>
  <c r="P136" i="1"/>
  <c r="P328" i="1"/>
  <c r="P273" i="1"/>
  <c r="P419" i="1"/>
  <c r="P455" i="1"/>
  <c r="S446" i="1"/>
  <c r="P376" i="1"/>
  <c r="P315" i="1"/>
  <c r="T315" i="1" s="1"/>
  <c r="P466" i="1"/>
  <c r="T466" i="1" s="1"/>
  <c r="S88" i="1"/>
  <c r="P14" i="1"/>
  <c r="P442" i="1"/>
  <c r="P161" i="1"/>
  <c r="P270" i="1"/>
  <c r="P252" i="1"/>
  <c r="P305" i="1"/>
  <c r="T305" i="1" s="1"/>
  <c r="P116" i="1"/>
  <c r="P306" i="1"/>
  <c r="T306" i="1" s="1"/>
  <c r="P183" i="1"/>
  <c r="T183" i="1" s="1"/>
  <c r="P471" i="1"/>
  <c r="P316" i="1"/>
  <c r="P169" i="1"/>
  <c r="P478" i="1"/>
  <c r="P103" i="1"/>
  <c r="P458" i="1"/>
  <c r="T458" i="1" s="1"/>
  <c r="P77" i="1"/>
  <c r="P303" i="1"/>
  <c r="P241" i="1"/>
  <c r="P234" i="1"/>
  <c r="P345" i="1"/>
  <c r="P148" i="1"/>
  <c r="T148" i="1" s="1"/>
  <c r="P421" i="1"/>
  <c r="P74" i="1"/>
  <c r="P207" i="1"/>
  <c r="S87" i="1"/>
  <c r="P359" i="1"/>
  <c r="T359" i="1" s="1"/>
  <c r="P150" i="1"/>
  <c r="P190" i="1"/>
  <c r="P213" i="1"/>
  <c r="T213" i="1" s="1"/>
  <c r="P104" i="1"/>
  <c r="P154" i="1"/>
  <c r="P266" i="1"/>
  <c r="P317" i="1"/>
  <c r="P492" i="1"/>
  <c r="P70" i="1"/>
  <c r="P335" i="1"/>
  <c r="P84" i="1"/>
  <c r="P388" i="1"/>
  <c r="T388" i="1" s="1"/>
  <c r="P340" i="1"/>
  <c r="P450" i="1"/>
  <c r="P438" i="1"/>
  <c r="P415" i="1"/>
  <c r="S336" i="1"/>
  <c r="P197" i="1"/>
  <c r="P163" i="1"/>
  <c r="P403" i="1"/>
  <c r="T403" i="1" s="1"/>
  <c r="P47" i="1"/>
  <c r="P177" i="1"/>
  <c r="P201" i="1"/>
  <c r="P96" i="1"/>
  <c r="P353" i="1"/>
  <c r="P264" i="1"/>
  <c r="T264" i="1" s="1"/>
  <c r="P475" i="1"/>
  <c r="T475" i="1" s="1"/>
  <c r="P429" i="1"/>
  <c r="P191" i="1"/>
  <c r="T191" i="1" s="1"/>
  <c r="P225" i="1"/>
  <c r="P170" i="1"/>
  <c r="P407" i="1"/>
  <c r="P101" i="1"/>
  <c r="P152" i="1"/>
  <c r="P278" i="1"/>
  <c r="P381" i="1"/>
  <c r="P144" i="1"/>
  <c r="P165" i="1"/>
  <c r="T165" i="1" s="1"/>
  <c r="P391" i="1"/>
  <c r="P274" i="1"/>
  <c r="T274" i="1" s="1"/>
  <c r="P19" i="1"/>
  <c r="P166" i="1"/>
  <c r="T166" i="1" s="1"/>
  <c r="P151" i="1"/>
  <c r="P379" i="1"/>
  <c r="T379" i="1" s="1"/>
  <c r="P13" i="1"/>
  <c r="T13" i="1" s="1"/>
  <c r="P371" i="1"/>
  <c r="P162" i="1"/>
  <c r="P356" i="1"/>
  <c r="T356" i="1" s="1"/>
  <c r="P454" i="1"/>
  <c r="P66" i="1"/>
  <c r="P331" i="1"/>
  <c r="P32" i="1"/>
  <c r="T32" i="1" s="1"/>
  <c r="P49" i="1"/>
  <c r="T49" i="1" s="1"/>
  <c r="P425" i="1"/>
  <c r="T425" i="1" s="1"/>
  <c r="P386" i="1"/>
  <c r="P232" i="1"/>
  <c r="P182" i="1"/>
  <c r="T182" i="1" s="1"/>
  <c r="P287" i="1"/>
  <c r="P249" i="1"/>
  <c r="P83" i="1"/>
  <c r="P31" i="1"/>
  <c r="P272" i="1"/>
  <c r="P496" i="1"/>
  <c r="T496" i="1" s="1"/>
  <c r="P251" i="1"/>
  <c r="P342" i="1"/>
  <c r="P378" i="1"/>
  <c r="P57" i="1"/>
  <c r="T57" i="1" s="1"/>
  <c r="P218" i="1"/>
  <c r="P211" i="1"/>
  <c r="T211" i="1" s="1"/>
  <c r="P55" i="1"/>
  <c r="P364" i="1"/>
  <c r="P253" i="1"/>
  <c r="T253" i="1" s="1"/>
  <c r="P244" i="1"/>
  <c r="P174" i="1"/>
  <c r="T174" i="1" s="1"/>
  <c r="P265" i="1"/>
  <c r="P119" i="1"/>
  <c r="T119" i="1" s="1"/>
  <c r="P299" i="1"/>
  <c r="P202" i="1"/>
  <c r="T202" i="1" s="1"/>
  <c r="P334" i="1"/>
  <c r="P99" i="1"/>
  <c r="T99" i="1" s="1"/>
  <c r="P397" i="1"/>
  <c r="P380" i="1"/>
  <c r="T380" i="1" s="1"/>
  <c r="P268" i="1"/>
  <c r="P50" i="1"/>
  <c r="P361" i="1"/>
  <c r="P296" i="1"/>
  <c r="T296" i="1" s="1"/>
  <c r="P106" i="1"/>
  <c r="P477" i="1"/>
  <c r="P350" i="1"/>
  <c r="T350" i="1" s="1"/>
  <c r="P36" i="1"/>
  <c r="T36" i="1" s="1"/>
  <c r="P33" i="1"/>
  <c r="P352" i="1"/>
  <c r="T352" i="1" s="1"/>
  <c r="P10" i="1"/>
  <c r="P490" i="1"/>
  <c r="P18" i="1"/>
  <c r="T18" i="1" s="1"/>
  <c r="P343" i="1"/>
  <c r="P143" i="1"/>
  <c r="P431" i="1"/>
  <c r="P324" i="1"/>
  <c r="P463" i="1"/>
  <c r="P204" i="1"/>
  <c r="P337" i="1"/>
  <c r="P368" i="1"/>
  <c r="P214" i="1"/>
  <c r="P283" i="1"/>
  <c r="P172" i="1"/>
  <c r="P246" i="1"/>
  <c r="P457" i="1"/>
  <c r="T457" i="1" s="1"/>
  <c r="P138" i="1"/>
  <c r="T138" i="1" s="1"/>
  <c r="P423" i="1"/>
  <c r="P484" i="1"/>
  <c r="P430" i="1"/>
  <c r="P196" i="1"/>
  <c r="P367" i="1"/>
  <c r="P217" i="1"/>
  <c r="P401" i="1"/>
  <c r="P62" i="1"/>
  <c r="P276" i="1"/>
  <c r="P390" i="1"/>
  <c r="P426" i="1"/>
  <c r="P187" i="1"/>
  <c r="T187" i="1" s="1"/>
  <c r="P195" i="1"/>
  <c r="P112" i="1"/>
  <c r="P385" i="1"/>
  <c r="P26" i="1"/>
  <c r="P355" i="1"/>
  <c r="T355" i="1" s="1"/>
  <c r="P35" i="1"/>
  <c r="T35" i="1" s="1"/>
  <c r="P445" i="1"/>
  <c r="P332" i="1"/>
  <c r="P300" i="1"/>
  <c r="P254" i="1"/>
  <c r="T254" i="1" s="1"/>
  <c r="P11" i="1"/>
  <c r="T11" i="1" s="1"/>
  <c r="P69" i="1"/>
  <c r="P451" i="1"/>
  <c r="T451" i="1" s="1"/>
  <c r="P220" i="1"/>
  <c r="T220" i="1" s="1"/>
  <c r="P437" i="1"/>
  <c r="P81" i="1"/>
  <c r="P52" i="1"/>
  <c r="T52" i="1" s="1"/>
  <c r="P469" i="1"/>
  <c r="P92" i="1"/>
  <c r="P298" i="1"/>
  <c r="P411" i="1"/>
  <c r="P495" i="1"/>
  <c r="P68" i="1"/>
  <c r="P432" i="1"/>
  <c r="P233" i="1"/>
  <c r="P494" i="1"/>
  <c r="P188" i="1"/>
  <c r="P436" i="1"/>
  <c r="T436" i="1" s="1"/>
  <c r="P236" i="1"/>
  <c r="P284" i="1"/>
  <c r="P54" i="1"/>
  <c r="P489" i="1"/>
  <c r="P28" i="1"/>
  <c r="P90" i="1"/>
  <c r="P142" i="1"/>
  <c r="P102" i="1"/>
  <c r="T102" i="1" s="1"/>
  <c r="P449" i="1"/>
  <c r="T449" i="1" s="1"/>
  <c r="P176" i="1"/>
  <c r="P399" i="1"/>
  <c r="T399" i="1" s="1"/>
  <c r="P219" i="1"/>
  <c r="P61" i="1"/>
  <c r="P73" i="1"/>
  <c r="P479" i="1"/>
  <c r="P223" i="1"/>
  <c r="P354" i="1"/>
  <c r="T354" i="1" s="1"/>
  <c r="P375" i="1"/>
  <c r="P383" i="1"/>
  <c r="P158" i="1"/>
  <c r="P127" i="1"/>
  <c r="P258" i="1"/>
  <c r="P325" i="1"/>
  <c r="P365" i="1"/>
  <c r="P460" i="1"/>
  <c r="P275" i="1"/>
  <c r="P417" i="1"/>
  <c r="T417" i="1" s="1"/>
  <c r="P267" i="1"/>
  <c r="T267" i="1" s="1"/>
  <c r="P262" i="1"/>
  <c r="P184" i="1"/>
  <c r="P34" i="1"/>
  <c r="P279" i="1"/>
  <c r="P56" i="1"/>
  <c r="T56" i="1" s="1"/>
  <c r="P470" i="1"/>
  <c r="P472" i="1"/>
  <c r="P192" i="1"/>
  <c r="T192" i="1" s="1"/>
  <c r="P444" i="1"/>
  <c r="T444" i="1" s="1"/>
  <c r="P147" i="1"/>
  <c r="P428" i="1"/>
  <c r="T428" i="1" s="1"/>
  <c r="P408" i="1"/>
  <c r="T408" i="1" s="1"/>
  <c r="P271" i="1"/>
  <c r="P322" i="1"/>
  <c r="P227" i="1"/>
  <c r="P185" i="1"/>
  <c r="P16" i="1"/>
  <c r="P242" i="1"/>
  <c r="P63" i="1"/>
  <c r="P203" i="1"/>
  <c r="P78" i="1"/>
  <c r="P250" i="1"/>
  <c r="P402" i="1"/>
  <c r="P173" i="1"/>
  <c r="P480" i="1"/>
  <c r="P235" i="1"/>
  <c r="P384" i="1"/>
  <c r="P80" i="1"/>
  <c r="P159" i="1"/>
  <c r="P409" i="1"/>
  <c r="T409" i="1" s="1"/>
  <c r="P44" i="1"/>
  <c r="P474" i="1"/>
  <c r="P111" i="1"/>
  <c r="P280" i="1"/>
  <c r="P456" i="1"/>
  <c r="P113" i="1"/>
  <c r="P448" i="1"/>
  <c r="P404" i="1"/>
  <c r="P215" i="1"/>
  <c r="P222" i="1"/>
  <c r="P301" i="1"/>
  <c r="P286" i="1"/>
  <c r="P231" i="1"/>
  <c r="T231" i="1" s="1"/>
  <c r="P48" i="1"/>
  <c r="T48" i="1" s="1"/>
  <c r="P75" i="1"/>
  <c r="AT5" i="1"/>
  <c r="T12" i="2" s="1"/>
  <c r="AS5" i="1"/>
  <c r="R12" i="2" s="1"/>
  <c r="AR5" i="1"/>
  <c r="V12" i="2" s="1"/>
  <c r="AQ5" i="1"/>
  <c r="N12" i="2" s="1"/>
  <c r="S8" i="1"/>
  <c r="S204" i="1"/>
  <c r="AP5" i="1"/>
  <c r="L12" i="2" s="1"/>
  <c r="S337" i="1"/>
  <c r="S334" i="1"/>
  <c r="S324" i="1"/>
  <c r="S368" i="1"/>
  <c r="S283" i="1"/>
  <c r="S439" i="1"/>
  <c r="S293" i="1"/>
  <c r="S70" i="1"/>
  <c r="S172" i="1"/>
  <c r="S201" i="1"/>
  <c r="S317" i="1"/>
  <c r="S339" i="1"/>
  <c r="S83" i="1"/>
  <c r="S253" i="1"/>
  <c r="S214" i="1"/>
  <c r="S463" i="1"/>
  <c r="S84" i="1"/>
  <c r="S246" i="1"/>
  <c r="S349" i="1"/>
  <c r="S431" i="1"/>
  <c r="S468" i="1"/>
  <c r="S432" i="1"/>
  <c r="S502" i="1"/>
  <c r="S146" i="1"/>
  <c r="S497" i="1"/>
  <c r="S331" i="1"/>
  <c r="S157" i="1"/>
  <c r="S291" i="1"/>
  <c r="S189" i="1"/>
  <c r="S59" i="1"/>
  <c r="S94" i="1"/>
  <c r="S433" i="1"/>
  <c r="S393" i="1"/>
  <c r="S74" i="1"/>
  <c r="S371" i="1"/>
  <c r="S353" i="1"/>
  <c r="S479" i="1"/>
  <c r="S80" i="1"/>
  <c r="S410" i="1"/>
  <c r="S159" i="1"/>
  <c r="S290" i="1"/>
  <c r="P58" i="1"/>
  <c r="S24" i="1"/>
  <c r="S102" i="1"/>
  <c r="S238" i="1"/>
  <c r="S152" i="1"/>
  <c r="S399" i="1"/>
  <c r="S19" i="1"/>
  <c r="S44" i="1"/>
  <c r="S142" i="1"/>
  <c r="S282" i="1"/>
  <c r="S308" i="1"/>
  <c r="S137" i="1"/>
  <c r="S243" i="1"/>
  <c r="S175" i="1"/>
  <c r="P446" i="1"/>
  <c r="S219" i="1"/>
  <c r="S280" i="1"/>
  <c r="S61" i="1"/>
  <c r="S176" i="1"/>
  <c r="P269" i="1"/>
  <c r="S342" i="1"/>
  <c r="S72" i="1"/>
  <c r="S100" i="1"/>
  <c r="S335" i="1"/>
  <c r="S28" i="1"/>
  <c r="S414" i="1"/>
  <c r="S63" i="1"/>
  <c r="S333" i="1"/>
  <c r="S86" i="1"/>
  <c r="S90" i="1"/>
  <c r="S235" i="1"/>
  <c r="S256" i="1"/>
  <c r="S221" i="1"/>
  <c r="S312" i="1"/>
  <c r="S458" i="1"/>
  <c r="S449" i="1"/>
  <c r="S406" i="1"/>
  <c r="S65" i="1"/>
  <c r="P24" i="1"/>
  <c r="T24" i="1" s="1"/>
  <c r="S17" i="1"/>
  <c r="S181" i="1"/>
  <c r="S91" i="1"/>
  <c r="S32" i="1"/>
  <c r="S54" i="1"/>
  <c r="S158" i="1"/>
  <c r="S6" i="1"/>
  <c r="S413" i="1"/>
  <c r="S117" i="1"/>
  <c r="S21" i="1"/>
  <c r="S42" i="1"/>
  <c r="S421" i="1"/>
  <c r="S405" i="1"/>
  <c r="S448" i="1"/>
  <c r="S338" i="1"/>
  <c r="S73" i="1"/>
  <c r="S250" i="1"/>
  <c r="S284" i="1"/>
  <c r="S190" i="1"/>
  <c r="S279" i="1"/>
  <c r="S108" i="1"/>
  <c r="S273" i="1"/>
  <c r="S467" i="1"/>
  <c r="S98" i="1"/>
  <c r="S379" i="1"/>
  <c r="S377" i="1"/>
  <c r="S23" i="1"/>
  <c r="S207" i="1"/>
  <c r="S361" i="1"/>
  <c r="S501" i="1"/>
  <c r="S281" i="1"/>
  <c r="S474" i="1"/>
  <c r="S309" i="1"/>
  <c r="S489" i="1"/>
  <c r="S104" i="1"/>
  <c r="S97" i="1"/>
  <c r="S154" i="1"/>
  <c r="S389" i="1"/>
  <c r="S492" i="1"/>
  <c r="S266" i="1"/>
  <c r="S162" i="1"/>
  <c r="S166" i="1"/>
  <c r="S469" i="1"/>
  <c r="S356" i="1"/>
  <c r="S380" i="1"/>
  <c r="S135" i="1"/>
  <c r="S244" i="1"/>
  <c r="S286" i="1"/>
  <c r="S307" i="1"/>
  <c r="S427" i="1"/>
  <c r="S404" i="1"/>
  <c r="S163" i="1"/>
  <c r="S124" i="1"/>
  <c r="S5" i="1"/>
  <c r="S252" i="1"/>
  <c r="S483" i="1"/>
  <c r="S215" i="1"/>
  <c r="S200" i="1"/>
  <c r="S408" i="1"/>
  <c r="S118" i="1"/>
  <c r="S263" i="1"/>
  <c r="S326" i="1"/>
  <c r="S450" i="1"/>
  <c r="S437" i="1"/>
  <c r="S301" i="1"/>
  <c r="S482" i="1"/>
  <c r="S150" i="1"/>
  <c r="S185" i="1"/>
  <c r="S188" i="1"/>
  <c r="S487" i="1"/>
  <c r="S340" i="1"/>
  <c r="S130" i="1"/>
  <c r="S66" i="1"/>
  <c r="S13" i="1"/>
  <c r="S222" i="1"/>
  <c r="S346" i="1"/>
  <c r="S422" i="1"/>
  <c r="S415" i="1"/>
  <c r="S39" i="1"/>
  <c r="S116" i="1"/>
  <c r="S30" i="1"/>
  <c r="S416" i="1"/>
  <c r="S7" i="1"/>
  <c r="S315" i="1"/>
  <c r="S444" i="1"/>
  <c r="S38" i="1"/>
  <c r="S471" i="1"/>
  <c r="S391" i="1"/>
  <c r="S140" i="1"/>
  <c r="S93" i="1"/>
  <c r="S216" i="1"/>
  <c r="S223" i="1"/>
  <c r="S203" i="1"/>
  <c r="S271" i="1"/>
  <c r="S477" i="1"/>
  <c r="S454" i="1"/>
  <c r="S350" i="1"/>
  <c r="S95" i="1"/>
  <c r="S160" i="1"/>
  <c r="S397" i="1"/>
  <c r="S456" i="1"/>
  <c r="S106" i="1"/>
  <c r="S68" i="1"/>
  <c r="S505" i="1"/>
  <c r="S171" i="1"/>
  <c r="S52" i="1"/>
  <c r="S321" i="1"/>
  <c r="S143" i="1"/>
  <c r="S56" i="1"/>
  <c r="S296" i="1"/>
  <c r="S79" i="1"/>
  <c r="S343" i="1"/>
  <c r="S303" i="1"/>
  <c r="S36" i="1"/>
  <c r="S300" i="1"/>
  <c r="S220" i="1"/>
  <c r="S267" i="1"/>
  <c r="S288" i="1"/>
  <c r="S109" i="1"/>
  <c r="S398" i="1"/>
  <c r="S211" i="1"/>
  <c r="S55" i="1"/>
  <c r="S490" i="1"/>
  <c r="P414" i="1"/>
  <c r="S177" i="1"/>
  <c r="S352" i="1"/>
  <c r="S375" i="1"/>
  <c r="S478" i="1"/>
  <c r="S141" i="1"/>
  <c r="S385" i="1"/>
  <c r="S306" i="1"/>
  <c r="S257" i="1"/>
  <c r="S455" i="1"/>
  <c r="S111" i="1"/>
  <c r="S470" i="1"/>
  <c r="S245" i="1"/>
  <c r="S151" i="1"/>
  <c r="S277" i="1"/>
  <c r="S213" i="1"/>
  <c r="S241" i="1"/>
  <c r="S294" i="1"/>
  <c r="S224" i="1"/>
  <c r="S11" i="1"/>
  <c r="S183" i="1"/>
  <c r="S128" i="1"/>
  <c r="S453" i="1"/>
  <c r="S496" i="1"/>
  <c r="S395" i="1"/>
  <c r="S149" i="1"/>
  <c r="S265" i="1"/>
  <c r="S145" i="1"/>
  <c r="S120" i="1"/>
  <c r="S403" i="1"/>
  <c r="S445" i="1"/>
  <c r="S15" i="1"/>
  <c r="S297" i="1"/>
  <c r="S295" i="1"/>
  <c r="S233" i="1"/>
  <c r="S388" i="1"/>
  <c r="S35" i="1"/>
  <c r="P122" i="1"/>
  <c r="S373" i="1"/>
  <c r="P308" i="1"/>
  <c r="T308" i="1" s="1"/>
  <c r="S115" i="1"/>
  <c r="S123" i="1"/>
  <c r="S402" i="1"/>
  <c r="S33" i="1"/>
  <c r="S247" i="1"/>
  <c r="S51" i="1"/>
  <c r="S18" i="1"/>
  <c r="S359" i="1"/>
  <c r="S133" i="1"/>
  <c r="S316" i="1"/>
  <c r="S169" i="1"/>
  <c r="S41" i="1"/>
  <c r="S229" i="1"/>
  <c r="S452" i="1"/>
  <c r="P87" i="1"/>
  <c r="S144" i="1"/>
  <c r="S500" i="1"/>
  <c r="S77" i="1"/>
  <c r="S76" i="1"/>
  <c r="S57" i="1"/>
  <c r="S287" i="1"/>
  <c r="S401" i="1"/>
  <c r="S466" i="1"/>
  <c r="S494" i="1"/>
  <c r="P360" i="1"/>
  <c r="S147" i="1"/>
  <c r="S330" i="1"/>
  <c r="P336" i="1"/>
  <c r="S161" i="1"/>
  <c r="P39" i="1"/>
  <c r="S153" i="1"/>
  <c r="S10" i="1"/>
  <c r="S372" i="1"/>
  <c r="S394" i="1"/>
  <c r="S155" i="1"/>
  <c r="S210" i="1"/>
  <c r="S113" i="1"/>
  <c r="S239" i="1"/>
  <c r="S491" i="1"/>
  <c r="S173" i="1"/>
  <c r="S53" i="1"/>
  <c r="S278" i="1"/>
  <c r="P257" i="1"/>
  <c r="T257" i="1" s="1"/>
  <c r="S442" i="1"/>
  <c r="S45" i="1"/>
  <c r="S218" i="1"/>
  <c r="S64" i="1"/>
  <c r="S37" i="1"/>
  <c r="S310" i="1"/>
  <c r="S89" i="1"/>
  <c r="S409" i="1"/>
  <c r="S378" i="1"/>
  <c r="S254" i="1"/>
  <c r="S364" i="1"/>
  <c r="S369" i="1"/>
  <c r="S464" i="1"/>
  <c r="S392" i="1"/>
  <c r="S436" i="1"/>
  <c r="S396" i="1"/>
  <c r="S14" i="1"/>
  <c r="S96" i="1"/>
  <c r="S412" i="1"/>
  <c r="S148" i="1"/>
  <c r="S289" i="1"/>
  <c r="S251" i="1"/>
  <c r="S9" i="1"/>
  <c r="S208" i="1"/>
  <c r="S110" i="1"/>
  <c r="S407" i="1"/>
  <c r="S260" i="1"/>
  <c r="S234" i="1"/>
  <c r="S299" i="1"/>
  <c r="S103" i="1"/>
  <c r="S461" i="1"/>
  <c r="S228" i="1"/>
  <c r="S46" i="1"/>
  <c r="S374" i="1"/>
  <c r="S199" i="1"/>
  <c r="S139" i="1"/>
  <c r="S322" i="1"/>
  <c r="S197" i="1"/>
  <c r="S384" i="1"/>
  <c r="S198" i="1"/>
  <c r="S168" i="1"/>
  <c r="S443" i="1"/>
  <c r="S480" i="1"/>
  <c r="S67" i="1"/>
  <c r="S438" i="1"/>
  <c r="S428" i="1"/>
  <c r="S138" i="1"/>
  <c r="S332" i="1"/>
  <c r="S423" i="1"/>
  <c r="P88" i="1"/>
  <c r="S304" i="1"/>
  <c r="S462" i="1"/>
  <c r="S101" i="1"/>
  <c r="S262" i="1"/>
  <c r="S121" i="1"/>
  <c r="S26" i="1"/>
  <c r="S174" i="1"/>
  <c r="S345" i="1"/>
  <c r="S202" i="1"/>
  <c r="S495" i="1"/>
  <c r="S261" i="1"/>
  <c r="S319" i="1"/>
  <c r="S237" i="1"/>
  <c r="S418" i="1"/>
  <c r="S370" i="1"/>
  <c r="S50" i="1"/>
  <c r="S236" i="1"/>
  <c r="S165" i="1"/>
  <c r="S60" i="1"/>
  <c r="S131" i="1"/>
  <c r="S274" i="1"/>
  <c r="S156" i="1"/>
  <c r="S311" i="1"/>
  <c r="S231" i="1"/>
  <c r="S268" i="1"/>
  <c r="S358" i="1"/>
  <c r="S429" i="1"/>
  <c r="S20" i="1"/>
  <c r="S191" i="1"/>
  <c r="S225" i="1"/>
  <c r="S424" i="1"/>
  <c r="S387" i="1"/>
  <c r="S383" i="1"/>
  <c r="S484" i="1"/>
  <c r="S486" i="1"/>
  <c r="S180" i="1"/>
  <c r="S85" i="1"/>
  <c r="S179" i="1"/>
  <c r="S357" i="1"/>
  <c r="S325" i="1"/>
  <c r="S212" i="1"/>
  <c r="S99" i="1"/>
  <c r="S451" i="1"/>
  <c r="S47" i="1"/>
  <c r="S192" i="1"/>
  <c r="S348" i="1"/>
  <c r="S242" i="1"/>
  <c r="S71" i="1"/>
  <c r="S227" i="1"/>
  <c r="P25" i="1"/>
  <c r="S25" i="1"/>
  <c r="P178" i="1"/>
  <c r="S178" i="1"/>
  <c r="P447" i="1"/>
  <c r="S447" i="1"/>
  <c r="P362" i="1"/>
  <c r="S362" i="1"/>
  <c r="P22" i="1"/>
  <c r="S22" i="1"/>
  <c r="P327" i="1"/>
  <c r="T327" i="1" s="1"/>
  <c r="S327" i="1"/>
  <c r="S390" i="1"/>
  <c r="P313" i="1"/>
  <c r="S313" i="1"/>
  <c r="P259" i="1"/>
  <c r="S259" i="1"/>
  <c r="S107" i="1"/>
  <c r="S43" i="1"/>
  <c r="S298" i="1"/>
  <c r="S92" i="1"/>
  <c r="S240" i="1"/>
  <c r="S441" i="1"/>
  <c r="P441" i="1"/>
  <c r="S119" i="1"/>
  <c r="S230" i="1"/>
  <c r="S78" i="1"/>
  <c r="S126" i="1"/>
  <c r="P126" i="1"/>
  <c r="S69" i="1"/>
  <c r="S136" i="1"/>
  <c r="S382" i="1"/>
  <c r="P134" i="1"/>
  <c r="T134" i="1" s="1"/>
  <c r="S134" i="1"/>
  <c r="S411" i="1"/>
  <c r="S305" i="1"/>
  <c r="S226" i="1"/>
  <c r="S186" i="1"/>
  <c r="S367" i="1"/>
  <c r="S354" i="1"/>
  <c r="S417" i="1"/>
  <c r="S187" i="1"/>
  <c r="S27" i="1"/>
  <c r="S498" i="1"/>
  <c r="S164" i="1"/>
  <c r="S366" i="1"/>
  <c r="S504" i="1"/>
  <c r="S258" i="1"/>
  <c r="S493" i="1"/>
  <c r="S365" i="1"/>
  <c r="S81" i="1"/>
  <c r="S363" i="1"/>
  <c r="S420" i="1"/>
  <c r="S499" i="1"/>
  <c r="P499" i="1"/>
  <c r="S488" i="1"/>
  <c r="P292" i="1"/>
  <c r="S16" i="1"/>
  <c r="S270" i="1"/>
  <c r="S167" i="1"/>
  <c r="S194" i="1"/>
  <c r="S285" i="1"/>
  <c r="S419" i="1"/>
  <c r="S434" i="1"/>
  <c r="S376" i="1"/>
  <c r="S29" i="1"/>
  <c r="S472" i="1"/>
  <c r="S112" i="1"/>
  <c r="S320" i="1"/>
  <c r="S255" i="1"/>
  <c r="S114" i="1"/>
  <c r="S344" i="1"/>
  <c r="S232" i="1"/>
  <c r="S400" i="1"/>
  <c r="S40" i="1"/>
  <c r="S125" i="1"/>
  <c r="P60" i="1"/>
  <c r="S381" i="1"/>
  <c r="S170" i="1"/>
  <c r="S473" i="1"/>
  <c r="S206" i="1"/>
  <c r="P206" i="1"/>
  <c r="P481" i="1"/>
  <c r="T481" i="1" s="1"/>
  <c r="S481" i="1"/>
  <c r="S12" i="1"/>
  <c r="P82" i="1"/>
  <c r="S82" i="1"/>
  <c r="S351" i="1"/>
  <c r="S430" i="1"/>
  <c r="S465" i="1"/>
  <c r="S314" i="1"/>
  <c r="S426" i="1"/>
  <c r="S440" i="1"/>
  <c r="S34" i="1"/>
  <c r="S195" i="1"/>
  <c r="P209" i="1"/>
  <c r="S209" i="1"/>
  <c r="P341" i="1"/>
  <c r="S341" i="1"/>
  <c r="P503" i="1"/>
  <c r="S503" i="1"/>
  <c r="P485" i="1"/>
  <c r="S485" i="1"/>
  <c r="S217" i="1"/>
  <c r="S328" i="1"/>
  <c r="S475" i="1"/>
  <c r="S318" i="1"/>
  <c r="S347" i="1"/>
  <c r="P347" i="1"/>
  <c r="S435" i="1"/>
  <c r="S105" i="1"/>
  <c r="S248" i="1"/>
  <c r="S272" i="1"/>
  <c r="S132" i="1"/>
  <c r="S476" i="1"/>
  <c r="S184" i="1"/>
  <c r="S276" i="1"/>
  <c r="S355" i="1"/>
  <c r="S249" i="1"/>
  <c r="S182" i="1"/>
  <c r="S127" i="1"/>
  <c r="S460" i="1"/>
  <c r="S62" i="1"/>
  <c r="S205" i="1"/>
  <c r="S386" i="1"/>
  <c r="S193" i="1"/>
  <c r="S196" i="1"/>
  <c r="S459" i="1"/>
  <c r="S129" i="1"/>
  <c r="S31" i="1"/>
  <c r="S275" i="1"/>
  <c r="S323" i="1"/>
  <c r="S302" i="1"/>
  <c r="S329" i="1"/>
  <c r="S49" i="1"/>
  <c r="S425" i="1"/>
  <c r="S457" i="1"/>
  <c r="S48" i="1"/>
  <c r="S264" i="1"/>
  <c r="S75" i="1"/>
  <c r="F83" i="2" l="1"/>
  <c r="V78" i="2"/>
  <c r="BB69" i="1"/>
  <c r="BC69" i="1" s="1"/>
  <c r="BB90" i="1"/>
  <c r="BC90" i="1" s="1"/>
  <c r="BB112" i="1"/>
  <c r="BC112" i="1" s="1"/>
  <c r="BB278" i="1"/>
  <c r="BC278" i="1" s="1"/>
  <c r="BB263" i="1"/>
  <c r="BC263" i="1" s="1"/>
  <c r="BB421" i="1"/>
  <c r="BC421" i="1" s="1"/>
  <c r="BB47" i="1"/>
  <c r="BC47" i="1" s="1"/>
  <c r="BB135" i="1"/>
  <c r="BC135" i="1" s="1"/>
  <c r="T242" i="1"/>
  <c r="U242" i="1" s="1"/>
  <c r="T84" i="1"/>
  <c r="U84" i="1" s="1"/>
  <c r="T205" i="1"/>
  <c r="U205" i="1" s="1"/>
  <c r="T470" i="1"/>
  <c r="U470" i="1" s="1"/>
  <c r="T495" i="1"/>
  <c r="U495" i="1" s="1"/>
  <c r="T391" i="1"/>
  <c r="U391" i="1" s="1"/>
  <c r="T164" i="1"/>
  <c r="U164" i="1" s="1"/>
  <c r="T17" i="1"/>
  <c r="AX17" i="1" s="1"/>
  <c r="BB448" i="1"/>
  <c r="BC448" i="1" s="1"/>
  <c r="T127" i="1"/>
  <c r="U127" i="1" s="1"/>
  <c r="BB293" i="1"/>
  <c r="BC293" i="1" s="1"/>
  <c r="BB206" i="1"/>
  <c r="BC206" i="1" s="1"/>
  <c r="BB420" i="1"/>
  <c r="BC420" i="1" s="1"/>
  <c r="T474" i="1"/>
  <c r="U474" i="1" s="1"/>
  <c r="T489" i="1"/>
  <c r="U489" i="1" s="1"/>
  <c r="T332" i="1"/>
  <c r="U332" i="1" s="1"/>
  <c r="T454" i="1"/>
  <c r="U454" i="1" s="1"/>
  <c r="T353" i="1"/>
  <c r="U353" i="1" s="1"/>
  <c r="T180" i="1"/>
  <c r="U180" i="1" s="1"/>
  <c r="T473" i="1"/>
  <c r="U473" i="1" s="1"/>
  <c r="BB242" i="1"/>
  <c r="BC242" i="1" s="1"/>
  <c r="BB209" i="1"/>
  <c r="BC209" i="1" s="1"/>
  <c r="AW4" i="1"/>
  <c r="H21" i="2" s="1"/>
  <c r="BB405" i="1"/>
  <c r="BC405" i="1" s="1"/>
  <c r="T111" i="1"/>
  <c r="DK111" i="1" s="1"/>
  <c r="T28" i="1"/>
  <c r="U28" i="1" s="1"/>
  <c r="T377" i="1"/>
  <c r="U377" i="1" s="1"/>
  <c r="T307" i="1"/>
  <c r="U307" i="1" s="1"/>
  <c r="AF5" i="1"/>
  <c r="D12" i="2" s="1"/>
  <c r="T236" i="1"/>
  <c r="U236" i="1" s="1"/>
  <c r="T424" i="1"/>
  <c r="U424" i="1" s="1"/>
  <c r="BB345" i="1"/>
  <c r="BC345" i="1" s="1"/>
  <c r="BB461" i="1"/>
  <c r="BC461" i="1" s="1"/>
  <c r="BB230" i="1"/>
  <c r="BC230" i="1" s="1"/>
  <c r="BB8" i="1"/>
  <c r="BC8" i="1" s="1"/>
  <c r="BB167" i="1"/>
  <c r="BC167" i="1" s="1"/>
  <c r="BB20" i="1"/>
  <c r="BC20" i="1" s="1"/>
  <c r="BB68" i="1"/>
  <c r="BC68" i="1" s="1"/>
  <c r="BB412" i="1"/>
  <c r="BC412" i="1" s="1"/>
  <c r="BB374" i="1"/>
  <c r="BC374" i="1" s="1"/>
  <c r="BB58" i="1"/>
  <c r="BC58" i="1" s="1"/>
  <c r="BB154" i="1"/>
  <c r="BC154" i="1" s="1"/>
  <c r="BB325" i="1"/>
  <c r="BC325" i="1" s="1"/>
  <c r="BB189" i="1"/>
  <c r="BC189" i="1" s="1"/>
  <c r="BB210" i="1"/>
  <c r="BC210" i="1" s="1"/>
  <c r="BB419" i="1"/>
  <c r="BC419" i="1" s="1"/>
  <c r="BB441" i="1"/>
  <c r="BC441" i="1" s="1"/>
  <c r="BB25" i="1"/>
  <c r="BC25" i="1" s="1"/>
  <c r="BB122" i="1"/>
  <c r="BC122" i="1" s="1"/>
  <c r="BB286" i="1"/>
  <c r="BC286" i="1" s="1"/>
  <c r="BB180" i="1"/>
  <c r="BC180" i="1" s="1"/>
  <c r="T446" i="1"/>
  <c r="AX446" i="1" s="1"/>
  <c r="BB27" i="1"/>
  <c r="BC27" i="1" s="1"/>
  <c r="BB178" i="1"/>
  <c r="BC178" i="1" s="1"/>
  <c r="BB199" i="1"/>
  <c r="BC199" i="1" s="1"/>
  <c r="BB376" i="1"/>
  <c r="BC376" i="1" s="1"/>
  <c r="BB252" i="1"/>
  <c r="BC252" i="1" s="1"/>
  <c r="BB195" i="1"/>
  <c r="BC195" i="1" s="1"/>
  <c r="BB95" i="1"/>
  <c r="BC95" i="1" s="1"/>
  <c r="BB51" i="1"/>
  <c r="BC51" i="1" s="1"/>
  <c r="BB212" i="1"/>
  <c r="BC212" i="1" s="1"/>
  <c r="BB139" i="1"/>
  <c r="BC139" i="1" s="1"/>
  <c r="BB430" i="1"/>
  <c r="BC430" i="1" s="1"/>
  <c r="BB5" i="1"/>
  <c r="BC5" i="1" s="1"/>
  <c r="BB454" i="1"/>
  <c r="BC454" i="1" s="1"/>
  <c r="BB127" i="1"/>
  <c r="BC127" i="1" s="1"/>
  <c r="BB370" i="1"/>
  <c r="BC370" i="1" s="1"/>
  <c r="BB77" i="1"/>
  <c r="BC77" i="1" s="1"/>
  <c r="BB14" i="1"/>
  <c r="BC14" i="1" s="1"/>
  <c r="BB270" i="1"/>
  <c r="BC270" i="1" s="1"/>
  <c r="BB418" i="1"/>
  <c r="BC418" i="1" s="1"/>
  <c r="BB313" i="1"/>
  <c r="BC313" i="1" s="1"/>
  <c r="BB91" i="1"/>
  <c r="BC91" i="1" s="1"/>
  <c r="BB377" i="1"/>
  <c r="BC377" i="1" s="1"/>
  <c r="BB258" i="1"/>
  <c r="BC258" i="1" s="1"/>
  <c r="BB124" i="1"/>
  <c r="BC124" i="1" s="1"/>
  <c r="BB141" i="1"/>
  <c r="BC141" i="1" s="1"/>
  <c r="BB249" i="1"/>
  <c r="BC249" i="1" s="1"/>
  <c r="BB22" i="1"/>
  <c r="BC22" i="1" s="1"/>
  <c r="BB480" i="1"/>
  <c r="BC480" i="1" s="1"/>
  <c r="BB132" i="1"/>
  <c r="BC132" i="1" s="1"/>
  <c r="BB271" i="1"/>
  <c r="BC271" i="1" s="1"/>
  <c r="BB280" i="1"/>
  <c r="BC280" i="1" s="1"/>
  <c r="BB335" i="1"/>
  <c r="BC335" i="1" s="1"/>
  <c r="BB79" i="1"/>
  <c r="BC79" i="1" s="1"/>
  <c r="BB463" i="1"/>
  <c r="BC463" i="1" s="1"/>
  <c r="BB273" i="1"/>
  <c r="BC273" i="1" s="1"/>
  <c r="BB164" i="1"/>
  <c r="BC164" i="1" s="1"/>
  <c r="BB453" i="1"/>
  <c r="BC453" i="1" s="1"/>
  <c r="BB501" i="1"/>
  <c r="BC501" i="1" s="1"/>
  <c r="BB87" i="1"/>
  <c r="BC87" i="1" s="1"/>
  <c r="BB171" i="1"/>
  <c r="BC171" i="1" s="1"/>
  <c r="BB353" i="1"/>
  <c r="BC353" i="1" s="1"/>
  <c r="BB251" i="1"/>
  <c r="BC251" i="1" s="1"/>
  <c r="BB70" i="1"/>
  <c r="BC70" i="1" s="1"/>
  <c r="BB55" i="1"/>
  <c r="BC55" i="1" s="1"/>
  <c r="BB50" i="1"/>
  <c r="BC50" i="1" s="1"/>
  <c r="BB358" i="1"/>
  <c r="BC358" i="1" s="1"/>
  <c r="BB292" i="1"/>
  <c r="BC292" i="1" s="1"/>
  <c r="BB106" i="1"/>
  <c r="BC106" i="1" s="1"/>
  <c r="BB232" i="1"/>
  <c r="BC232" i="1" s="1"/>
  <c r="BB16" i="1"/>
  <c r="BC16" i="1" s="1"/>
  <c r="BB422" i="1"/>
  <c r="BC422" i="1" s="1"/>
  <c r="BB62" i="1"/>
  <c r="BC62" i="1" s="1"/>
  <c r="BB294" i="1"/>
  <c r="BC294" i="1" s="1"/>
  <c r="BB103" i="1"/>
  <c r="BC103" i="1" s="1"/>
  <c r="BB426" i="1"/>
  <c r="BC426" i="1" s="1"/>
  <c r="BB429" i="1"/>
  <c r="BC429" i="1" s="1"/>
  <c r="BB201" i="1"/>
  <c r="BC201" i="1" s="1"/>
  <c r="BB114" i="1"/>
  <c r="BC114" i="1" s="1"/>
  <c r="BB229" i="1"/>
  <c r="BC229" i="1" s="1"/>
  <c r="BB464" i="1"/>
  <c r="BC464" i="1" s="1"/>
  <c r="BB439" i="1"/>
  <c r="BC439" i="1" s="1"/>
  <c r="BB162" i="1"/>
  <c r="BC162" i="1" s="1"/>
  <c r="BB156" i="1"/>
  <c r="BC156" i="1" s="1"/>
  <c r="BB246" i="1"/>
  <c r="BC246" i="1" s="1"/>
  <c r="BB100" i="1"/>
  <c r="BC100" i="1" s="1"/>
  <c r="BB222" i="1"/>
  <c r="BC222" i="1" s="1"/>
  <c r="BB300" i="1"/>
  <c r="BC300" i="1" s="1"/>
  <c r="BB432" i="1"/>
  <c r="BC432" i="1" s="1"/>
  <c r="BB92" i="1"/>
  <c r="BC92" i="1" s="1"/>
  <c r="BB477" i="1"/>
  <c r="BC477" i="1" s="1"/>
  <c r="BB110" i="1"/>
  <c r="BC110" i="1" s="1"/>
  <c r="BB197" i="1"/>
  <c r="BC197" i="1" s="1"/>
  <c r="BB89" i="1"/>
  <c r="BC89" i="1" s="1"/>
  <c r="BB349" i="1"/>
  <c r="BC349" i="1" s="1"/>
  <c r="BB324" i="1"/>
  <c r="BC324" i="1" s="1"/>
  <c r="BB411" i="1"/>
  <c r="BC411" i="1" s="1"/>
  <c r="BB193" i="1"/>
  <c r="BC193" i="1" s="1"/>
  <c r="BB367" i="1"/>
  <c r="BC367" i="1" s="1"/>
  <c r="BB392" i="1"/>
  <c r="BC392" i="1" s="1"/>
  <c r="BB158" i="1"/>
  <c r="BC158" i="1" s="1"/>
  <c r="BB414" i="1"/>
  <c r="BC414" i="1" s="1"/>
  <c r="BB233" i="1"/>
  <c r="BC233" i="1" s="1"/>
  <c r="BB23" i="1"/>
  <c r="BC23" i="1" s="1"/>
  <c r="BB289" i="1"/>
  <c r="BC289" i="1" s="1"/>
  <c r="BB262" i="1"/>
  <c r="BC262" i="1" s="1"/>
  <c r="BB281" i="1"/>
  <c r="BC281" i="1" s="1"/>
  <c r="BB287" i="1"/>
  <c r="BC287" i="1" s="1"/>
  <c r="BB34" i="1"/>
  <c r="BC34" i="1" s="1"/>
  <c r="BB301" i="1"/>
  <c r="BC301" i="1" s="1"/>
  <c r="BB317" i="1"/>
  <c r="BC317" i="1" s="1"/>
  <c r="BB30" i="1"/>
  <c r="BC30" i="1" s="1"/>
  <c r="BB67" i="1"/>
  <c r="BC67" i="1" s="1"/>
  <c r="BB64" i="1"/>
  <c r="BC64" i="1" s="1"/>
  <c r="BB378" i="1"/>
  <c r="BC378" i="1" s="1"/>
  <c r="BB74" i="1"/>
  <c r="BC74" i="1" s="1"/>
  <c r="BB194" i="1"/>
  <c r="BC194" i="1" s="1"/>
  <c r="BB275" i="1"/>
  <c r="BC275" i="1" s="1"/>
  <c r="BB497" i="1"/>
  <c r="BC497" i="1" s="1"/>
  <c r="BB314" i="1"/>
  <c r="BC314" i="1" s="1"/>
  <c r="BB208" i="1"/>
  <c r="BC208" i="1" s="1"/>
  <c r="BB375" i="1"/>
  <c r="BC375" i="1" s="1"/>
  <c r="BB351" i="1"/>
  <c r="BC351" i="1" s="1"/>
  <c r="BB175" i="1"/>
  <c r="BC175" i="1" s="1"/>
  <c r="BB360" i="1"/>
  <c r="BC360" i="1" s="1"/>
  <c r="BB53" i="1"/>
  <c r="BC53" i="1" s="1"/>
  <c r="BB42" i="1"/>
  <c r="BC42" i="1" s="1"/>
  <c r="BB169" i="1"/>
  <c r="BC169" i="1" s="1"/>
  <c r="BB397" i="1"/>
  <c r="BC397" i="1" s="1"/>
  <c r="BB73" i="1"/>
  <c r="BC73" i="1" s="1"/>
  <c r="BB373" i="1"/>
  <c r="BC373" i="1" s="1"/>
  <c r="BB269" i="1"/>
  <c r="BC269" i="1" s="1"/>
  <c r="BB83" i="1"/>
  <c r="BC83" i="1" s="1"/>
  <c r="BB198" i="1"/>
  <c r="BC198" i="1" s="1"/>
  <c r="BB65" i="1"/>
  <c r="BC65" i="1" s="1"/>
  <c r="BB142" i="1"/>
  <c r="BC142" i="1" s="1"/>
  <c r="BB333" i="1"/>
  <c r="BC333" i="1" s="1"/>
  <c r="BB186" i="1"/>
  <c r="BC186" i="1" s="1"/>
  <c r="BB71" i="1"/>
  <c r="BC71" i="1" s="1"/>
  <c r="BB491" i="1"/>
  <c r="BC491" i="1" s="1"/>
  <c r="BB309" i="1"/>
  <c r="BC309" i="1" s="1"/>
  <c r="BB239" i="1"/>
  <c r="BC239" i="1" s="1"/>
  <c r="BB121" i="1"/>
  <c r="BC121" i="1" s="1"/>
  <c r="BB81" i="1"/>
  <c r="BC81" i="1" s="1"/>
  <c r="BB424" i="1"/>
  <c r="BC424" i="1" s="1"/>
  <c r="BB410" i="1"/>
  <c r="BC410" i="1" s="1"/>
  <c r="BB279" i="1"/>
  <c r="BC279" i="1" s="1"/>
  <c r="BB336" i="1"/>
  <c r="BC336" i="1" s="1"/>
  <c r="BB372" i="1"/>
  <c r="BC372" i="1" s="1"/>
  <c r="BB304" i="1"/>
  <c r="BC304" i="1" s="1"/>
  <c r="BB96" i="1"/>
  <c r="BC96" i="1" s="1"/>
  <c r="BB228" i="1"/>
  <c r="BC228" i="1" s="1"/>
  <c r="BB82" i="1"/>
  <c r="BC82" i="1" s="1"/>
  <c r="BB188" i="1"/>
  <c r="BC188" i="1" s="1"/>
  <c r="BB394" i="1"/>
  <c r="BC394" i="1" s="1"/>
  <c r="BB389" i="1"/>
  <c r="BC389" i="1" s="1"/>
  <c r="BB244" i="1"/>
  <c r="BC244" i="1" s="1"/>
  <c r="BB460" i="1"/>
  <c r="BC460" i="1" s="1"/>
  <c r="BB38" i="1"/>
  <c r="BC38" i="1" s="1"/>
  <c r="BB168" i="1"/>
  <c r="BC168" i="1" s="1"/>
  <c r="BB326" i="1"/>
  <c r="BC326" i="1" s="1"/>
  <c r="BB33" i="1"/>
  <c r="BC33" i="1" s="1"/>
  <c r="BB401" i="1"/>
  <c r="BC401" i="1" s="1"/>
  <c r="BB218" i="1"/>
  <c r="BC218" i="1" s="1"/>
  <c r="BB113" i="1"/>
  <c r="BC113" i="1" s="1"/>
  <c r="BB117" i="1"/>
  <c r="BC117" i="1" s="1"/>
  <c r="BB484" i="1"/>
  <c r="BC484" i="1" s="1"/>
  <c r="BB445" i="1"/>
  <c r="BC445" i="1" s="1"/>
  <c r="BB148" i="1"/>
  <c r="BC148" i="1" s="1"/>
  <c r="BB44" i="1"/>
  <c r="BC44" i="1" s="1"/>
  <c r="BB151" i="1"/>
  <c r="BC151" i="1" s="1"/>
  <c r="BB225" i="1"/>
  <c r="BC225" i="1" s="1"/>
  <c r="BB479" i="1"/>
  <c r="BC479" i="1" s="1"/>
  <c r="BB330" i="1"/>
  <c r="BC330" i="1" s="1"/>
  <c r="BB236" i="1"/>
  <c r="BC236" i="1" s="1"/>
  <c r="BB129" i="1"/>
  <c r="BC129" i="1" s="1"/>
  <c r="BB19" i="1"/>
  <c r="BC19" i="1" s="1"/>
  <c r="BB223" i="1"/>
  <c r="BC223" i="1" s="1"/>
  <c r="BB328" i="1"/>
  <c r="BC328" i="1" s="1"/>
  <c r="BB435" i="1"/>
  <c r="BC435" i="1" s="1"/>
  <c r="BB111" i="1"/>
  <c r="BC111" i="1" s="1"/>
  <c r="BB241" i="1"/>
  <c r="BC241" i="1" s="1"/>
  <c r="BB157" i="1"/>
  <c r="BC157" i="1" s="1"/>
  <c r="BB417" i="1"/>
  <c r="BC417" i="1" s="1"/>
  <c r="BB469" i="1"/>
  <c r="BC469" i="1" s="1"/>
  <c r="AG5" i="1"/>
  <c r="F12" i="2" s="1"/>
  <c r="BB303" i="1"/>
  <c r="BC303" i="1" s="1"/>
  <c r="BB255" i="1"/>
  <c r="BC255" i="1" s="1"/>
  <c r="BB298" i="1"/>
  <c r="BC298" i="1" s="1"/>
  <c r="BB61" i="1"/>
  <c r="BC61" i="1" s="1"/>
  <c r="BB500" i="1"/>
  <c r="BC500" i="1" s="1"/>
  <c r="BB123" i="1"/>
  <c r="BC123" i="1" s="1"/>
  <c r="BB499" i="1"/>
  <c r="BC499" i="1" s="1"/>
  <c r="BB187" i="1"/>
  <c r="BC187" i="1" s="1"/>
  <c r="BB160" i="1"/>
  <c r="BC160" i="1" s="1"/>
  <c r="BB395" i="1"/>
  <c r="BC395" i="1" s="1"/>
  <c r="BB307" i="1"/>
  <c r="BC307" i="1" s="1"/>
  <c r="BB200" i="1"/>
  <c r="BC200" i="1" s="1"/>
  <c r="BB363" i="1"/>
  <c r="BC363" i="1" s="1"/>
  <c r="BB191" i="1"/>
  <c r="BC191" i="1" s="1"/>
  <c r="BB440" i="1"/>
  <c r="BC440" i="1" s="1"/>
  <c r="BB339" i="1"/>
  <c r="BC339" i="1" s="1"/>
  <c r="BB498" i="1"/>
  <c r="BC498" i="1" s="1"/>
  <c r="BB108" i="1"/>
  <c r="BC108" i="1" s="1"/>
  <c r="BB32" i="1"/>
  <c r="BC32" i="1" s="1"/>
  <c r="BB181" i="1"/>
  <c r="BC181" i="1" s="1"/>
  <c r="BB310" i="1"/>
  <c r="BC310" i="1" s="1"/>
  <c r="BB84" i="1"/>
  <c r="BC84" i="1" s="1"/>
  <c r="BB152" i="1"/>
  <c r="BC152" i="1" s="1"/>
  <c r="BB475" i="1"/>
  <c r="BC475" i="1" s="1"/>
  <c r="BB488" i="1"/>
  <c r="BC488" i="1" s="1"/>
  <c r="BB172" i="1"/>
  <c r="BC172" i="1" s="1"/>
  <c r="BB436" i="1"/>
  <c r="BC436" i="1" s="1"/>
  <c r="BB213" i="1"/>
  <c r="BC213" i="1" s="1"/>
  <c r="BB386" i="1"/>
  <c r="BC386" i="1" s="1"/>
  <c r="BB341" i="1"/>
  <c r="BC341" i="1" s="1"/>
  <c r="BB231" i="1"/>
  <c r="BC231" i="1" s="1"/>
  <c r="BB48" i="1"/>
  <c r="BC48" i="1" s="1"/>
  <c r="BB277" i="1"/>
  <c r="BC277" i="1" s="1"/>
  <c r="BB486" i="1"/>
  <c r="BC486" i="1" s="1"/>
  <c r="BB7" i="1"/>
  <c r="BC7" i="1" s="1"/>
  <c r="BB9" i="1"/>
  <c r="BC9" i="1" s="1"/>
  <c r="BB455" i="1"/>
  <c r="BC455" i="1" s="1"/>
  <c r="BB227" i="1"/>
  <c r="BC227" i="1" s="1"/>
  <c r="BB204" i="1"/>
  <c r="BC204" i="1" s="1"/>
  <c r="BB165" i="1"/>
  <c r="BC165" i="1" s="1"/>
  <c r="BB75" i="1"/>
  <c r="BC75" i="1" s="1"/>
  <c r="BB109" i="1"/>
  <c r="BC109" i="1" s="1"/>
  <c r="BB390" i="1"/>
  <c r="BC390" i="1" s="1"/>
  <c r="BB39" i="1"/>
  <c r="BC39" i="1" s="1"/>
  <c r="BB415" i="1"/>
  <c r="BC415" i="1" s="1"/>
  <c r="BB147" i="1"/>
  <c r="BC147" i="1" s="1"/>
  <c r="BB476" i="1"/>
  <c r="BC476" i="1" s="1"/>
  <c r="BB465" i="1"/>
  <c r="BC465" i="1" s="1"/>
  <c r="BB276" i="1"/>
  <c r="BC276" i="1" s="1"/>
  <c r="BB240" i="1"/>
  <c r="BC240" i="1" s="1"/>
  <c r="BB261" i="1"/>
  <c r="BC261" i="1" s="1"/>
  <c r="BB383" i="1"/>
  <c r="BC383" i="1" s="1"/>
  <c r="BB190" i="1"/>
  <c r="BC190" i="1" s="1"/>
  <c r="BB41" i="1"/>
  <c r="BC41" i="1" s="1"/>
  <c r="BB385" i="1"/>
  <c r="BC385" i="1" s="1"/>
  <c r="BB342" i="1"/>
  <c r="BC342" i="1" s="1"/>
  <c r="BB54" i="1"/>
  <c r="BC54" i="1" s="1"/>
  <c r="BB416" i="1"/>
  <c r="BC416" i="1" s="1"/>
  <c r="BB238" i="1"/>
  <c r="BC238" i="1" s="1"/>
  <c r="BB332" i="1"/>
  <c r="BC332" i="1" s="1"/>
  <c r="BB66" i="1"/>
  <c r="BC66" i="1" s="1"/>
  <c r="BB104" i="1"/>
  <c r="BC104" i="1" s="1"/>
  <c r="BB237" i="1"/>
  <c r="BC237" i="1" s="1"/>
  <c r="BB366" i="1"/>
  <c r="BC366" i="1" s="1"/>
  <c r="BB503" i="1"/>
  <c r="BC503" i="1" s="1"/>
  <c r="BB214" i="1"/>
  <c r="BC214" i="1" s="1"/>
  <c r="BB327" i="1"/>
  <c r="BC327" i="1" s="1"/>
  <c r="BB136" i="1"/>
  <c r="BC136" i="1" s="1"/>
  <c r="BB125" i="1"/>
  <c r="BC125" i="1" s="1"/>
  <c r="BB12" i="1"/>
  <c r="BC12" i="1" s="1"/>
  <c r="BB120" i="1"/>
  <c r="BC120" i="1" s="1"/>
  <c r="BB179" i="1"/>
  <c r="BC179" i="1" s="1"/>
  <c r="BB159" i="1"/>
  <c r="BC159" i="1" s="1"/>
  <c r="BB364" i="1"/>
  <c r="BC364" i="1" s="1"/>
  <c r="BB388" i="1"/>
  <c r="BC388" i="1" s="1"/>
  <c r="BB28" i="1"/>
  <c r="BC28" i="1" s="1"/>
  <c r="BB259" i="1"/>
  <c r="BC259" i="1" s="1"/>
  <c r="BB354" i="1"/>
  <c r="BC354" i="1" s="1"/>
  <c r="BB150" i="1"/>
  <c r="BC150" i="1" s="1"/>
  <c r="BB265" i="1"/>
  <c r="BC265" i="1" s="1"/>
  <c r="BB427" i="1"/>
  <c r="BC427" i="1" s="1"/>
  <c r="BB347" i="1"/>
  <c r="BC347" i="1" s="1"/>
  <c r="BB284" i="1"/>
  <c r="BC284" i="1" s="1"/>
  <c r="BB182" i="1"/>
  <c r="BC182" i="1" s="1"/>
  <c r="BB288" i="1"/>
  <c r="BC288" i="1" s="1"/>
  <c r="BB406" i="1"/>
  <c r="BC406" i="1" s="1"/>
  <c r="BB438" i="1"/>
  <c r="BC438" i="1" s="1"/>
  <c r="BB490" i="1"/>
  <c r="BC490" i="1" s="1"/>
  <c r="BB437" i="1"/>
  <c r="BC437" i="1" s="1"/>
  <c r="BB15" i="1"/>
  <c r="BC15" i="1" s="1"/>
  <c r="BB88" i="1"/>
  <c r="BC88" i="1" s="1"/>
  <c r="BB102" i="1"/>
  <c r="BC102" i="1" s="1"/>
  <c r="BB400" i="1"/>
  <c r="BC400" i="1" s="1"/>
  <c r="BB116" i="1"/>
  <c r="BC116" i="1" s="1"/>
  <c r="BB282" i="1"/>
  <c r="BC282" i="1" s="1"/>
  <c r="BB369" i="1"/>
  <c r="BC369" i="1" s="1"/>
  <c r="BB299" i="1"/>
  <c r="BC299" i="1" s="1"/>
  <c r="BB371" i="1"/>
  <c r="BC371" i="1" s="1"/>
  <c r="BB216" i="1"/>
  <c r="BC216" i="1" s="1"/>
  <c r="BB474" i="1"/>
  <c r="BC474" i="1" s="1"/>
  <c r="BB467" i="1"/>
  <c r="BC467" i="1" s="1"/>
  <c r="BB43" i="1"/>
  <c r="BC43" i="1" s="1"/>
  <c r="BB13" i="1"/>
  <c r="BC13" i="1" s="1"/>
  <c r="BB334" i="1"/>
  <c r="BC334" i="1" s="1"/>
  <c r="BB368" i="1"/>
  <c r="BC368" i="1" s="1"/>
  <c r="BB72" i="1"/>
  <c r="BC72" i="1" s="1"/>
  <c r="BB250" i="1"/>
  <c r="BC250" i="1" s="1"/>
  <c r="BB384" i="1"/>
  <c r="BC384" i="1" s="1"/>
  <c r="BB131" i="1"/>
  <c r="BC131" i="1" s="1"/>
  <c r="BB215" i="1"/>
  <c r="BC215" i="1" s="1"/>
  <c r="BB447" i="1"/>
  <c r="BC447" i="1" s="1"/>
  <c r="BB26" i="1"/>
  <c r="BC26" i="1" s="1"/>
  <c r="BB402" i="1"/>
  <c r="BC402" i="1" s="1"/>
  <c r="BB205" i="1"/>
  <c r="BC205" i="1" s="1"/>
  <c r="BB321" i="1"/>
  <c r="BC321" i="1" s="1"/>
  <c r="BB257" i="1"/>
  <c r="BC257" i="1" s="1"/>
  <c r="BB234" i="1"/>
  <c r="BC234" i="1" s="1"/>
  <c r="BB153" i="1"/>
  <c r="BC153" i="1" s="1"/>
  <c r="BB105" i="1"/>
  <c r="BC105" i="1" s="1"/>
  <c r="BB98" i="1"/>
  <c r="BC98" i="1" s="1"/>
  <c r="BB80" i="1"/>
  <c r="BC80" i="1" s="1"/>
  <c r="BB357" i="1"/>
  <c r="BC357" i="1" s="1"/>
  <c r="BB470" i="1"/>
  <c r="BC470" i="1" s="1"/>
  <c r="BB184" i="1"/>
  <c r="BC184" i="1" s="1"/>
  <c r="BB393" i="1"/>
  <c r="BC393" i="1" s="1"/>
  <c r="BB133" i="1"/>
  <c r="BC133" i="1" s="1"/>
  <c r="BB144" i="1"/>
  <c r="BC144" i="1" s="1"/>
  <c r="BB161" i="1"/>
  <c r="BC161" i="1" s="1"/>
  <c r="BB207" i="1"/>
  <c r="BC207" i="1" s="1"/>
  <c r="BB382" i="1"/>
  <c r="BC382" i="1" s="1"/>
  <c r="BB101" i="1"/>
  <c r="BC101" i="1" s="1"/>
  <c r="BB504" i="1"/>
  <c r="BC504" i="1" s="1"/>
  <c r="BB128" i="1"/>
  <c r="BC128" i="1" s="1"/>
  <c r="BB483" i="1"/>
  <c r="BC483" i="1" s="1"/>
  <c r="BB192" i="1"/>
  <c r="BC192" i="1" s="1"/>
  <c r="BB85" i="1"/>
  <c r="BC85" i="1" s="1"/>
  <c r="BB185" i="1"/>
  <c r="BC185" i="1" s="1"/>
  <c r="BB337" i="1"/>
  <c r="BC337" i="1" s="1"/>
  <c r="BB319" i="1"/>
  <c r="BC319" i="1" s="1"/>
  <c r="BB260" i="1"/>
  <c r="BC260" i="1" s="1"/>
  <c r="BB224" i="1"/>
  <c r="BC224" i="1" s="1"/>
  <c r="BB423" i="1"/>
  <c r="BC423" i="1" s="1"/>
  <c r="BB140" i="1"/>
  <c r="BC140" i="1" s="1"/>
  <c r="BB196" i="1"/>
  <c r="BC196" i="1" s="1"/>
  <c r="BB31" i="1"/>
  <c r="BC31" i="1" s="1"/>
  <c r="BB137" i="1"/>
  <c r="BC137" i="1" s="1"/>
  <c r="BB290" i="1"/>
  <c r="BC290" i="1" s="1"/>
  <c r="BB268" i="1"/>
  <c r="BC268" i="1" s="1"/>
  <c r="BB442" i="1"/>
  <c r="BC442" i="1" s="1"/>
  <c r="BB404" i="1"/>
  <c r="BC404" i="1" s="1"/>
  <c r="BB308" i="1"/>
  <c r="BC308" i="1" s="1"/>
  <c r="BB203" i="1"/>
  <c r="BC203" i="1" s="1"/>
  <c r="BB306" i="1"/>
  <c r="BC306" i="1" s="1"/>
  <c r="BB348" i="1"/>
  <c r="BC348" i="1" s="1"/>
  <c r="BB226" i="1"/>
  <c r="BC226" i="1" s="1"/>
  <c r="BB365" i="1"/>
  <c r="BC365" i="1" s="1"/>
  <c r="BB452" i="1"/>
  <c r="BC452" i="1" s="1"/>
  <c r="BB219" i="1"/>
  <c r="BC219" i="1" s="1"/>
  <c r="BB285" i="1"/>
  <c r="BC285" i="1" s="1"/>
  <c r="BB93" i="1"/>
  <c r="BC93" i="1" s="1"/>
  <c r="BB466" i="1"/>
  <c r="BC466" i="1" s="1"/>
  <c r="BB176" i="1"/>
  <c r="BC176" i="1" s="1"/>
  <c r="BB211" i="1"/>
  <c r="BC211" i="1" s="1"/>
  <c r="BB472" i="1"/>
  <c r="BC472" i="1" s="1"/>
  <c r="BB473" i="1"/>
  <c r="BC473" i="1" s="1"/>
  <c r="BB311" i="1"/>
  <c r="BC311" i="1" s="1"/>
  <c r="BB494" i="1"/>
  <c r="BC494" i="1" s="1"/>
  <c r="BB145" i="1"/>
  <c r="BC145" i="1" s="1"/>
  <c r="BB295" i="1"/>
  <c r="BC295" i="1" s="1"/>
  <c r="BB217" i="1"/>
  <c r="BC217" i="1" s="1"/>
  <c r="BB407" i="1"/>
  <c r="BC407" i="1" s="1"/>
  <c r="BB78" i="1"/>
  <c r="BC78" i="1" s="1"/>
  <c r="BB52" i="1"/>
  <c r="BC52" i="1" s="1"/>
  <c r="BB130" i="1"/>
  <c r="BC130" i="1" s="1"/>
  <c r="BB202" i="1"/>
  <c r="BC202" i="1" s="1"/>
  <c r="BB456" i="1"/>
  <c r="BC456" i="1" s="1"/>
  <c r="BB59" i="1"/>
  <c r="BC59" i="1" s="1"/>
  <c r="BB462" i="1"/>
  <c r="BC462" i="1" s="1"/>
  <c r="BB10" i="1"/>
  <c r="BC10" i="1" s="1"/>
  <c r="BB126" i="1"/>
  <c r="BC126" i="1" s="1"/>
  <c r="BB320" i="1"/>
  <c r="BC320" i="1" s="1"/>
  <c r="BB21" i="1"/>
  <c r="BC21" i="1" s="1"/>
  <c r="BB29" i="1"/>
  <c r="BC29" i="1" s="1"/>
  <c r="BB343" i="1"/>
  <c r="BC343" i="1" s="1"/>
  <c r="BB399" i="1"/>
  <c r="BC399" i="1" s="1"/>
  <c r="BB362" i="1"/>
  <c r="BC362" i="1" s="1"/>
  <c r="BB451" i="1"/>
  <c r="BC451" i="1" s="1"/>
  <c r="BB86" i="1"/>
  <c r="BC86" i="1" s="1"/>
  <c r="BB283" i="1"/>
  <c r="BC283" i="1" s="1"/>
  <c r="BB247" i="1"/>
  <c r="BC247" i="1" s="1"/>
  <c r="BB428" i="1"/>
  <c r="BC428" i="1" s="1"/>
  <c r="BB468" i="1"/>
  <c r="BC468" i="1" s="1"/>
  <c r="BB352" i="1"/>
  <c r="BC352" i="1" s="1"/>
  <c r="BB502" i="1"/>
  <c r="BC502" i="1" s="1"/>
  <c r="BB381" i="1"/>
  <c r="BC381" i="1" s="1"/>
  <c r="BB434" i="1"/>
  <c r="BC434" i="1" s="1"/>
  <c r="BB340" i="1"/>
  <c r="BC340" i="1" s="1"/>
  <c r="BB115" i="1"/>
  <c r="BC115" i="1" s="1"/>
  <c r="BB331" i="1"/>
  <c r="BC331" i="1" s="1"/>
  <c r="BB63" i="1"/>
  <c r="BC63" i="1" s="1"/>
  <c r="BB379" i="1"/>
  <c r="BC379" i="1" s="1"/>
  <c r="BB248" i="1"/>
  <c r="BC248" i="1" s="1"/>
  <c r="BB243" i="1"/>
  <c r="BC243" i="1" s="1"/>
  <c r="BB107" i="1"/>
  <c r="BC107" i="1" s="1"/>
  <c r="BB323" i="1"/>
  <c r="BC323" i="1" s="1"/>
  <c r="BB481" i="1"/>
  <c r="BC481" i="1" s="1"/>
  <c r="BB478" i="1"/>
  <c r="BC478" i="1" s="1"/>
  <c r="BB450" i="1"/>
  <c r="BC450" i="1" s="1"/>
  <c r="BB322" i="1"/>
  <c r="BC322" i="1" s="1"/>
  <c r="BB177" i="1"/>
  <c r="BC177" i="1" s="1"/>
  <c r="BB245" i="1"/>
  <c r="BC245" i="1" s="1"/>
  <c r="BB492" i="1"/>
  <c r="BC492" i="1" s="1"/>
  <c r="BB76" i="1"/>
  <c r="BC76" i="1" s="1"/>
  <c r="BB291" i="1"/>
  <c r="BC291" i="1" s="1"/>
  <c r="BB143" i="1"/>
  <c r="BC143" i="1" s="1"/>
  <c r="BB431" i="1"/>
  <c r="BC431" i="1" s="1"/>
  <c r="BB235" i="1"/>
  <c r="BC235" i="1" s="1"/>
  <c r="BB495" i="1"/>
  <c r="BC495" i="1" s="1"/>
  <c r="BB163" i="1"/>
  <c r="BC163" i="1" s="1"/>
  <c r="BB493" i="1"/>
  <c r="BC493" i="1" s="1"/>
  <c r="BB443" i="1"/>
  <c r="BC443" i="1" s="1"/>
  <c r="BB391" i="1"/>
  <c r="BC391" i="1" s="1"/>
  <c r="BB60" i="1"/>
  <c r="BC60" i="1" s="1"/>
  <c r="BB266" i="1"/>
  <c r="BC266" i="1" s="1"/>
  <c r="BB413" i="1"/>
  <c r="BC413" i="1" s="1"/>
  <c r="BB316" i="1"/>
  <c r="BC316" i="1" s="1"/>
  <c r="BB487" i="1"/>
  <c r="BC487" i="1" s="1"/>
  <c r="BB489" i="1"/>
  <c r="BC489" i="1" s="1"/>
  <c r="BB11" i="1"/>
  <c r="BC11" i="1" s="1"/>
  <c r="BB459" i="1"/>
  <c r="BC459" i="1" s="1"/>
  <c r="BB173" i="1"/>
  <c r="BC173" i="1" s="1"/>
  <c r="BB155" i="1"/>
  <c r="BC155" i="1" s="1"/>
  <c r="BB35" i="1"/>
  <c r="BC35" i="1" s="1"/>
  <c r="T301" i="1"/>
  <c r="U301" i="1" s="1"/>
  <c r="AX457" i="1"/>
  <c r="DK457" i="1"/>
  <c r="AX138" i="1"/>
  <c r="DK138" i="1"/>
  <c r="AX399" i="1"/>
  <c r="DK399" i="1"/>
  <c r="AX305" i="1"/>
  <c r="AX274" i="1"/>
  <c r="DK274" i="1"/>
  <c r="AX220" i="1"/>
  <c r="DK220" i="1"/>
  <c r="AX302" i="1"/>
  <c r="DK302" i="1"/>
  <c r="AX6" i="1"/>
  <c r="DK6" i="1"/>
  <c r="AX282" i="1"/>
  <c r="T275" i="1"/>
  <c r="U275" i="1" s="1"/>
  <c r="T375" i="1"/>
  <c r="DK375" i="1" s="1"/>
  <c r="T390" i="1"/>
  <c r="T484" i="1"/>
  <c r="U484" i="1" s="1"/>
  <c r="T364" i="1"/>
  <c r="U364" i="1" s="1"/>
  <c r="T162" i="1"/>
  <c r="T226" i="1"/>
  <c r="T55" i="1"/>
  <c r="T371" i="1"/>
  <c r="U371" i="1" s="1"/>
  <c r="T320" i="1"/>
  <c r="T286" i="1"/>
  <c r="T331" i="1"/>
  <c r="T91" i="1"/>
  <c r="T270" i="1"/>
  <c r="T441" i="1"/>
  <c r="T383" i="1"/>
  <c r="T140" i="1"/>
  <c r="U140" i="1" s="1"/>
  <c r="T141" i="1"/>
  <c r="AX344" i="1" s="1"/>
  <c r="T460" i="1"/>
  <c r="DK460" i="1" s="1"/>
  <c r="T434" i="1"/>
  <c r="T381" i="1"/>
  <c r="T104" i="1"/>
  <c r="T178" i="1"/>
  <c r="T469" i="1"/>
  <c r="DK305" i="1" s="1"/>
  <c r="T268" i="1"/>
  <c r="U268" i="1" s="1"/>
  <c r="T278" i="1"/>
  <c r="T61" i="1"/>
  <c r="T22" i="1"/>
  <c r="U22" i="1" s="1"/>
  <c r="T58" i="1"/>
  <c r="T397" i="1"/>
  <c r="T135" i="1"/>
  <c r="T277" i="1"/>
  <c r="T418" i="1"/>
  <c r="U418" i="1" s="1"/>
  <c r="T87" i="1"/>
  <c r="U87" i="1" s="1"/>
  <c r="T173" i="1"/>
  <c r="T342" i="1"/>
  <c r="T288" i="1"/>
  <c r="T79" i="1"/>
  <c r="T155" i="1"/>
  <c r="T405" i="1"/>
  <c r="T63" i="1"/>
  <c r="T92" i="1"/>
  <c r="T429" i="1"/>
  <c r="T281" i="1"/>
  <c r="U281" i="1" s="1"/>
  <c r="T392" i="1"/>
  <c r="T453" i="1"/>
  <c r="DK496" i="1" s="1"/>
  <c r="T293" i="1"/>
  <c r="T23" i="1"/>
  <c r="AX23" i="1" s="1"/>
  <c r="T503" i="1"/>
  <c r="AX318" i="1" s="1"/>
  <c r="T456" i="1"/>
  <c r="AX99" i="1" s="1"/>
  <c r="T142" i="1"/>
  <c r="T247" i="1"/>
  <c r="T145" i="1"/>
  <c r="T414" i="1"/>
  <c r="AX414" i="1" s="1"/>
  <c r="T235" i="1"/>
  <c r="T112" i="1"/>
  <c r="T217" i="1"/>
  <c r="T163" i="1"/>
  <c r="U163" i="1" s="1"/>
  <c r="T333" i="1"/>
  <c r="T427" i="1"/>
  <c r="T233" i="1"/>
  <c r="T300" i="1"/>
  <c r="T378" i="1"/>
  <c r="T125" i="1"/>
  <c r="DK282" i="1" s="1"/>
  <c r="T330" i="1"/>
  <c r="T50" i="1"/>
  <c r="T311" i="1"/>
  <c r="T461" i="1"/>
  <c r="T341" i="1"/>
  <c r="AX486" i="1" s="1"/>
  <c r="T206" i="1"/>
  <c r="T480" i="1"/>
  <c r="AX406" i="1" s="1"/>
  <c r="T367" i="1"/>
  <c r="T152" i="1"/>
  <c r="AX182" i="1" s="1"/>
  <c r="T169" i="1"/>
  <c r="T21" i="1"/>
  <c r="T12" i="1"/>
  <c r="T497" i="1"/>
  <c r="T452" i="1"/>
  <c r="T114" i="1"/>
  <c r="T15" i="1"/>
  <c r="T251" i="1"/>
  <c r="T108" i="1"/>
  <c r="AX13" i="1" s="1"/>
  <c r="T122" i="1"/>
  <c r="T370" i="1"/>
  <c r="T501" i="1"/>
  <c r="T5" i="1"/>
  <c r="T124" i="1"/>
  <c r="T430" i="1"/>
  <c r="T250" i="1"/>
  <c r="T14" i="1"/>
  <c r="DK14" i="1" s="1"/>
  <c r="T295" i="1"/>
  <c r="T357" i="1"/>
  <c r="T448" i="1"/>
  <c r="T159" i="1"/>
  <c r="T337" i="1"/>
  <c r="T224" i="1"/>
  <c r="T110" i="1"/>
  <c r="AX110" i="1" s="1"/>
  <c r="T47" i="1"/>
  <c r="T154" i="1"/>
  <c r="T385" i="1"/>
  <c r="T39" i="1"/>
  <c r="T325" i="1"/>
  <c r="T188" i="1"/>
  <c r="T463" i="1"/>
  <c r="T421" i="1"/>
  <c r="T29" i="1"/>
  <c r="T7" i="1"/>
  <c r="T189" i="1"/>
  <c r="T372" i="1"/>
  <c r="DK306" i="1" s="1"/>
  <c r="T147" i="1"/>
  <c r="T184" i="1"/>
  <c r="T258" i="1"/>
  <c r="T73" i="1"/>
  <c r="T265" i="1"/>
  <c r="T249" i="1"/>
  <c r="T376" i="1"/>
  <c r="T210" i="1"/>
  <c r="T285" i="1"/>
  <c r="AX285" i="1" s="1"/>
  <c r="T398" i="1"/>
  <c r="AX398" i="1" s="1"/>
  <c r="T269" i="1"/>
  <c r="AX148" i="1" s="1"/>
  <c r="T34" i="1"/>
  <c r="T479" i="1"/>
  <c r="T103" i="1"/>
  <c r="AX308" i="1" s="1"/>
  <c r="T167" i="1"/>
  <c r="T435" i="1"/>
  <c r="T41" i="1"/>
  <c r="T181" i="1"/>
  <c r="T89" i="1"/>
  <c r="T25" i="1"/>
  <c r="T185" i="1"/>
  <c r="T196" i="1"/>
  <c r="T143" i="1"/>
  <c r="T70" i="1"/>
  <c r="T465" i="1"/>
  <c r="T374" i="1"/>
  <c r="T438" i="1"/>
  <c r="T314" i="1"/>
  <c r="T158" i="1"/>
  <c r="AX35" i="1" s="1"/>
  <c r="T171" i="1"/>
  <c r="T9" i="1"/>
  <c r="T502" i="1"/>
  <c r="T313" i="1"/>
  <c r="AX109" i="1" s="1"/>
  <c r="T225" i="1"/>
  <c r="T450" i="1"/>
  <c r="T77" i="1"/>
  <c r="T467" i="1"/>
  <c r="T298" i="1"/>
  <c r="T59" i="1"/>
  <c r="T107" i="1"/>
  <c r="T132" i="1"/>
  <c r="T195" i="1"/>
  <c r="T504" i="1"/>
  <c r="AX382" i="1" s="1"/>
  <c r="T27" i="1"/>
  <c r="T126" i="1"/>
  <c r="T117" i="1"/>
  <c r="AX348" i="1" s="1"/>
  <c r="T214" i="1"/>
  <c r="T477" i="1"/>
  <c r="T232" i="1"/>
  <c r="T415" i="1"/>
  <c r="T442" i="1"/>
  <c r="T459" i="1"/>
  <c r="T358" i="1"/>
  <c r="AX52" i="1" s="1"/>
  <c r="T66" i="1"/>
  <c r="T38" i="1"/>
  <c r="AX38" i="1" s="1"/>
  <c r="T420" i="1"/>
  <c r="T309" i="1"/>
  <c r="T95" i="1"/>
  <c r="T139" i="1"/>
  <c r="T299" i="1"/>
  <c r="T443" i="1"/>
  <c r="T263" i="1"/>
  <c r="T351" i="1"/>
  <c r="T222" i="1"/>
  <c r="T81" i="1"/>
  <c r="T283" i="1"/>
  <c r="T161" i="1"/>
  <c r="T229" i="1"/>
  <c r="T130" i="1"/>
  <c r="T60" i="1"/>
  <c r="T491" i="1"/>
  <c r="T360" i="1"/>
  <c r="T252" i="1"/>
  <c r="T16" i="1"/>
  <c r="T172" i="1"/>
  <c r="T287" i="1"/>
  <c r="T197" i="1"/>
  <c r="T335" i="1"/>
  <c r="T129" i="1"/>
  <c r="T422" i="1"/>
  <c r="T349" i="1"/>
  <c r="T373" i="1"/>
  <c r="T292" i="1"/>
  <c r="T219" i="1"/>
  <c r="T432" i="1"/>
  <c r="T244" i="1"/>
  <c r="T19" i="1"/>
  <c r="T101" i="1"/>
  <c r="T150" i="1"/>
  <c r="T234" i="1"/>
  <c r="T316" i="1"/>
  <c r="T455" i="1"/>
  <c r="T72" i="1"/>
  <c r="T319" i="1"/>
  <c r="T410" i="1"/>
  <c r="T156" i="1"/>
  <c r="AX156" i="1" s="1"/>
  <c r="T394" i="1"/>
  <c r="T326" i="1"/>
  <c r="T209" i="1"/>
  <c r="T259" i="1"/>
  <c r="T402" i="1"/>
  <c r="T472" i="1"/>
  <c r="AX472" i="1" s="1"/>
  <c r="T54" i="1"/>
  <c r="T68" i="1"/>
  <c r="T437" i="1"/>
  <c r="T426" i="1"/>
  <c r="T343" i="1"/>
  <c r="AX343" i="1" s="1"/>
  <c r="T407" i="1"/>
  <c r="T96" i="1"/>
  <c r="T241" i="1"/>
  <c r="T471" i="1"/>
  <c r="T419" i="1"/>
  <c r="T42" i="1"/>
  <c r="T321" i="1"/>
  <c r="T433" i="1"/>
  <c r="DK433" i="1" s="1"/>
  <c r="T43" i="1"/>
  <c r="T128" i="1"/>
  <c r="T71" i="1"/>
  <c r="T20" i="1"/>
  <c r="T30" i="1"/>
  <c r="T468" i="1"/>
  <c r="T239" i="1"/>
  <c r="AX388" i="1" s="1"/>
  <c r="T431" i="1"/>
  <c r="T67" i="1"/>
  <c r="T483" i="1"/>
  <c r="T322" i="1"/>
  <c r="T176" i="1"/>
  <c r="T284" i="1"/>
  <c r="T368" i="1"/>
  <c r="T106" i="1"/>
  <c r="DK106" i="1" s="1"/>
  <c r="T334" i="1"/>
  <c r="AX334" i="1" s="1"/>
  <c r="T170" i="1"/>
  <c r="DK170" i="1" s="1"/>
  <c r="T317" i="1"/>
  <c r="AX317" i="1" s="1"/>
  <c r="T303" i="1"/>
  <c r="T493" i="1"/>
  <c r="DK493" i="1" s="1"/>
  <c r="T245" i="1"/>
  <c r="T440" i="1"/>
  <c r="T53" i="1"/>
  <c r="T262" i="1"/>
  <c r="T345" i="1"/>
  <c r="T65" i="1"/>
  <c r="T82" i="1"/>
  <c r="T336" i="1"/>
  <c r="T75" i="1"/>
  <c r="T78" i="1"/>
  <c r="T423" i="1"/>
  <c r="T272" i="1"/>
  <c r="AX409" i="1" s="1"/>
  <c r="T177" i="1"/>
  <c r="T207" i="1"/>
  <c r="T328" i="1"/>
  <c r="T51" i="1"/>
  <c r="T261" i="1"/>
  <c r="T198" i="1"/>
  <c r="T216" i="1"/>
  <c r="T439" i="1"/>
  <c r="AX439" i="1" s="1"/>
  <c r="T389" i="1"/>
  <c r="T393" i="1"/>
  <c r="T190" i="1"/>
  <c r="T347" i="1"/>
  <c r="T447" i="1"/>
  <c r="T113" i="1"/>
  <c r="T80" i="1"/>
  <c r="T223" i="1"/>
  <c r="T361" i="1"/>
  <c r="T31" i="1"/>
  <c r="T74" i="1"/>
  <c r="DK74" i="1" s="1"/>
  <c r="T116" i="1"/>
  <c r="T255" i="1"/>
  <c r="T157" i="1"/>
  <c r="T86" i="1"/>
  <c r="T215" i="1"/>
  <c r="T492" i="1"/>
  <c r="T400" i="1"/>
  <c r="T149" i="1"/>
  <c r="DK149" i="1" s="1"/>
  <c r="T237" i="1"/>
  <c r="T412" i="1"/>
  <c r="T153" i="1"/>
  <c r="T175" i="1"/>
  <c r="T386" i="1"/>
  <c r="T201" i="1"/>
  <c r="T498" i="1"/>
  <c r="T227" i="1"/>
  <c r="T362" i="1"/>
  <c r="AX327" i="1" s="1"/>
  <c r="T88" i="1"/>
  <c r="DK11" i="1" s="1"/>
  <c r="T404" i="1"/>
  <c r="T273" i="1"/>
  <c r="AX413" i="1" s="1"/>
  <c r="T395" i="1"/>
  <c r="T304" i="1"/>
  <c r="T98" i="1"/>
  <c r="T500" i="1"/>
  <c r="T37" i="1"/>
  <c r="AX37" i="1" s="1"/>
  <c r="T485" i="1"/>
  <c r="AX485" i="1" s="1"/>
  <c r="T271" i="1"/>
  <c r="T411" i="1"/>
  <c r="T276" i="1"/>
  <c r="T490" i="1"/>
  <c r="DK490" i="1" s="1"/>
  <c r="T266" i="1"/>
  <c r="T212" i="1"/>
  <c r="T369" i="1"/>
  <c r="DK369" i="1" s="1"/>
  <c r="T193" i="1"/>
  <c r="T203" i="1"/>
  <c r="T279" i="1"/>
  <c r="T365" i="1"/>
  <c r="T69" i="1"/>
  <c r="T26" i="1"/>
  <c r="T62" i="1"/>
  <c r="DK62" i="1" s="1"/>
  <c r="T204" i="1"/>
  <c r="T10" i="1"/>
  <c r="DK10" i="1" s="1"/>
  <c r="T144" i="1"/>
  <c r="T340" i="1"/>
  <c r="T136" i="1"/>
  <c r="T194" i="1"/>
  <c r="T121" i="1"/>
  <c r="DK121" i="1" s="1"/>
  <c r="T416" i="1"/>
  <c r="T8" i="1"/>
  <c r="T199" i="1"/>
  <c r="T168" i="1"/>
  <c r="T294" i="1"/>
  <c r="DK294" i="1" s="1"/>
  <c r="T464" i="1"/>
  <c r="DK464" i="1" s="1"/>
  <c r="T289" i="1"/>
  <c r="T44" i="1"/>
  <c r="T445" i="1"/>
  <c r="T499" i="1"/>
  <c r="T384" i="1"/>
  <c r="T401" i="1"/>
  <c r="T218" i="1"/>
  <c r="T83" i="1"/>
  <c r="T100" i="1"/>
  <c r="AX100" i="1" s="1"/>
  <c r="T230" i="1"/>
  <c r="T238" i="1"/>
  <c r="T488" i="1"/>
  <c r="T93" i="1"/>
  <c r="T76" i="1"/>
  <c r="T280" i="1"/>
  <c r="T90" i="1"/>
  <c r="T494" i="1"/>
  <c r="AX102" i="1" s="1"/>
  <c r="T246" i="1"/>
  <c r="DK246" i="1" s="1"/>
  <c r="T324" i="1"/>
  <c r="T33" i="1"/>
  <c r="T151" i="1"/>
  <c r="T478" i="1"/>
  <c r="T339" i="1"/>
  <c r="T120" i="1"/>
  <c r="T228" i="1"/>
  <c r="T133" i="1"/>
  <c r="T85" i="1"/>
  <c r="T208" i="1"/>
  <c r="T462" i="1"/>
  <c r="T476" i="1"/>
  <c r="T186" i="1"/>
  <c r="T487" i="1"/>
  <c r="T64" i="1"/>
  <c r="U213" i="1"/>
  <c r="U192" i="1"/>
  <c r="U13" i="1"/>
  <c r="U32" i="1"/>
  <c r="U94" i="1"/>
  <c r="U274" i="1"/>
  <c r="U102" i="1"/>
  <c r="U202" i="1"/>
  <c r="U449" i="1"/>
  <c r="U253" i="1"/>
  <c r="U146" i="1"/>
  <c r="U24" i="1"/>
  <c r="U458" i="1"/>
  <c r="U137" i="1"/>
  <c r="U355" i="1"/>
  <c r="U406" i="1"/>
  <c r="U338" i="1"/>
  <c r="U290" i="1"/>
  <c r="U403" i="1"/>
  <c r="U256" i="1"/>
  <c r="U191" i="1"/>
  <c r="U291" i="1"/>
  <c r="U308" i="1"/>
  <c r="U240" i="1"/>
  <c r="U45" i="1"/>
  <c r="U305" i="1"/>
  <c r="U97" i="1"/>
  <c r="U282" i="1"/>
  <c r="U134" i="1"/>
  <c r="U36" i="1"/>
  <c r="U409" i="1"/>
  <c r="U211" i="1"/>
  <c r="U52" i="1"/>
  <c r="U399" i="1"/>
  <c r="U231" i="1"/>
  <c r="U366" i="1"/>
  <c r="U57" i="1"/>
  <c r="U312" i="1"/>
  <c r="U6" i="1"/>
  <c r="U346" i="1"/>
  <c r="U315" i="1"/>
  <c r="U221" i="1"/>
  <c r="U482" i="1"/>
  <c r="U356" i="1"/>
  <c r="U379" i="1"/>
  <c r="U348" i="1"/>
  <c r="U220" i="1"/>
  <c r="U243" i="1"/>
  <c r="U160" i="1"/>
  <c r="U413" i="1"/>
  <c r="U417" i="1"/>
  <c r="U200" i="1"/>
  <c r="U166" i="1"/>
  <c r="U382" i="1"/>
  <c r="U296" i="1"/>
  <c r="U118" i="1"/>
  <c r="U56" i="1"/>
  <c r="U306" i="1"/>
  <c r="U40" i="1"/>
  <c r="U486" i="1"/>
  <c r="U257" i="1"/>
  <c r="U109" i="1"/>
  <c r="U46" i="1"/>
  <c r="U350" i="1"/>
  <c r="U388" i="1"/>
  <c r="U428" i="1"/>
  <c r="U297" i="1"/>
  <c r="U444" i="1"/>
  <c r="U182" i="1"/>
  <c r="U359" i="1"/>
  <c r="U408" i="1"/>
  <c r="U105" i="1"/>
  <c r="U505" i="1"/>
  <c r="U148" i="1"/>
  <c r="U380" i="1"/>
  <c r="U18" i="1"/>
  <c r="U318" i="1"/>
  <c r="U267" i="1"/>
  <c r="U254" i="1"/>
  <c r="U451" i="1"/>
  <c r="U310" i="1"/>
  <c r="U466" i="1"/>
  <c r="U123" i="1"/>
  <c r="U99" i="1"/>
  <c r="U165" i="1"/>
  <c r="U138" i="1"/>
  <c r="U183" i="1"/>
  <c r="U11" i="1"/>
  <c r="U119" i="1"/>
  <c r="U352" i="1"/>
  <c r="U354" i="1"/>
  <c r="U260" i="1"/>
  <c r="U344" i="1"/>
  <c r="U35" i="1"/>
  <c r="U131" i="1"/>
  <c r="U174" i="1"/>
  <c r="U329" i="1"/>
  <c r="U115" i="1"/>
  <c r="U496" i="1"/>
  <c r="U396" i="1"/>
  <c r="U179" i="1"/>
  <c r="U436" i="1"/>
  <c r="U48" i="1"/>
  <c r="U302" i="1"/>
  <c r="U475" i="1"/>
  <c r="U387" i="1"/>
  <c r="U187" i="1"/>
  <c r="U264" i="1"/>
  <c r="U481" i="1"/>
  <c r="U363" i="1"/>
  <c r="U457" i="1"/>
  <c r="U327" i="1"/>
  <c r="U248" i="1"/>
  <c r="U425" i="1"/>
  <c r="U323" i="1"/>
  <c r="U49" i="1"/>
  <c r="U17" i="1" l="1"/>
  <c r="DP17" i="1" s="1"/>
  <c r="U111" i="1"/>
  <c r="DP111" i="1" s="1"/>
  <c r="AX14" i="1"/>
  <c r="AX111" i="1"/>
  <c r="DK446" i="1"/>
  <c r="U446" i="1"/>
  <c r="DP446" i="1" s="1"/>
  <c r="AX268" i="1"/>
  <c r="AX474" i="1"/>
  <c r="AX12" i="1"/>
  <c r="DK17" i="1"/>
  <c r="AX316" i="1"/>
  <c r="AX125" i="1"/>
  <c r="AX43" i="1"/>
  <c r="AX489" i="1"/>
  <c r="AX460" i="1"/>
  <c r="AX180" i="1"/>
  <c r="AX120" i="1"/>
  <c r="AX281" i="1"/>
  <c r="DK439" i="1"/>
  <c r="AX136" i="1"/>
  <c r="AX365" i="1"/>
  <c r="AX15" i="1"/>
  <c r="AX190" i="1"/>
  <c r="DK28" i="1"/>
  <c r="DP274" i="1"/>
  <c r="DK459" i="1"/>
  <c r="DK227" i="1"/>
  <c r="AX21" i="1"/>
  <c r="DK172" i="1"/>
  <c r="DK7" i="1"/>
  <c r="AX371" i="1"/>
  <c r="AX173" i="1"/>
  <c r="DK472" i="1"/>
  <c r="DK23" i="1"/>
  <c r="AX196" i="1"/>
  <c r="AX74" i="1"/>
  <c r="AX85" i="1"/>
  <c r="AX219" i="1"/>
  <c r="AX204" i="1"/>
  <c r="AX493" i="1"/>
  <c r="AX487" i="1"/>
  <c r="AX452" i="1"/>
  <c r="AX214" i="1"/>
  <c r="AX121" i="1"/>
  <c r="AX375" i="1"/>
  <c r="AX320" i="1"/>
  <c r="AX236" i="1"/>
  <c r="AX31" i="1"/>
  <c r="AX29" i="1"/>
  <c r="AX464" i="1"/>
  <c r="DK343" i="1"/>
  <c r="AX169" i="1"/>
  <c r="DK301" i="1"/>
  <c r="AX301" i="1"/>
  <c r="AX158" i="1"/>
  <c r="AX456" i="1"/>
  <c r="AX400" i="1"/>
  <c r="AX126" i="1"/>
  <c r="DK228" i="1"/>
  <c r="AX467" i="1"/>
  <c r="DK317" i="1"/>
  <c r="AX246" i="1"/>
  <c r="DK110" i="1"/>
  <c r="AX422" i="1"/>
  <c r="AX372" i="1"/>
  <c r="DK38" i="1"/>
  <c r="DK37" i="1"/>
  <c r="AX277" i="1"/>
  <c r="DK103" i="1"/>
  <c r="AX149" i="1"/>
  <c r="DK100" i="1"/>
  <c r="DK494" i="1"/>
  <c r="AX294" i="1"/>
  <c r="AX462" i="1"/>
  <c r="AX228" i="1"/>
  <c r="DK414" i="1"/>
  <c r="AX378" i="1"/>
  <c r="AX10" i="1"/>
  <c r="DK239" i="1"/>
  <c r="DK398" i="1"/>
  <c r="DK156" i="1"/>
  <c r="AX232" i="1"/>
  <c r="AX62" i="1"/>
  <c r="AX216" i="1"/>
  <c r="AX369" i="1"/>
  <c r="AX33" i="1"/>
  <c r="DK485" i="1"/>
  <c r="AX239" i="1"/>
  <c r="DK30" i="1"/>
  <c r="DK5" i="1"/>
  <c r="AX226" i="1"/>
  <c r="AX203" i="1"/>
  <c r="AX503" i="1"/>
  <c r="DK155" i="1"/>
  <c r="AX360" i="1"/>
  <c r="AX484" i="1"/>
  <c r="AX455" i="1"/>
  <c r="AX113" i="1"/>
  <c r="AX445" i="1"/>
  <c r="AX30" i="1"/>
  <c r="AX106" i="1"/>
  <c r="AX16" i="1"/>
  <c r="AX147" i="1"/>
  <c r="AX93" i="1"/>
  <c r="AX210" i="1"/>
  <c r="AX490" i="1"/>
  <c r="AX88" i="1"/>
  <c r="AX116" i="1"/>
  <c r="AX8" i="1"/>
  <c r="AX59" i="1"/>
  <c r="AX103" i="1"/>
  <c r="AX433" i="1"/>
  <c r="AX11" i="1"/>
  <c r="DK21" i="1"/>
  <c r="AX7" i="1"/>
  <c r="DK93" i="1"/>
  <c r="AX155" i="1"/>
  <c r="AX496" i="1"/>
  <c r="AX306" i="1"/>
  <c r="AX227" i="1"/>
  <c r="AX459" i="1"/>
  <c r="DK126" i="1"/>
  <c r="DK462" i="1"/>
  <c r="DK43" i="1"/>
  <c r="DK173" i="1"/>
  <c r="DK147" i="1"/>
  <c r="DK33" i="1"/>
  <c r="AX28" i="1"/>
  <c r="DK372" i="1"/>
  <c r="DK109" i="1"/>
  <c r="DP220" i="1"/>
  <c r="DK413" i="1"/>
  <c r="DK281" i="1"/>
  <c r="DK277" i="1"/>
  <c r="DK348" i="1"/>
  <c r="DK308" i="1"/>
  <c r="BF4" i="1"/>
  <c r="H31" i="2" s="1"/>
  <c r="DP301" i="1"/>
  <c r="DK169" i="1"/>
  <c r="DK422" i="1"/>
  <c r="AX172" i="1"/>
  <c r="DK285" i="1"/>
  <c r="DP457" i="1"/>
  <c r="DK503" i="1"/>
  <c r="AX170" i="1"/>
  <c r="DK12" i="1"/>
  <c r="DK318" i="1"/>
  <c r="DK113" i="1"/>
  <c r="DK148" i="1"/>
  <c r="DK203" i="1"/>
  <c r="DK8" i="1"/>
  <c r="DK299" i="1"/>
  <c r="DK35" i="1"/>
  <c r="DK327" i="1"/>
  <c r="DK85" i="1"/>
  <c r="DK400" i="1"/>
  <c r="DK88" i="1"/>
  <c r="DK13" i="1"/>
  <c r="DK360" i="1"/>
  <c r="DK388" i="1"/>
  <c r="DK116" i="1"/>
  <c r="DK344" i="1"/>
  <c r="DK190" i="1"/>
  <c r="AX299" i="1"/>
  <c r="DK487" i="1"/>
  <c r="DK455" i="1"/>
  <c r="DK484" i="1"/>
  <c r="DK196" i="1"/>
  <c r="DK474" i="1"/>
  <c r="DK29" i="1"/>
  <c r="DK489" i="1"/>
  <c r="DK278" i="1"/>
  <c r="DK226" i="1"/>
  <c r="DK125" i="1"/>
  <c r="DK334" i="1"/>
  <c r="DK371" i="1"/>
  <c r="DK316" i="1"/>
  <c r="DK120" i="1"/>
  <c r="DK9" i="1"/>
  <c r="DK15" i="1"/>
  <c r="DK456" i="1"/>
  <c r="DK467" i="1"/>
  <c r="DK182" i="1"/>
  <c r="DK406" i="1"/>
  <c r="DK102" i="1"/>
  <c r="DK59" i="1"/>
  <c r="DP484" i="1"/>
  <c r="AX278" i="1"/>
  <c r="AX9" i="1"/>
  <c r="DK452" i="1"/>
  <c r="DK214" i="1"/>
  <c r="DK378" i="1"/>
  <c r="DK365" i="1"/>
  <c r="DK445" i="1"/>
  <c r="DK204" i="1"/>
  <c r="DK136" i="1"/>
  <c r="DK320" i="1"/>
  <c r="AX494" i="1"/>
  <c r="DP28" i="1"/>
  <c r="DP302" i="1"/>
  <c r="DP399" i="1"/>
  <c r="DP138" i="1"/>
  <c r="DK16" i="1"/>
  <c r="DK219" i="1"/>
  <c r="DK382" i="1"/>
  <c r="DK236" i="1"/>
  <c r="DK99" i="1"/>
  <c r="DK52" i="1"/>
  <c r="DK180" i="1"/>
  <c r="DK216" i="1"/>
  <c r="DK268" i="1"/>
  <c r="DK31" i="1"/>
  <c r="DK232" i="1"/>
  <c r="DK210" i="1"/>
  <c r="DK158" i="1"/>
  <c r="DK486" i="1"/>
  <c r="DK409" i="1"/>
  <c r="DP6" i="1"/>
  <c r="AX151" i="1"/>
  <c r="DK151" i="1"/>
  <c r="AX69" i="1"/>
  <c r="DK69" i="1"/>
  <c r="AX32" i="1"/>
  <c r="DK32" i="1"/>
  <c r="AX350" i="1"/>
  <c r="DK350" i="1"/>
  <c r="AX326" i="1"/>
  <c r="DK326" i="1"/>
  <c r="AX92" i="1"/>
  <c r="DK92" i="1"/>
  <c r="AX428" i="1"/>
  <c r="DK428" i="1"/>
  <c r="AX431" i="1"/>
  <c r="DK431" i="1"/>
  <c r="AX470" i="1"/>
  <c r="DK470" i="1"/>
  <c r="AX392" i="1"/>
  <c r="DK392" i="1"/>
  <c r="AX385" i="1"/>
  <c r="DK385" i="1"/>
  <c r="AX444" i="1"/>
  <c r="DK444" i="1"/>
  <c r="AX288" i="1"/>
  <c r="DK288" i="1"/>
  <c r="AX297" i="1"/>
  <c r="DK297" i="1"/>
  <c r="AX153" i="1"/>
  <c r="DK153" i="1"/>
  <c r="AX135" i="1"/>
  <c r="DK135" i="1"/>
  <c r="AX417" i="1"/>
  <c r="DK417" i="1"/>
  <c r="AX374" i="1"/>
  <c r="DK374" i="1"/>
  <c r="AX368" i="1"/>
  <c r="DK368" i="1"/>
  <c r="AX471" i="1"/>
  <c r="DK471" i="1"/>
  <c r="AX131" i="1"/>
  <c r="DK131" i="1"/>
  <c r="AX198" i="1"/>
  <c r="DK198" i="1"/>
  <c r="AX429" i="1"/>
  <c r="DK429" i="1"/>
  <c r="AX97" i="1"/>
  <c r="DK97" i="1"/>
  <c r="AX34" i="1"/>
  <c r="DK34" i="1"/>
  <c r="AX303" i="1"/>
  <c r="DK303" i="1"/>
  <c r="AX340" i="1"/>
  <c r="DK340" i="1"/>
  <c r="AX171" i="1"/>
  <c r="DK171" i="1"/>
  <c r="AX75" i="1"/>
  <c r="DK75" i="1"/>
  <c r="AX333" i="1"/>
  <c r="DK333" i="1"/>
  <c r="AX218" i="1"/>
  <c r="DK218" i="1"/>
  <c r="AX448" i="1"/>
  <c r="DK448" i="1"/>
  <c r="AX332" i="1"/>
  <c r="DK332" i="1"/>
  <c r="AX415" i="1"/>
  <c r="DK415" i="1"/>
  <c r="AX312" i="1"/>
  <c r="DK312" i="1"/>
  <c r="AX424" i="1"/>
  <c r="DK424" i="1"/>
  <c r="AX123" i="1"/>
  <c r="DK123" i="1"/>
  <c r="AX215" i="1"/>
  <c r="DK215" i="1"/>
  <c r="AX286" i="1"/>
  <c r="DK286" i="1"/>
  <c r="AX498" i="1"/>
  <c r="DK498" i="1"/>
  <c r="AX410" i="1"/>
  <c r="DK410" i="1"/>
  <c r="AX48" i="1"/>
  <c r="DK48" i="1"/>
  <c r="AX339" i="1"/>
  <c r="DK339" i="1"/>
  <c r="AX141" i="1"/>
  <c r="DK141" i="1"/>
  <c r="AX124" i="1"/>
  <c r="DK124" i="1"/>
  <c r="AX499" i="1"/>
  <c r="DK499" i="1"/>
  <c r="AX447" i="1"/>
  <c r="DK447" i="1"/>
  <c r="AX322" i="1"/>
  <c r="DK322" i="1"/>
  <c r="AX331" i="1"/>
  <c r="DK331" i="1"/>
  <c r="AX107" i="1"/>
  <c r="DK107" i="1"/>
  <c r="AX341" i="1"/>
  <c r="DK341" i="1"/>
  <c r="AX352" i="1"/>
  <c r="DK352" i="1"/>
  <c r="AX249" i="1"/>
  <c r="DK249" i="1"/>
  <c r="AX289" i="1"/>
  <c r="DK289" i="1"/>
  <c r="AX132" i="1"/>
  <c r="DK132" i="1"/>
  <c r="AX46" i="1"/>
  <c r="DK46" i="1"/>
  <c r="AX89" i="1"/>
  <c r="DK89" i="1"/>
  <c r="AX143" i="1"/>
  <c r="DK143" i="1"/>
  <c r="AX231" i="1"/>
  <c r="DK231" i="1"/>
  <c r="AX469" i="1"/>
  <c r="DK469" i="1"/>
  <c r="AX263" i="1"/>
  <c r="DK263" i="1"/>
  <c r="AX435" i="1"/>
  <c r="DK435" i="1"/>
  <c r="AX96" i="1"/>
  <c r="DK96" i="1"/>
  <c r="AX221" i="1"/>
  <c r="DK221" i="1"/>
  <c r="AX193" i="1"/>
  <c r="DK193" i="1"/>
  <c r="AX465" i="1"/>
  <c r="DK465" i="1"/>
  <c r="AX222" i="1"/>
  <c r="DK222" i="1"/>
  <c r="AX264" i="1"/>
  <c r="DK264" i="1"/>
  <c r="AX275" i="1"/>
  <c r="DK275" i="1"/>
  <c r="AX269" i="1"/>
  <c r="DK269" i="1"/>
  <c r="AX314" i="1"/>
  <c r="DK314" i="1"/>
  <c r="AX208" i="1"/>
  <c r="DK208" i="1"/>
  <c r="AX497" i="1"/>
  <c r="DK497" i="1"/>
  <c r="AX345" i="1"/>
  <c r="DK345" i="1"/>
  <c r="AX176" i="1"/>
  <c r="DK176" i="1"/>
  <c r="AX145" i="1"/>
  <c r="DK145" i="1"/>
  <c r="AX473" i="1"/>
  <c r="DK473" i="1"/>
  <c r="AX122" i="1"/>
  <c r="DK122" i="1"/>
  <c r="AX504" i="1"/>
  <c r="DK504" i="1"/>
  <c r="AX404" i="1"/>
  <c r="DK404" i="1"/>
  <c r="AX330" i="1"/>
  <c r="DK330" i="1"/>
  <c r="AX139" i="1"/>
  <c r="DK139" i="1"/>
  <c r="AX200" i="1"/>
  <c r="DK200" i="1"/>
  <c r="AX81" i="1"/>
  <c r="DK81" i="1"/>
  <c r="AX273" i="1"/>
  <c r="DK273" i="1"/>
  <c r="AX206" i="1"/>
  <c r="DK206" i="1"/>
  <c r="AX393" i="1"/>
  <c r="DK393" i="1"/>
  <c r="AX152" i="1"/>
  <c r="DK152" i="1"/>
  <c r="AX250" i="1"/>
  <c r="DK250" i="1"/>
  <c r="AX329" i="1"/>
  <c r="DK329" i="1"/>
  <c r="AX419" i="1"/>
  <c r="DK419" i="1"/>
  <c r="AX257" i="1"/>
  <c r="DK257" i="1"/>
  <c r="AX440" i="1"/>
  <c r="DK440" i="1"/>
  <c r="AX68" i="1"/>
  <c r="DK68" i="1"/>
  <c r="AX84" i="1"/>
  <c r="DK84" i="1"/>
  <c r="AX181" i="1"/>
  <c r="DK181" i="1"/>
  <c r="AX77" i="1"/>
  <c r="DK77" i="1"/>
  <c r="AX47" i="1"/>
  <c r="DK47" i="1"/>
  <c r="AX379" i="1"/>
  <c r="DK379" i="1"/>
  <c r="AX386" i="1"/>
  <c r="DK386" i="1"/>
  <c r="AX70" i="1"/>
  <c r="DK70" i="1"/>
  <c r="AX500" i="1"/>
  <c r="DK500" i="1"/>
  <c r="AX197" i="1"/>
  <c r="DK197" i="1"/>
  <c r="AX55" i="1"/>
  <c r="DK55" i="1"/>
  <c r="AX477" i="1"/>
  <c r="DK477" i="1"/>
  <c r="AX492" i="1"/>
  <c r="DK492" i="1"/>
  <c r="AX115" i="1"/>
  <c r="DK115" i="1"/>
  <c r="AX191" i="1"/>
  <c r="DK191" i="1"/>
  <c r="AX174" i="1"/>
  <c r="DK174" i="1"/>
  <c r="AX20" i="1"/>
  <c r="DK20" i="1"/>
  <c r="AX223" i="1"/>
  <c r="DK223" i="1"/>
  <c r="AX82" i="1"/>
  <c r="DK82" i="1"/>
  <c r="AX238" i="1"/>
  <c r="DK238" i="1"/>
  <c r="AX179" i="1"/>
  <c r="DK179" i="1"/>
  <c r="AX41" i="1"/>
  <c r="DK41" i="1"/>
  <c r="AX482" i="1"/>
  <c r="DK482" i="1"/>
  <c r="AX54" i="1"/>
  <c r="DK54" i="1"/>
  <c r="AX351" i="1"/>
  <c r="DK351" i="1"/>
  <c r="AX408" i="1"/>
  <c r="DK408" i="1"/>
  <c r="AX42" i="1"/>
  <c r="DK42" i="1"/>
  <c r="AX67" i="1"/>
  <c r="DK67" i="1"/>
  <c r="AX284" i="1"/>
  <c r="DK284" i="1"/>
  <c r="AX336" i="1"/>
  <c r="DK336" i="1"/>
  <c r="AX328" i="1"/>
  <c r="DK328" i="1"/>
  <c r="AX468" i="1"/>
  <c r="DK468" i="1"/>
  <c r="AX361" i="1"/>
  <c r="DK361" i="1"/>
  <c r="AX389" i="1"/>
  <c r="DK389" i="1"/>
  <c r="AX133" i="1"/>
  <c r="DK133" i="1"/>
  <c r="AX224" i="1"/>
  <c r="DK224" i="1"/>
  <c r="AX188" i="1"/>
  <c r="DK188" i="1"/>
  <c r="AX311" i="1"/>
  <c r="DK311" i="1"/>
  <c r="AX488" i="1"/>
  <c r="DK488" i="1"/>
  <c r="AX315" i="1"/>
  <c r="DK315" i="1"/>
  <c r="AX377" i="1"/>
  <c r="DK377" i="1"/>
  <c r="AX403" i="1"/>
  <c r="DK403" i="1"/>
  <c r="AX307" i="1"/>
  <c r="DK307" i="1"/>
  <c r="AX213" i="1"/>
  <c r="DK213" i="1"/>
  <c r="AX79" i="1"/>
  <c r="DK79" i="1"/>
  <c r="AX98" i="1"/>
  <c r="DK98" i="1"/>
  <c r="AX72" i="1"/>
  <c r="DK72" i="1"/>
  <c r="AX114" i="1"/>
  <c r="DK114" i="1"/>
  <c r="AX325" i="1"/>
  <c r="DK325" i="1"/>
  <c r="AX234" i="1"/>
  <c r="DK234" i="1"/>
  <c r="AX60" i="1"/>
  <c r="DK60" i="1"/>
  <c r="AX163" i="1"/>
  <c r="DK163" i="1"/>
  <c r="AX323" i="1"/>
  <c r="DK323" i="1"/>
  <c r="AX45" i="1"/>
  <c r="DK45" i="1"/>
  <c r="AX248" i="1"/>
  <c r="DK248" i="1"/>
  <c r="AX353" i="1"/>
  <c r="DK353" i="1"/>
  <c r="AX87" i="1"/>
  <c r="DK87" i="1"/>
  <c r="AX495" i="1"/>
  <c r="DK495" i="1"/>
  <c r="AX381" i="1"/>
  <c r="DK381" i="1"/>
  <c r="AX22" i="1"/>
  <c r="DK22" i="1"/>
  <c r="AX183" i="1"/>
  <c r="DK183" i="1"/>
  <c r="AX245" i="1"/>
  <c r="DK245" i="1"/>
  <c r="AX24" i="1"/>
  <c r="DK24" i="1"/>
  <c r="AX451" i="1"/>
  <c r="DK451" i="1"/>
  <c r="AX396" i="1"/>
  <c r="DK396" i="1"/>
  <c r="AX202" i="1"/>
  <c r="DK202" i="1"/>
  <c r="AX207" i="1"/>
  <c r="DK207" i="1"/>
  <c r="AX240" i="1"/>
  <c r="DK240" i="1"/>
  <c r="AX287" i="1"/>
  <c r="DK287" i="1"/>
  <c r="AX355" i="1"/>
  <c r="DK355" i="1"/>
  <c r="AX449" i="1"/>
  <c r="DK449" i="1"/>
  <c r="AX254" i="1"/>
  <c r="DK254" i="1"/>
  <c r="AX159" i="1"/>
  <c r="DK159" i="1"/>
  <c r="AX64" i="1"/>
  <c r="DK64" i="1"/>
  <c r="AX167" i="1"/>
  <c r="DK167" i="1"/>
  <c r="AX425" i="1"/>
  <c r="DK425" i="1"/>
  <c r="AX242" i="1"/>
  <c r="DK242" i="1"/>
  <c r="AX279" i="1"/>
  <c r="DK279" i="1"/>
  <c r="AX407" i="1"/>
  <c r="DK407" i="1"/>
  <c r="AX50" i="1"/>
  <c r="DK50" i="1"/>
  <c r="AX309" i="1"/>
  <c r="DK309" i="1"/>
  <c r="AX184" i="1"/>
  <c r="DK184" i="1"/>
  <c r="AX319" i="1"/>
  <c r="DK319" i="1"/>
  <c r="AX140" i="1"/>
  <c r="DK140" i="1"/>
  <c r="AX304" i="1"/>
  <c r="DK304" i="1"/>
  <c r="AX258" i="1"/>
  <c r="DK258" i="1"/>
  <c r="AX421" i="1"/>
  <c r="DK421" i="1"/>
  <c r="AX150" i="1"/>
  <c r="DK150" i="1"/>
  <c r="AX370" i="1"/>
  <c r="DK370" i="1"/>
  <c r="AX237" i="1"/>
  <c r="DK237" i="1"/>
  <c r="AX359" i="1"/>
  <c r="DK359" i="1"/>
  <c r="AX416" i="1"/>
  <c r="DK416" i="1"/>
  <c r="AX164" i="1"/>
  <c r="DK164" i="1"/>
  <c r="AX437" i="1"/>
  <c r="DK437" i="1"/>
  <c r="AX366" i="1"/>
  <c r="DK366" i="1"/>
  <c r="AX347" i="1"/>
  <c r="DK347" i="1"/>
  <c r="AX397" i="1"/>
  <c r="DK397" i="1"/>
  <c r="AX427" i="1"/>
  <c r="DK427" i="1"/>
  <c r="AX80" i="1"/>
  <c r="DK80" i="1"/>
  <c r="AX146" i="1"/>
  <c r="DK146" i="1"/>
  <c r="AX217" i="1"/>
  <c r="DK217" i="1"/>
  <c r="AX112" i="1"/>
  <c r="DK112" i="1"/>
  <c r="AX450" i="1"/>
  <c r="DK450" i="1"/>
  <c r="AX293" i="1"/>
  <c r="DK293" i="1"/>
  <c r="AX423" i="1"/>
  <c r="DK423" i="1"/>
  <c r="AX290" i="1"/>
  <c r="DK290" i="1"/>
  <c r="AX260" i="1"/>
  <c r="DK260" i="1"/>
  <c r="AX212" i="1"/>
  <c r="DK212" i="1"/>
  <c r="AX65" i="1"/>
  <c r="DK65" i="1"/>
  <c r="AX262" i="1"/>
  <c r="DK262" i="1"/>
  <c r="AX27" i="1"/>
  <c r="DK27" i="1"/>
  <c r="AX501" i="1"/>
  <c r="DK501" i="1"/>
  <c r="AX134" i="1"/>
  <c r="DK134" i="1"/>
  <c r="AX178" i="1"/>
  <c r="DK178" i="1"/>
  <c r="AX209" i="1"/>
  <c r="DK209" i="1"/>
  <c r="AX436" i="1"/>
  <c r="DK436" i="1"/>
  <c r="AX476" i="1"/>
  <c r="DK476" i="1"/>
  <c r="AX230" i="1"/>
  <c r="DK230" i="1"/>
  <c r="AX235" i="1"/>
  <c r="DK235" i="1"/>
  <c r="AX76" i="1"/>
  <c r="DK76" i="1"/>
  <c r="AX36" i="1"/>
  <c r="DK36" i="1"/>
  <c r="AX86" i="1"/>
  <c r="DK86" i="1"/>
  <c r="AX129" i="1"/>
  <c r="DK129" i="1"/>
  <c r="AX39" i="1"/>
  <c r="DK39" i="1"/>
  <c r="AX349" i="1"/>
  <c r="DK349" i="1"/>
  <c r="AX411" i="1"/>
  <c r="DK411" i="1"/>
  <c r="AX53" i="1"/>
  <c r="DK53" i="1"/>
  <c r="AX195" i="1"/>
  <c r="DK195" i="1"/>
  <c r="AX177" i="1"/>
  <c r="DK177" i="1"/>
  <c r="AX442" i="1"/>
  <c r="DK442" i="1"/>
  <c r="AX105" i="1"/>
  <c r="DK105" i="1"/>
  <c r="AX418" i="1"/>
  <c r="DK418" i="1"/>
  <c r="AX255" i="1"/>
  <c r="DK255" i="1"/>
  <c r="AX144" i="1"/>
  <c r="DK144" i="1"/>
  <c r="AX142" i="1"/>
  <c r="DK142" i="1"/>
  <c r="AX502" i="1"/>
  <c r="DK502" i="1"/>
  <c r="AX432" i="1"/>
  <c r="DK432" i="1"/>
  <c r="AX168" i="1"/>
  <c r="DK168" i="1"/>
  <c r="AX56" i="1"/>
  <c r="DK56" i="1"/>
  <c r="AX463" i="1"/>
  <c r="DK463" i="1"/>
  <c r="AX270" i="1"/>
  <c r="DK270" i="1"/>
  <c r="AX95" i="1"/>
  <c r="DK95" i="1"/>
  <c r="AX276" i="1"/>
  <c r="DK276" i="1"/>
  <c r="AX357" i="1"/>
  <c r="DK357" i="1"/>
  <c r="AX363" i="1"/>
  <c r="DK363" i="1"/>
  <c r="AX189" i="1"/>
  <c r="DK189" i="1"/>
  <c r="AX25" i="1"/>
  <c r="DK25" i="1"/>
  <c r="AX356" i="1"/>
  <c r="DK356" i="1"/>
  <c r="AX441" i="1"/>
  <c r="DK441" i="1"/>
  <c r="AX160" i="1"/>
  <c r="DK160" i="1"/>
  <c r="AX57" i="1"/>
  <c r="DK57" i="1"/>
  <c r="AX491" i="1"/>
  <c r="DK491" i="1"/>
  <c r="AX391" i="1"/>
  <c r="DK391" i="1"/>
  <c r="AX453" i="1"/>
  <c r="DK453" i="1"/>
  <c r="AX162" i="1"/>
  <c r="DK162" i="1"/>
  <c r="AX296" i="1"/>
  <c r="DK296" i="1"/>
  <c r="AX300" i="1"/>
  <c r="DK300" i="1"/>
  <c r="AX362" i="1"/>
  <c r="DK362" i="1"/>
  <c r="AX233" i="1"/>
  <c r="DK233" i="1"/>
  <c r="AX454" i="1"/>
  <c r="DK454" i="1"/>
  <c r="AX91" i="1"/>
  <c r="DK91" i="1"/>
  <c r="AX61" i="1"/>
  <c r="DK61" i="1"/>
  <c r="AX313" i="1"/>
  <c r="DK313" i="1"/>
  <c r="AX358" i="1"/>
  <c r="DK358" i="1"/>
  <c r="AX241" i="1"/>
  <c r="DK241" i="1"/>
  <c r="AX383" i="1"/>
  <c r="DK383" i="1"/>
  <c r="AX49" i="1"/>
  <c r="DK49" i="1"/>
  <c r="AX364" i="1"/>
  <c r="DK364" i="1"/>
  <c r="AX438" i="1"/>
  <c r="DK438" i="1"/>
  <c r="AX256" i="1"/>
  <c r="DK256" i="1"/>
  <c r="AX479" i="1"/>
  <c r="DK479" i="1"/>
  <c r="AX252" i="1"/>
  <c r="DK252" i="1"/>
  <c r="AX199" i="1"/>
  <c r="DK199" i="1"/>
  <c r="AX402" i="1"/>
  <c r="DK402" i="1"/>
  <c r="AX337" i="1"/>
  <c r="DK337" i="1"/>
  <c r="AX394" i="1"/>
  <c r="DK394" i="1"/>
  <c r="AX128" i="1"/>
  <c r="DK128" i="1"/>
  <c r="U91" i="1"/>
  <c r="AX405" i="1"/>
  <c r="DK405" i="1"/>
  <c r="AX280" i="1"/>
  <c r="DK280" i="1"/>
  <c r="AX321" i="1"/>
  <c r="DK321" i="1"/>
  <c r="AX71" i="1"/>
  <c r="DK71" i="1"/>
  <c r="AX90" i="1"/>
  <c r="DK90" i="1"/>
  <c r="AX310" i="1"/>
  <c r="DK310" i="1"/>
  <c r="AX58" i="1"/>
  <c r="DK58" i="1"/>
  <c r="AX83" i="1"/>
  <c r="DK83" i="1"/>
  <c r="AX475" i="1"/>
  <c r="DK475" i="1"/>
  <c r="AX395" i="1"/>
  <c r="DK395" i="1"/>
  <c r="AX481" i="1"/>
  <c r="DK481" i="1"/>
  <c r="AX243" i="1"/>
  <c r="DK243" i="1"/>
  <c r="AX434" i="1"/>
  <c r="DK434" i="1"/>
  <c r="AX443" i="1"/>
  <c r="DK443" i="1"/>
  <c r="AX401" i="1"/>
  <c r="DK401" i="1"/>
  <c r="AX324" i="1"/>
  <c r="DK324" i="1"/>
  <c r="AX478" i="1"/>
  <c r="DK478" i="1"/>
  <c r="AX338" i="1"/>
  <c r="DK338" i="1"/>
  <c r="AX367" i="1"/>
  <c r="DK367" i="1"/>
  <c r="AX187" i="1"/>
  <c r="DK187" i="1"/>
  <c r="AX480" i="1"/>
  <c r="DK480" i="1"/>
  <c r="AX108" i="1"/>
  <c r="DK108" i="1"/>
  <c r="AX51" i="1"/>
  <c r="DK51" i="1"/>
  <c r="AX19" i="1"/>
  <c r="DK19" i="1"/>
  <c r="AX380" i="1"/>
  <c r="DK380" i="1"/>
  <c r="AX130" i="1"/>
  <c r="DK130" i="1"/>
  <c r="AX390" i="1"/>
  <c r="DK390" i="1"/>
  <c r="AX117" i="1"/>
  <c r="DK117" i="1"/>
  <c r="AX261" i="1"/>
  <c r="DK261" i="1"/>
  <c r="AX342" i="1"/>
  <c r="DK342" i="1"/>
  <c r="AX66" i="1"/>
  <c r="DK66" i="1"/>
  <c r="AX259" i="1"/>
  <c r="DK259" i="1"/>
  <c r="AX346" i="1"/>
  <c r="DK346" i="1"/>
  <c r="AX373" i="1"/>
  <c r="DK373" i="1"/>
  <c r="AX265" i="1"/>
  <c r="DK265" i="1"/>
  <c r="AX154" i="1"/>
  <c r="DK154" i="1"/>
  <c r="AX211" i="1"/>
  <c r="DK211" i="1"/>
  <c r="AX78" i="1"/>
  <c r="DK78" i="1"/>
  <c r="AX420" i="1"/>
  <c r="DK420" i="1"/>
  <c r="AX430" i="1"/>
  <c r="DK430" i="1"/>
  <c r="AX26" i="1"/>
  <c r="DK26" i="1"/>
  <c r="AX185" i="1"/>
  <c r="DK185" i="1"/>
  <c r="AX137" i="1"/>
  <c r="DK137" i="1"/>
  <c r="AX483" i="1"/>
  <c r="DK483" i="1"/>
  <c r="AX157" i="1"/>
  <c r="DK157" i="1"/>
  <c r="U233" i="1"/>
  <c r="U162" i="1"/>
  <c r="U342" i="1"/>
  <c r="U331" i="1"/>
  <c r="U58" i="1"/>
  <c r="AX412" i="1"/>
  <c r="DK412" i="1"/>
  <c r="AX44" i="1"/>
  <c r="DK44" i="1"/>
  <c r="AX225" i="1"/>
  <c r="DK225" i="1"/>
  <c r="AX186" i="1"/>
  <c r="DK186" i="1"/>
  <c r="AX201" i="1"/>
  <c r="DK201" i="1"/>
  <c r="AX335" i="1"/>
  <c r="DK335" i="1"/>
  <c r="AX384" i="1"/>
  <c r="DK384" i="1"/>
  <c r="AX229" i="1"/>
  <c r="DK229" i="1"/>
  <c r="AX166" i="1"/>
  <c r="DK166" i="1"/>
  <c r="AX205" i="1"/>
  <c r="DK205" i="1"/>
  <c r="AX387" i="1"/>
  <c r="DK387" i="1"/>
  <c r="AX461" i="1"/>
  <c r="DK461" i="1"/>
  <c r="AX272" i="1"/>
  <c r="DK272" i="1"/>
  <c r="AX298" i="1"/>
  <c r="DK298" i="1"/>
  <c r="AX18" i="1"/>
  <c r="DK18" i="1"/>
  <c r="AX426" i="1"/>
  <c r="DK426" i="1"/>
  <c r="AX271" i="1"/>
  <c r="DK271" i="1"/>
  <c r="AX291" i="1"/>
  <c r="DK291" i="1"/>
  <c r="AX266" i="1"/>
  <c r="DK266" i="1"/>
  <c r="AX63" i="1"/>
  <c r="DK63" i="1"/>
  <c r="AX94" i="1"/>
  <c r="DK94" i="1"/>
  <c r="AX127" i="1"/>
  <c r="DK127" i="1"/>
  <c r="AX292" i="1"/>
  <c r="DK292" i="1"/>
  <c r="AX175" i="1"/>
  <c r="DK175" i="1"/>
  <c r="AX251" i="1"/>
  <c r="DK251" i="1"/>
  <c r="AX101" i="1"/>
  <c r="DK101" i="1"/>
  <c r="AX458" i="1"/>
  <c r="DK458" i="1"/>
  <c r="AX104" i="1"/>
  <c r="DK104" i="1"/>
  <c r="AX165" i="1"/>
  <c r="DK165" i="1"/>
  <c r="AX40" i="1"/>
  <c r="DK40" i="1"/>
  <c r="AX194" i="1"/>
  <c r="DK194" i="1"/>
  <c r="AX73" i="1"/>
  <c r="DK73" i="1"/>
  <c r="AX354" i="1"/>
  <c r="DK354" i="1"/>
  <c r="AX118" i="1"/>
  <c r="DK118" i="1"/>
  <c r="AX253" i="1"/>
  <c r="DK253" i="1"/>
  <c r="AX267" i="1"/>
  <c r="DK267" i="1"/>
  <c r="AX283" i="1"/>
  <c r="DK283" i="1"/>
  <c r="AX466" i="1"/>
  <c r="DK466" i="1"/>
  <c r="AX376" i="1"/>
  <c r="DK376" i="1"/>
  <c r="AX247" i="1"/>
  <c r="DK247" i="1"/>
  <c r="AX119" i="1"/>
  <c r="DK119" i="1"/>
  <c r="AX192" i="1"/>
  <c r="DK192" i="1"/>
  <c r="AX244" i="1"/>
  <c r="DK244" i="1"/>
  <c r="AX161" i="1"/>
  <c r="DK161" i="1"/>
  <c r="AX295" i="1"/>
  <c r="DK295" i="1"/>
  <c r="U50" i="1"/>
  <c r="U381" i="1"/>
  <c r="U173" i="1"/>
  <c r="DP119" i="1" s="1"/>
  <c r="AX5" i="1"/>
  <c r="U278" i="1"/>
  <c r="DP278" i="1" s="1"/>
  <c r="U375" i="1"/>
  <c r="U434" i="1"/>
  <c r="U286" i="1"/>
  <c r="U390" i="1"/>
  <c r="U392" i="1"/>
  <c r="U456" i="1"/>
  <c r="DP99" i="1" s="1"/>
  <c r="U226" i="1"/>
  <c r="U55" i="1"/>
  <c r="U383" i="1"/>
  <c r="U461" i="1"/>
  <c r="U277" i="1"/>
  <c r="U469" i="1"/>
  <c r="U405" i="1"/>
  <c r="U288" i="1"/>
  <c r="U247" i="1"/>
  <c r="U265" i="1"/>
  <c r="DP264" i="1" s="1"/>
  <c r="U108" i="1"/>
  <c r="DP13" i="1" s="1"/>
  <c r="U320" i="1"/>
  <c r="U141" i="1"/>
  <c r="DP344" i="1" s="1"/>
  <c r="U427" i="1"/>
  <c r="U397" i="1"/>
  <c r="U178" i="1"/>
  <c r="U460" i="1"/>
  <c r="U333" i="1"/>
  <c r="DP466" i="1" s="1"/>
  <c r="U503" i="1"/>
  <c r="U61" i="1"/>
  <c r="U155" i="1"/>
  <c r="U104" i="1"/>
  <c r="DP290" i="1" s="1"/>
  <c r="U441" i="1"/>
  <c r="U453" i="1"/>
  <c r="U135" i="1"/>
  <c r="U270" i="1"/>
  <c r="DP260" i="1" s="1"/>
  <c r="U330" i="1"/>
  <c r="U217" i="1"/>
  <c r="U142" i="1"/>
  <c r="U122" i="1"/>
  <c r="U63" i="1"/>
  <c r="U250" i="1"/>
  <c r="U79" i="1"/>
  <c r="U311" i="1"/>
  <c r="U300" i="1"/>
  <c r="U429" i="1"/>
  <c r="U448" i="1"/>
  <c r="U70" i="1"/>
  <c r="DP332" i="1" s="1"/>
  <c r="U92" i="1"/>
  <c r="U47" i="1"/>
  <c r="U169" i="1"/>
  <c r="U14" i="1"/>
  <c r="U378" i="1"/>
  <c r="U293" i="1"/>
  <c r="U235" i="1"/>
  <c r="DP297" i="1" s="1"/>
  <c r="U29" i="1"/>
  <c r="DP275" i="1" s="1"/>
  <c r="U414" i="1"/>
  <c r="U125" i="1"/>
  <c r="U23" i="1"/>
  <c r="U341" i="1"/>
  <c r="DP424" i="1" s="1"/>
  <c r="U145" i="1"/>
  <c r="DP134" i="1" s="1"/>
  <c r="U112" i="1"/>
  <c r="U497" i="1"/>
  <c r="U372" i="1"/>
  <c r="DP364" i="1" s="1"/>
  <c r="U210" i="1"/>
  <c r="U107" i="1"/>
  <c r="U435" i="1"/>
  <c r="DP49" i="1" s="1"/>
  <c r="U501" i="1"/>
  <c r="DP256" i="1" s="1"/>
  <c r="U206" i="1"/>
  <c r="DP146" i="1" s="1"/>
  <c r="U325" i="1"/>
  <c r="U5" i="1"/>
  <c r="U147" i="1"/>
  <c r="U502" i="1"/>
  <c r="U452" i="1"/>
  <c r="U159" i="1"/>
  <c r="U480" i="1"/>
  <c r="U114" i="1"/>
  <c r="U285" i="1"/>
  <c r="U477" i="1"/>
  <c r="U39" i="1"/>
  <c r="DP312" i="1" s="1"/>
  <c r="U463" i="1"/>
  <c r="U110" i="1"/>
  <c r="DP408" i="1" s="1"/>
  <c r="U77" i="1"/>
  <c r="U421" i="1"/>
  <c r="U41" i="1"/>
  <c r="U251" i="1"/>
  <c r="U73" i="1"/>
  <c r="U152" i="1"/>
  <c r="U479" i="1"/>
  <c r="U15" i="1"/>
  <c r="U172" i="1"/>
  <c r="DP191" i="1" s="1"/>
  <c r="U367" i="1"/>
  <c r="DP242" i="1" s="1"/>
  <c r="U103" i="1"/>
  <c r="DP40" i="1" s="1"/>
  <c r="U66" i="1"/>
  <c r="U117" i="1"/>
  <c r="U21" i="1"/>
  <c r="DP267" i="1" s="1"/>
  <c r="U12" i="1"/>
  <c r="U500" i="1"/>
  <c r="U459" i="1"/>
  <c r="U126" i="1"/>
  <c r="U351" i="1"/>
  <c r="U189" i="1"/>
  <c r="U214" i="1"/>
  <c r="U171" i="1"/>
  <c r="U167" i="1"/>
  <c r="U196" i="1"/>
  <c r="U376" i="1"/>
  <c r="U154" i="1"/>
  <c r="DP354" i="1" s="1"/>
  <c r="U295" i="1"/>
  <c r="DP118" i="1" s="1"/>
  <c r="U7" i="1"/>
  <c r="U229" i="1"/>
  <c r="U25" i="1"/>
  <c r="U244" i="1"/>
  <c r="U185" i="1"/>
  <c r="DP185" i="1" s="1"/>
  <c r="U9" i="1"/>
  <c r="U143" i="1"/>
  <c r="U357" i="1"/>
  <c r="U370" i="1"/>
  <c r="U249" i="1"/>
  <c r="U298" i="1"/>
  <c r="U71" i="1"/>
  <c r="U385" i="1"/>
  <c r="DP346" i="1" s="1"/>
  <c r="U491" i="1"/>
  <c r="DP489" i="1" s="1"/>
  <c r="U59" i="1"/>
  <c r="U258" i="1"/>
  <c r="DP254" i="1" s="1"/>
  <c r="U430" i="1"/>
  <c r="U337" i="1"/>
  <c r="U188" i="1"/>
  <c r="DP188" i="1" s="1"/>
  <c r="U184" i="1"/>
  <c r="U124" i="1"/>
  <c r="U181" i="1"/>
  <c r="U89" i="1"/>
  <c r="DP355" i="1" s="1"/>
  <c r="U224" i="1"/>
  <c r="U398" i="1"/>
  <c r="DP398" i="1" s="1"/>
  <c r="U269" i="1"/>
  <c r="U158" i="1"/>
  <c r="U374" i="1"/>
  <c r="U149" i="1"/>
  <c r="U467" i="1"/>
  <c r="DP221" i="1" s="1"/>
  <c r="U420" i="1"/>
  <c r="U27" i="1"/>
  <c r="U34" i="1"/>
  <c r="DP482" i="1" s="1"/>
  <c r="U314" i="1"/>
  <c r="U42" i="1"/>
  <c r="U437" i="1"/>
  <c r="U234" i="1"/>
  <c r="DP183" i="1" s="1"/>
  <c r="U368" i="1"/>
  <c r="U440" i="1"/>
  <c r="DP315" i="1" s="1"/>
  <c r="U82" i="1"/>
  <c r="U472" i="1"/>
  <c r="DP472" i="1" s="1"/>
  <c r="U38" i="1"/>
  <c r="U161" i="1"/>
  <c r="DP451" i="1" s="1"/>
  <c r="U76" i="1"/>
  <c r="DP268" i="1" s="1"/>
  <c r="U349" i="1"/>
  <c r="DP36" i="1" s="1"/>
  <c r="U313" i="1"/>
  <c r="U95" i="1"/>
  <c r="U132" i="1"/>
  <c r="U394" i="1"/>
  <c r="U321" i="1"/>
  <c r="U442" i="1"/>
  <c r="U252" i="1"/>
  <c r="U239" i="1"/>
  <c r="DP239" i="1" s="1"/>
  <c r="U16" i="1"/>
  <c r="DP24" i="1" s="1"/>
  <c r="U426" i="1"/>
  <c r="U423" i="1"/>
  <c r="DP45" i="1" s="1"/>
  <c r="U80" i="1"/>
  <c r="U198" i="1"/>
  <c r="U373" i="1"/>
  <c r="U225" i="1"/>
  <c r="U283" i="1"/>
  <c r="U504" i="1"/>
  <c r="U78" i="1"/>
  <c r="U150" i="1"/>
  <c r="U465" i="1"/>
  <c r="U139" i="1"/>
  <c r="U415" i="1"/>
  <c r="U450" i="1"/>
  <c r="DP240" i="1" s="1"/>
  <c r="U195" i="1"/>
  <c r="DP470" i="1" s="1"/>
  <c r="U85" i="1"/>
  <c r="U62" i="1"/>
  <c r="U203" i="1"/>
  <c r="U289" i="1"/>
  <c r="U438" i="1"/>
  <c r="U401" i="1"/>
  <c r="U86" i="1"/>
  <c r="U447" i="1"/>
  <c r="U37" i="1"/>
  <c r="DP37" i="1" s="1"/>
  <c r="U222" i="1"/>
  <c r="U81" i="1"/>
  <c r="DP359" i="1" s="1"/>
  <c r="U316" i="1"/>
  <c r="U106" i="1"/>
  <c r="DP106" i="1" s="1"/>
  <c r="U136" i="1"/>
  <c r="U309" i="1"/>
  <c r="U493" i="1"/>
  <c r="U232" i="1"/>
  <c r="U358" i="1"/>
  <c r="U263" i="1"/>
  <c r="U90" i="1"/>
  <c r="U193" i="1"/>
  <c r="U431" i="1"/>
  <c r="U219" i="1"/>
  <c r="U439" i="1"/>
  <c r="U365" i="1"/>
  <c r="U120" i="1"/>
  <c r="U487" i="1"/>
  <c r="U343" i="1"/>
  <c r="U287" i="1"/>
  <c r="DP231" i="1" s="1"/>
  <c r="U272" i="1"/>
  <c r="U443" i="1"/>
  <c r="U177" i="1"/>
  <c r="U113" i="1"/>
  <c r="DP350" i="1" s="1"/>
  <c r="U51" i="1"/>
  <c r="U130" i="1"/>
  <c r="U468" i="1"/>
  <c r="U157" i="1"/>
  <c r="U292" i="1"/>
  <c r="U334" i="1"/>
  <c r="DP334" i="1" s="1"/>
  <c r="U170" i="1"/>
  <c r="DP352" i="1" s="1"/>
  <c r="U276" i="1"/>
  <c r="U209" i="1"/>
  <c r="U395" i="1"/>
  <c r="U216" i="1"/>
  <c r="U83" i="1"/>
  <c r="U386" i="1"/>
  <c r="U262" i="1"/>
  <c r="U43" i="1"/>
  <c r="U299" i="1"/>
  <c r="U464" i="1"/>
  <c r="DP329" i="1" s="1"/>
  <c r="U53" i="1"/>
  <c r="U433" i="1"/>
  <c r="DP433" i="1" s="1"/>
  <c r="U478" i="1"/>
  <c r="U326" i="1"/>
  <c r="U69" i="1"/>
  <c r="U259" i="1"/>
  <c r="DP46" i="1" s="1"/>
  <c r="U402" i="1"/>
  <c r="U60" i="1"/>
  <c r="U345" i="1"/>
  <c r="U393" i="1"/>
  <c r="DP461" i="1" s="1"/>
  <c r="U498" i="1"/>
  <c r="DP166" i="1" s="1"/>
  <c r="U389" i="1"/>
  <c r="DP389" i="1" s="1"/>
  <c r="U228" i="1"/>
  <c r="U494" i="1"/>
  <c r="U44" i="1"/>
  <c r="U67" i="1"/>
  <c r="U197" i="1"/>
  <c r="U407" i="1"/>
  <c r="U266" i="1"/>
  <c r="U304" i="1"/>
  <c r="U455" i="1"/>
  <c r="U215" i="1"/>
  <c r="U223" i="1"/>
  <c r="U361" i="1"/>
  <c r="U483" i="1"/>
  <c r="U492" i="1"/>
  <c r="U98" i="1"/>
  <c r="U65" i="1"/>
  <c r="DP298" i="1" s="1"/>
  <c r="U10" i="1"/>
  <c r="DP10" i="1" s="1"/>
  <c r="U237" i="1"/>
  <c r="U255" i="1"/>
  <c r="U335" i="1"/>
  <c r="U410" i="1"/>
  <c r="U471" i="1"/>
  <c r="U246" i="1"/>
  <c r="U68" i="1"/>
  <c r="U93" i="1"/>
  <c r="U176" i="1"/>
  <c r="U360" i="1"/>
  <c r="U96" i="1"/>
  <c r="DP291" i="1" s="1"/>
  <c r="U432" i="1"/>
  <c r="DP94" i="1" s="1"/>
  <c r="U336" i="1"/>
  <c r="DP296" i="1" s="1"/>
  <c r="U328" i="1"/>
  <c r="U20" i="1"/>
  <c r="U245" i="1"/>
  <c r="U116" i="1"/>
  <c r="DP391" i="1" s="1"/>
  <c r="U238" i="1"/>
  <c r="U416" i="1"/>
  <c r="U347" i="1"/>
  <c r="U75" i="1"/>
  <c r="U212" i="1"/>
  <c r="U261" i="1"/>
  <c r="U133" i="1"/>
  <c r="U227" i="1"/>
  <c r="DP475" i="1" s="1"/>
  <c r="U362" i="1"/>
  <c r="DP57" i="1" s="1"/>
  <c r="U230" i="1"/>
  <c r="U462" i="1"/>
  <c r="U322" i="1"/>
  <c r="U156" i="1"/>
  <c r="DP156" i="1" s="1"/>
  <c r="U54" i="1"/>
  <c r="DP454" i="1" s="1"/>
  <c r="U101" i="1"/>
  <c r="DP463" i="1" s="1"/>
  <c r="U319" i="1"/>
  <c r="DP187" i="1" s="1"/>
  <c r="U30" i="1"/>
  <c r="U100" i="1"/>
  <c r="U190" i="1"/>
  <c r="U19" i="1"/>
  <c r="U74" i="1"/>
  <c r="DP74" i="1" s="1"/>
  <c r="U201" i="1"/>
  <c r="U129" i="1"/>
  <c r="U31" i="1"/>
  <c r="DP387" i="1" s="1"/>
  <c r="U26" i="1"/>
  <c r="U400" i="1"/>
  <c r="DP205" i="1" s="1"/>
  <c r="U121" i="1"/>
  <c r="DP121" i="1" s="1"/>
  <c r="U422" i="1"/>
  <c r="U128" i="1"/>
  <c r="U303" i="1"/>
  <c r="U241" i="1"/>
  <c r="DP338" i="1" s="1"/>
  <c r="U284" i="1"/>
  <c r="U419" i="1"/>
  <c r="DP56" i="1" s="1"/>
  <c r="U207" i="1"/>
  <c r="U151" i="1"/>
  <c r="DP418" i="1" s="1"/>
  <c r="U72" i="1"/>
  <c r="U317" i="1"/>
  <c r="DP18" i="1" s="1"/>
  <c r="U324" i="1"/>
  <c r="U404" i="1"/>
  <c r="DP32" i="1" s="1"/>
  <c r="U294" i="1"/>
  <c r="DP294" i="1" s="1"/>
  <c r="U384" i="1"/>
  <c r="U88" i="1"/>
  <c r="DP11" i="1" s="1"/>
  <c r="U488" i="1"/>
  <c r="DP363" i="1" s="1"/>
  <c r="U340" i="1"/>
  <c r="U339" i="1"/>
  <c r="U280" i="1"/>
  <c r="DP307" i="1" s="1"/>
  <c r="U175" i="1"/>
  <c r="DP180" i="1" s="1"/>
  <c r="U369" i="1"/>
  <c r="U485" i="1"/>
  <c r="U499" i="1"/>
  <c r="U208" i="1"/>
  <c r="U411" i="1"/>
  <c r="U218" i="1"/>
  <c r="U412" i="1"/>
  <c r="U64" i="1"/>
  <c r="U273" i="1"/>
  <c r="U476" i="1"/>
  <c r="U153" i="1"/>
  <c r="U271" i="1"/>
  <c r="U279" i="1"/>
  <c r="U168" i="1"/>
  <c r="U204" i="1"/>
  <c r="U33" i="1"/>
  <c r="U199" i="1"/>
  <c r="U186" i="1"/>
  <c r="DP377" i="1" s="1"/>
  <c r="U194" i="1"/>
  <c r="U445" i="1"/>
  <c r="U144" i="1"/>
  <c r="U490" i="1"/>
  <c r="DP141" i="1" s="1"/>
  <c r="U8" i="1"/>
  <c r="DP25" i="1" s="1"/>
  <c r="DP47" i="1" l="1"/>
  <c r="DP368" i="1"/>
  <c r="DP227" i="1"/>
  <c r="DP77" i="1"/>
  <c r="DP229" i="1"/>
  <c r="DP206" i="1"/>
  <c r="DP392" i="1"/>
  <c r="DP441" i="1"/>
  <c r="DP86" i="1"/>
  <c r="DP450" i="1"/>
  <c r="DP430" i="1"/>
  <c r="DP395" i="1"/>
  <c r="DP150" i="1"/>
  <c r="DP343" i="1"/>
  <c r="DP114" i="1"/>
  <c r="DP151" i="1"/>
  <c r="DP34" i="1"/>
  <c r="DP502" i="1"/>
  <c r="DP349" i="1"/>
  <c r="DP66" i="1"/>
  <c r="DP397" i="1"/>
  <c r="DP244" i="1"/>
  <c r="DP326" i="1"/>
  <c r="DP272" i="1"/>
  <c r="DP261" i="1"/>
  <c r="DP292" i="1"/>
  <c r="DP20" i="1"/>
  <c r="DP50" i="1"/>
  <c r="DP372" i="1"/>
  <c r="DP42" i="1"/>
  <c r="DP412" i="1"/>
  <c r="DP158" i="1"/>
  <c r="DP316" i="1"/>
  <c r="DP91" i="1"/>
  <c r="DP258" i="1"/>
  <c r="DP81" i="1"/>
  <c r="DP189" i="1"/>
  <c r="DP498" i="1"/>
  <c r="DP225" i="1"/>
  <c r="DP90" i="1"/>
  <c r="DP108" i="1"/>
  <c r="DP322" i="1"/>
  <c r="DP249" i="1"/>
  <c r="DP477" i="1"/>
  <c r="DP162" i="1"/>
  <c r="DP393" i="1"/>
  <c r="DP435" i="1"/>
  <c r="DP358" i="1"/>
  <c r="DP381" i="1"/>
  <c r="DP273" i="1"/>
  <c r="DP218" i="1"/>
  <c r="DP378" i="1"/>
  <c r="DP351" i="1"/>
  <c r="DP288" i="1"/>
  <c r="DP314" i="1"/>
  <c r="DP304" i="1"/>
  <c r="DP483" i="1"/>
  <c r="DP198" i="1"/>
  <c r="DP497" i="1"/>
  <c r="DP325" i="1"/>
  <c r="DP289" i="1"/>
  <c r="DP279" i="1"/>
  <c r="DP212" i="1"/>
  <c r="DP117" i="1"/>
  <c r="DP266" i="1"/>
  <c r="DP286" i="1"/>
  <c r="DP370" i="1"/>
  <c r="DP269" i="1"/>
  <c r="DP339" i="1"/>
  <c r="DP112" i="1"/>
  <c r="DP394" i="1"/>
  <c r="DP429" i="1"/>
  <c r="DP345" i="1"/>
  <c r="DP270" i="1"/>
  <c r="DP362" i="1"/>
  <c r="DP402" i="1"/>
  <c r="DP9" i="1"/>
  <c r="DP439" i="1"/>
  <c r="DP103" i="1"/>
  <c r="DP110" i="1"/>
  <c r="DP135" i="1"/>
  <c r="DP494" i="1"/>
  <c r="DP317" i="1"/>
  <c r="DP485" i="1"/>
  <c r="DP79" i="1"/>
  <c r="DP365" i="1"/>
  <c r="DP421" i="1"/>
  <c r="DP228" i="1"/>
  <c r="DP38" i="1"/>
  <c r="DP460" i="1"/>
  <c r="DP464" i="1"/>
  <c r="DP96" i="1"/>
  <c r="DP207" i="1"/>
  <c r="DP420" i="1"/>
  <c r="DP299" i="1"/>
  <c r="DP491" i="1"/>
  <c r="DP124" i="1"/>
  <c r="DP419" i="1"/>
  <c r="DP262" i="1"/>
  <c r="DP287" i="1"/>
  <c r="DP54" i="1"/>
  <c r="DP65" i="1"/>
  <c r="DP63" i="1"/>
  <c r="DP5" i="1"/>
  <c r="DP501" i="1"/>
  <c r="DP92" i="1"/>
  <c r="DP55" i="1"/>
  <c r="DP410" i="1"/>
  <c r="DP493" i="1"/>
  <c r="DP367" i="1"/>
  <c r="DP259" i="1"/>
  <c r="DP16" i="1"/>
  <c r="DP128" i="1"/>
  <c r="DP100" i="1"/>
  <c r="DP414" i="1"/>
  <c r="DP149" i="1"/>
  <c r="DP335" i="1"/>
  <c r="DP440" i="1"/>
  <c r="DP95" i="1"/>
  <c r="DP223" i="1"/>
  <c r="DP311" i="1"/>
  <c r="DP361" i="1"/>
  <c r="DP252" i="1"/>
  <c r="DP331" i="1"/>
  <c r="DP129" i="1"/>
  <c r="DP69" i="1"/>
  <c r="DP230" i="1"/>
  <c r="DP241" i="1"/>
  <c r="DP376" i="1"/>
  <c r="DP71" i="1"/>
  <c r="DP201" i="1"/>
  <c r="DP232" i="1"/>
  <c r="DP426" i="1"/>
  <c r="DP68" i="1"/>
  <c r="DP416" i="1"/>
  <c r="DP62" i="1"/>
  <c r="DP82" i="1"/>
  <c r="DP373" i="1"/>
  <c r="DP195" i="1"/>
  <c r="DP217" i="1"/>
  <c r="DP336" i="1"/>
  <c r="DP139" i="1"/>
  <c r="DP375" i="1"/>
  <c r="DP23" i="1"/>
  <c r="DP30" i="1"/>
  <c r="DP160" i="1"/>
  <c r="DP504" i="1"/>
  <c r="DP238" i="1"/>
  <c r="DP147" i="1"/>
  <c r="DP487" i="1"/>
  <c r="DP33" i="1"/>
  <c r="DP48" i="1"/>
  <c r="DP186" i="1"/>
  <c r="DP75" i="1"/>
  <c r="DP425" i="1"/>
  <c r="DP356" i="1"/>
  <c r="DP401" i="1"/>
  <c r="DP233" i="1"/>
  <c r="DP22" i="1"/>
  <c r="DP115" i="1"/>
  <c r="DP500" i="1"/>
  <c r="DP209" i="1"/>
  <c r="DP245" i="1"/>
  <c r="DP444" i="1"/>
  <c r="DP41" i="1"/>
  <c r="DP284" i="1"/>
  <c r="DP366" i="1"/>
  <c r="DP253" i="1"/>
  <c r="DP78" i="1"/>
  <c r="DP250" i="1"/>
  <c r="DP380" i="1"/>
  <c r="DP179" i="1"/>
  <c r="DP449" i="1"/>
  <c r="DP101" i="1"/>
  <c r="DP153" i="1"/>
  <c r="DP161" i="1"/>
  <c r="DP310" i="1"/>
  <c r="DP321" i="1"/>
  <c r="DP87" i="1"/>
  <c r="DP83" i="1"/>
  <c r="DP280" i="1"/>
  <c r="DP499" i="1"/>
  <c r="DP432" i="1"/>
  <c r="DP237" i="1"/>
  <c r="DP84" i="1"/>
  <c r="DP379" i="1"/>
  <c r="DP202" i="1"/>
  <c r="DP193" i="1"/>
  <c r="DP458" i="1"/>
  <c r="DP319" i="1"/>
  <c r="DP295" i="1"/>
  <c r="DP434" i="1"/>
  <c r="DP200" i="1"/>
  <c r="DP396" i="1"/>
  <c r="DP492" i="1"/>
  <c r="DP385" i="1"/>
  <c r="DP265" i="1"/>
  <c r="DP73" i="1"/>
  <c r="DP437" i="1"/>
  <c r="DP347" i="1"/>
  <c r="DP192" i="1"/>
  <c r="DP403" i="1"/>
  <c r="DP353" i="1"/>
  <c r="DP479" i="1"/>
  <c r="DP184" i="1"/>
  <c r="DP219" i="1"/>
  <c r="DP503" i="1"/>
  <c r="DP216" i="1"/>
  <c r="DP486" i="1"/>
  <c r="DP109" i="1"/>
  <c r="DP413" i="1"/>
  <c r="DP21" i="1"/>
  <c r="DP285" i="1"/>
  <c r="DP303" i="1"/>
  <c r="DP384" i="1"/>
  <c r="DP476" i="1"/>
  <c r="DP495" i="1"/>
  <c r="DP194" i="1"/>
  <c r="DP438" i="1"/>
  <c r="DP404" i="1"/>
  <c r="DP98" i="1"/>
  <c r="DP447" i="1"/>
  <c r="DP167" i="1"/>
  <c r="DP330" i="1"/>
  <c r="DP452" i="1"/>
  <c r="DP170" i="1"/>
  <c r="DP467" i="1"/>
  <c r="DP226" i="1"/>
  <c r="DP445" i="1"/>
  <c r="DP52" i="1"/>
  <c r="DP369" i="1"/>
  <c r="DP85" i="1"/>
  <c r="DP490" i="1"/>
  <c r="DP388" i="1"/>
  <c r="DP282" i="1"/>
  <c r="DP104" i="1"/>
  <c r="DP305" i="1"/>
  <c r="DP459" i="1"/>
  <c r="DP382" i="1"/>
  <c r="DP213" i="1"/>
  <c r="DP271" i="1"/>
  <c r="DP481" i="1"/>
  <c r="DP58" i="1"/>
  <c r="DP44" i="1"/>
  <c r="DP131" i="1"/>
  <c r="DP53" i="1"/>
  <c r="DP174" i="1"/>
  <c r="DP130" i="1"/>
  <c r="DP427" i="1"/>
  <c r="DP72" i="1"/>
  <c r="DP340" i="1"/>
  <c r="DP61" i="1"/>
  <c r="DP324" i="1"/>
  <c r="DP132" i="1"/>
  <c r="DP197" i="1"/>
  <c r="DP323" i="1"/>
  <c r="DP152" i="1"/>
  <c r="DP276" i="1"/>
  <c r="DP163" i="1"/>
  <c r="DP76" i="1"/>
  <c r="DP251" i="1"/>
  <c r="DP67" i="1"/>
  <c r="DP407" i="1"/>
  <c r="DP177" i="1"/>
  <c r="DP247" i="1"/>
  <c r="DP328" i="1"/>
  <c r="DP211" i="1"/>
  <c r="DP137" i="1"/>
  <c r="DP436" i="1"/>
  <c r="DP357" i="1"/>
  <c r="DP243" i="1"/>
  <c r="DP374" i="1"/>
  <c r="DP453" i="1"/>
  <c r="DP127" i="1"/>
  <c r="DP341" i="1"/>
  <c r="DP248" i="1"/>
  <c r="DP469" i="1"/>
  <c r="DP175" i="1"/>
  <c r="DP428" i="1"/>
  <c r="DP443" i="1"/>
  <c r="DP64" i="1"/>
  <c r="DP19" i="1"/>
  <c r="DP164" i="1"/>
  <c r="DP27" i="1"/>
  <c r="DP468" i="1"/>
  <c r="DP208" i="1"/>
  <c r="DP140" i="1"/>
  <c r="DP337" i="1"/>
  <c r="DP246" i="1"/>
  <c r="DP409" i="1"/>
  <c r="DP172" i="1"/>
  <c r="DP203" i="1"/>
  <c r="DP360" i="1"/>
  <c r="DP31" i="1"/>
  <c r="DP176" i="1"/>
  <c r="DP133" i="1"/>
  <c r="DP348" i="1"/>
  <c r="DP120" i="1"/>
  <c r="DP43" i="1"/>
  <c r="DP12" i="1"/>
  <c r="DP224" i="1"/>
  <c r="DP390" i="1"/>
  <c r="DP283" i="1"/>
  <c r="DP116" i="1"/>
  <c r="DP210" i="1"/>
  <c r="DP93" i="1"/>
  <c r="DP422" i="1"/>
  <c r="DP15" i="1"/>
  <c r="DP155" i="1"/>
  <c r="DP281" i="1"/>
  <c r="DP318" i="1"/>
  <c r="DP190" i="1"/>
  <c r="DP214" i="1"/>
  <c r="DP8" i="1"/>
  <c r="DP257" i="1"/>
  <c r="DP51" i="1"/>
  <c r="DP293" i="1"/>
  <c r="DP442" i="1"/>
  <c r="DP417" i="1"/>
  <c r="DP26" i="1"/>
  <c r="DP29" i="1"/>
  <c r="DP173" i="1"/>
  <c r="DP148" i="1"/>
  <c r="DP136" i="1"/>
  <c r="DP455" i="1"/>
  <c r="DP122" i="1"/>
  <c r="DP126" i="1"/>
  <c r="DP204" i="1"/>
  <c r="DP406" i="1"/>
  <c r="DP308" i="1"/>
  <c r="DP474" i="1"/>
  <c r="DP142" i="1"/>
  <c r="DP405" i="1"/>
  <c r="DP235" i="1"/>
  <c r="DP471" i="1"/>
  <c r="DP97" i="1"/>
  <c r="DP181" i="1"/>
  <c r="DP107" i="1"/>
  <c r="DP300" i="1"/>
  <c r="DP465" i="1"/>
  <c r="DP165" i="1"/>
  <c r="DP80" i="1"/>
  <c r="DP448" i="1"/>
  <c r="DP145" i="1"/>
  <c r="DP327" i="1"/>
  <c r="DP182" i="1"/>
  <c r="DP496" i="1"/>
  <c r="DP277" i="1"/>
  <c r="DP7" i="1"/>
  <c r="DP306" i="1"/>
  <c r="DP236" i="1"/>
  <c r="DP113" i="1"/>
  <c r="DP333" i="1"/>
  <c r="DP123" i="1"/>
  <c r="DP234" i="1"/>
  <c r="DP313" i="1"/>
  <c r="DP168" i="1"/>
  <c r="DP255" i="1"/>
  <c r="DP144" i="1"/>
  <c r="DP89" i="1"/>
  <c r="DP215" i="1"/>
  <c r="DP386" i="1"/>
  <c r="DP70" i="1"/>
  <c r="DP263" i="1"/>
  <c r="DP143" i="1"/>
  <c r="DP171" i="1"/>
  <c r="DP60" i="1"/>
  <c r="DP39" i="1"/>
  <c r="DP431" i="1"/>
  <c r="DP488" i="1"/>
  <c r="DP411" i="1"/>
  <c r="DP478" i="1"/>
  <c r="DP480" i="1"/>
  <c r="DP342" i="1"/>
  <c r="DP154" i="1"/>
  <c r="DP222" i="1"/>
  <c r="DP159" i="1"/>
  <c r="DP383" i="1"/>
  <c r="DP415" i="1"/>
  <c r="DP473" i="1"/>
  <c r="DP105" i="1"/>
  <c r="DP423" i="1"/>
  <c r="DP309" i="1"/>
  <c r="DP199" i="1"/>
  <c r="DP196" i="1"/>
  <c r="DP59" i="1"/>
  <c r="DP157" i="1"/>
  <c r="DP371" i="1"/>
  <c r="DP102" i="1"/>
  <c r="DP400" i="1"/>
  <c r="DP14" i="1"/>
  <c r="DP178" i="1"/>
  <c r="DP456" i="1"/>
  <c r="DP320" i="1"/>
  <c r="DP35" i="1"/>
  <c r="DP462" i="1"/>
  <c r="DP169" i="1"/>
  <c r="DP88" i="1"/>
  <c r="DP125" i="1"/>
  <c r="DM5" i="1"/>
  <c r="H36" i="2" s="1"/>
  <c r="BA4" i="1"/>
  <c r="H26" i="2" s="1"/>
  <c r="DP505" i="1" l="1"/>
  <c r="H41" i="2" s="1"/>
</calcChain>
</file>

<file path=xl/sharedStrings.xml><?xml version="1.0" encoding="utf-8"?>
<sst xmlns="http://schemas.openxmlformats.org/spreadsheetml/2006/main" count="242" uniqueCount="114">
  <si>
    <t>gender</t>
  </si>
  <si>
    <t>age</t>
  </si>
  <si>
    <t>field of work</t>
  </si>
  <si>
    <t>Health</t>
  </si>
  <si>
    <t>Education</t>
  </si>
  <si>
    <t>Technology</t>
  </si>
  <si>
    <t>Social Service</t>
  </si>
  <si>
    <t>Agriculture</t>
  </si>
  <si>
    <t>Field of work</t>
  </si>
  <si>
    <t>High School</t>
  </si>
  <si>
    <t>College</t>
  </si>
  <si>
    <t>University</t>
  </si>
  <si>
    <t xml:space="preserve">Technical </t>
  </si>
  <si>
    <t>Other</t>
  </si>
  <si>
    <t>kids</t>
  </si>
  <si>
    <t>Vehicles</t>
  </si>
  <si>
    <t>income</t>
  </si>
  <si>
    <t>Bedfordshire</t>
  </si>
  <si>
    <t>Berkshire</t>
  </si>
  <si>
    <t>Bristol</t>
  </si>
  <si>
    <t>Buckinghamshire</t>
  </si>
  <si>
    <t>Cambridgeshire</t>
  </si>
  <si>
    <t>Cheshire</t>
  </si>
  <si>
    <t>City of London</t>
  </si>
  <si>
    <t>Cornwall</t>
  </si>
  <si>
    <t>Cumbria</t>
  </si>
  <si>
    <t>Derbyshire</t>
  </si>
  <si>
    <t>Devon</t>
  </si>
  <si>
    <t>Dorset</t>
  </si>
  <si>
    <t>County Durham</t>
  </si>
  <si>
    <t>East Riding of Yorkshire</t>
  </si>
  <si>
    <t>East Sussex</t>
  </si>
  <si>
    <t>Essex</t>
  </si>
  <si>
    <t>Gloucestershire</t>
  </si>
  <si>
    <t>Greater London</t>
  </si>
  <si>
    <t>Greater Manchester</t>
  </si>
  <si>
    <t>Hampshire</t>
  </si>
  <si>
    <t>Herefordshire</t>
  </si>
  <si>
    <t>Hertfordshire</t>
  </si>
  <si>
    <t>Isle of Wight</t>
  </si>
  <si>
    <t>Kent</t>
  </si>
  <si>
    <t>Lancashire</t>
  </si>
  <si>
    <t>Leicestershire</t>
  </si>
  <si>
    <t>Lincolnshire</t>
  </si>
  <si>
    <t>Merseyside</t>
  </si>
  <si>
    <t>Norfolk</t>
  </si>
  <si>
    <t>North Yorkshire</t>
  </si>
  <si>
    <t>Northamptonshire</t>
  </si>
  <si>
    <t>Northumberland</t>
  </si>
  <si>
    <t>Oxfordshire</t>
  </si>
  <si>
    <t>Nottinghamshire</t>
  </si>
  <si>
    <t>Rutland</t>
  </si>
  <si>
    <t>Shropshire</t>
  </si>
  <si>
    <t>Somerset</t>
  </si>
  <si>
    <t>South Yorkshire</t>
  </si>
  <si>
    <t>Staffordshire</t>
  </si>
  <si>
    <t>Suffolk</t>
  </si>
  <si>
    <t>Surrey</t>
  </si>
  <si>
    <t>Tyne and Wear</t>
  </si>
  <si>
    <t>Warwickshire</t>
  </si>
  <si>
    <t>West Midlands</t>
  </si>
  <si>
    <t>West Sussex</t>
  </si>
  <si>
    <t>West Yorkshire</t>
  </si>
  <si>
    <t>Wiltshire</t>
  </si>
  <si>
    <t>Worcestershire</t>
  </si>
  <si>
    <t xml:space="preserve">      Counties                 </t>
  </si>
  <si>
    <t>County</t>
  </si>
  <si>
    <t>Value of House</t>
  </si>
  <si>
    <t>Mortage Left</t>
  </si>
  <si>
    <t>Car Value</t>
  </si>
  <si>
    <t xml:space="preserve">Car Debt </t>
  </si>
  <si>
    <t>Debts</t>
  </si>
  <si>
    <t>Investments</t>
  </si>
  <si>
    <t xml:space="preserve">Value of the person </t>
  </si>
  <si>
    <t>Value of Debts</t>
  </si>
  <si>
    <t>Net Worth (£)</t>
  </si>
  <si>
    <t>Column1</t>
  </si>
  <si>
    <t>Column2</t>
  </si>
  <si>
    <t>Column3</t>
  </si>
  <si>
    <t>Men vs Women</t>
  </si>
  <si>
    <t>Men</t>
  </si>
  <si>
    <t>Women</t>
  </si>
  <si>
    <t>Number of Men</t>
  </si>
  <si>
    <t>Number of Women</t>
  </si>
  <si>
    <t>Average Age</t>
  </si>
  <si>
    <t>Construction</t>
  </si>
  <si>
    <t xml:space="preserve">Technology </t>
  </si>
  <si>
    <t>No of Health</t>
  </si>
  <si>
    <t>No of Construction</t>
  </si>
  <si>
    <t>No of Education</t>
  </si>
  <si>
    <t>No of Agriculture</t>
  </si>
  <si>
    <t>No of Social Service</t>
  </si>
  <si>
    <t>Average Income</t>
  </si>
  <si>
    <t>Ave value of one car</t>
  </si>
  <si>
    <t>Debt Amount</t>
  </si>
  <si>
    <t xml:space="preserve">% left to pay </t>
  </si>
  <si>
    <t xml:space="preserve">less than </t>
  </si>
  <si>
    <t>No of people have less than X% left to pay</t>
  </si>
  <si>
    <t>Avg income per county</t>
  </si>
  <si>
    <t>isle of Wight</t>
  </si>
  <si>
    <t>Avg income per sector</t>
  </si>
  <si>
    <t>\</t>
  </si>
  <si>
    <t>% of people having debts than their annual income</t>
  </si>
  <si>
    <t>Avg age of people with net worth higher than their income</t>
  </si>
  <si>
    <t>Number of men Vs Number of Women</t>
  </si>
  <si>
    <t>Number of people in each profession</t>
  </si>
  <si>
    <t>Argriculture</t>
  </si>
  <si>
    <t xml:space="preserve"> </t>
  </si>
  <si>
    <t>Average Value of a Car</t>
  </si>
  <si>
    <t>No of people with debts greater than X</t>
  </si>
  <si>
    <t>Average income per sector</t>
  </si>
  <si>
    <t>Average income per territory</t>
  </si>
  <si>
    <t>variables</t>
  </si>
  <si>
    <t>Dashboard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</si>
</sst>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£&quot;#,##0_);[Red]\(&quot;£&quot;#,##0\)"/>
    <numFmt numFmtId="8" formatCode="&quot;£&quot;#,##0.00_);[Red]\(&quot;£&quot;#,##0.00\)"/>
    <numFmt numFmtId="164" formatCode="&quot;£&quot;#,##0.00"/>
    <numFmt numFmtId="166" formatCode="_-[$£-809]* #,##0.00_-;\-[$£-809]* #,##0.00_-;_-[$£-809]* &quot;-&quot;??_-;_-@_-"/>
    <numFmt numFmtId="176" formatCode="_-[$£-809]* #,##0_-;\-[$£-809]* #,##0_-;_-[$£-809]* &quot;-&quot;??_-;_-@_-"/>
  </numFmts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22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8"/>
      <color theme="0"/>
      <name val="Aptos Narrow (Body)"/>
    </font>
    <font>
      <sz val="28"/>
      <color theme="0"/>
      <name val="Aptos Narrow"/>
      <family val="2"/>
      <scheme val="minor"/>
    </font>
    <font>
      <sz val="20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1" fontId="0" fillId="0" borderId="6" xfId="0" applyNumberFormat="1" applyBorder="1" applyAlignment="1">
      <alignment horizontal="left" indent="6"/>
    </xf>
    <xf numFmtId="0" fontId="0" fillId="0" borderId="2" xfId="0" applyBorder="1"/>
    <xf numFmtId="0" fontId="0" fillId="0" borderId="4" xfId="0" applyBorder="1" applyAlignment="1">
      <alignment horizontal="left" indent="2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0" fontId="0" fillId="0" borderId="0" xfId="0" applyBorder="1"/>
    <xf numFmtId="8" fontId="0" fillId="0" borderId="2" xfId="0" applyNumberFormat="1" applyBorder="1"/>
    <xf numFmtId="164" fontId="0" fillId="0" borderId="0" xfId="0" applyNumberFormat="1" applyBorder="1"/>
    <xf numFmtId="0" fontId="0" fillId="0" borderId="2" xfId="0" applyFill="1" applyBorder="1"/>
    <xf numFmtId="9" fontId="0" fillId="0" borderId="2" xfId="1" applyFont="1" applyBorder="1"/>
    <xf numFmtId="9" fontId="0" fillId="0" borderId="4" xfId="1" applyFont="1" applyBorder="1"/>
    <xf numFmtId="9" fontId="0" fillId="0" borderId="6" xfId="1" applyFont="1" applyBorder="1"/>
    <xf numFmtId="0" fontId="0" fillId="0" borderId="9" xfId="0" applyBorder="1"/>
    <xf numFmtId="0" fontId="0" fillId="0" borderId="10" xfId="0" applyBorder="1"/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166" fontId="0" fillId="0" borderId="6" xfId="0" applyNumberFormat="1" applyBorder="1"/>
    <xf numFmtId="166" fontId="0" fillId="0" borderId="7" xfId="0" applyNumberFormat="1" applyBorder="1"/>
    <xf numFmtId="166" fontId="0" fillId="0" borderId="8" xfId="0" applyNumberFormat="1" applyBorder="1"/>
    <xf numFmtId="0" fontId="0" fillId="0" borderId="5" xfId="0" applyFill="1" applyBorder="1" applyAlignment="1">
      <alignment horizontal="center"/>
    </xf>
    <xf numFmtId="166" fontId="0" fillId="0" borderId="6" xfId="0" applyNumberFormat="1" applyFill="1" applyBorder="1"/>
    <xf numFmtId="166" fontId="0" fillId="0" borderId="7" xfId="0" applyNumberFormat="1" applyFill="1" applyBorder="1"/>
    <xf numFmtId="166" fontId="0" fillId="0" borderId="8" xfId="0" applyNumberFormat="1" applyFill="1" applyBorder="1"/>
    <xf numFmtId="9" fontId="2" fillId="0" borderId="0" xfId="1" applyFont="1" applyBorder="1"/>
    <xf numFmtId="1" fontId="0" fillId="2" borderId="6" xfId="0" applyNumberFormat="1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166" fontId="5" fillId="0" borderId="4" xfId="0" applyNumberFormat="1" applyFont="1" applyBorder="1" applyAlignment="1">
      <alignment horizontal="center" vertical="center"/>
    </xf>
    <xf numFmtId="166" fontId="5" fillId="0" borderId="0" xfId="0" applyNumberFormat="1" applyFont="1" applyBorder="1" applyAlignment="1">
      <alignment horizontal="center" vertical="center"/>
    </xf>
    <xf numFmtId="166" fontId="5" fillId="0" borderId="5" xfId="0" applyNumberFormat="1" applyFont="1" applyBorder="1" applyAlignment="1">
      <alignment horizontal="center" vertical="center"/>
    </xf>
    <xf numFmtId="166" fontId="5" fillId="0" borderId="6" xfId="0" applyNumberFormat="1" applyFont="1" applyBorder="1" applyAlignment="1">
      <alignment horizontal="center" vertical="center"/>
    </xf>
    <xf numFmtId="166" fontId="5" fillId="0" borderId="7" xfId="0" applyNumberFormat="1" applyFont="1" applyBorder="1" applyAlignment="1">
      <alignment horizontal="center" vertical="center"/>
    </xf>
    <xf numFmtId="166" fontId="5" fillId="0" borderId="8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0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7" xfId="0" applyBorder="1" applyAlignment="1">
      <alignment horizontal="center"/>
    </xf>
    <xf numFmtId="9" fontId="5" fillId="0" borderId="1" xfId="1" applyFont="1" applyBorder="1" applyAlignment="1">
      <alignment horizontal="center" vertical="center"/>
    </xf>
    <xf numFmtId="9" fontId="5" fillId="0" borderId="2" xfId="1" applyFont="1" applyBorder="1" applyAlignment="1">
      <alignment horizontal="center" vertic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9" fontId="5" fillId="0" borderId="5" xfId="1" applyFont="1" applyBorder="1" applyAlignment="1">
      <alignment horizontal="center" vertical="center"/>
    </xf>
    <xf numFmtId="9" fontId="5" fillId="0" borderId="6" xfId="1" applyFont="1" applyBorder="1" applyAlignment="1">
      <alignment horizontal="center" vertical="center"/>
    </xf>
    <xf numFmtId="9" fontId="5" fillId="0" borderId="7" xfId="1" applyFont="1" applyBorder="1" applyAlignment="1">
      <alignment horizontal="center" vertical="center"/>
    </xf>
    <xf numFmtId="9" fontId="5" fillId="0" borderId="8" xfId="1" applyFont="1" applyBorder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1" fontId="5" fillId="0" borderId="2" xfId="1" applyNumberFormat="1" applyFont="1" applyBorder="1" applyAlignment="1">
      <alignment horizontal="center" vertical="center"/>
    </xf>
    <xf numFmtId="1" fontId="5" fillId="0" borderId="3" xfId="1" applyNumberFormat="1" applyFont="1" applyBorder="1" applyAlignment="1">
      <alignment horizontal="center" vertical="center"/>
    </xf>
    <xf numFmtId="1" fontId="5" fillId="0" borderId="4" xfId="1" applyNumberFormat="1" applyFont="1" applyBorder="1" applyAlignment="1">
      <alignment horizontal="center" vertical="center"/>
    </xf>
    <xf numFmtId="1" fontId="5" fillId="0" borderId="0" xfId="1" applyNumberFormat="1" applyFont="1" applyBorder="1" applyAlignment="1">
      <alignment horizontal="center" vertical="center"/>
    </xf>
    <xf numFmtId="1" fontId="5" fillId="0" borderId="5" xfId="1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8" fontId="9" fillId="0" borderId="0" xfId="0" applyNumberFormat="1" applyFont="1" applyBorder="1" applyAlignment="1">
      <alignment horizontal="center" vertical="center"/>
    </xf>
    <xf numFmtId="9" fontId="9" fillId="0" borderId="0" xfId="1" applyFont="1" applyBorder="1" applyAlignment="1">
      <alignment horizontal="center" vertical="center"/>
    </xf>
    <xf numFmtId="8" fontId="9" fillId="0" borderId="4" xfId="0" applyNumberFormat="1" applyFont="1" applyBorder="1" applyAlignment="1">
      <alignment horizontal="center" vertical="center"/>
    </xf>
    <xf numFmtId="9" fontId="8" fillId="0" borderId="1" xfId="1" applyFont="1" applyBorder="1" applyAlignment="1">
      <alignment horizontal="center" vertical="center"/>
    </xf>
    <xf numFmtId="9" fontId="8" fillId="0" borderId="3" xfId="1" applyFont="1" applyBorder="1" applyAlignment="1">
      <alignment horizontal="center" vertical="center"/>
    </xf>
    <xf numFmtId="9" fontId="8" fillId="0" borderId="4" xfId="1" applyFont="1" applyBorder="1" applyAlignment="1">
      <alignment horizontal="center" vertical="center"/>
    </xf>
    <xf numFmtId="9" fontId="8" fillId="0" borderId="5" xfId="1" applyFont="1" applyBorder="1" applyAlignment="1">
      <alignment horizontal="center" vertical="center"/>
    </xf>
    <xf numFmtId="9" fontId="8" fillId="0" borderId="6" xfId="1" applyFont="1" applyBorder="1" applyAlignment="1">
      <alignment horizontal="center" vertical="center"/>
    </xf>
    <xf numFmtId="9" fontId="8" fillId="0" borderId="8" xfId="1" applyFont="1" applyBorder="1" applyAlignment="1">
      <alignment horizontal="center" vertical="center"/>
    </xf>
    <xf numFmtId="176" fontId="8" fillId="0" borderId="1" xfId="1" applyNumberFormat="1" applyFont="1" applyBorder="1" applyAlignment="1">
      <alignment horizontal="center" vertical="center"/>
    </xf>
    <xf numFmtId="176" fontId="8" fillId="0" borderId="3" xfId="1" applyNumberFormat="1" applyFont="1" applyBorder="1" applyAlignment="1">
      <alignment horizontal="center" vertical="center"/>
    </xf>
    <xf numFmtId="176" fontId="8" fillId="0" borderId="4" xfId="1" applyNumberFormat="1" applyFont="1" applyBorder="1" applyAlignment="1">
      <alignment horizontal="center" vertical="center"/>
    </xf>
    <xf numFmtId="176" fontId="8" fillId="0" borderId="5" xfId="1" applyNumberFormat="1" applyFont="1" applyBorder="1" applyAlignment="1">
      <alignment horizontal="center" vertical="center"/>
    </xf>
    <xf numFmtId="176" fontId="8" fillId="0" borderId="6" xfId="1" applyNumberFormat="1" applyFont="1" applyBorder="1" applyAlignment="1">
      <alignment horizontal="center" vertical="center"/>
    </xf>
    <xf numFmtId="176" fontId="8" fillId="0" borderId="8" xfId="1" applyNumberFormat="1" applyFont="1" applyBorder="1" applyAlignment="1">
      <alignment horizontal="center" vertical="center"/>
    </xf>
    <xf numFmtId="6" fontId="8" fillId="0" borderId="1" xfId="0" applyNumberFormat="1" applyFont="1" applyBorder="1" applyAlignment="1">
      <alignment horizontal="center" vertical="center"/>
    </xf>
    <xf numFmtId="6" fontId="8" fillId="0" borderId="3" xfId="0" applyNumberFormat="1" applyFont="1" applyBorder="1" applyAlignment="1">
      <alignment horizontal="center" vertical="center"/>
    </xf>
    <xf numFmtId="6" fontId="8" fillId="0" borderId="4" xfId="0" applyNumberFormat="1" applyFont="1" applyBorder="1" applyAlignment="1">
      <alignment horizontal="center" vertical="center"/>
    </xf>
    <xf numFmtId="6" fontId="8" fillId="0" borderId="5" xfId="0" applyNumberFormat="1" applyFont="1" applyBorder="1" applyAlignment="1">
      <alignment horizontal="center" vertical="center"/>
    </xf>
    <xf numFmtId="6" fontId="8" fillId="0" borderId="6" xfId="0" applyNumberFormat="1" applyFont="1" applyBorder="1" applyAlignment="1">
      <alignment horizontal="center" vertical="center"/>
    </xf>
    <xf numFmtId="6" fontId="8" fillId="0" borderId="8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0" fontId="0" fillId="5" borderId="3" xfId="0" applyFont="1" applyFill="1" applyBorder="1" applyAlignment="1">
      <alignment horizontal="center" vertical="center"/>
    </xf>
    <xf numFmtId="0" fontId="0" fillId="5" borderId="6" xfId="0" applyFont="1" applyFill="1" applyBorder="1" applyAlignment="1">
      <alignment horizontal="center" vertical="center"/>
    </xf>
    <xf numFmtId="0" fontId="0" fillId="5" borderId="7" xfId="0" applyFont="1" applyFill="1" applyBorder="1" applyAlignment="1">
      <alignment horizontal="center" vertical="center"/>
    </xf>
    <xf numFmtId="0" fontId="0" fillId="5" borderId="8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7" fillId="6" borderId="9" xfId="0" applyFont="1" applyFill="1" applyBorder="1" applyAlignment="1">
      <alignment horizontal="center"/>
    </xf>
    <xf numFmtId="0" fontId="7" fillId="6" borderId="1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3"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Dashboard!$D$12:$G$12</c:f>
              <c:numCache>
                <c:formatCode>General</c:formatCode>
                <c:ptCount val="4"/>
                <c:pt idx="0">
                  <c:v>245</c:v>
                </c:pt>
                <c:pt idx="2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8-E14E-BA78-1D0C5E104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9042224"/>
        <c:axId val="136904393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Dashboard!$D$13:$G$13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318-E14E-BA78-1D0C5E104CB0}"/>
                  </c:ext>
                </c:extLst>
              </c15:ser>
            </c15:filteredBarSeries>
          </c:ext>
        </c:extLst>
      </c:barChart>
      <c:catAx>
        <c:axId val="136904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043936"/>
        <c:crosses val="autoZero"/>
        <c:auto val="1"/>
        <c:lblAlgn val="ctr"/>
        <c:lblOffset val="100"/>
        <c:noMultiLvlLbl val="0"/>
      </c:catAx>
      <c:valAx>
        <c:axId val="1369043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04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2.0145587270341207E-2"/>
          <c:y val="5.0420172237491914E-2"/>
          <c:w val="0.97047295357611552"/>
          <c:h val="0.8517701524986892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76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Dashboard!$L$11:$W$11</c:f>
              <c:strCache>
                <c:ptCount val="11"/>
                <c:pt idx="0">
                  <c:v>Health</c:v>
                </c:pt>
                <c:pt idx="2">
                  <c:v>Construction</c:v>
                </c:pt>
                <c:pt idx="4">
                  <c:v>Technology</c:v>
                </c:pt>
                <c:pt idx="6">
                  <c:v>Argriculture</c:v>
                </c:pt>
                <c:pt idx="8">
                  <c:v>Social Service</c:v>
                </c:pt>
                <c:pt idx="10">
                  <c:v>Education</c:v>
                </c:pt>
              </c:strCache>
            </c:strRef>
          </c:cat>
          <c:val>
            <c:numRef>
              <c:f>Dashboard!$L$12:$W$12</c:f>
              <c:numCache>
                <c:formatCode>General</c:formatCode>
                <c:ptCount val="12"/>
                <c:pt idx="0">
                  <c:v>96</c:v>
                </c:pt>
                <c:pt idx="2">
                  <c:v>72</c:v>
                </c:pt>
                <c:pt idx="4">
                  <c:v>68</c:v>
                </c:pt>
                <c:pt idx="6">
                  <c:v>87</c:v>
                </c:pt>
                <c:pt idx="8">
                  <c:v>87</c:v>
                </c:pt>
                <c:pt idx="10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CF-3F46-8BDF-C0D0C5BE5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3379967"/>
        <c:axId val="1563279679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1">
                      <a:tint val="77000"/>
                    </a:schemeClr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Dashboard!$L$11:$W$11</c15:sqref>
                        </c15:formulaRef>
                      </c:ext>
                    </c:extLst>
                    <c:strCache>
                      <c:ptCount val="11"/>
                      <c:pt idx="0">
                        <c:v>Health</c:v>
                      </c:pt>
                      <c:pt idx="2">
                        <c:v>Construction</c:v>
                      </c:pt>
                      <c:pt idx="4">
                        <c:v>Technology</c:v>
                      </c:pt>
                      <c:pt idx="6">
                        <c:v>Argriculture</c:v>
                      </c:pt>
                      <c:pt idx="8">
                        <c:v>Social Service</c:v>
                      </c:pt>
                      <c:pt idx="10">
                        <c:v>Education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Dashboard!$L$13:$W$13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1CF-3F46-8BDF-C0D0C5BE5E66}"/>
                  </c:ext>
                </c:extLst>
              </c15:ser>
            </c15:filteredBarSeries>
          </c:ext>
        </c:extLst>
      </c:barChart>
      <c:catAx>
        <c:axId val="15633799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279679"/>
        <c:auto val="1"/>
        <c:lblAlgn val="ctr"/>
        <c:lblOffset val="100"/>
        <c:noMultiLvlLbl val="0"/>
      </c:catAx>
      <c:valAx>
        <c:axId val="156327967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563379967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820192572174556E-2"/>
          <c:y val="4.1129030282058832E-2"/>
          <c:w val="0.94162387729532726"/>
          <c:h val="0.8441023469068136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Dashboard!$L$36:$W$36</c:f>
              <c:strCache>
                <c:ptCount val="11"/>
                <c:pt idx="0">
                  <c:v>Health</c:v>
                </c:pt>
                <c:pt idx="2">
                  <c:v>Construction</c:v>
                </c:pt>
                <c:pt idx="4">
                  <c:v>Technology</c:v>
                </c:pt>
                <c:pt idx="6">
                  <c:v>Argriculture</c:v>
                </c:pt>
                <c:pt idx="8">
                  <c:v>Social Service</c:v>
                </c:pt>
                <c:pt idx="10">
                  <c:v>Education</c:v>
                </c:pt>
              </c:strCache>
            </c:strRef>
          </c:cat>
          <c:val>
            <c:numRef>
              <c:f>Dashboard!$L$37:$W$37</c:f>
              <c:numCache>
                <c:formatCode>General</c:formatCode>
                <c:ptCount val="12"/>
                <c:pt idx="0">
                  <c:v>11880.394</c:v>
                </c:pt>
                <c:pt idx="2">
                  <c:v>9810.9079999999994</c:v>
                </c:pt>
                <c:pt idx="4">
                  <c:v>9443.518</c:v>
                </c:pt>
                <c:pt idx="6">
                  <c:v>11245.124</c:v>
                </c:pt>
                <c:pt idx="8">
                  <c:v>10168.382</c:v>
                </c:pt>
                <c:pt idx="10">
                  <c:v>11591.976000000001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0C-0A4D-9898-7C8EC0A975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6367759"/>
        <c:axId val="41483676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1">
                      <a:tint val="77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Dashboard!$L$36:$W$36</c15:sqref>
                        </c15:formulaRef>
                      </c:ext>
                    </c:extLst>
                    <c:strCache>
                      <c:ptCount val="11"/>
                      <c:pt idx="0">
                        <c:v>Health</c:v>
                      </c:pt>
                      <c:pt idx="2">
                        <c:v>Construction</c:v>
                      </c:pt>
                      <c:pt idx="4">
                        <c:v>Technology</c:v>
                      </c:pt>
                      <c:pt idx="6">
                        <c:v>Argriculture</c:v>
                      </c:pt>
                      <c:pt idx="8">
                        <c:v>Social Service</c:v>
                      </c:pt>
                      <c:pt idx="10">
                        <c:v>Education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Dashboard!$L$38:$W$38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40C-0A4D-9898-7C8EC0A9756E}"/>
                  </c:ext>
                </c:extLst>
              </c15:ser>
            </c15:filteredBarSeries>
          </c:ext>
        </c:extLst>
      </c:barChart>
      <c:catAx>
        <c:axId val="167636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836767"/>
        <c:crosses val="autoZero"/>
        <c:auto val="1"/>
        <c:lblAlgn val="ctr"/>
        <c:lblOffset val="100"/>
        <c:noMultiLvlLbl val="0"/>
      </c:catAx>
      <c:valAx>
        <c:axId val="41483676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76367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169333</xdr:colOff>
      <xdr:row>13</xdr:row>
      <xdr:rowOff>135467</xdr:rowOff>
    </xdr:from>
    <xdr:to>
      <xdr:col>6</xdr:col>
      <xdr:colOff>711199</xdr:colOff>
      <xdr:row>42</xdr:row>
      <xdr:rowOff>67734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ED5ADA-E1DD-92DE-670D-7EDFF9FB4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101600</xdr:colOff>
      <xdr:row>13</xdr:row>
      <xdr:rowOff>101600</xdr:rowOff>
    </xdr:from>
    <xdr:to>
      <xdr:col>22</xdr:col>
      <xdr:colOff>728134</xdr:colOff>
      <xdr:row>32</xdr:row>
      <xdr:rowOff>135466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F1841C-A3D3-B074-858B-9BB95A8501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84665</xdr:colOff>
      <xdr:row>38</xdr:row>
      <xdr:rowOff>101600</xdr:rowOff>
    </xdr:from>
    <xdr:to>
      <xdr:col>22</xdr:col>
      <xdr:colOff>710339</xdr:colOff>
      <xdr:row>57</xdr:row>
      <xdr:rowOff>50801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E251D0-04F9-855D-0E2F-4E731C888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320B6E-D083-6A49-96AC-2174BDE193DA}" name="Table1" displayName="Table1" ref="B4:U505" totalsRowShown="0">
  <autoFilter ref="B4:U505" xr:uid="{82320B6E-D083-6A49-96AC-2174BDE193DA}">
    <filterColumn colId="10">
      <filters>
        <filter val="Bedfordshire"/>
        <filter val="Berkshire"/>
        <filter val="Bristol"/>
        <filter val="Cambridgeshire"/>
        <filter val="Cheshire"/>
        <filter val="City of London"/>
        <filter val="Cornwall"/>
        <filter val="County Durham"/>
        <filter val="Cumbria"/>
        <filter val="Derbyshire"/>
        <filter val="Devon"/>
        <filter val="Dorset"/>
        <filter val="East Riding of Yorkshire"/>
        <filter val="East Sussex"/>
        <filter val="Essex"/>
        <filter val="Gloucestershire"/>
        <filter val="Greater London"/>
        <filter val="Greater Manchester"/>
        <filter val="Hampshire"/>
        <filter val="Herefordshire"/>
        <filter val="Hertfordshire"/>
        <filter val="Isle of Wight"/>
        <filter val="Kent"/>
        <filter val="Lancashire"/>
        <filter val="Leicestershire"/>
        <filter val="Lincolnshire"/>
        <filter val="Merseyside"/>
        <filter val="Norfolk"/>
        <filter val="North Yorkshire"/>
        <filter val="Northamptonshire"/>
        <filter val="Northumberland"/>
        <filter val="Nottinghamshire"/>
        <filter val="Oxfordshire"/>
        <filter val="Rutland"/>
        <filter val="Shropshire"/>
        <filter val="Somerset"/>
        <filter val="South Yorkshire"/>
        <filter val="Staffordshire"/>
        <filter val="Suffolk"/>
        <filter val="Surrey"/>
        <filter val="Tyne and Wear"/>
        <filter val="Warwickshire"/>
        <filter val="West Midlands"/>
        <filter val="West Sussex"/>
        <filter val="West Yorkshire"/>
        <filter val="Wiltshire"/>
        <filter val="Worcestershire"/>
      </filters>
    </filterColumn>
  </autoFilter>
  <sortState xmlns:xlrd2="http://schemas.microsoft.com/office/spreadsheetml/2017/richdata2" ref="B5:U505">
    <sortCondition ref="L4:L505"/>
  </sortState>
  <tableColumns count="20">
    <tableColumn id="1" xr3:uid="{454976FE-D902-254E-99FD-0AFE7346799A}" name="gender" dataDxfId="2">
      <calculatedColumnFormula>IF(A5=1, "men", "women")</calculatedColumnFormula>
    </tableColumn>
    <tableColumn id="2" xr3:uid="{E10B2F48-5642-454D-8766-DA7DB43ECA64}" name="age" dataDxfId="1">
      <calculatedColumnFormula>RANDBETWEEN(25,50)</calculatedColumnFormula>
    </tableColumn>
    <tableColumn id="3" xr3:uid="{B3CB462C-CEB6-6D45-A81F-B892F3449825}" name="field of work">
      <calculatedColumnFormula>RANDBETWEEN(1,6)</calculatedColumnFormula>
    </tableColumn>
    <tableColumn id="4" xr3:uid="{18C1B1C5-94E0-6B4B-B42F-0FF45399BCB2}" name="Column1">
      <calculatedColumnFormula>VLOOKUP(D5,$W$5:$X$10,2)</calculatedColumnFormula>
    </tableColumn>
    <tableColumn id="5" xr3:uid="{C59686E8-8EAA-0A46-932F-70F502450339}" name="Column2">
      <calculatedColumnFormula>RANDBETWEEN(1,5)</calculatedColumnFormula>
    </tableColumn>
    <tableColumn id="6" xr3:uid="{4D1C2CC3-FE4B-9C4E-A41F-59137F083338}" name="Education">
      <calculatedColumnFormula>VLOOKUP(F5,$Y$5:$Z$9,2)</calculatedColumnFormula>
    </tableColumn>
    <tableColumn id="7" xr3:uid="{1922A6A1-33E8-5943-A91C-1D0A07378F77}" name="kids">
      <calculatedColumnFormula>RANDBETWEEN(0,4)</calculatedColumnFormula>
    </tableColumn>
    <tableColumn id="8" xr3:uid="{2BDEB605-9C03-2043-9AFD-2C9FC389CD7C}" name="Vehicles" dataDxfId="0">
      <calculatedColumnFormula>RANDBETWEEN(1,3)</calculatedColumnFormula>
    </tableColumn>
    <tableColumn id="9" xr3:uid="{7890973C-F520-604D-986B-C49FC263977C}" name="income">
      <calculatedColumnFormula>RANDBETWEEN(30000,100000)</calculatedColumnFormula>
    </tableColumn>
    <tableColumn id="10" xr3:uid="{D89F9012-83E0-F148-9495-F244BE4C5BF9}" name="Column3">
      <calculatedColumnFormula>RANDBETWEEN(1,48)</calculatedColumnFormula>
    </tableColumn>
    <tableColumn id="11" xr3:uid="{6D1C7E9F-3BCB-C744-BF8D-D94CB0E04AE5}" name="County">
      <calculatedColumnFormula>VLOOKUP(K5,$AA$5:$AB$52,2)</calculatedColumnFormula>
    </tableColumn>
    <tableColumn id="12" xr3:uid="{1C7BA287-0320-3F4E-8C48-BFEA071BB3B8}" name="Value of House">
      <calculatedColumnFormula>J5*(RANDBETWEEN(2,5))</calculatedColumnFormula>
    </tableColumn>
    <tableColumn id="13" xr3:uid="{7C31F7AD-B9CF-C244-B3ED-F86BF898DECF}" name="Mortage Left">
      <calculatedColumnFormula>RAND()*M5</calculatedColumnFormula>
    </tableColumn>
    <tableColumn id="14" xr3:uid="{2E1546A2-2ADC-8F44-9AB4-0610DE693759}" name="Car Value">
      <calculatedColumnFormula>I5*RAND()*J5</calculatedColumnFormula>
    </tableColumn>
    <tableColumn id="15" xr3:uid="{F5210109-1CF5-C041-91C4-5A09F177E006}" name="Car Debt ">
      <calculatedColumnFormula>RANDBETWEEN(0,O5)</calculatedColumnFormula>
    </tableColumn>
    <tableColumn id="16" xr3:uid="{F716A0CE-D48A-FD46-8DBB-6642B9AE66FF}" name="Debts">
      <calculatedColumnFormula>RAND()*J5*2</calculatedColumnFormula>
    </tableColumn>
    <tableColumn id="17" xr3:uid="{A9899CCD-4FCC-9443-9414-528A2AE3B842}" name="Investments">
      <calculatedColumnFormula>RAND()*J5*1.5</calculatedColumnFormula>
    </tableColumn>
    <tableColumn id="18" xr3:uid="{E270D1EA-BA1D-4A4E-B5EF-5A9C4AC1EB76}" name="Value of the person ">
      <calculatedColumnFormula>J5+R5+O5</calculatedColumnFormula>
    </tableColumn>
    <tableColumn id="19" xr3:uid="{E1A82398-0FF2-6B4C-AA68-52D3956F5309}" name="Value of Debts">
      <calculatedColumnFormula>N5+P5+Q5</calculatedColumnFormula>
    </tableColumn>
    <tableColumn id="20" xr3:uid="{A7216FB3-227F-3241-8134-515BD0D4E6F7}" name="Net Worth (£)">
      <calculatedColumnFormula>S5-T5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ED9CF-2478-444F-AF8F-2F6AA19E3C07}">
  <dimension ref="A2:DS506"/>
  <sheetViews>
    <sheetView tabSelected="1" topLeftCell="B1" zoomScale="75" workbookViewId="0">
      <selection activeCell="BK514" sqref="BK514"/>
    </sheetView>
  </sheetViews>
  <sheetFormatPr baseColWidth="10" defaultRowHeight="16" x14ac:dyDescent="0.2"/>
  <cols>
    <col min="1" max="1" width="0" hidden="1" customWidth="1"/>
    <col min="4" max="4" width="0" hidden="1" customWidth="1"/>
    <col min="5" max="5" width="12.33203125" customWidth="1"/>
    <col min="6" max="6" width="0" hidden="1" customWidth="1"/>
    <col min="7" max="7" width="11.6640625" customWidth="1"/>
    <col min="11" max="11" width="0" hidden="1" customWidth="1"/>
    <col min="13" max="13" width="15.83203125" customWidth="1"/>
    <col min="14" max="14" width="14" customWidth="1"/>
    <col min="15" max="15" width="11.5" customWidth="1"/>
    <col min="16" max="16" width="11.1640625" customWidth="1"/>
    <col min="18" max="18" width="13.83203125" customWidth="1"/>
    <col min="19" max="19" width="19.5" customWidth="1"/>
    <col min="20" max="20" width="15.5" customWidth="1"/>
    <col min="21" max="21" width="22.1640625" customWidth="1"/>
    <col min="22" max="22" width="16" customWidth="1"/>
    <col min="23" max="23" width="14.1640625" hidden="1" customWidth="1"/>
    <col min="24" max="28" width="10.6640625" hidden="1" customWidth="1"/>
    <col min="35" max="35" width="10.1640625" customWidth="1"/>
    <col min="47" max="47" width="13.83203125" customWidth="1"/>
    <col min="49" max="49" width="17.1640625" customWidth="1"/>
    <col min="50" max="50" width="15.1640625" customWidth="1"/>
    <col min="51" max="51" width="13" customWidth="1"/>
    <col min="52" max="52" width="18" customWidth="1"/>
    <col min="53" max="53" width="8.5" customWidth="1"/>
    <col min="54" max="54" width="14.5" customWidth="1"/>
    <col min="56" max="56" width="7.33203125" customWidth="1"/>
    <col min="57" max="57" width="12.6640625" customWidth="1"/>
    <col min="58" max="58" width="8.5" customWidth="1"/>
    <col min="59" max="59" width="11.83203125" customWidth="1"/>
    <col min="60" max="60" width="11.5" customWidth="1"/>
    <col min="61" max="61" width="11.33203125" customWidth="1"/>
    <col min="108" max="108" width="13.1640625" customWidth="1"/>
    <col min="109" max="109" width="12.33203125" customWidth="1"/>
    <col min="110" max="110" width="11.6640625" customWidth="1"/>
    <col min="111" max="111" width="13" customWidth="1"/>
    <col min="112" max="112" width="12.5" customWidth="1"/>
    <col min="113" max="113" width="12.1640625" customWidth="1"/>
  </cols>
  <sheetData>
    <row r="2" spans="1:123" ht="17" thickBot="1" x14ac:dyDescent="0.25"/>
    <row r="3" spans="1:123" ht="17" thickBot="1" x14ac:dyDescent="0.25">
      <c r="AC3" s="14" t="s">
        <v>79</v>
      </c>
      <c r="AD3" s="15"/>
      <c r="AE3" s="15"/>
      <c r="AF3" s="15"/>
      <c r="AG3" s="15"/>
      <c r="AH3" s="3"/>
      <c r="AI3" s="10" t="s">
        <v>84</v>
      </c>
      <c r="AJ3" s="10"/>
      <c r="AK3" s="12"/>
      <c r="AL3" s="12"/>
      <c r="AM3" s="12"/>
      <c r="AN3" s="12"/>
      <c r="AO3" s="12"/>
      <c r="AP3" s="12"/>
      <c r="AQ3" s="12"/>
      <c r="AR3" s="12"/>
      <c r="AS3" s="12"/>
      <c r="AT3" s="3"/>
      <c r="AU3" s="10" t="s">
        <v>92</v>
      </c>
      <c r="AV3" s="10" t="s">
        <v>69</v>
      </c>
      <c r="AW3" s="3" t="s">
        <v>93</v>
      </c>
      <c r="AX3" s="27"/>
      <c r="AY3" s="28"/>
      <c r="AZ3" s="28"/>
      <c r="BA3" s="28"/>
      <c r="BB3" s="28"/>
      <c r="BC3" s="28"/>
      <c r="BD3" s="28"/>
      <c r="BE3" s="28"/>
      <c r="BF3" s="28"/>
      <c r="BG3" s="10" t="s">
        <v>98</v>
      </c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3"/>
      <c r="DD3" s="10" t="s">
        <v>100</v>
      </c>
      <c r="DE3" s="12"/>
      <c r="DF3" s="12"/>
      <c r="DG3" s="12"/>
      <c r="DH3" s="12"/>
      <c r="DI3" s="3"/>
      <c r="DK3" s="10" t="s">
        <v>102</v>
      </c>
      <c r="DL3" s="12"/>
      <c r="DM3" s="12"/>
      <c r="DN3" s="3"/>
      <c r="DP3" s="10" t="s">
        <v>103</v>
      </c>
      <c r="DQ3" s="12"/>
      <c r="DR3" s="12"/>
      <c r="DS3" s="3"/>
    </row>
    <row r="4" spans="1:123" ht="17" thickBot="1" x14ac:dyDescent="0.25">
      <c r="B4" s="1" t="s">
        <v>0</v>
      </c>
      <c r="C4" s="1" t="s">
        <v>1</v>
      </c>
      <c r="D4" s="1" t="s">
        <v>2</v>
      </c>
      <c r="E4" s="1" t="s">
        <v>76</v>
      </c>
      <c r="F4" t="s">
        <v>77</v>
      </c>
      <c r="G4" t="s">
        <v>4</v>
      </c>
      <c r="H4" t="s">
        <v>14</v>
      </c>
      <c r="I4" t="s">
        <v>15</v>
      </c>
      <c r="J4" t="s">
        <v>16</v>
      </c>
      <c r="K4" t="s">
        <v>78</v>
      </c>
      <c r="L4" t="s">
        <v>66</v>
      </c>
      <c r="M4" t="s">
        <v>67</v>
      </c>
      <c r="N4" t="s">
        <v>68</v>
      </c>
      <c r="O4" t="s">
        <v>69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 t="s">
        <v>75</v>
      </c>
      <c r="W4" s="16" t="s">
        <v>8</v>
      </c>
      <c r="X4" s="16"/>
      <c r="AA4" s="16" t="s">
        <v>65</v>
      </c>
      <c r="AB4" s="16"/>
      <c r="AC4" s="4" t="s">
        <v>80</v>
      </c>
      <c r="AD4" s="1" t="s">
        <v>81</v>
      </c>
      <c r="AF4" t="s">
        <v>82</v>
      </c>
      <c r="AG4" t="s">
        <v>83</v>
      </c>
      <c r="AH4" s="5"/>
      <c r="AI4" s="11">
        <f ca="1">AVERAGE(Table1[age])</f>
        <v>37.141716566866265</v>
      </c>
      <c r="AJ4" s="13" t="s">
        <v>3</v>
      </c>
      <c r="AK4" t="s">
        <v>85</v>
      </c>
      <c r="AL4" t="s">
        <v>86</v>
      </c>
      <c r="AM4" t="s">
        <v>4</v>
      </c>
      <c r="AN4" t="s">
        <v>7</v>
      </c>
      <c r="AO4" t="s">
        <v>6</v>
      </c>
      <c r="AP4" t="s">
        <v>87</v>
      </c>
      <c r="AQ4" t="s">
        <v>88</v>
      </c>
      <c r="AR4" t="s">
        <v>89</v>
      </c>
      <c r="AS4" t="s">
        <v>90</v>
      </c>
      <c r="AT4" s="5" t="s">
        <v>91</v>
      </c>
      <c r="AU4" s="7">
        <f ca="1">AVERAGE(Table1[income])</f>
        <v>64113.473053892216</v>
      </c>
      <c r="AV4" s="17">
        <f ca="1">(O5/I5)</f>
        <v>8525.6448833071845</v>
      </c>
      <c r="AW4" s="18">
        <f ca="1">AVERAGE(AV4:AV504)</f>
        <v>31737.772943648306</v>
      </c>
      <c r="AX4" s="10" t="s">
        <v>94</v>
      </c>
      <c r="AY4" s="21">
        <v>100000</v>
      </c>
      <c r="AZ4" s="12" t="s">
        <v>109</v>
      </c>
      <c r="BA4" s="3">
        <f ca="1">SUM(AX5:AX504)</f>
        <v>414</v>
      </c>
      <c r="BB4" s="2" t="s">
        <v>95</v>
      </c>
      <c r="BC4" s="23" t="s">
        <v>96</v>
      </c>
      <c r="BD4" s="24">
        <v>0.3</v>
      </c>
      <c r="BE4" s="23" t="s">
        <v>97</v>
      </c>
      <c r="BF4" s="12">
        <f ca="1">SUM(BC5:BC504)</f>
        <v>167</v>
      </c>
      <c r="BG4" s="30" t="s">
        <v>25</v>
      </c>
      <c r="BH4" s="29" t="s">
        <v>22</v>
      </c>
      <c r="BI4" s="29" t="s">
        <v>19</v>
      </c>
      <c r="BJ4" s="29" t="s">
        <v>57</v>
      </c>
      <c r="BK4" s="29" t="s">
        <v>45</v>
      </c>
      <c r="BL4" s="29" t="s">
        <v>43</v>
      </c>
      <c r="BM4" s="29" t="s">
        <v>53</v>
      </c>
      <c r="BN4" s="29" t="s">
        <v>21</v>
      </c>
      <c r="BO4" s="29" t="s">
        <v>54</v>
      </c>
      <c r="BP4" s="29" t="s">
        <v>34</v>
      </c>
      <c r="BQ4" s="29" t="s">
        <v>36</v>
      </c>
      <c r="BR4" s="29" t="s">
        <v>33</v>
      </c>
      <c r="BS4" s="29" t="s">
        <v>61</v>
      </c>
      <c r="BT4" s="29" t="s">
        <v>27</v>
      </c>
      <c r="BU4" s="29" t="s">
        <v>18</v>
      </c>
      <c r="BV4" s="29" t="s">
        <v>55</v>
      </c>
      <c r="BW4" s="29" t="s">
        <v>42</v>
      </c>
      <c r="BX4" s="29" t="s">
        <v>24</v>
      </c>
      <c r="BY4" s="29" t="s">
        <v>99</v>
      </c>
      <c r="BZ4" s="29" t="s">
        <v>57</v>
      </c>
      <c r="CA4" s="29" t="s">
        <v>26</v>
      </c>
      <c r="CB4" s="29" t="s">
        <v>23</v>
      </c>
      <c r="CC4" s="29" t="s">
        <v>17</v>
      </c>
      <c r="CD4" s="29" t="s">
        <v>29</v>
      </c>
      <c r="CE4" s="29" t="s">
        <v>30</v>
      </c>
      <c r="CF4" s="29" t="s">
        <v>62</v>
      </c>
      <c r="CG4" s="31" t="s">
        <v>32</v>
      </c>
      <c r="CH4" s="31" t="s">
        <v>31</v>
      </c>
      <c r="CI4" s="31" t="s">
        <v>35</v>
      </c>
      <c r="CJ4" s="31" t="s">
        <v>38</v>
      </c>
      <c r="CK4" s="31" t="s">
        <v>37</v>
      </c>
      <c r="CL4" s="31" t="s">
        <v>41</v>
      </c>
      <c r="CM4" s="31" t="s">
        <v>44</v>
      </c>
      <c r="CN4" s="31" t="s">
        <v>47</v>
      </c>
      <c r="CO4" s="31" t="s">
        <v>48</v>
      </c>
      <c r="CP4" s="31" t="s">
        <v>63</v>
      </c>
      <c r="CQ4" s="31" t="s">
        <v>60</v>
      </c>
      <c r="CR4" s="31" t="s">
        <v>59</v>
      </c>
      <c r="CS4" s="31" t="s">
        <v>58</v>
      </c>
      <c r="CT4" s="31" t="s">
        <v>64</v>
      </c>
      <c r="CU4" s="31" t="s">
        <v>51</v>
      </c>
      <c r="CV4" s="31" t="s">
        <v>52</v>
      </c>
      <c r="CW4" s="31" t="s">
        <v>28</v>
      </c>
      <c r="CX4" s="31" t="s">
        <v>20</v>
      </c>
      <c r="CY4" s="31" t="s">
        <v>56</v>
      </c>
      <c r="CZ4" s="31" t="s">
        <v>46</v>
      </c>
      <c r="DA4" s="31" t="s">
        <v>40</v>
      </c>
      <c r="DB4" s="32" t="s">
        <v>26</v>
      </c>
      <c r="DD4" s="30" t="s">
        <v>3</v>
      </c>
      <c r="DE4" s="29" t="s">
        <v>7</v>
      </c>
      <c r="DF4" s="29" t="s">
        <v>5</v>
      </c>
      <c r="DG4" s="29" t="s">
        <v>6</v>
      </c>
      <c r="DH4" s="29" t="s">
        <v>4</v>
      </c>
      <c r="DI4" s="36" t="s">
        <v>85</v>
      </c>
      <c r="DK4" s="6"/>
      <c r="DL4" s="20"/>
      <c r="DM4" s="20"/>
      <c r="DN4" s="5"/>
      <c r="DP4" s="6"/>
      <c r="DQ4" s="20"/>
      <c r="DR4" s="20"/>
      <c r="DS4" s="5"/>
    </row>
    <row r="5" spans="1:123" x14ac:dyDescent="0.2">
      <c r="A5">
        <f ca="1">RANDBETWEEN(1,2)</f>
        <v>2</v>
      </c>
      <c r="B5" s="1" t="str">
        <f ca="1">IF(A5=1, "men", "women")</f>
        <v>women</v>
      </c>
      <c r="C5" s="1">
        <f ca="1">RANDBETWEEN(25,50)</f>
        <v>50</v>
      </c>
      <c r="D5">
        <f ca="1">RANDBETWEEN(1,6)</f>
        <v>3</v>
      </c>
      <c r="E5" t="str">
        <f ca="1">VLOOKUP(D5,$W$5:$X$10,2)</f>
        <v>Education</v>
      </c>
      <c r="F5">
        <f ca="1">RANDBETWEEN(1,5)</f>
        <v>4</v>
      </c>
      <c r="G5" t="str">
        <f ca="1">VLOOKUP(F5,$Y$5:$Z$9,2)</f>
        <v xml:space="preserve">Technical </v>
      </c>
      <c r="H5">
        <f ca="1">RANDBETWEEN(0,4)</f>
        <v>0</v>
      </c>
      <c r="I5">
        <f ca="1">RANDBETWEEN(1,3)</f>
        <v>2</v>
      </c>
      <c r="J5">
        <f ca="1">RANDBETWEEN(30000,100000)</f>
        <v>32071</v>
      </c>
      <c r="K5">
        <f ca="1">RANDBETWEEN(1,48)</f>
        <v>26</v>
      </c>
      <c r="L5" t="str">
        <f ca="1">VLOOKUP(K5,$AA$5:$AB$52,2)</f>
        <v>Leicestershire</v>
      </c>
      <c r="M5">
        <f ca="1">J5*(RANDBETWEEN(2,5))</f>
        <v>128284</v>
      </c>
      <c r="N5">
        <f ca="1">RAND()*M5</f>
        <v>15780.599555414963</v>
      </c>
      <c r="O5">
        <f ca="1">I5*RAND()*J5</f>
        <v>17051.289766614369</v>
      </c>
      <c r="P5">
        <f ca="1">RANDBETWEEN(0,O5)</f>
        <v>10411</v>
      </c>
      <c r="Q5">
        <f ca="1">RAND()*J5*2</f>
        <v>61142.263184928634</v>
      </c>
      <c r="R5">
        <f ca="1">RAND()*J5*1.5</f>
        <v>401.89114553928027</v>
      </c>
      <c r="S5">
        <f ca="1">J5+R5+O5</f>
        <v>49524.18091215365</v>
      </c>
      <c r="T5">
        <f ca="1">N5+P5+Q5</f>
        <v>87333.862740343597</v>
      </c>
      <c r="U5">
        <f ca="1">S5-T5</f>
        <v>-37809.681828189947</v>
      </c>
      <c r="W5">
        <v>1</v>
      </c>
      <c r="X5" t="s">
        <v>3</v>
      </c>
      <c r="Y5">
        <v>1</v>
      </c>
      <c r="Z5" t="s">
        <v>9</v>
      </c>
      <c r="AA5">
        <v>1</v>
      </c>
      <c r="AB5" t="s">
        <v>17</v>
      </c>
      <c r="AC5" s="6">
        <f ca="1">IF(Table1[[#This Row],[gender]]="men",1,0)</f>
        <v>0</v>
      </c>
      <c r="AD5">
        <f ca="1">IF(Table1[[#This Row],[gender]]="women",1,0)</f>
        <v>1</v>
      </c>
      <c r="AF5">
        <f ca="1">SUM(AC5:AC505)</f>
        <v>245</v>
      </c>
      <c r="AG5">
        <f ca="1">SUM(AD5:AD505)</f>
        <v>256</v>
      </c>
      <c r="AH5" s="5"/>
      <c r="AJ5" s="6">
        <f ca="1">IF(Table1[[#This Row],[Column1]]="Health",1,0)</f>
        <v>0</v>
      </c>
      <c r="AK5">
        <f ca="1">IF(Table1[[#This Row],[Column1]]="Construction",1,0)</f>
        <v>0</v>
      </c>
      <c r="AL5">
        <f ca="1">IF(Table1[[#This Row],[Column1]]="Technology",1,0)</f>
        <v>0</v>
      </c>
      <c r="AM5">
        <f ca="1">IF(Table1[[#This Row],[Column1]]="Education",1,0)</f>
        <v>1</v>
      </c>
      <c r="AN5">
        <f ca="1">IF(Table1[[#This Row],[Column1]]="Agriculture",1,0)</f>
        <v>0</v>
      </c>
      <c r="AO5">
        <f ca="1">IF(Table1[[#This Row],[Column1]]="Social Service", 1, 0)</f>
        <v>0</v>
      </c>
      <c r="AP5">
        <f ca="1">SUM(AJ5:AJ505)</f>
        <v>96</v>
      </c>
      <c r="AQ5">
        <f ca="1">SUM(AK5:AK505)</f>
        <v>72</v>
      </c>
      <c r="AR5">
        <f ca="1">SUM(AM5:AM505)</f>
        <v>91</v>
      </c>
      <c r="AS5">
        <f ca="1">SUM(AN5:AN505)</f>
        <v>87</v>
      </c>
      <c r="AT5" s="5">
        <f ca="1">SUM(AO5:AO505)</f>
        <v>87</v>
      </c>
      <c r="AV5" s="17">
        <f t="shared" ref="AV5:AV68" ca="1" si="0">(O6/I6)</f>
        <v>65000.3099360532</v>
      </c>
      <c r="AW5" s="5"/>
      <c r="AX5" s="6">
        <f ca="1">IF(Table1[[#This Row],[Value of Debts]]&gt;$AY$4,1,0)</f>
        <v>0</v>
      </c>
      <c r="AY5" s="20"/>
      <c r="AZ5" s="20"/>
      <c r="BA5" s="5"/>
      <c r="BB5" s="25">
        <f ca="1">Table1[[#This Row],[Mortage Left]]/Table1[[#This Row],[Value of House]]</f>
        <v>0.12301299893529172</v>
      </c>
      <c r="BC5" s="20">
        <f ca="1">IF(BB5&lt;$BD$4,1,0)</f>
        <v>1</v>
      </c>
      <c r="BD5" s="20"/>
      <c r="BE5" s="20"/>
      <c r="BF5" s="20"/>
      <c r="BG5" s="6">
        <f ca="1">IF(Table1[[#This Row],[County]]="Cumbria",Table1[[#This Row],[income]],0)</f>
        <v>0</v>
      </c>
      <c r="BH5" s="20">
        <f ca="1">IF(Table1[[#This Row],[County]]="Cheshire",Table1[[#This Row],[income]],0)</f>
        <v>0</v>
      </c>
      <c r="BI5" s="20">
        <f ca="1">IF(Table1[[#This Row],[County]]="Bristol",Table1[[#This Row],[income]],0)</f>
        <v>0</v>
      </c>
      <c r="BJ5" s="20">
        <f ca="1">IF(Table1[[#This Row],[County]]="Surrey",Table1[[#This Row],[income]],0)</f>
        <v>0</v>
      </c>
      <c r="BK5" s="20">
        <f ca="1">IF(Table1[[#This Row],[County]]="Norfolk",Table1[[#This Row],[income]],0)</f>
        <v>0</v>
      </c>
      <c r="BL5" s="20">
        <f ca="1">IF(Table1[[#This Row],[County]]="Lincolnshire",Table1[[#This Row],[income]],0)</f>
        <v>0</v>
      </c>
      <c r="BM5" s="20">
        <f ca="1">IF(Table1[[#This Row],[County]]="Somerset",Table1[[#This Row],[income]],0)</f>
        <v>0</v>
      </c>
      <c r="BN5" s="20">
        <f ca="1">IF(Table1[[#This Row],[County]]="Cambridgeshire",Table1[[#This Row],[income]],0)</f>
        <v>0</v>
      </c>
      <c r="BO5" s="20">
        <f ca="1">IF(Table1[[#This Row],[County]]="South Yorkshire",Table1[[#This Row],[income]],0)</f>
        <v>0</v>
      </c>
      <c r="BP5" s="20">
        <f ca="1">IF(Table1[[#This Row],[County]]="Greater London",Table1[[#This Row],[income]],0)</f>
        <v>0</v>
      </c>
      <c r="BQ5" s="20">
        <f ca="1">IF(Table1[[#This Row],[County]]="Hampshire",Table1[[#This Row],[income]],0)</f>
        <v>0</v>
      </c>
      <c r="BR5" s="20">
        <f ca="1">IF(Table1[[#This Row],[County]]="Gloucestershire",Table1[[#This Row],[income]],0)</f>
        <v>0</v>
      </c>
      <c r="BS5" s="20">
        <f ca="1">IF(Table1[[#This Row],[County]]="West Sussex",Table1[[#This Row],[income]],0)</f>
        <v>0</v>
      </c>
      <c r="BT5" s="20">
        <f ca="1">IF(Table1[[#This Row],[County]]="Devon",Table1[[#This Row],[income]],0)</f>
        <v>0</v>
      </c>
      <c r="BU5" s="20">
        <f ca="1">IF(Table1[[#This Row],[County]]="Berkshire",Table1[[#This Row],[income]],0)</f>
        <v>0</v>
      </c>
      <c r="BV5" s="20">
        <f ca="1">IF(Table1[[#This Row],[County]]="Staffordshire",Table1[[#This Row],[income]],0)</f>
        <v>0</v>
      </c>
      <c r="BW5" s="20">
        <f ca="1">IF(Table1[[#This Row],[County]]="Leicestershire",Table1[[#This Row],[income]],0)</f>
        <v>32071</v>
      </c>
      <c r="BX5" s="20">
        <f ca="1">IF(Table1[[#This Row],[County]]="Cornwall",Table1[[#This Row],[income]],0)</f>
        <v>0</v>
      </c>
      <c r="BY5" s="20">
        <f ca="1">IF(Table1[[#This Row],[County]]="Isle of Wight",Table1[[#This Row],[income]],0)</f>
        <v>0</v>
      </c>
      <c r="BZ5" s="20">
        <f ca="1">IF(Table1[[#This Row],[County]]="Surrey",Table1[[#This Row],[income]],0)</f>
        <v>0</v>
      </c>
      <c r="CA5" s="20">
        <f ca="1">IF(Table1[[#This Row],[County]]="Derbyshire",Table1[[#This Row],[income]],0)</f>
        <v>0</v>
      </c>
      <c r="CB5" s="20">
        <f ca="1">IF(Table1[[#This Row],[County]]="City of London",Table1[[#This Row],[income]],0)</f>
        <v>0</v>
      </c>
      <c r="CC5" s="20">
        <f ca="1">IF(Table1[[#This Row],[County]]="Bedfordshire",Table1[[#This Row],[income]],0)</f>
        <v>0</v>
      </c>
      <c r="CD5" s="20">
        <f ca="1">IF(Table1[[#This Row],[County]]="County Durham",Table1[[#This Row],[income]],0)</f>
        <v>0</v>
      </c>
      <c r="CE5" s="20">
        <f ca="1">IF(Table1[[#This Row],[County]]="East Riding of Yorkshire",Table1[[#This Row],[income]],0)</f>
        <v>0</v>
      </c>
      <c r="CF5" s="20">
        <f ca="1">IF(Table1[[#This Row],[County]]="West Yorkshire",Table1[[#This Row],[income]],0)</f>
        <v>0</v>
      </c>
      <c r="CG5" s="20">
        <f ca="1">IF(Table1[[#This Row],[County]]="Essex",Table1[[#This Row],[income]],0)</f>
        <v>0</v>
      </c>
      <c r="CH5" s="20">
        <f ca="1">IF(Table1[[#This Row],[County]]="East Sussex",Table1[[#This Row],[income]],0)</f>
        <v>0</v>
      </c>
      <c r="CI5" s="20">
        <f ca="1">IF(Table1[[#This Row],[County]]="Greater Manchester",Table1[[#This Row],[income]],0)</f>
        <v>0</v>
      </c>
      <c r="CJ5" s="20">
        <f ca="1">IF(Table1[[#This Row],[County]]="Hertfordshire",Table1[[#This Row],[income]],0)</f>
        <v>0</v>
      </c>
      <c r="CK5" s="20">
        <f ca="1">IF(Table1[[#This Row],[County]]="Herefordshire",Table1[[#This Row],[income]],0)</f>
        <v>0</v>
      </c>
      <c r="CL5" s="20">
        <f ca="1">IF(Table1[[#This Row],[County]]="Lancashire",Table1[[#This Row],[income]],0)</f>
        <v>0</v>
      </c>
      <c r="CM5" s="20">
        <f ca="1">IF(Table1[[#This Row],[County]]="Merseyside",Table1[[#This Row],[income]],0)</f>
        <v>0</v>
      </c>
      <c r="CN5" s="20">
        <f ca="1">IF(Table1[[#This Row],[County]]="Northamptonshire",Table1[[#This Row],[income]],0)</f>
        <v>0</v>
      </c>
      <c r="CO5" s="20">
        <f ca="1">IF(Table1[[#This Row],[County]]="Northumberland",Table1[[#This Row],[income]],0)</f>
        <v>0</v>
      </c>
      <c r="CP5" s="20">
        <f ca="1">IF(Table1[[#This Row],[County]]="Wiltshire",Table1[[#This Row],[income]],0)</f>
        <v>0</v>
      </c>
      <c r="CQ5" s="20">
        <f ca="1">IF(Table1[[#This Row],[County]]="West Midlands",Table1[[#This Row],[income]],0)</f>
        <v>0</v>
      </c>
      <c r="CR5" s="20">
        <f ca="1">IF(Table1[[#This Row],[County]]="Warwickshire",Table1[[#This Row],[income]],0)</f>
        <v>0</v>
      </c>
      <c r="CS5" s="20">
        <f ca="1">IF(Table1[[#This Row],[County]]="Tyne and Wear",Table1[[#This Row],[income]],0)</f>
        <v>0</v>
      </c>
      <c r="CT5" s="20">
        <f ca="1">IF(Table1[[#This Row],[County]]="Worcestershire",Table1[[#This Row],[income]],0)</f>
        <v>0</v>
      </c>
      <c r="CU5" s="20">
        <f ca="1">IF(Table1[[#This Row],[County]]="Rutland",Table1[[#This Row],[income]],0)</f>
        <v>0</v>
      </c>
      <c r="CV5" s="20">
        <f ca="1">IF(Table1[[#This Row],[County]]="Shropshire",Table1[[#This Row],[income]],0)</f>
        <v>0</v>
      </c>
      <c r="CW5" s="20">
        <f ca="1">IF(Table1[[#This Row],[County]]="Dorset",Table1[[#This Row],[income]],0)</f>
        <v>0</v>
      </c>
      <c r="CX5" s="20">
        <f ca="1">IF(Table1[[#This Row],[County]]="Buckinghamshire",Table1[[#This Row],[income]],0)</f>
        <v>0</v>
      </c>
      <c r="CY5" s="20">
        <f ca="1">IF(Table1[[#This Row],[County]]="Suffolk",Table1[[#This Row],[income]],0)</f>
        <v>0</v>
      </c>
      <c r="CZ5" s="20">
        <f ca="1">IF(Table1[[#This Row],[County]]="North Yorkshire",Table1[[#This Row],[income]],0)</f>
        <v>0</v>
      </c>
      <c r="DA5" s="20">
        <f ca="1">IF(Table1[[#This Row],[County]]="Kent",Table1[[#This Row],[income]],0)</f>
        <v>0</v>
      </c>
      <c r="DB5" s="5">
        <f ca="1">IF(Table1[[#This Row],[County]]="Derbyshire",Table1[[#This Row],[income]],0)</f>
        <v>0</v>
      </c>
      <c r="DD5" s="6">
        <f ca="1">IF(Table1[[#This Row],[Column1]]="Health",Table1[[#This Row],[income]],0)</f>
        <v>0</v>
      </c>
      <c r="DE5" s="20">
        <f ca="1">IF(Table1[[#This Row],[Column1]]="Agriculture",Table1[[#This Row],[income]],0)</f>
        <v>0</v>
      </c>
      <c r="DF5" s="20">
        <f ca="1">IF(Table1[[#This Row],[Column1]]="Technology",Table1[[#This Row],[income]],0)</f>
        <v>0</v>
      </c>
      <c r="DG5" s="20">
        <f ca="1">IF(Table1[[#This Row],[Column1]]="Social Service",Table1[[#This Row],[income]],0)</f>
        <v>0</v>
      </c>
      <c r="DH5" s="20">
        <f ca="1">IF(Table1[[#This Row],[Column1]]="Education",Table1[[#This Row],[income]],0)</f>
        <v>32071</v>
      </c>
      <c r="DI5" s="5">
        <f ca="1">IF(Table1[[#This Row],[Column1]]="Construction",Table1[[#This Row],[income]],0)</f>
        <v>0</v>
      </c>
      <c r="DK5" s="6">
        <f ca="1">IF(Table1[[#This Row],[Value of Debts]]&gt;Table1[[#This Row],[income]],1,0)</f>
        <v>1</v>
      </c>
      <c r="DL5" s="20"/>
      <c r="DM5" s="40">
        <f ca="1">SUM(DK5:DK504)/COUNT(DK5:DK504)</f>
        <v>0.95199999999999996</v>
      </c>
      <c r="DN5" s="5"/>
      <c r="DP5" s="6">
        <f ca="1">IF(Table1[[#This Row],[Net Worth (£)]]&gt;$DS$5,C5,0)</f>
        <v>0</v>
      </c>
      <c r="DQ5" s="20"/>
      <c r="DR5" s="20"/>
      <c r="DS5" s="5">
        <v>50000</v>
      </c>
    </row>
    <row r="6" spans="1:123" x14ac:dyDescent="0.2">
      <c r="A6">
        <f t="shared" ref="A6:A69" ca="1" si="1">RANDBETWEEN(1,2)</f>
        <v>2</v>
      </c>
      <c r="B6" s="1" t="str">
        <f ca="1">IF(A6=1, "men", "women")</f>
        <v>women</v>
      </c>
      <c r="C6" s="1">
        <f ca="1">RANDBETWEEN(25,50)</f>
        <v>29</v>
      </c>
      <c r="D6">
        <f ca="1">RANDBETWEEN(1,6)</f>
        <v>3</v>
      </c>
      <c r="E6" t="str">
        <f ca="1">VLOOKUP(D6,$W$5:$X$10,2)</f>
        <v>Education</v>
      </c>
      <c r="F6">
        <f ca="1">RANDBETWEEN(1,5)</f>
        <v>5</v>
      </c>
      <c r="G6" t="str">
        <f ca="1">VLOOKUP(F6,$Y$5:$Z$9,2)</f>
        <v>Other</v>
      </c>
      <c r="H6">
        <f ca="1">RANDBETWEEN(0,4)</f>
        <v>2</v>
      </c>
      <c r="I6">
        <f ca="1">RANDBETWEEN(1,3)</f>
        <v>3</v>
      </c>
      <c r="J6">
        <f ca="1">RANDBETWEEN(30000,100000)</f>
        <v>81268</v>
      </c>
      <c r="K6">
        <f ca="1">RANDBETWEEN(1,48)</f>
        <v>25</v>
      </c>
      <c r="L6" t="str">
        <f ca="1">VLOOKUP(K6,$AA$5:$AB$52,2)</f>
        <v>Lancashire</v>
      </c>
      <c r="M6">
        <f ca="1">J6*(RANDBETWEEN(2,5))</f>
        <v>243804</v>
      </c>
      <c r="N6">
        <f ca="1">RAND()*M6</f>
        <v>125405.08566797296</v>
      </c>
      <c r="O6">
        <f ca="1">I6*RAND()*J6</f>
        <v>195000.92980815959</v>
      </c>
      <c r="P6">
        <f ca="1">RANDBETWEEN(0,O6)</f>
        <v>133945</v>
      </c>
      <c r="Q6">
        <f ca="1">RAND()*J6*2</f>
        <v>41593.446549702014</v>
      </c>
      <c r="R6">
        <f ca="1">RAND()*J6*1.5</f>
        <v>22387.005921632459</v>
      </c>
      <c r="S6">
        <f ca="1">J6+R6+O6</f>
        <v>298655.93572979205</v>
      </c>
      <c r="T6">
        <f ca="1">N6+P6+Q6</f>
        <v>300943.53221767501</v>
      </c>
      <c r="U6">
        <f ca="1">S6-T6</f>
        <v>-2287.5964878829545</v>
      </c>
      <c r="W6">
        <v>2</v>
      </c>
      <c r="X6" t="s">
        <v>85</v>
      </c>
      <c r="Y6">
        <v>2</v>
      </c>
      <c r="Z6" t="s">
        <v>10</v>
      </c>
      <c r="AA6">
        <v>2</v>
      </c>
      <c r="AB6" t="s">
        <v>18</v>
      </c>
      <c r="AC6" s="6">
        <f ca="1">IF(Table1[[#This Row],[gender]]="men",1,0)</f>
        <v>0</v>
      </c>
      <c r="AD6">
        <f ca="1">IF(Table1[[#This Row],[gender]]="women",1,0)</f>
        <v>1</v>
      </c>
      <c r="AH6" s="5"/>
      <c r="AJ6" s="6">
        <f ca="1">IF(Table1[[#This Row],[Column1]]="Health",1,0)</f>
        <v>0</v>
      </c>
      <c r="AK6">
        <f ca="1">IF(Table1[[#This Row],[Column1]]="Construction",1,0)</f>
        <v>0</v>
      </c>
      <c r="AL6">
        <f ca="1">IF(Table1[[#This Row],[Column1]]="Technology",1,0)</f>
        <v>0</v>
      </c>
      <c r="AM6">
        <f ca="1">IF(Table1[[#This Row],[Column1]]="Education",1,0)</f>
        <v>1</v>
      </c>
      <c r="AN6">
        <f ca="1">IF(Table1[[#This Row],[Column1]]="Agriculture",1,0)</f>
        <v>0</v>
      </c>
      <c r="AO6">
        <f ca="1">IF(Table1[[#This Row],[Column1]]="Social Service", 1, 0)</f>
        <v>0</v>
      </c>
      <c r="AT6" s="5"/>
      <c r="AV6" s="17">
        <f t="shared" ca="1" si="0"/>
        <v>34097.393973336075</v>
      </c>
      <c r="AW6" s="5"/>
      <c r="AX6" s="6">
        <f ca="1">IF(Table1[[#This Row],[Value of Debts]]&gt;$AY$4,1,0)</f>
        <v>1</v>
      </c>
      <c r="AY6" s="20"/>
      <c r="AZ6" s="20"/>
      <c r="BA6" s="5"/>
      <c r="BB6" s="25">
        <f ca="1">Table1[[#This Row],[Mortage Left]]/Table1[[#This Row],[Value of House]]</f>
        <v>0.51436845034524847</v>
      </c>
      <c r="BC6" s="20">
        <f t="shared" ref="BC6:BC69" ca="1" si="2">IF(BB6&lt;$BD$4,1,0)</f>
        <v>0</v>
      </c>
      <c r="BD6" s="20"/>
      <c r="BE6" s="20"/>
      <c r="BF6" s="20"/>
      <c r="BG6" s="6">
        <f ca="1">IF(Table1[[#This Row],[County]]="Cumbria",Table1[[#This Row],[income]],0)</f>
        <v>0</v>
      </c>
      <c r="BH6" s="20">
        <f ca="1">IF(Table1[[#This Row],[County]]="Cheshire",Table1[[#This Row],[income]],0)</f>
        <v>0</v>
      </c>
      <c r="BI6" s="20">
        <f ca="1">IF(Table1[[#This Row],[County]]="Bristol",Table1[[#This Row],[income]],0)</f>
        <v>0</v>
      </c>
      <c r="BJ6" s="20">
        <f ca="1">IF(Table1[[#This Row],[County]]="Surrey",Table1[[#This Row],[income]],0)</f>
        <v>0</v>
      </c>
      <c r="BK6" s="20">
        <f ca="1">IF(Table1[[#This Row],[County]]="Norfolk",Table1[[#This Row],[income]],0)</f>
        <v>0</v>
      </c>
      <c r="BL6" s="20">
        <f ca="1">IF(Table1[[#This Row],[County]]="Lincolnshire",Table1[[#This Row],[income]],0)</f>
        <v>0</v>
      </c>
      <c r="BM6" s="20">
        <f ca="1">IF(Table1[[#This Row],[County]]="Somerset",Table1[[#This Row],[income]],0)</f>
        <v>0</v>
      </c>
      <c r="BN6" s="20">
        <f ca="1">IF(Table1[[#This Row],[County]]="Cambridgeshire",Table1[[#This Row],[income]],0)</f>
        <v>0</v>
      </c>
      <c r="BO6" s="20">
        <f ca="1">IF(Table1[[#This Row],[County]]="South Yorkshire",Table1[[#This Row],[income]],0)</f>
        <v>0</v>
      </c>
      <c r="BP6" s="20">
        <f ca="1">IF(Table1[[#This Row],[County]]="Greater London",Table1[[#This Row],[income]],0)</f>
        <v>0</v>
      </c>
      <c r="BQ6" s="20">
        <f ca="1">IF(Table1[[#This Row],[County]]="Hampshire",Table1[[#This Row],[income]],0)</f>
        <v>0</v>
      </c>
      <c r="BR6" s="20">
        <f ca="1">IF(Table1[[#This Row],[County]]="Gloucestershire",Table1[[#This Row],[income]],0)</f>
        <v>0</v>
      </c>
      <c r="BS6" s="20">
        <f ca="1">IF(Table1[[#This Row],[County]]="West Sussex",Table1[[#This Row],[income]],0)</f>
        <v>0</v>
      </c>
      <c r="BT6" s="20">
        <f ca="1">IF(Table1[[#This Row],[County]]="Devon",Table1[[#This Row],[income]],0)</f>
        <v>0</v>
      </c>
      <c r="BU6" s="20">
        <f ca="1">IF(Table1[[#This Row],[County]]="Berkshire",Table1[[#This Row],[income]],0)</f>
        <v>0</v>
      </c>
      <c r="BV6" s="20">
        <f ca="1">IF(Table1[[#This Row],[County]]="Staffordshire",Table1[[#This Row],[income]],0)</f>
        <v>0</v>
      </c>
      <c r="BW6" s="20">
        <f ca="1">IF(Table1[[#This Row],[County]]="Leicestershire",Table1[[#This Row],[income]],0)</f>
        <v>0</v>
      </c>
      <c r="BX6" s="20">
        <f ca="1">IF(Table1[[#This Row],[County]]="Cornwall",Table1[[#This Row],[income]],0)</f>
        <v>0</v>
      </c>
      <c r="BY6" s="20">
        <f ca="1">IF(Table1[[#This Row],[County]]="Isle of Wight",Table1[[#This Row],[income]],0)</f>
        <v>0</v>
      </c>
      <c r="BZ6" s="20">
        <f ca="1">IF(Table1[[#This Row],[County]]="Surrey",Table1[[#This Row],[income]],0)</f>
        <v>0</v>
      </c>
      <c r="CA6" s="20">
        <f ca="1">IF(Table1[[#This Row],[County]]="Derbyshire",Table1[[#This Row],[income]],0)</f>
        <v>0</v>
      </c>
      <c r="CB6" s="20">
        <f ca="1">IF(Table1[[#This Row],[County]]="City of London",Table1[[#This Row],[income]],0)</f>
        <v>0</v>
      </c>
      <c r="CC6" s="20">
        <f ca="1">IF(Table1[[#This Row],[County]]="Bedfordshire",Table1[[#This Row],[income]],0)</f>
        <v>0</v>
      </c>
      <c r="CD6" s="20">
        <f ca="1">IF(Table1[[#This Row],[County]]="County Durham",Table1[[#This Row],[income]],0)</f>
        <v>0</v>
      </c>
      <c r="CE6" s="20">
        <f ca="1">IF(Table1[[#This Row],[County]]="East Riding of Yorkshire",Table1[[#This Row],[income]],0)</f>
        <v>0</v>
      </c>
      <c r="CF6" s="20">
        <f ca="1">IF(Table1[[#This Row],[County]]="West Yorkshire",Table1[[#This Row],[income]],0)</f>
        <v>0</v>
      </c>
      <c r="CG6" s="20">
        <f ca="1">IF(Table1[[#This Row],[County]]="Essex",Table1[[#This Row],[income]],0)</f>
        <v>0</v>
      </c>
      <c r="CH6" s="20">
        <f ca="1">IF(Table1[[#This Row],[County]]="East Sussex",Table1[[#This Row],[income]],0)</f>
        <v>0</v>
      </c>
      <c r="CI6" s="20">
        <f ca="1">IF(Table1[[#This Row],[County]]="Greater Manchester",Table1[[#This Row],[income]],0)</f>
        <v>0</v>
      </c>
      <c r="CJ6" s="20">
        <f ca="1">IF(Table1[[#This Row],[County]]="Hertfordshire",Table1[[#This Row],[income]],0)</f>
        <v>0</v>
      </c>
      <c r="CK6" s="20">
        <f ca="1">IF(Table1[[#This Row],[County]]="Herefordshire",Table1[[#This Row],[income]],0)</f>
        <v>0</v>
      </c>
      <c r="CL6" s="20">
        <f ca="1">IF(Table1[[#This Row],[County]]="Lancashire",Table1[[#This Row],[income]],0)</f>
        <v>81268</v>
      </c>
      <c r="CM6" s="20">
        <f ca="1">IF(Table1[[#This Row],[County]]="Merseyside",Table1[[#This Row],[income]],0)</f>
        <v>0</v>
      </c>
      <c r="CN6" s="20">
        <f ca="1">IF(Table1[[#This Row],[County]]="Northamptonshire",Table1[[#This Row],[income]],0)</f>
        <v>0</v>
      </c>
      <c r="CO6" s="20">
        <f ca="1">IF(Table1[[#This Row],[County]]="Northumberland",Table1[[#This Row],[income]],0)</f>
        <v>0</v>
      </c>
      <c r="CP6" s="20">
        <f ca="1">IF(Table1[[#This Row],[County]]="Wiltshire",Table1[[#This Row],[income]],0)</f>
        <v>0</v>
      </c>
      <c r="CQ6" s="20">
        <f ca="1">IF(Table1[[#This Row],[County]]="West Midlands",Table1[[#This Row],[income]],0)</f>
        <v>0</v>
      </c>
      <c r="CR6" s="20">
        <f ca="1">IF(Table1[[#This Row],[County]]="Warwickshire",Table1[[#This Row],[income]],0)</f>
        <v>0</v>
      </c>
      <c r="CS6" s="20">
        <f ca="1">IF(Table1[[#This Row],[County]]="Tyne and Wear",Table1[[#This Row],[income]],0)</f>
        <v>0</v>
      </c>
      <c r="CT6" s="20">
        <f ca="1">IF(Table1[[#This Row],[County]]="Worcestershire",Table1[[#This Row],[income]],0)</f>
        <v>0</v>
      </c>
      <c r="CU6" s="20">
        <f ca="1">IF(Table1[[#This Row],[County]]="Rutland",Table1[[#This Row],[income]],0)</f>
        <v>0</v>
      </c>
      <c r="CV6" s="20">
        <f ca="1">IF(Table1[[#This Row],[County]]="Shropshire",Table1[[#This Row],[income]],0)</f>
        <v>0</v>
      </c>
      <c r="CW6" s="20">
        <f ca="1">IF(Table1[[#This Row],[County]]="Dorset",Table1[[#This Row],[income]],0)</f>
        <v>0</v>
      </c>
      <c r="CX6" s="20">
        <f ca="1">IF(Table1[[#This Row],[County]]="Buckinghamshire",Table1[[#This Row],[income]],0)</f>
        <v>0</v>
      </c>
      <c r="CY6" s="20">
        <f ca="1">IF(Table1[[#This Row],[County]]="Suffolk",Table1[[#This Row],[income]],0)</f>
        <v>0</v>
      </c>
      <c r="CZ6" s="20">
        <f ca="1">IF(Table1[[#This Row],[County]]="North Yorkshire",Table1[[#This Row],[income]],0)</f>
        <v>0</v>
      </c>
      <c r="DA6" s="20">
        <f ca="1">IF(Table1[[#This Row],[County]]="Kent",Table1[[#This Row],[income]],0)</f>
        <v>0</v>
      </c>
      <c r="DB6" s="5">
        <f ca="1">IF(Table1[[#This Row],[County]]="Derbyshire",Table1[[#This Row],[income]],0)</f>
        <v>0</v>
      </c>
      <c r="DD6" s="6">
        <f ca="1">IF(Table1[[#This Row],[Column1]]="Health",Table1[[#This Row],[income]],0)</f>
        <v>0</v>
      </c>
      <c r="DE6" s="20">
        <f ca="1">IF(Table1[[#This Row],[Column1]]="Agriculture",Table1[[#This Row],[income]],0)</f>
        <v>0</v>
      </c>
      <c r="DF6" s="20">
        <f ca="1">IF(Table1[[#This Row],[Column1]]="Technology",Table1[[#This Row],[income]],0)</f>
        <v>0</v>
      </c>
      <c r="DG6" s="20">
        <f ca="1">IF(Table1[[#This Row],[Column1]]="Social Service",Table1[[#This Row],[income]],0)</f>
        <v>0</v>
      </c>
      <c r="DH6" s="20">
        <f ca="1">IF(Table1[[#This Row],[Column1]]="Education",Table1[[#This Row],[income]],0)</f>
        <v>81268</v>
      </c>
      <c r="DI6" s="5">
        <f ca="1">IF(Table1[[#This Row],[Column1]]="Construction",Table1[[#This Row],[income]],0)</f>
        <v>0</v>
      </c>
      <c r="DK6" s="6">
        <f ca="1">IF(Table1[[#This Row],[Value of Debts]]&gt;Table1[[#This Row],[income]],1,0)</f>
        <v>1</v>
      </c>
      <c r="DL6" s="20"/>
      <c r="DM6" s="20"/>
      <c r="DN6" s="5"/>
      <c r="DP6" s="6">
        <f ca="1">IF(Table1[[#This Row],[Net Worth (£)]]&gt;$DS$5,C6,0)</f>
        <v>0</v>
      </c>
      <c r="DQ6" s="20"/>
      <c r="DR6" s="20"/>
      <c r="DS6" s="5"/>
    </row>
    <row r="7" spans="1:123" x14ac:dyDescent="0.2">
      <c r="A7">
        <f t="shared" ca="1" si="1"/>
        <v>2</v>
      </c>
      <c r="B7" s="1" t="str">
        <f ca="1">IF(A7=1, "men", "women")</f>
        <v>women</v>
      </c>
      <c r="C7" s="1">
        <f ca="1">RANDBETWEEN(25,50)</f>
        <v>47</v>
      </c>
      <c r="D7">
        <f ca="1">RANDBETWEEN(1,6)</f>
        <v>2</v>
      </c>
      <c r="E7" t="str">
        <f ca="1">VLOOKUP(D7,$W$5:$X$10,2)</f>
        <v>Construction</v>
      </c>
      <c r="F7">
        <f ca="1">RANDBETWEEN(1,5)</f>
        <v>4</v>
      </c>
      <c r="G7" t="str">
        <f ca="1">VLOOKUP(F7,$Y$5:$Z$9,2)</f>
        <v xml:space="preserve">Technical </v>
      </c>
      <c r="H7">
        <f ca="1">RANDBETWEEN(0,4)</f>
        <v>3</v>
      </c>
      <c r="I7">
        <f ca="1">RANDBETWEEN(1,3)</f>
        <v>2</v>
      </c>
      <c r="J7">
        <f ca="1">RANDBETWEEN(30000,100000)</f>
        <v>65006</v>
      </c>
      <c r="K7">
        <f ca="1">RANDBETWEEN(1,48)</f>
        <v>45</v>
      </c>
      <c r="L7" t="str">
        <f ca="1">VLOOKUP(K7,$AA$5:$AB$52,2)</f>
        <v>West Sussex</v>
      </c>
      <c r="M7">
        <f ca="1">J7*(RANDBETWEEN(2,5))</f>
        <v>195018</v>
      </c>
      <c r="N7">
        <f ca="1">RAND()*M7</f>
        <v>132368.14829381753</v>
      </c>
      <c r="O7">
        <f ca="1">I7*RAND()*J7</f>
        <v>68194.78794667215</v>
      </c>
      <c r="P7">
        <f ca="1">RANDBETWEEN(0,O7)</f>
        <v>29590</v>
      </c>
      <c r="Q7">
        <f ca="1">RAND()*J7*2</f>
        <v>76660.81092349517</v>
      </c>
      <c r="R7">
        <f ca="1">RAND()*J7*1.5</f>
        <v>10105.051994242422</v>
      </c>
      <c r="S7">
        <f ca="1">J7+R7+O7</f>
        <v>143305.83994091456</v>
      </c>
      <c r="T7">
        <f ca="1">N7+P7+Q7</f>
        <v>238618.95921731269</v>
      </c>
      <c r="U7">
        <f ca="1">S7-T7</f>
        <v>-95313.119276398123</v>
      </c>
      <c r="W7">
        <v>3</v>
      </c>
      <c r="X7" t="s">
        <v>4</v>
      </c>
      <c r="Y7">
        <v>3</v>
      </c>
      <c r="Z7" t="s">
        <v>11</v>
      </c>
      <c r="AA7">
        <v>3</v>
      </c>
      <c r="AB7" t="s">
        <v>19</v>
      </c>
      <c r="AC7" s="6">
        <f ca="1">IF(Table1[[#This Row],[gender]]="men",1,0)</f>
        <v>0</v>
      </c>
      <c r="AD7">
        <f ca="1">IF(Table1[[#This Row],[gender]]="women",1,0)</f>
        <v>1</v>
      </c>
      <c r="AH7" s="5"/>
      <c r="AJ7" s="6">
        <f ca="1">IF(Table1[[#This Row],[Column1]]="Health",1,0)</f>
        <v>0</v>
      </c>
      <c r="AK7">
        <f ca="1">IF(Table1[[#This Row],[Column1]]="Construction",1,0)</f>
        <v>1</v>
      </c>
      <c r="AL7">
        <f ca="1">IF(Table1[[#This Row],[Column1]]="Technology",1,0)</f>
        <v>0</v>
      </c>
      <c r="AM7">
        <f ca="1">IF(Table1[[#This Row],[Column1]]="Education",1,0)</f>
        <v>0</v>
      </c>
      <c r="AN7">
        <f ca="1">IF(Table1[[#This Row],[Column1]]="Agriculture",1,0)</f>
        <v>0</v>
      </c>
      <c r="AO7">
        <f ca="1">IF(Table1[[#This Row],[Column1]]="Social Service", 1, 0)</f>
        <v>0</v>
      </c>
      <c r="AT7" s="5"/>
      <c r="AV7" s="17">
        <f t="shared" ca="1" si="0"/>
        <v>10340.288709325705</v>
      </c>
      <c r="AW7" s="5"/>
      <c r="AX7" s="6">
        <f ca="1">IF(Table1[[#This Row],[Value of Debts]]&gt;$AY$4,1,0)</f>
        <v>1</v>
      </c>
      <c r="AY7" s="20"/>
      <c r="AZ7" s="20"/>
      <c r="BA7" s="5"/>
      <c r="BB7" s="25">
        <f ca="1">Table1[[#This Row],[Mortage Left]]/Table1[[#This Row],[Value of House]]</f>
        <v>0.67874836319630771</v>
      </c>
      <c r="BC7" s="20">
        <f t="shared" ca="1" si="2"/>
        <v>0</v>
      </c>
      <c r="BD7" s="20"/>
      <c r="BE7" s="20"/>
      <c r="BF7" s="20"/>
      <c r="BG7" s="6">
        <f ca="1">IF(Table1[[#This Row],[County]]="Cumbria",Table1[[#This Row],[income]],0)</f>
        <v>0</v>
      </c>
      <c r="BH7" s="20">
        <f ca="1">IF(Table1[[#This Row],[County]]="Cheshire",Table1[[#This Row],[income]],0)</f>
        <v>0</v>
      </c>
      <c r="BI7" s="20">
        <f ca="1">IF(Table1[[#This Row],[County]]="Bristol",Table1[[#This Row],[income]],0)</f>
        <v>0</v>
      </c>
      <c r="BJ7" s="20">
        <f ca="1">IF(Table1[[#This Row],[County]]="Surrey",Table1[[#This Row],[income]],0)</f>
        <v>0</v>
      </c>
      <c r="BK7" s="20">
        <f ca="1">IF(Table1[[#This Row],[County]]="Norfolk",Table1[[#This Row],[income]],0)</f>
        <v>0</v>
      </c>
      <c r="BL7" s="20">
        <f ca="1">IF(Table1[[#This Row],[County]]="Lincolnshire",Table1[[#This Row],[income]],0)</f>
        <v>0</v>
      </c>
      <c r="BM7" s="20">
        <f ca="1">IF(Table1[[#This Row],[County]]="Somerset",Table1[[#This Row],[income]],0)</f>
        <v>0</v>
      </c>
      <c r="BN7" s="20">
        <f ca="1">IF(Table1[[#This Row],[County]]="Cambridgeshire",Table1[[#This Row],[income]],0)</f>
        <v>0</v>
      </c>
      <c r="BO7" s="20">
        <f ca="1">IF(Table1[[#This Row],[County]]="South Yorkshire",Table1[[#This Row],[income]],0)</f>
        <v>0</v>
      </c>
      <c r="BP7" s="20">
        <f ca="1">IF(Table1[[#This Row],[County]]="Greater London",Table1[[#This Row],[income]],0)</f>
        <v>0</v>
      </c>
      <c r="BQ7" s="20">
        <f ca="1">IF(Table1[[#This Row],[County]]="Hampshire",Table1[[#This Row],[income]],0)</f>
        <v>0</v>
      </c>
      <c r="BR7" s="20">
        <f ca="1">IF(Table1[[#This Row],[County]]="Gloucestershire",Table1[[#This Row],[income]],0)</f>
        <v>0</v>
      </c>
      <c r="BS7" s="20">
        <f ca="1">IF(Table1[[#This Row],[County]]="West Sussex",Table1[[#This Row],[income]],0)</f>
        <v>65006</v>
      </c>
      <c r="BT7" s="20">
        <f ca="1">IF(Table1[[#This Row],[County]]="Devon",Table1[[#This Row],[income]],0)</f>
        <v>0</v>
      </c>
      <c r="BU7" s="20">
        <f ca="1">IF(Table1[[#This Row],[County]]="Berkshire",Table1[[#This Row],[income]],0)</f>
        <v>0</v>
      </c>
      <c r="BV7" s="20">
        <f ca="1">IF(Table1[[#This Row],[County]]="Staffordshire",Table1[[#This Row],[income]],0)</f>
        <v>0</v>
      </c>
      <c r="BW7" s="20">
        <f ca="1">IF(Table1[[#This Row],[County]]="Leicestershire",Table1[[#This Row],[income]],0)</f>
        <v>0</v>
      </c>
      <c r="BX7" s="20">
        <f ca="1">IF(Table1[[#This Row],[County]]="Cornwall",Table1[[#This Row],[income]],0)</f>
        <v>0</v>
      </c>
      <c r="BY7" s="20">
        <f ca="1">IF(Table1[[#This Row],[County]]="Isle of Wight",Table1[[#This Row],[income]],0)</f>
        <v>0</v>
      </c>
      <c r="BZ7" s="20">
        <f ca="1">IF(Table1[[#This Row],[County]]="Surrey",Table1[[#This Row],[income]],0)</f>
        <v>0</v>
      </c>
      <c r="CA7" s="20">
        <f ca="1">IF(Table1[[#This Row],[County]]="Derbyshire",Table1[[#This Row],[income]],0)</f>
        <v>0</v>
      </c>
      <c r="CB7" s="20">
        <f ca="1">IF(Table1[[#This Row],[County]]="City of London",Table1[[#This Row],[income]],0)</f>
        <v>0</v>
      </c>
      <c r="CC7" s="20">
        <f ca="1">IF(Table1[[#This Row],[County]]="Bedfordshire",Table1[[#This Row],[income]],0)</f>
        <v>0</v>
      </c>
      <c r="CD7" s="20">
        <f ca="1">IF(Table1[[#This Row],[County]]="County Durham",Table1[[#This Row],[income]],0)</f>
        <v>0</v>
      </c>
      <c r="CE7" s="20">
        <f ca="1">IF(Table1[[#This Row],[County]]="East Riding of Yorkshire",Table1[[#This Row],[income]],0)</f>
        <v>0</v>
      </c>
      <c r="CF7" s="20">
        <f ca="1">IF(Table1[[#This Row],[County]]="West Yorkshire",Table1[[#This Row],[income]],0)</f>
        <v>0</v>
      </c>
      <c r="CG7" s="20">
        <f ca="1">IF(Table1[[#This Row],[County]]="Essex",Table1[[#This Row],[income]],0)</f>
        <v>0</v>
      </c>
      <c r="CH7" s="20">
        <f ca="1">IF(Table1[[#This Row],[County]]="East Sussex",Table1[[#This Row],[income]],0)</f>
        <v>0</v>
      </c>
      <c r="CI7" s="20">
        <f ca="1">IF(Table1[[#This Row],[County]]="Greater Manchester",Table1[[#This Row],[income]],0)</f>
        <v>0</v>
      </c>
      <c r="CJ7" s="20">
        <f ca="1">IF(Table1[[#This Row],[County]]="Hertfordshire",Table1[[#This Row],[income]],0)</f>
        <v>0</v>
      </c>
      <c r="CK7" s="20">
        <f ca="1">IF(Table1[[#This Row],[County]]="Herefordshire",Table1[[#This Row],[income]],0)</f>
        <v>0</v>
      </c>
      <c r="CL7" s="20">
        <f ca="1">IF(Table1[[#This Row],[County]]="Lancashire",Table1[[#This Row],[income]],0)</f>
        <v>0</v>
      </c>
      <c r="CM7" s="20">
        <f ca="1">IF(Table1[[#This Row],[County]]="Merseyside",Table1[[#This Row],[income]],0)</f>
        <v>0</v>
      </c>
      <c r="CN7" s="20">
        <f ca="1">IF(Table1[[#This Row],[County]]="Northamptonshire",Table1[[#This Row],[income]],0)</f>
        <v>0</v>
      </c>
      <c r="CO7" s="20">
        <f ca="1">IF(Table1[[#This Row],[County]]="Northumberland",Table1[[#This Row],[income]],0)</f>
        <v>0</v>
      </c>
      <c r="CP7" s="20">
        <f ca="1">IF(Table1[[#This Row],[County]]="Wiltshire",Table1[[#This Row],[income]],0)</f>
        <v>0</v>
      </c>
      <c r="CQ7" s="20">
        <f ca="1">IF(Table1[[#This Row],[County]]="West Midlands",Table1[[#This Row],[income]],0)</f>
        <v>0</v>
      </c>
      <c r="CR7" s="20">
        <f ca="1">IF(Table1[[#This Row],[County]]="Warwickshire",Table1[[#This Row],[income]],0)</f>
        <v>0</v>
      </c>
      <c r="CS7" s="20">
        <f ca="1">IF(Table1[[#This Row],[County]]="Tyne and Wear",Table1[[#This Row],[income]],0)</f>
        <v>0</v>
      </c>
      <c r="CT7" s="20">
        <f ca="1">IF(Table1[[#This Row],[County]]="Worcestershire",Table1[[#This Row],[income]],0)</f>
        <v>0</v>
      </c>
      <c r="CU7" s="20">
        <f ca="1">IF(Table1[[#This Row],[County]]="Rutland",Table1[[#This Row],[income]],0)</f>
        <v>0</v>
      </c>
      <c r="CV7" s="20">
        <f ca="1">IF(Table1[[#This Row],[County]]="Shropshire",Table1[[#This Row],[income]],0)</f>
        <v>0</v>
      </c>
      <c r="CW7" s="20">
        <f ca="1">IF(Table1[[#This Row],[County]]="Dorset",Table1[[#This Row],[income]],0)</f>
        <v>0</v>
      </c>
      <c r="CX7" s="20">
        <f ca="1">IF(Table1[[#This Row],[County]]="Buckinghamshire",Table1[[#This Row],[income]],0)</f>
        <v>0</v>
      </c>
      <c r="CY7" s="20">
        <f ca="1">IF(Table1[[#This Row],[County]]="Suffolk",Table1[[#This Row],[income]],0)</f>
        <v>0</v>
      </c>
      <c r="CZ7" s="20">
        <f ca="1">IF(Table1[[#This Row],[County]]="North Yorkshire",Table1[[#This Row],[income]],0)</f>
        <v>0</v>
      </c>
      <c r="DA7" s="20">
        <f ca="1">IF(Table1[[#This Row],[County]]="Kent",Table1[[#This Row],[income]],0)</f>
        <v>0</v>
      </c>
      <c r="DB7" s="5">
        <f ca="1">IF(Table1[[#This Row],[County]]="Derbyshire",Table1[[#This Row],[income]],0)</f>
        <v>0</v>
      </c>
      <c r="DD7" s="6">
        <f ca="1">IF(Table1[[#This Row],[Column1]]="Health",Table1[[#This Row],[income]],0)</f>
        <v>0</v>
      </c>
      <c r="DE7" s="20">
        <f ca="1">IF(Table1[[#This Row],[Column1]]="Agriculture",Table1[[#This Row],[income]],0)</f>
        <v>0</v>
      </c>
      <c r="DF7" s="20">
        <f ca="1">IF(Table1[[#This Row],[Column1]]="Technology",Table1[[#This Row],[income]],0)</f>
        <v>0</v>
      </c>
      <c r="DG7" s="20">
        <f ca="1">IF(Table1[[#This Row],[Column1]]="Social Service",Table1[[#This Row],[income]],0)</f>
        <v>0</v>
      </c>
      <c r="DH7" s="20">
        <f ca="1">IF(Table1[[#This Row],[Column1]]="Education",Table1[[#This Row],[income]],0)</f>
        <v>0</v>
      </c>
      <c r="DI7" s="5">
        <f ca="1">IF(Table1[[#This Row],[Column1]]="Construction",Table1[[#This Row],[income]],0)</f>
        <v>65006</v>
      </c>
      <c r="DK7" s="6">
        <f ca="1">IF(Table1[[#This Row],[Value of Debts]]&gt;Table1[[#This Row],[income]],1,0)</f>
        <v>1</v>
      </c>
      <c r="DL7" s="20"/>
      <c r="DM7" s="20"/>
      <c r="DN7" s="5"/>
      <c r="DP7" s="6">
        <f ca="1">IF(Table1[[#This Row],[Net Worth (£)]]&gt;$DS$5,C7,0)</f>
        <v>0</v>
      </c>
      <c r="DQ7" s="20"/>
      <c r="DR7" s="20"/>
      <c r="DS7" s="5"/>
    </row>
    <row r="8" spans="1:123" x14ac:dyDescent="0.2">
      <c r="A8">
        <f t="shared" ca="1" si="1"/>
        <v>2</v>
      </c>
      <c r="B8" s="1" t="str">
        <f ca="1">IF(A8=1, "men", "women")</f>
        <v>women</v>
      </c>
      <c r="C8" s="1">
        <f ca="1">RANDBETWEEN(25,50)</f>
        <v>25</v>
      </c>
      <c r="D8">
        <f ca="1">RANDBETWEEN(1,6)</f>
        <v>6</v>
      </c>
      <c r="E8" t="str">
        <f ca="1">VLOOKUP(D8,$W$5:$X$10,2)</f>
        <v>Agriculture</v>
      </c>
      <c r="F8">
        <f ca="1">RANDBETWEEN(1,5)</f>
        <v>4</v>
      </c>
      <c r="G8" t="str">
        <f ca="1">VLOOKUP(F8,$Y$5:$Z$9,2)</f>
        <v xml:space="preserve">Technical </v>
      </c>
      <c r="H8">
        <f ca="1">RANDBETWEEN(0,4)</f>
        <v>0</v>
      </c>
      <c r="I8">
        <f ca="1">RANDBETWEEN(1,3)</f>
        <v>1</v>
      </c>
      <c r="J8">
        <f ca="1">RANDBETWEEN(30000,100000)</f>
        <v>48868</v>
      </c>
      <c r="K8">
        <f ca="1">RANDBETWEEN(1,48)</f>
        <v>2</v>
      </c>
      <c r="L8" t="str">
        <f ca="1">VLOOKUP(K8,$AA$5:$AB$52,2)</f>
        <v>Berkshire</v>
      </c>
      <c r="M8">
        <f ca="1">J8*(RANDBETWEEN(2,5))</f>
        <v>146604</v>
      </c>
      <c r="N8">
        <f ca="1">RAND()*M8</f>
        <v>5095.4149808732509</v>
      </c>
      <c r="O8">
        <f ca="1">I8*RAND()*J8</f>
        <v>10340.288709325705</v>
      </c>
      <c r="P8">
        <f ca="1">RANDBETWEEN(0,O8)</f>
        <v>2195</v>
      </c>
      <c r="Q8">
        <f ca="1">RAND()*J8*2</f>
        <v>2978.7982703705084</v>
      </c>
      <c r="R8">
        <f ca="1">RAND()*J8*1.5</f>
        <v>36638.20293751893</v>
      </c>
      <c r="S8">
        <f ca="1">J8+R8+O8</f>
        <v>95846.491646844632</v>
      </c>
      <c r="T8">
        <f ca="1">N8+P8+Q8</f>
        <v>10269.21325124376</v>
      </c>
      <c r="U8">
        <f ca="1">S8-T8</f>
        <v>85577.278395600879</v>
      </c>
      <c r="W8">
        <v>4</v>
      </c>
      <c r="X8" t="s">
        <v>5</v>
      </c>
      <c r="Y8">
        <v>4</v>
      </c>
      <c r="Z8" t="s">
        <v>12</v>
      </c>
      <c r="AA8">
        <v>4</v>
      </c>
      <c r="AB8" t="s">
        <v>20</v>
      </c>
      <c r="AC8" s="6">
        <f ca="1">IF(Table1[[#This Row],[gender]]="men",1,0)</f>
        <v>0</v>
      </c>
      <c r="AD8">
        <f ca="1">IF(Table1[[#This Row],[gender]]="women",1,0)</f>
        <v>1</v>
      </c>
      <c r="AH8" s="5"/>
      <c r="AJ8" s="6">
        <f ca="1">IF(Table1[[#This Row],[Column1]]="Health",1,0)</f>
        <v>0</v>
      </c>
      <c r="AK8">
        <f ca="1">IF(Table1[[#This Row],[Column1]]="Construction",1,0)</f>
        <v>0</v>
      </c>
      <c r="AL8">
        <f ca="1">IF(Table1[[#This Row],[Column1]]="Technology",1,0)</f>
        <v>0</v>
      </c>
      <c r="AM8">
        <f ca="1">IF(Table1[[#This Row],[Column1]]="Education",1,0)</f>
        <v>0</v>
      </c>
      <c r="AN8">
        <f ca="1">IF(Table1[[#This Row],[Column1]]="Agriculture",1,0)</f>
        <v>1</v>
      </c>
      <c r="AO8">
        <f ca="1">IF(Table1[[#This Row],[Column1]]="Social Service", 1, 0)</f>
        <v>0</v>
      </c>
      <c r="AT8" s="5"/>
      <c r="AV8" s="17">
        <f t="shared" ca="1" si="0"/>
        <v>39644.496258673651</v>
      </c>
      <c r="AW8" s="5"/>
      <c r="AX8" s="6">
        <f ca="1">IF(Table1[[#This Row],[Value of Debts]]&gt;$AY$4,1,0)</f>
        <v>0</v>
      </c>
      <c r="AY8" s="20"/>
      <c r="AZ8" s="20"/>
      <c r="BA8" s="5"/>
      <c r="BB8" s="25">
        <f ca="1">Table1[[#This Row],[Mortage Left]]/Table1[[#This Row],[Value of House]]</f>
        <v>3.4756316204695992E-2</v>
      </c>
      <c r="BC8" s="20">
        <f t="shared" ca="1" si="2"/>
        <v>1</v>
      </c>
      <c r="BD8" s="20"/>
      <c r="BE8" s="20"/>
      <c r="BF8" s="20"/>
      <c r="BG8" s="6">
        <f ca="1">IF(Table1[[#This Row],[County]]="Cumbria",Table1[[#This Row],[income]],0)</f>
        <v>0</v>
      </c>
      <c r="BH8" s="20">
        <f ca="1">IF(Table1[[#This Row],[County]]="Cheshire",Table1[[#This Row],[income]],0)</f>
        <v>0</v>
      </c>
      <c r="BI8" s="20">
        <f ca="1">IF(Table1[[#This Row],[County]]="Bristol",Table1[[#This Row],[income]],0)</f>
        <v>0</v>
      </c>
      <c r="BJ8" s="20">
        <f ca="1">IF(Table1[[#This Row],[County]]="Surrey",Table1[[#This Row],[income]],0)</f>
        <v>0</v>
      </c>
      <c r="BK8" s="20">
        <f ca="1">IF(Table1[[#This Row],[County]]="Norfolk",Table1[[#This Row],[income]],0)</f>
        <v>0</v>
      </c>
      <c r="BL8" s="20">
        <f ca="1">IF(Table1[[#This Row],[County]]="Lincolnshire",Table1[[#This Row],[income]],0)</f>
        <v>0</v>
      </c>
      <c r="BM8" s="20">
        <f ca="1">IF(Table1[[#This Row],[County]]="Somerset",Table1[[#This Row],[income]],0)</f>
        <v>0</v>
      </c>
      <c r="BN8" s="20">
        <f ca="1">IF(Table1[[#This Row],[County]]="Cambridgeshire",Table1[[#This Row],[income]],0)</f>
        <v>0</v>
      </c>
      <c r="BO8" s="20">
        <f ca="1">IF(Table1[[#This Row],[County]]="South Yorkshire",Table1[[#This Row],[income]],0)</f>
        <v>0</v>
      </c>
      <c r="BP8" s="20">
        <f ca="1">IF(Table1[[#This Row],[County]]="Greater London",Table1[[#This Row],[income]],0)</f>
        <v>0</v>
      </c>
      <c r="BQ8" s="20">
        <f ca="1">IF(Table1[[#This Row],[County]]="Hampshire",Table1[[#This Row],[income]],0)</f>
        <v>0</v>
      </c>
      <c r="BR8" s="20">
        <f ca="1">IF(Table1[[#This Row],[County]]="Gloucestershire",Table1[[#This Row],[income]],0)</f>
        <v>0</v>
      </c>
      <c r="BS8" s="20">
        <f ca="1">IF(Table1[[#This Row],[County]]="West Sussex",Table1[[#This Row],[income]],0)</f>
        <v>0</v>
      </c>
      <c r="BT8" s="20">
        <f ca="1">IF(Table1[[#This Row],[County]]="Devon",Table1[[#This Row],[income]],0)</f>
        <v>0</v>
      </c>
      <c r="BU8" s="20">
        <f ca="1">IF(Table1[[#This Row],[County]]="Berkshire",Table1[[#This Row],[income]],0)</f>
        <v>48868</v>
      </c>
      <c r="BV8" s="20">
        <f ca="1">IF(Table1[[#This Row],[County]]="Staffordshire",Table1[[#This Row],[income]],0)</f>
        <v>0</v>
      </c>
      <c r="BW8" s="20">
        <f ca="1">IF(Table1[[#This Row],[County]]="Leicestershire",Table1[[#This Row],[income]],0)</f>
        <v>0</v>
      </c>
      <c r="BX8" s="20">
        <f ca="1">IF(Table1[[#This Row],[County]]="Cornwall",Table1[[#This Row],[income]],0)</f>
        <v>0</v>
      </c>
      <c r="BY8" s="20">
        <f ca="1">IF(Table1[[#This Row],[County]]="Isle of Wight",Table1[[#This Row],[income]],0)</f>
        <v>0</v>
      </c>
      <c r="BZ8" s="20">
        <f ca="1">IF(Table1[[#This Row],[County]]="Surrey",Table1[[#This Row],[income]],0)</f>
        <v>0</v>
      </c>
      <c r="CA8" s="20">
        <f ca="1">IF(Table1[[#This Row],[County]]="Derbyshire",Table1[[#This Row],[income]],0)</f>
        <v>0</v>
      </c>
      <c r="CB8" s="20">
        <f ca="1">IF(Table1[[#This Row],[County]]="City of London",Table1[[#This Row],[income]],0)</f>
        <v>0</v>
      </c>
      <c r="CC8" s="20">
        <f ca="1">IF(Table1[[#This Row],[County]]="Bedfordshire",Table1[[#This Row],[income]],0)</f>
        <v>0</v>
      </c>
      <c r="CD8" s="20">
        <f ca="1">IF(Table1[[#This Row],[County]]="County Durham",Table1[[#This Row],[income]],0)</f>
        <v>0</v>
      </c>
      <c r="CE8" s="20">
        <f ca="1">IF(Table1[[#This Row],[County]]="East Riding of Yorkshire",Table1[[#This Row],[income]],0)</f>
        <v>0</v>
      </c>
      <c r="CF8" s="20">
        <f ca="1">IF(Table1[[#This Row],[County]]="West Yorkshire",Table1[[#This Row],[income]],0)</f>
        <v>0</v>
      </c>
      <c r="CG8" s="20">
        <f ca="1">IF(Table1[[#This Row],[County]]="Essex",Table1[[#This Row],[income]],0)</f>
        <v>0</v>
      </c>
      <c r="CH8" s="20">
        <f ca="1">IF(Table1[[#This Row],[County]]="East Sussex",Table1[[#This Row],[income]],0)</f>
        <v>0</v>
      </c>
      <c r="CI8" s="20">
        <f ca="1">IF(Table1[[#This Row],[County]]="Greater Manchester",Table1[[#This Row],[income]],0)</f>
        <v>0</v>
      </c>
      <c r="CJ8" s="20">
        <f ca="1">IF(Table1[[#This Row],[County]]="Hertfordshire",Table1[[#This Row],[income]],0)</f>
        <v>0</v>
      </c>
      <c r="CK8" s="20">
        <f ca="1">IF(Table1[[#This Row],[County]]="Herefordshire",Table1[[#This Row],[income]],0)</f>
        <v>0</v>
      </c>
      <c r="CL8" s="20">
        <f ca="1">IF(Table1[[#This Row],[County]]="Lancashire",Table1[[#This Row],[income]],0)</f>
        <v>0</v>
      </c>
      <c r="CM8" s="20">
        <f ca="1">IF(Table1[[#This Row],[County]]="Merseyside",Table1[[#This Row],[income]],0)</f>
        <v>0</v>
      </c>
      <c r="CN8" s="20">
        <f ca="1">IF(Table1[[#This Row],[County]]="Northamptonshire",Table1[[#This Row],[income]],0)</f>
        <v>0</v>
      </c>
      <c r="CO8" s="20">
        <f ca="1">IF(Table1[[#This Row],[County]]="Northumberland",Table1[[#This Row],[income]],0)</f>
        <v>0</v>
      </c>
      <c r="CP8" s="20">
        <f ca="1">IF(Table1[[#This Row],[County]]="Wiltshire",Table1[[#This Row],[income]],0)</f>
        <v>0</v>
      </c>
      <c r="CQ8" s="20">
        <f ca="1">IF(Table1[[#This Row],[County]]="West Midlands",Table1[[#This Row],[income]],0)</f>
        <v>0</v>
      </c>
      <c r="CR8" s="20">
        <f ca="1">IF(Table1[[#This Row],[County]]="Warwickshire",Table1[[#This Row],[income]],0)</f>
        <v>0</v>
      </c>
      <c r="CS8" s="20">
        <f ca="1">IF(Table1[[#This Row],[County]]="Tyne and Wear",Table1[[#This Row],[income]],0)</f>
        <v>0</v>
      </c>
      <c r="CT8" s="20">
        <f ca="1">IF(Table1[[#This Row],[County]]="Worcestershire",Table1[[#This Row],[income]],0)</f>
        <v>0</v>
      </c>
      <c r="CU8" s="20">
        <f ca="1">IF(Table1[[#This Row],[County]]="Rutland",Table1[[#This Row],[income]],0)</f>
        <v>0</v>
      </c>
      <c r="CV8" s="20">
        <f ca="1">IF(Table1[[#This Row],[County]]="Shropshire",Table1[[#This Row],[income]],0)</f>
        <v>0</v>
      </c>
      <c r="CW8" s="20">
        <f ca="1">IF(Table1[[#This Row],[County]]="Dorset",Table1[[#This Row],[income]],0)</f>
        <v>0</v>
      </c>
      <c r="CX8" s="20">
        <f ca="1">IF(Table1[[#This Row],[County]]="Buckinghamshire",Table1[[#This Row],[income]],0)</f>
        <v>0</v>
      </c>
      <c r="CY8" s="20">
        <f ca="1">IF(Table1[[#This Row],[County]]="Suffolk",Table1[[#This Row],[income]],0)</f>
        <v>0</v>
      </c>
      <c r="CZ8" s="20">
        <f ca="1">IF(Table1[[#This Row],[County]]="North Yorkshire",Table1[[#This Row],[income]],0)</f>
        <v>0</v>
      </c>
      <c r="DA8" s="20">
        <f ca="1">IF(Table1[[#This Row],[County]]="Kent",Table1[[#This Row],[income]],0)</f>
        <v>0</v>
      </c>
      <c r="DB8" s="5">
        <f ca="1">IF(Table1[[#This Row],[County]]="Derbyshire",Table1[[#This Row],[income]],0)</f>
        <v>0</v>
      </c>
      <c r="DD8" s="6">
        <f ca="1">IF(Table1[[#This Row],[Column1]]="Health",Table1[[#This Row],[income]],0)</f>
        <v>0</v>
      </c>
      <c r="DE8" s="20">
        <f ca="1">IF(Table1[[#This Row],[Column1]]="Agriculture",Table1[[#This Row],[income]],0)</f>
        <v>48868</v>
      </c>
      <c r="DF8" s="20">
        <f ca="1">IF(Table1[[#This Row],[Column1]]="Technology",Table1[[#This Row],[income]],0)</f>
        <v>0</v>
      </c>
      <c r="DG8" s="20">
        <f ca="1">IF(Table1[[#This Row],[Column1]]="Social Service",Table1[[#This Row],[income]],0)</f>
        <v>0</v>
      </c>
      <c r="DH8" s="20">
        <f ca="1">IF(Table1[[#This Row],[Column1]]="Education",Table1[[#This Row],[income]],0)</f>
        <v>0</v>
      </c>
      <c r="DI8" s="5">
        <f ca="1">IF(Table1[[#This Row],[Column1]]="Construction",Table1[[#This Row],[income]],0)</f>
        <v>0</v>
      </c>
      <c r="DK8" s="6">
        <f ca="1">IF(Table1[[#This Row],[Value of Debts]]&gt;Table1[[#This Row],[income]],1,0)</f>
        <v>0</v>
      </c>
      <c r="DL8" s="20"/>
      <c r="DM8" s="20"/>
      <c r="DN8" s="5"/>
      <c r="DP8" s="6">
        <f ca="1">IF(Table1[[#This Row],[Net Worth (£)]]&gt;$DS$5,C8,0)</f>
        <v>25</v>
      </c>
      <c r="DQ8" s="20"/>
      <c r="DR8" s="20"/>
      <c r="DS8" s="5"/>
    </row>
    <row r="9" spans="1:123" x14ac:dyDescent="0.2">
      <c r="A9">
        <f t="shared" ca="1" si="1"/>
        <v>1</v>
      </c>
      <c r="B9" s="1" t="str">
        <f ca="1">IF(A9=1, "men", "women")</f>
        <v>men</v>
      </c>
      <c r="C9" s="1">
        <f ca="1">RANDBETWEEN(25,50)</f>
        <v>44</v>
      </c>
      <c r="D9">
        <f ca="1">RANDBETWEEN(1,6)</f>
        <v>1</v>
      </c>
      <c r="E9" t="str">
        <f ca="1">VLOOKUP(D9,$W$5:$X$10,2)</f>
        <v>Health</v>
      </c>
      <c r="F9">
        <f ca="1">RANDBETWEEN(1,5)</f>
        <v>1</v>
      </c>
      <c r="G9" t="str">
        <f ca="1">VLOOKUP(F9,$Y$5:$Z$9,2)</f>
        <v>High School</v>
      </c>
      <c r="H9">
        <f ca="1">RANDBETWEEN(0,4)</f>
        <v>4</v>
      </c>
      <c r="I9">
        <f ca="1">RANDBETWEEN(1,3)</f>
        <v>3</v>
      </c>
      <c r="J9">
        <f ca="1">RANDBETWEEN(30000,100000)</f>
        <v>57830</v>
      </c>
      <c r="K9">
        <f ca="1">RANDBETWEEN(1,48)</f>
        <v>45</v>
      </c>
      <c r="L9" t="str">
        <f ca="1">VLOOKUP(K9,$AA$5:$AB$52,2)</f>
        <v>West Sussex</v>
      </c>
      <c r="M9">
        <f ca="1">J9*(RANDBETWEEN(2,5))</f>
        <v>289150</v>
      </c>
      <c r="N9">
        <f ca="1">RAND()*M9</f>
        <v>57797.403752440368</v>
      </c>
      <c r="O9">
        <f ca="1">I9*RAND()*J9</f>
        <v>118933.48877602095</v>
      </c>
      <c r="P9">
        <f ca="1">RANDBETWEEN(0,O9)</f>
        <v>36395</v>
      </c>
      <c r="Q9">
        <f ca="1">RAND()*J9*2</f>
        <v>95846.650497141673</v>
      </c>
      <c r="R9">
        <f ca="1">RAND()*J9*1.5</f>
        <v>39381.91954365751</v>
      </c>
      <c r="S9">
        <f ca="1">J9+R9+O9</f>
        <v>216145.40831967845</v>
      </c>
      <c r="T9">
        <f ca="1">N9+P9+Q9</f>
        <v>190039.05424958206</v>
      </c>
      <c r="U9">
        <f ca="1">S9-T9</f>
        <v>26106.354070096393</v>
      </c>
      <c r="W9">
        <v>5</v>
      </c>
      <c r="X9" t="s">
        <v>6</v>
      </c>
      <c r="Y9">
        <v>5</v>
      </c>
      <c r="Z9" t="s">
        <v>13</v>
      </c>
      <c r="AA9">
        <v>5</v>
      </c>
      <c r="AB9" t="s">
        <v>21</v>
      </c>
      <c r="AC9" s="6">
        <f ca="1">IF(Table1[[#This Row],[gender]]="men",1,0)</f>
        <v>1</v>
      </c>
      <c r="AD9">
        <f ca="1">IF(Table1[[#This Row],[gender]]="women",1,0)</f>
        <v>0</v>
      </c>
      <c r="AH9" s="5"/>
      <c r="AJ9" s="6">
        <f ca="1">IF(Table1[[#This Row],[Column1]]="Health",1,0)</f>
        <v>1</v>
      </c>
      <c r="AK9">
        <f ca="1">IF(Table1[[#This Row],[Column1]]="Construction",1,0)</f>
        <v>0</v>
      </c>
      <c r="AL9">
        <f ca="1">IF(Table1[[#This Row],[Column1]]="Technology",1,0)</f>
        <v>0</v>
      </c>
      <c r="AM9">
        <f ca="1">IF(Table1[[#This Row],[Column1]]="Education",1,0)</f>
        <v>0</v>
      </c>
      <c r="AN9">
        <f ca="1">IF(Table1[[#This Row],[Column1]]="Agriculture",1,0)</f>
        <v>0</v>
      </c>
      <c r="AO9">
        <f ca="1">IF(Table1[[#This Row],[Column1]]="Social Service", 1, 0)</f>
        <v>0</v>
      </c>
      <c r="AT9" s="5"/>
      <c r="AV9" s="17">
        <f t="shared" ca="1" si="0"/>
        <v>30421.163132236947</v>
      </c>
      <c r="AW9" s="5"/>
      <c r="AX9" s="6">
        <f ca="1">IF(Table1[[#This Row],[Value of Debts]]&gt;$AY$4,1,0)</f>
        <v>1</v>
      </c>
      <c r="AY9" s="20"/>
      <c r="AZ9" s="20"/>
      <c r="BA9" s="5"/>
      <c r="BB9" s="25">
        <f ca="1">Table1[[#This Row],[Mortage Left]]/Table1[[#This Row],[Value of House]]</f>
        <v>0.19988726872709794</v>
      </c>
      <c r="BC9" s="20">
        <f t="shared" ca="1" si="2"/>
        <v>1</v>
      </c>
      <c r="BD9" s="20"/>
      <c r="BE9" s="20"/>
      <c r="BF9" s="20"/>
      <c r="BG9" s="6">
        <f ca="1">IF(Table1[[#This Row],[County]]="Cumbria",Table1[[#This Row],[income]],0)</f>
        <v>0</v>
      </c>
      <c r="BH9" s="20">
        <f ca="1">IF(Table1[[#This Row],[County]]="Cheshire",Table1[[#This Row],[income]],0)</f>
        <v>0</v>
      </c>
      <c r="BI9" s="20">
        <f ca="1">IF(Table1[[#This Row],[County]]="Bristol",Table1[[#This Row],[income]],0)</f>
        <v>0</v>
      </c>
      <c r="BJ9" s="20">
        <f ca="1">IF(Table1[[#This Row],[County]]="Surrey",Table1[[#This Row],[income]],0)</f>
        <v>0</v>
      </c>
      <c r="BK9" s="20">
        <f ca="1">IF(Table1[[#This Row],[County]]="Norfolk",Table1[[#This Row],[income]],0)</f>
        <v>0</v>
      </c>
      <c r="BL9" s="20">
        <f ca="1">IF(Table1[[#This Row],[County]]="Lincolnshire",Table1[[#This Row],[income]],0)</f>
        <v>0</v>
      </c>
      <c r="BM9" s="20">
        <f ca="1">IF(Table1[[#This Row],[County]]="Somerset",Table1[[#This Row],[income]],0)</f>
        <v>0</v>
      </c>
      <c r="BN9" s="20">
        <f ca="1">IF(Table1[[#This Row],[County]]="Cambridgeshire",Table1[[#This Row],[income]],0)</f>
        <v>0</v>
      </c>
      <c r="BO9" s="20">
        <f ca="1">IF(Table1[[#This Row],[County]]="South Yorkshire",Table1[[#This Row],[income]],0)</f>
        <v>0</v>
      </c>
      <c r="BP9" s="20">
        <f ca="1">IF(Table1[[#This Row],[County]]="Greater London",Table1[[#This Row],[income]],0)</f>
        <v>0</v>
      </c>
      <c r="BQ9" s="20">
        <f ca="1">IF(Table1[[#This Row],[County]]="Hampshire",Table1[[#This Row],[income]],0)</f>
        <v>0</v>
      </c>
      <c r="BR9" s="20">
        <f ca="1">IF(Table1[[#This Row],[County]]="Gloucestershire",Table1[[#This Row],[income]],0)</f>
        <v>0</v>
      </c>
      <c r="BS9" s="20">
        <f ca="1">IF(Table1[[#This Row],[County]]="West Sussex",Table1[[#This Row],[income]],0)</f>
        <v>57830</v>
      </c>
      <c r="BT9" s="20">
        <f ca="1">IF(Table1[[#This Row],[County]]="Devon",Table1[[#This Row],[income]],0)</f>
        <v>0</v>
      </c>
      <c r="BU9" s="20">
        <f ca="1">IF(Table1[[#This Row],[County]]="Berkshire",Table1[[#This Row],[income]],0)</f>
        <v>0</v>
      </c>
      <c r="BV9" s="20">
        <f ca="1">IF(Table1[[#This Row],[County]]="Staffordshire",Table1[[#This Row],[income]],0)</f>
        <v>0</v>
      </c>
      <c r="BW9" s="20">
        <f ca="1">IF(Table1[[#This Row],[County]]="Leicestershire",Table1[[#This Row],[income]],0)</f>
        <v>0</v>
      </c>
      <c r="BX9" s="20">
        <f ca="1">IF(Table1[[#This Row],[County]]="Cornwall",Table1[[#This Row],[income]],0)</f>
        <v>0</v>
      </c>
      <c r="BY9" s="20">
        <f ca="1">IF(Table1[[#This Row],[County]]="Isle of Wight",Table1[[#This Row],[income]],0)</f>
        <v>0</v>
      </c>
      <c r="BZ9" s="20">
        <f ca="1">IF(Table1[[#This Row],[County]]="Surrey",Table1[[#This Row],[income]],0)</f>
        <v>0</v>
      </c>
      <c r="CA9" s="20">
        <f ca="1">IF(Table1[[#This Row],[County]]="Derbyshire",Table1[[#This Row],[income]],0)</f>
        <v>0</v>
      </c>
      <c r="CB9" s="20">
        <f ca="1">IF(Table1[[#This Row],[County]]="City of London",Table1[[#This Row],[income]],0)</f>
        <v>0</v>
      </c>
      <c r="CC9" s="20">
        <f ca="1">IF(Table1[[#This Row],[County]]="Bedfordshire",Table1[[#This Row],[income]],0)</f>
        <v>0</v>
      </c>
      <c r="CD9" s="20">
        <f ca="1">IF(Table1[[#This Row],[County]]="County Durham",Table1[[#This Row],[income]],0)</f>
        <v>0</v>
      </c>
      <c r="CE9" s="20">
        <f ca="1">IF(Table1[[#This Row],[County]]="East Riding of Yorkshire",Table1[[#This Row],[income]],0)</f>
        <v>0</v>
      </c>
      <c r="CF9" s="20">
        <f ca="1">IF(Table1[[#This Row],[County]]="West Yorkshire",Table1[[#This Row],[income]],0)</f>
        <v>0</v>
      </c>
      <c r="CG9" s="20">
        <f ca="1">IF(Table1[[#This Row],[County]]="Essex",Table1[[#This Row],[income]],0)</f>
        <v>0</v>
      </c>
      <c r="CH9" s="20">
        <f ca="1">IF(Table1[[#This Row],[County]]="East Sussex",Table1[[#This Row],[income]],0)</f>
        <v>0</v>
      </c>
      <c r="CI9" s="20">
        <f ca="1">IF(Table1[[#This Row],[County]]="Greater Manchester",Table1[[#This Row],[income]],0)</f>
        <v>0</v>
      </c>
      <c r="CJ9" s="20">
        <f ca="1">IF(Table1[[#This Row],[County]]="Hertfordshire",Table1[[#This Row],[income]],0)</f>
        <v>0</v>
      </c>
      <c r="CK9" s="20">
        <f ca="1">IF(Table1[[#This Row],[County]]="Herefordshire",Table1[[#This Row],[income]],0)</f>
        <v>0</v>
      </c>
      <c r="CL9" s="20">
        <f ca="1">IF(Table1[[#This Row],[County]]="Lancashire",Table1[[#This Row],[income]],0)</f>
        <v>0</v>
      </c>
      <c r="CM9" s="20">
        <f ca="1">IF(Table1[[#This Row],[County]]="Merseyside",Table1[[#This Row],[income]],0)</f>
        <v>0</v>
      </c>
      <c r="CN9" s="20">
        <f ca="1">IF(Table1[[#This Row],[County]]="Northamptonshire",Table1[[#This Row],[income]],0)</f>
        <v>0</v>
      </c>
      <c r="CO9" s="20">
        <f ca="1">IF(Table1[[#This Row],[County]]="Northumberland",Table1[[#This Row],[income]],0)</f>
        <v>0</v>
      </c>
      <c r="CP9" s="20">
        <f ca="1">IF(Table1[[#This Row],[County]]="Wiltshire",Table1[[#This Row],[income]],0)</f>
        <v>0</v>
      </c>
      <c r="CQ9" s="20">
        <f ca="1">IF(Table1[[#This Row],[County]]="West Midlands",Table1[[#This Row],[income]],0)</f>
        <v>0</v>
      </c>
      <c r="CR9" s="20">
        <f ca="1">IF(Table1[[#This Row],[County]]="Warwickshire",Table1[[#This Row],[income]],0)</f>
        <v>0</v>
      </c>
      <c r="CS9" s="20">
        <f ca="1">IF(Table1[[#This Row],[County]]="Tyne and Wear",Table1[[#This Row],[income]],0)</f>
        <v>0</v>
      </c>
      <c r="CT9" s="20">
        <f ca="1">IF(Table1[[#This Row],[County]]="Worcestershire",Table1[[#This Row],[income]],0)</f>
        <v>0</v>
      </c>
      <c r="CU9" s="20">
        <f ca="1">IF(Table1[[#This Row],[County]]="Rutland",Table1[[#This Row],[income]],0)</f>
        <v>0</v>
      </c>
      <c r="CV9" s="20">
        <f ca="1">IF(Table1[[#This Row],[County]]="Shropshire",Table1[[#This Row],[income]],0)</f>
        <v>0</v>
      </c>
      <c r="CW9" s="20">
        <f ca="1">IF(Table1[[#This Row],[County]]="Dorset",Table1[[#This Row],[income]],0)</f>
        <v>0</v>
      </c>
      <c r="CX9" s="20">
        <f ca="1">IF(Table1[[#This Row],[County]]="Buckinghamshire",Table1[[#This Row],[income]],0)</f>
        <v>0</v>
      </c>
      <c r="CY9" s="20">
        <f ca="1">IF(Table1[[#This Row],[County]]="Suffolk",Table1[[#This Row],[income]],0)</f>
        <v>0</v>
      </c>
      <c r="CZ9" s="20">
        <f ca="1">IF(Table1[[#This Row],[County]]="North Yorkshire",Table1[[#This Row],[income]],0)</f>
        <v>0</v>
      </c>
      <c r="DA9" s="20">
        <f ca="1">IF(Table1[[#This Row],[County]]="Kent",Table1[[#This Row],[income]],0)</f>
        <v>0</v>
      </c>
      <c r="DB9" s="5">
        <f ca="1">IF(Table1[[#This Row],[County]]="Derbyshire",Table1[[#This Row],[income]],0)</f>
        <v>0</v>
      </c>
      <c r="DD9" s="6">
        <f ca="1">IF(Table1[[#This Row],[Column1]]="Health",Table1[[#This Row],[income]],0)</f>
        <v>57830</v>
      </c>
      <c r="DE9" s="20">
        <f ca="1">IF(Table1[[#This Row],[Column1]]="Agriculture",Table1[[#This Row],[income]],0)</f>
        <v>0</v>
      </c>
      <c r="DF9" s="20">
        <f ca="1">IF(Table1[[#This Row],[Column1]]="Technology",Table1[[#This Row],[income]],0)</f>
        <v>0</v>
      </c>
      <c r="DG9" s="20">
        <f ca="1">IF(Table1[[#This Row],[Column1]]="Social Service",Table1[[#This Row],[income]],0)</f>
        <v>0</v>
      </c>
      <c r="DH9" s="20">
        <f ca="1">IF(Table1[[#This Row],[Column1]]="Education",Table1[[#This Row],[income]],0)</f>
        <v>0</v>
      </c>
      <c r="DI9" s="5">
        <f ca="1">IF(Table1[[#This Row],[Column1]]="Construction",Table1[[#This Row],[income]],0)</f>
        <v>0</v>
      </c>
      <c r="DK9" s="6">
        <f ca="1">IF(Table1[[#This Row],[Value of Debts]]&gt;Table1[[#This Row],[income]],1,0)</f>
        <v>1</v>
      </c>
      <c r="DL9" s="20"/>
      <c r="DM9" s="20"/>
      <c r="DN9" s="5"/>
      <c r="DP9" s="6">
        <f ca="1">IF(Table1[[#This Row],[Net Worth (£)]]&gt;$DS$5,C9,0)</f>
        <v>0</v>
      </c>
      <c r="DQ9" s="20"/>
      <c r="DR9" s="20"/>
      <c r="DS9" s="5"/>
    </row>
    <row r="10" spans="1:123" x14ac:dyDescent="0.2">
      <c r="A10">
        <f t="shared" ca="1" si="1"/>
        <v>1</v>
      </c>
      <c r="B10" s="1" t="str">
        <f ca="1">IF(A10=1, "men", "women")</f>
        <v>men</v>
      </c>
      <c r="C10" s="1">
        <f ca="1">RANDBETWEEN(25,50)</f>
        <v>50</v>
      </c>
      <c r="D10">
        <f ca="1">RANDBETWEEN(1,6)</f>
        <v>6</v>
      </c>
      <c r="E10" t="str">
        <f ca="1">VLOOKUP(D10,$W$5:$X$10,2)</f>
        <v>Agriculture</v>
      </c>
      <c r="F10">
        <f ca="1">RANDBETWEEN(1,5)</f>
        <v>5</v>
      </c>
      <c r="G10" t="str">
        <f ca="1">VLOOKUP(F10,$Y$5:$Z$9,2)</f>
        <v>Other</v>
      </c>
      <c r="H10">
        <f ca="1">RANDBETWEEN(0,4)</f>
        <v>1</v>
      </c>
      <c r="I10">
        <f ca="1">RANDBETWEEN(1,3)</f>
        <v>3</v>
      </c>
      <c r="J10">
        <f ca="1">RANDBETWEEN(30000,100000)</f>
        <v>79805</v>
      </c>
      <c r="K10">
        <f ca="1">RANDBETWEEN(1,48)</f>
        <v>44</v>
      </c>
      <c r="L10" t="str">
        <f ca="1">VLOOKUP(K10,$AA$5:$AB$52,2)</f>
        <v>West Midlands</v>
      </c>
      <c r="M10">
        <f ca="1">J10*(RANDBETWEEN(2,5))</f>
        <v>159610</v>
      </c>
      <c r="N10">
        <f ca="1">RAND()*M10</f>
        <v>123365.77560189254</v>
      </c>
      <c r="O10">
        <f ca="1">I10*RAND()*J10</f>
        <v>91263.489396710836</v>
      </c>
      <c r="P10">
        <f ca="1">RANDBETWEEN(0,O10)</f>
        <v>6964</v>
      </c>
      <c r="Q10">
        <f ca="1">RAND()*J10*2</f>
        <v>8009.778432781427</v>
      </c>
      <c r="R10">
        <f ca="1">RAND()*J10*1.5</f>
        <v>62221.674665201012</v>
      </c>
      <c r="S10">
        <f ca="1">J10+R10+O10</f>
        <v>233290.16406191187</v>
      </c>
      <c r="T10">
        <f ca="1">N10+P10+Q10</f>
        <v>138339.55403467396</v>
      </c>
      <c r="U10">
        <f ca="1">S10-T10</f>
        <v>94950.610027237912</v>
      </c>
      <c r="W10">
        <v>6</v>
      </c>
      <c r="X10" t="s">
        <v>7</v>
      </c>
      <c r="AA10">
        <v>6</v>
      </c>
      <c r="AB10" t="s">
        <v>22</v>
      </c>
      <c r="AC10" s="6">
        <f ca="1">IF(Table1[[#This Row],[gender]]="men",1,0)</f>
        <v>1</v>
      </c>
      <c r="AD10">
        <f ca="1">IF(Table1[[#This Row],[gender]]="women",1,0)</f>
        <v>0</v>
      </c>
      <c r="AH10" s="5"/>
      <c r="AJ10" s="6">
        <f ca="1">IF(Table1[[#This Row],[Column1]]="Health",1,0)</f>
        <v>0</v>
      </c>
      <c r="AK10">
        <f ca="1">IF(Table1[[#This Row],[Column1]]="Construction",1,0)</f>
        <v>0</v>
      </c>
      <c r="AL10">
        <f ca="1">IF(Table1[[#This Row],[Column1]]="Technology",1,0)</f>
        <v>0</v>
      </c>
      <c r="AM10">
        <f ca="1">IF(Table1[[#This Row],[Column1]]="Education",1,0)</f>
        <v>0</v>
      </c>
      <c r="AN10">
        <f ca="1">IF(Table1[[#This Row],[Column1]]="Agriculture",1,0)</f>
        <v>1</v>
      </c>
      <c r="AO10">
        <f ca="1">IF(Table1[[#This Row],[Column1]]="Social Service", 1, 0)</f>
        <v>0</v>
      </c>
      <c r="AT10" s="5"/>
      <c r="AV10" s="17">
        <f t="shared" ca="1" si="0"/>
        <v>4252.9764678177826</v>
      </c>
      <c r="AW10" s="5"/>
      <c r="AX10" s="6">
        <f ca="1">IF(Table1[[#This Row],[Value of Debts]]&gt;$AY$4,1,0)</f>
        <v>1</v>
      </c>
      <c r="AY10" s="20"/>
      <c r="AZ10" s="20"/>
      <c r="BA10" s="5"/>
      <c r="BB10" s="25">
        <f ca="1">Table1[[#This Row],[Mortage Left]]/Table1[[#This Row],[Value of House]]</f>
        <v>0.77292009023176833</v>
      </c>
      <c r="BC10" s="20">
        <f t="shared" ca="1" si="2"/>
        <v>0</v>
      </c>
      <c r="BD10" s="20"/>
      <c r="BE10" s="20"/>
      <c r="BF10" s="20"/>
      <c r="BG10" s="6">
        <f ca="1">IF(Table1[[#This Row],[County]]="Cumbria",Table1[[#This Row],[income]],0)</f>
        <v>0</v>
      </c>
      <c r="BH10" s="20">
        <f ca="1">IF(Table1[[#This Row],[County]]="Cheshire",Table1[[#This Row],[income]],0)</f>
        <v>0</v>
      </c>
      <c r="BI10" s="20">
        <f ca="1">IF(Table1[[#This Row],[County]]="Bristol",Table1[[#This Row],[income]],0)</f>
        <v>0</v>
      </c>
      <c r="BJ10" s="20">
        <f ca="1">IF(Table1[[#This Row],[County]]="Surrey",Table1[[#This Row],[income]],0)</f>
        <v>0</v>
      </c>
      <c r="BK10" s="20">
        <f ca="1">IF(Table1[[#This Row],[County]]="Norfolk",Table1[[#This Row],[income]],0)</f>
        <v>0</v>
      </c>
      <c r="BL10" s="20">
        <f ca="1">IF(Table1[[#This Row],[County]]="Lincolnshire",Table1[[#This Row],[income]],0)</f>
        <v>0</v>
      </c>
      <c r="BM10" s="20">
        <f ca="1">IF(Table1[[#This Row],[County]]="Somerset",Table1[[#This Row],[income]],0)</f>
        <v>0</v>
      </c>
      <c r="BN10" s="20">
        <f ca="1">IF(Table1[[#This Row],[County]]="Cambridgeshire",Table1[[#This Row],[income]],0)</f>
        <v>0</v>
      </c>
      <c r="BO10" s="20">
        <f ca="1">IF(Table1[[#This Row],[County]]="South Yorkshire",Table1[[#This Row],[income]],0)</f>
        <v>0</v>
      </c>
      <c r="BP10" s="20">
        <f ca="1">IF(Table1[[#This Row],[County]]="Greater London",Table1[[#This Row],[income]],0)</f>
        <v>0</v>
      </c>
      <c r="BQ10" s="20">
        <f ca="1">IF(Table1[[#This Row],[County]]="Hampshire",Table1[[#This Row],[income]],0)</f>
        <v>0</v>
      </c>
      <c r="BR10" s="20">
        <f ca="1">IF(Table1[[#This Row],[County]]="Gloucestershire",Table1[[#This Row],[income]],0)</f>
        <v>0</v>
      </c>
      <c r="BS10" s="20">
        <f ca="1">IF(Table1[[#This Row],[County]]="West Sussex",Table1[[#This Row],[income]],0)</f>
        <v>0</v>
      </c>
      <c r="BT10" s="20">
        <f ca="1">IF(Table1[[#This Row],[County]]="Devon",Table1[[#This Row],[income]],0)</f>
        <v>0</v>
      </c>
      <c r="BU10" s="20">
        <f ca="1">IF(Table1[[#This Row],[County]]="Berkshire",Table1[[#This Row],[income]],0)</f>
        <v>0</v>
      </c>
      <c r="BV10" s="20">
        <f ca="1">IF(Table1[[#This Row],[County]]="Staffordshire",Table1[[#This Row],[income]],0)</f>
        <v>0</v>
      </c>
      <c r="BW10" s="20">
        <f ca="1">IF(Table1[[#This Row],[County]]="Leicestershire",Table1[[#This Row],[income]],0)</f>
        <v>0</v>
      </c>
      <c r="BX10" s="20">
        <f ca="1">IF(Table1[[#This Row],[County]]="Cornwall",Table1[[#This Row],[income]],0)</f>
        <v>0</v>
      </c>
      <c r="BY10" s="20">
        <f ca="1">IF(Table1[[#This Row],[County]]="Isle of Wight",Table1[[#This Row],[income]],0)</f>
        <v>0</v>
      </c>
      <c r="BZ10" s="20">
        <f ca="1">IF(Table1[[#This Row],[County]]="Surrey",Table1[[#This Row],[income]],0)</f>
        <v>0</v>
      </c>
      <c r="CA10" s="20">
        <f ca="1">IF(Table1[[#This Row],[County]]="Derbyshire",Table1[[#This Row],[income]],0)</f>
        <v>0</v>
      </c>
      <c r="CB10" s="20">
        <f ca="1">IF(Table1[[#This Row],[County]]="City of London",Table1[[#This Row],[income]],0)</f>
        <v>0</v>
      </c>
      <c r="CC10" s="20">
        <f ca="1">IF(Table1[[#This Row],[County]]="Bedfordshire",Table1[[#This Row],[income]],0)</f>
        <v>0</v>
      </c>
      <c r="CD10" s="20">
        <f ca="1">IF(Table1[[#This Row],[County]]="County Durham",Table1[[#This Row],[income]],0)</f>
        <v>0</v>
      </c>
      <c r="CE10" s="20">
        <f ca="1">IF(Table1[[#This Row],[County]]="East Riding of Yorkshire",Table1[[#This Row],[income]],0)</f>
        <v>0</v>
      </c>
      <c r="CF10" s="20">
        <f ca="1">IF(Table1[[#This Row],[County]]="West Yorkshire",Table1[[#This Row],[income]],0)</f>
        <v>0</v>
      </c>
      <c r="CG10" s="20">
        <f ca="1">IF(Table1[[#This Row],[County]]="Essex",Table1[[#This Row],[income]],0)</f>
        <v>0</v>
      </c>
      <c r="CH10" s="20">
        <f ca="1">IF(Table1[[#This Row],[County]]="East Sussex",Table1[[#This Row],[income]],0)</f>
        <v>0</v>
      </c>
      <c r="CI10" s="20">
        <f ca="1">IF(Table1[[#This Row],[County]]="Greater Manchester",Table1[[#This Row],[income]],0)</f>
        <v>0</v>
      </c>
      <c r="CJ10" s="20">
        <f ca="1">IF(Table1[[#This Row],[County]]="Hertfordshire",Table1[[#This Row],[income]],0)</f>
        <v>0</v>
      </c>
      <c r="CK10" s="20">
        <f ca="1">IF(Table1[[#This Row],[County]]="Herefordshire",Table1[[#This Row],[income]],0)</f>
        <v>0</v>
      </c>
      <c r="CL10" s="20">
        <f ca="1">IF(Table1[[#This Row],[County]]="Lancashire",Table1[[#This Row],[income]],0)</f>
        <v>0</v>
      </c>
      <c r="CM10" s="20">
        <f ca="1">IF(Table1[[#This Row],[County]]="Merseyside",Table1[[#This Row],[income]],0)</f>
        <v>0</v>
      </c>
      <c r="CN10" s="20">
        <f ca="1">IF(Table1[[#This Row],[County]]="Northamptonshire",Table1[[#This Row],[income]],0)</f>
        <v>0</v>
      </c>
      <c r="CO10" s="20">
        <f ca="1">IF(Table1[[#This Row],[County]]="Northumberland",Table1[[#This Row],[income]],0)</f>
        <v>0</v>
      </c>
      <c r="CP10" s="20">
        <f ca="1">IF(Table1[[#This Row],[County]]="Wiltshire",Table1[[#This Row],[income]],0)</f>
        <v>0</v>
      </c>
      <c r="CQ10" s="20">
        <f ca="1">IF(Table1[[#This Row],[County]]="West Midlands",Table1[[#This Row],[income]],0)</f>
        <v>79805</v>
      </c>
      <c r="CR10" s="20">
        <f ca="1">IF(Table1[[#This Row],[County]]="Warwickshire",Table1[[#This Row],[income]],0)</f>
        <v>0</v>
      </c>
      <c r="CS10" s="20">
        <f ca="1">IF(Table1[[#This Row],[County]]="Tyne and Wear",Table1[[#This Row],[income]],0)</f>
        <v>0</v>
      </c>
      <c r="CT10" s="20">
        <f ca="1">IF(Table1[[#This Row],[County]]="Worcestershire",Table1[[#This Row],[income]],0)</f>
        <v>0</v>
      </c>
      <c r="CU10" s="20">
        <f ca="1">IF(Table1[[#This Row],[County]]="Rutland",Table1[[#This Row],[income]],0)</f>
        <v>0</v>
      </c>
      <c r="CV10" s="20">
        <f ca="1">IF(Table1[[#This Row],[County]]="Shropshire",Table1[[#This Row],[income]],0)</f>
        <v>0</v>
      </c>
      <c r="CW10" s="20">
        <f ca="1">IF(Table1[[#This Row],[County]]="Dorset",Table1[[#This Row],[income]],0)</f>
        <v>0</v>
      </c>
      <c r="CX10" s="20">
        <f ca="1">IF(Table1[[#This Row],[County]]="Buckinghamshire",Table1[[#This Row],[income]],0)</f>
        <v>0</v>
      </c>
      <c r="CY10" s="20">
        <f ca="1">IF(Table1[[#This Row],[County]]="Suffolk",Table1[[#This Row],[income]],0)</f>
        <v>0</v>
      </c>
      <c r="CZ10" s="20">
        <f ca="1">IF(Table1[[#This Row],[County]]="North Yorkshire",Table1[[#This Row],[income]],0)</f>
        <v>0</v>
      </c>
      <c r="DA10" s="20">
        <f ca="1">IF(Table1[[#This Row],[County]]="Kent",Table1[[#This Row],[income]],0)</f>
        <v>0</v>
      </c>
      <c r="DB10" s="5">
        <f ca="1">IF(Table1[[#This Row],[County]]="Derbyshire",Table1[[#This Row],[income]],0)</f>
        <v>0</v>
      </c>
      <c r="DD10" s="6">
        <f ca="1">IF(Table1[[#This Row],[Column1]]="Health",Table1[[#This Row],[income]],0)</f>
        <v>0</v>
      </c>
      <c r="DE10" s="20">
        <f ca="1">IF(Table1[[#This Row],[Column1]]="Agriculture",Table1[[#This Row],[income]],0)</f>
        <v>79805</v>
      </c>
      <c r="DF10" s="20">
        <f ca="1">IF(Table1[[#This Row],[Column1]]="Technology",Table1[[#This Row],[income]],0)</f>
        <v>0</v>
      </c>
      <c r="DG10" s="20">
        <f ca="1">IF(Table1[[#This Row],[Column1]]="Social Service",Table1[[#This Row],[income]],0)</f>
        <v>0</v>
      </c>
      <c r="DH10" s="20">
        <f ca="1">IF(Table1[[#This Row],[Column1]]="Education",Table1[[#This Row],[income]],0)</f>
        <v>0</v>
      </c>
      <c r="DI10" s="5">
        <f ca="1">IF(Table1[[#This Row],[Column1]]="Construction",Table1[[#This Row],[income]],0)</f>
        <v>0</v>
      </c>
      <c r="DK10" s="6">
        <f ca="1">IF(Table1[[#This Row],[Value of Debts]]&gt;Table1[[#This Row],[income]],1,0)</f>
        <v>1</v>
      </c>
      <c r="DL10" s="20"/>
      <c r="DM10" s="20"/>
      <c r="DN10" s="5"/>
      <c r="DP10" s="6">
        <f ca="1">IF(Table1[[#This Row],[Net Worth (£)]]&gt;$DS$5,C10,0)</f>
        <v>50</v>
      </c>
      <c r="DQ10" s="20"/>
      <c r="DR10" s="20"/>
      <c r="DS10" s="5"/>
    </row>
    <row r="11" spans="1:123" x14ac:dyDescent="0.2">
      <c r="A11">
        <f t="shared" ca="1" si="1"/>
        <v>2</v>
      </c>
      <c r="B11" s="1" t="str">
        <f ca="1">IF(A11=1, "men", "women")</f>
        <v>women</v>
      </c>
      <c r="C11" s="1">
        <f ca="1">RANDBETWEEN(25,50)</f>
        <v>30</v>
      </c>
      <c r="D11">
        <f ca="1">RANDBETWEEN(1,6)</f>
        <v>3</v>
      </c>
      <c r="E11" t="str">
        <f ca="1">VLOOKUP(D11,$W$5:$X$10,2)</f>
        <v>Education</v>
      </c>
      <c r="F11">
        <f ca="1">RANDBETWEEN(1,5)</f>
        <v>2</v>
      </c>
      <c r="G11" t="str">
        <f ca="1">VLOOKUP(F11,$Y$5:$Z$9,2)</f>
        <v>College</v>
      </c>
      <c r="H11">
        <f ca="1">RANDBETWEEN(0,4)</f>
        <v>3</v>
      </c>
      <c r="I11">
        <f ca="1">RANDBETWEEN(1,3)</f>
        <v>3</v>
      </c>
      <c r="J11">
        <f ca="1">RANDBETWEEN(30000,100000)</f>
        <v>80518</v>
      </c>
      <c r="K11">
        <f ca="1">RANDBETWEEN(1,48)</f>
        <v>43</v>
      </c>
      <c r="L11" t="str">
        <f ca="1">VLOOKUP(K11,$AA$5:$AB$52,2)</f>
        <v>Warwickshire</v>
      </c>
      <c r="M11">
        <f ca="1">J11*(RANDBETWEEN(2,5))</f>
        <v>161036</v>
      </c>
      <c r="N11">
        <f ca="1">RAND()*M11</f>
        <v>138535.82847298079</v>
      </c>
      <c r="O11">
        <f ca="1">I11*RAND()*J11</f>
        <v>12758.929403453349</v>
      </c>
      <c r="P11">
        <f ca="1">RANDBETWEEN(0,O11)</f>
        <v>10499</v>
      </c>
      <c r="Q11">
        <f ca="1">RAND()*J11*2</f>
        <v>76780.563567810561</v>
      </c>
      <c r="R11">
        <f ca="1">RAND()*J11*1.5</f>
        <v>27993.55256647207</v>
      </c>
      <c r="S11">
        <f ca="1">J11+R11+O11</f>
        <v>121270.48196992541</v>
      </c>
      <c r="T11">
        <f ca="1">N11+P11+Q11</f>
        <v>225815.39204079134</v>
      </c>
      <c r="U11">
        <f ca="1">S11-T11</f>
        <v>-104544.91007086592</v>
      </c>
      <c r="AA11">
        <v>7</v>
      </c>
      <c r="AB11" t="s">
        <v>23</v>
      </c>
      <c r="AC11" s="6">
        <f ca="1">IF(Table1[[#This Row],[gender]]="men",1,0)</f>
        <v>0</v>
      </c>
      <c r="AD11">
        <f ca="1">IF(Table1[[#This Row],[gender]]="women",1,0)</f>
        <v>1</v>
      </c>
      <c r="AH11" s="5"/>
      <c r="AJ11" s="6">
        <f ca="1">IF(Table1[[#This Row],[Column1]]="Health",1,0)</f>
        <v>0</v>
      </c>
      <c r="AK11">
        <f ca="1">IF(Table1[[#This Row],[Column1]]="Construction",1,0)</f>
        <v>0</v>
      </c>
      <c r="AL11">
        <f ca="1">IF(Table1[[#This Row],[Column1]]="Technology",1,0)</f>
        <v>0</v>
      </c>
      <c r="AM11">
        <f ca="1">IF(Table1[[#This Row],[Column1]]="Education",1,0)</f>
        <v>1</v>
      </c>
      <c r="AN11">
        <f ca="1">IF(Table1[[#This Row],[Column1]]="Agriculture",1,0)</f>
        <v>0</v>
      </c>
      <c r="AO11">
        <f ca="1">IF(Table1[[#This Row],[Column1]]="Social Service", 1, 0)</f>
        <v>0</v>
      </c>
      <c r="AT11" s="5"/>
      <c r="AV11" s="17">
        <f t="shared" ca="1" si="0"/>
        <v>50980.656766422042</v>
      </c>
      <c r="AW11" s="5"/>
      <c r="AX11" s="6">
        <f ca="1">IF(Table1[[#This Row],[Value of Debts]]&gt;$AY$4,1,0)</f>
        <v>1</v>
      </c>
      <c r="AY11" s="20"/>
      <c r="AZ11" s="20"/>
      <c r="BA11" s="5"/>
      <c r="BB11" s="25">
        <f ca="1">Table1[[#This Row],[Mortage Left]]/Table1[[#This Row],[Value of House]]</f>
        <v>0.86027862386659371</v>
      </c>
      <c r="BC11" s="20">
        <f t="shared" ca="1" si="2"/>
        <v>0</v>
      </c>
      <c r="BD11" s="20"/>
      <c r="BE11" s="20"/>
      <c r="BF11" s="20"/>
      <c r="BG11" s="6">
        <f ca="1">IF(Table1[[#This Row],[County]]="Cumbria",Table1[[#This Row],[income]],0)</f>
        <v>0</v>
      </c>
      <c r="BH11" s="20">
        <f ca="1">IF(Table1[[#This Row],[County]]="Cheshire",Table1[[#This Row],[income]],0)</f>
        <v>0</v>
      </c>
      <c r="BI11" s="20">
        <f ca="1">IF(Table1[[#This Row],[County]]="Bristol",Table1[[#This Row],[income]],0)</f>
        <v>0</v>
      </c>
      <c r="BJ11" s="20">
        <f ca="1">IF(Table1[[#This Row],[County]]="Surrey",Table1[[#This Row],[income]],0)</f>
        <v>0</v>
      </c>
      <c r="BK11" s="20">
        <f ca="1">IF(Table1[[#This Row],[County]]="Norfolk",Table1[[#This Row],[income]],0)</f>
        <v>0</v>
      </c>
      <c r="BL11" s="20">
        <f ca="1">IF(Table1[[#This Row],[County]]="Lincolnshire",Table1[[#This Row],[income]],0)</f>
        <v>0</v>
      </c>
      <c r="BM11" s="20">
        <f ca="1">IF(Table1[[#This Row],[County]]="Somerset",Table1[[#This Row],[income]],0)</f>
        <v>0</v>
      </c>
      <c r="BN11" s="20">
        <f ca="1">IF(Table1[[#This Row],[County]]="Cambridgeshire",Table1[[#This Row],[income]],0)</f>
        <v>0</v>
      </c>
      <c r="BO11" s="20">
        <f ca="1">IF(Table1[[#This Row],[County]]="South Yorkshire",Table1[[#This Row],[income]],0)</f>
        <v>0</v>
      </c>
      <c r="BP11" s="20">
        <f ca="1">IF(Table1[[#This Row],[County]]="Greater London",Table1[[#This Row],[income]],0)</f>
        <v>0</v>
      </c>
      <c r="BQ11" s="20">
        <f ca="1">IF(Table1[[#This Row],[County]]="Hampshire",Table1[[#This Row],[income]],0)</f>
        <v>0</v>
      </c>
      <c r="BR11" s="20">
        <f ca="1">IF(Table1[[#This Row],[County]]="Gloucestershire",Table1[[#This Row],[income]],0)</f>
        <v>0</v>
      </c>
      <c r="BS11" s="20">
        <f ca="1">IF(Table1[[#This Row],[County]]="West Sussex",Table1[[#This Row],[income]],0)</f>
        <v>0</v>
      </c>
      <c r="BT11" s="20">
        <f ca="1">IF(Table1[[#This Row],[County]]="Devon",Table1[[#This Row],[income]],0)</f>
        <v>0</v>
      </c>
      <c r="BU11" s="20">
        <f ca="1">IF(Table1[[#This Row],[County]]="Berkshire",Table1[[#This Row],[income]],0)</f>
        <v>0</v>
      </c>
      <c r="BV11" s="20">
        <f ca="1">IF(Table1[[#This Row],[County]]="Staffordshire",Table1[[#This Row],[income]],0)</f>
        <v>0</v>
      </c>
      <c r="BW11" s="20">
        <f ca="1">IF(Table1[[#This Row],[County]]="Leicestershire",Table1[[#This Row],[income]],0)</f>
        <v>0</v>
      </c>
      <c r="BX11" s="20">
        <f ca="1">IF(Table1[[#This Row],[County]]="Cornwall",Table1[[#This Row],[income]],0)</f>
        <v>0</v>
      </c>
      <c r="BY11" s="20">
        <f ca="1">IF(Table1[[#This Row],[County]]="Isle of Wight",Table1[[#This Row],[income]],0)</f>
        <v>0</v>
      </c>
      <c r="BZ11" s="20">
        <f ca="1">IF(Table1[[#This Row],[County]]="Surrey",Table1[[#This Row],[income]],0)</f>
        <v>0</v>
      </c>
      <c r="CA11" s="20">
        <f ca="1">IF(Table1[[#This Row],[County]]="Derbyshire",Table1[[#This Row],[income]],0)</f>
        <v>0</v>
      </c>
      <c r="CB11" s="20">
        <f ca="1">IF(Table1[[#This Row],[County]]="City of London",Table1[[#This Row],[income]],0)</f>
        <v>0</v>
      </c>
      <c r="CC11" s="20">
        <f ca="1">IF(Table1[[#This Row],[County]]="Bedfordshire",Table1[[#This Row],[income]],0)</f>
        <v>0</v>
      </c>
      <c r="CD11" s="20">
        <f ca="1">IF(Table1[[#This Row],[County]]="County Durham",Table1[[#This Row],[income]],0)</f>
        <v>0</v>
      </c>
      <c r="CE11" s="20">
        <f ca="1">IF(Table1[[#This Row],[County]]="East Riding of Yorkshire",Table1[[#This Row],[income]],0)</f>
        <v>0</v>
      </c>
      <c r="CF11" s="20">
        <f ca="1">IF(Table1[[#This Row],[County]]="West Yorkshire",Table1[[#This Row],[income]],0)</f>
        <v>0</v>
      </c>
      <c r="CG11" s="20">
        <f ca="1">IF(Table1[[#This Row],[County]]="Essex",Table1[[#This Row],[income]],0)</f>
        <v>0</v>
      </c>
      <c r="CH11" s="20">
        <f ca="1">IF(Table1[[#This Row],[County]]="East Sussex",Table1[[#This Row],[income]],0)</f>
        <v>0</v>
      </c>
      <c r="CI11" s="20">
        <f ca="1">IF(Table1[[#This Row],[County]]="Greater Manchester",Table1[[#This Row],[income]],0)</f>
        <v>0</v>
      </c>
      <c r="CJ11" s="20">
        <f ca="1">IF(Table1[[#This Row],[County]]="Hertfordshire",Table1[[#This Row],[income]],0)</f>
        <v>0</v>
      </c>
      <c r="CK11" s="20">
        <f ca="1">IF(Table1[[#This Row],[County]]="Herefordshire",Table1[[#This Row],[income]],0)</f>
        <v>0</v>
      </c>
      <c r="CL11" s="20">
        <f ca="1">IF(Table1[[#This Row],[County]]="Lancashire",Table1[[#This Row],[income]],0)</f>
        <v>0</v>
      </c>
      <c r="CM11" s="20">
        <f ca="1">IF(Table1[[#This Row],[County]]="Merseyside",Table1[[#This Row],[income]],0)</f>
        <v>0</v>
      </c>
      <c r="CN11" s="20">
        <f ca="1">IF(Table1[[#This Row],[County]]="Northamptonshire",Table1[[#This Row],[income]],0)</f>
        <v>0</v>
      </c>
      <c r="CO11" s="20">
        <f ca="1">IF(Table1[[#This Row],[County]]="Northumberland",Table1[[#This Row],[income]],0)</f>
        <v>0</v>
      </c>
      <c r="CP11" s="20">
        <f ca="1">IF(Table1[[#This Row],[County]]="Wiltshire",Table1[[#This Row],[income]],0)</f>
        <v>0</v>
      </c>
      <c r="CQ11" s="20">
        <f ca="1">IF(Table1[[#This Row],[County]]="West Midlands",Table1[[#This Row],[income]],0)</f>
        <v>0</v>
      </c>
      <c r="CR11" s="20">
        <f ca="1">IF(Table1[[#This Row],[County]]="Warwickshire",Table1[[#This Row],[income]],0)</f>
        <v>80518</v>
      </c>
      <c r="CS11" s="20">
        <f ca="1">IF(Table1[[#This Row],[County]]="Tyne and Wear",Table1[[#This Row],[income]],0)</f>
        <v>0</v>
      </c>
      <c r="CT11" s="20">
        <f ca="1">IF(Table1[[#This Row],[County]]="Worcestershire",Table1[[#This Row],[income]],0)</f>
        <v>0</v>
      </c>
      <c r="CU11" s="20">
        <f ca="1">IF(Table1[[#This Row],[County]]="Rutland",Table1[[#This Row],[income]],0)</f>
        <v>0</v>
      </c>
      <c r="CV11" s="20">
        <f ca="1">IF(Table1[[#This Row],[County]]="Shropshire",Table1[[#This Row],[income]],0)</f>
        <v>0</v>
      </c>
      <c r="CW11" s="20">
        <f ca="1">IF(Table1[[#This Row],[County]]="Dorset",Table1[[#This Row],[income]],0)</f>
        <v>0</v>
      </c>
      <c r="CX11" s="20">
        <f ca="1">IF(Table1[[#This Row],[County]]="Buckinghamshire",Table1[[#This Row],[income]],0)</f>
        <v>0</v>
      </c>
      <c r="CY11" s="20">
        <f ca="1">IF(Table1[[#This Row],[County]]="Suffolk",Table1[[#This Row],[income]],0)</f>
        <v>0</v>
      </c>
      <c r="CZ11" s="20">
        <f ca="1">IF(Table1[[#This Row],[County]]="North Yorkshire",Table1[[#This Row],[income]],0)</f>
        <v>0</v>
      </c>
      <c r="DA11" s="20">
        <f ca="1">IF(Table1[[#This Row],[County]]="Kent",Table1[[#This Row],[income]],0)</f>
        <v>0</v>
      </c>
      <c r="DB11" s="5">
        <f ca="1">IF(Table1[[#This Row],[County]]="Derbyshire",Table1[[#This Row],[income]],0)</f>
        <v>0</v>
      </c>
      <c r="DD11" s="6">
        <f ca="1">IF(Table1[[#This Row],[Column1]]="Health",Table1[[#This Row],[income]],0)</f>
        <v>0</v>
      </c>
      <c r="DE11" s="20">
        <f ca="1">IF(Table1[[#This Row],[Column1]]="Agriculture",Table1[[#This Row],[income]],0)</f>
        <v>0</v>
      </c>
      <c r="DF11" s="20">
        <f ca="1">IF(Table1[[#This Row],[Column1]]="Technology",Table1[[#This Row],[income]],0)</f>
        <v>0</v>
      </c>
      <c r="DG11" s="20">
        <f ca="1">IF(Table1[[#This Row],[Column1]]="Social Service",Table1[[#This Row],[income]],0)</f>
        <v>0</v>
      </c>
      <c r="DH11" s="20">
        <f ca="1">IF(Table1[[#This Row],[Column1]]="Education",Table1[[#This Row],[income]],0)</f>
        <v>80518</v>
      </c>
      <c r="DI11" s="5">
        <f ca="1">IF(Table1[[#This Row],[Column1]]="Construction",Table1[[#This Row],[income]],0)</f>
        <v>0</v>
      </c>
      <c r="DK11" s="6">
        <f ca="1">IF(Table1[[#This Row],[Value of Debts]]&gt;Table1[[#This Row],[income]],1,0)</f>
        <v>1</v>
      </c>
      <c r="DL11" s="20"/>
      <c r="DM11" s="20"/>
      <c r="DN11" s="5"/>
      <c r="DP11" s="6">
        <f ca="1">IF(Table1[[#This Row],[Net Worth (£)]]&gt;$DS$5,C11,0)</f>
        <v>0</v>
      </c>
      <c r="DQ11" s="20"/>
      <c r="DR11" s="20"/>
      <c r="DS11" s="5"/>
    </row>
    <row r="12" spans="1:123" x14ac:dyDescent="0.2">
      <c r="A12">
        <f t="shared" ca="1" si="1"/>
        <v>1</v>
      </c>
      <c r="B12" s="1" t="str">
        <f ca="1">IF(A12=1, "men", "women")</f>
        <v>men</v>
      </c>
      <c r="C12" s="1">
        <f ca="1">RANDBETWEEN(25,50)</f>
        <v>25</v>
      </c>
      <c r="D12">
        <f ca="1">RANDBETWEEN(1,6)</f>
        <v>4</v>
      </c>
      <c r="E12" t="str">
        <f ca="1">VLOOKUP(D12,$W$5:$X$10,2)</f>
        <v>Technology</v>
      </c>
      <c r="F12">
        <f ca="1">RANDBETWEEN(1,5)</f>
        <v>4</v>
      </c>
      <c r="G12" t="str">
        <f ca="1">VLOOKUP(F12,$Y$5:$Z$9,2)</f>
        <v xml:space="preserve">Technical </v>
      </c>
      <c r="H12">
        <f ca="1">RANDBETWEEN(0,4)</f>
        <v>1</v>
      </c>
      <c r="I12">
        <f ca="1">RANDBETWEEN(1,3)</f>
        <v>2</v>
      </c>
      <c r="J12">
        <f ca="1">RANDBETWEEN(30000,100000)</f>
        <v>81204</v>
      </c>
      <c r="K12">
        <f ca="1">RANDBETWEEN(1,48)</f>
        <v>28</v>
      </c>
      <c r="L12" t="str">
        <f ca="1">VLOOKUP(K12,$AA$5:$AB$52,2)</f>
        <v>Lincolnshire</v>
      </c>
      <c r="M12">
        <f ca="1">J12*(RANDBETWEEN(2,5))</f>
        <v>162408</v>
      </c>
      <c r="N12">
        <f ca="1">RAND()*M12</f>
        <v>6855.2263890423292</v>
      </c>
      <c r="O12">
        <f ca="1">I12*RAND()*J12</f>
        <v>101961.31353284408</v>
      </c>
      <c r="P12">
        <f ca="1">RANDBETWEEN(0,O12)</f>
        <v>53410</v>
      </c>
      <c r="Q12">
        <f ca="1">RAND()*J12*2</f>
        <v>82184.038877110623</v>
      </c>
      <c r="R12">
        <f ca="1">RAND()*J12*1.5</f>
        <v>68255.561602657384</v>
      </c>
      <c r="S12">
        <f ca="1">J12+R12+O12</f>
        <v>251420.87513550144</v>
      </c>
      <c r="T12">
        <f ca="1">N12+P12+Q12</f>
        <v>142449.26526615294</v>
      </c>
      <c r="U12">
        <f ca="1">S12-T12</f>
        <v>108971.6098693485</v>
      </c>
      <c r="AA12">
        <v>8</v>
      </c>
      <c r="AB12" t="s">
        <v>24</v>
      </c>
      <c r="AC12" s="6">
        <f ca="1">IF(Table1[[#This Row],[gender]]="men",1,0)</f>
        <v>1</v>
      </c>
      <c r="AD12">
        <f ca="1">IF(Table1[[#This Row],[gender]]="women",1,0)</f>
        <v>0</v>
      </c>
      <c r="AH12" s="5"/>
      <c r="AJ12" s="6">
        <f ca="1">IF(Table1[[#This Row],[Column1]]="Health",1,0)</f>
        <v>0</v>
      </c>
      <c r="AK12">
        <f ca="1">IF(Table1[[#This Row],[Column1]]="Construction",1,0)</f>
        <v>0</v>
      </c>
      <c r="AL12">
        <f ca="1">IF(Table1[[#This Row],[Column1]]="Technology",1,0)</f>
        <v>1</v>
      </c>
      <c r="AM12">
        <f ca="1">IF(Table1[[#This Row],[Column1]]="Education",1,0)</f>
        <v>0</v>
      </c>
      <c r="AN12">
        <f ca="1">IF(Table1[[#This Row],[Column1]]="Agriculture",1,0)</f>
        <v>0</v>
      </c>
      <c r="AO12">
        <f ca="1">IF(Table1[[#This Row],[Column1]]="Social Service", 1, 0)</f>
        <v>0</v>
      </c>
      <c r="AT12" s="5"/>
      <c r="AV12" s="17">
        <f t="shared" ca="1" si="0"/>
        <v>86747.808330119035</v>
      </c>
      <c r="AW12" s="5"/>
      <c r="AX12" s="6">
        <f ca="1">IF(Table1[[#This Row],[Value of Debts]]&gt;$AY$4,1,0)</f>
        <v>1</v>
      </c>
      <c r="AY12" s="20"/>
      <c r="AZ12" s="20"/>
      <c r="BA12" s="5"/>
      <c r="BB12" s="25">
        <f ca="1">Table1[[#This Row],[Mortage Left]]/Table1[[#This Row],[Value of House]]</f>
        <v>4.2209905848494711E-2</v>
      </c>
      <c r="BC12" s="20">
        <f t="shared" ca="1" si="2"/>
        <v>1</v>
      </c>
      <c r="BD12" s="20"/>
      <c r="BE12" s="20"/>
      <c r="BF12" s="20"/>
      <c r="BG12" s="6">
        <f ca="1">IF(Table1[[#This Row],[County]]="Cumbria",Table1[[#This Row],[income]],0)</f>
        <v>0</v>
      </c>
      <c r="BH12" s="20">
        <f ca="1">IF(Table1[[#This Row],[County]]="Cheshire",Table1[[#This Row],[income]],0)</f>
        <v>0</v>
      </c>
      <c r="BI12" s="20">
        <f ca="1">IF(Table1[[#This Row],[County]]="Bristol",Table1[[#This Row],[income]],0)</f>
        <v>0</v>
      </c>
      <c r="BJ12" s="20">
        <f ca="1">IF(Table1[[#This Row],[County]]="Surrey",Table1[[#This Row],[income]],0)</f>
        <v>0</v>
      </c>
      <c r="BK12" s="20">
        <f ca="1">IF(Table1[[#This Row],[County]]="Norfolk",Table1[[#This Row],[income]],0)</f>
        <v>0</v>
      </c>
      <c r="BL12" s="20">
        <f ca="1">IF(Table1[[#This Row],[County]]="Lincolnshire",Table1[[#This Row],[income]],0)</f>
        <v>81204</v>
      </c>
      <c r="BM12" s="20">
        <f ca="1">IF(Table1[[#This Row],[County]]="Somerset",Table1[[#This Row],[income]],0)</f>
        <v>0</v>
      </c>
      <c r="BN12" s="20">
        <f ca="1">IF(Table1[[#This Row],[County]]="Cambridgeshire",Table1[[#This Row],[income]],0)</f>
        <v>0</v>
      </c>
      <c r="BO12" s="20">
        <f ca="1">IF(Table1[[#This Row],[County]]="South Yorkshire",Table1[[#This Row],[income]],0)</f>
        <v>0</v>
      </c>
      <c r="BP12" s="20">
        <f ca="1">IF(Table1[[#This Row],[County]]="Greater London",Table1[[#This Row],[income]],0)</f>
        <v>0</v>
      </c>
      <c r="BQ12" s="20">
        <f ca="1">IF(Table1[[#This Row],[County]]="Hampshire",Table1[[#This Row],[income]],0)</f>
        <v>0</v>
      </c>
      <c r="BR12" s="20">
        <f ca="1">IF(Table1[[#This Row],[County]]="Gloucestershire",Table1[[#This Row],[income]],0)</f>
        <v>0</v>
      </c>
      <c r="BS12" s="20">
        <f ca="1">IF(Table1[[#This Row],[County]]="West Sussex",Table1[[#This Row],[income]],0)</f>
        <v>0</v>
      </c>
      <c r="BT12" s="20">
        <f ca="1">IF(Table1[[#This Row],[County]]="Devon",Table1[[#This Row],[income]],0)</f>
        <v>0</v>
      </c>
      <c r="BU12" s="20">
        <f ca="1">IF(Table1[[#This Row],[County]]="Berkshire",Table1[[#This Row],[income]],0)</f>
        <v>0</v>
      </c>
      <c r="BV12" s="20">
        <f ca="1">IF(Table1[[#This Row],[County]]="Staffordshire",Table1[[#This Row],[income]],0)</f>
        <v>0</v>
      </c>
      <c r="BW12" s="20">
        <f ca="1">IF(Table1[[#This Row],[County]]="Leicestershire",Table1[[#This Row],[income]],0)</f>
        <v>0</v>
      </c>
      <c r="BX12" s="20">
        <f ca="1">IF(Table1[[#This Row],[County]]="Cornwall",Table1[[#This Row],[income]],0)</f>
        <v>0</v>
      </c>
      <c r="BY12" s="20">
        <f ca="1">IF(Table1[[#This Row],[County]]="Isle of Wight",Table1[[#This Row],[income]],0)</f>
        <v>0</v>
      </c>
      <c r="BZ12" s="20">
        <f ca="1">IF(Table1[[#This Row],[County]]="Surrey",Table1[[#This Row],[income]],0)</f>
        <v>0</v>
      </c>
      <c r="CA12" s="20">
        <f ca="1">IF(Table1[[#This Row],[County]]="Derbyshire",Table1[[#This Row],[income]],0)</f>
        <v>0</v>
      </c>
      <c r="CB12" s="20">
        <f ca="1">IF(Table1[[#This Row],[County]]="City of London",Table1[[#This Row],[income]],0)</f>
        <v>0</v>
      </c>
      <c r="CC12" s="20">
        <f ca="1">IF(Table1[[#This Row],[County]]="Bedfordshire",Table1[[#This Row],[income]],0)</f>
        <v>0</v>
      </c>
      <c r="CD12" s="20">
        <f ca="1">IF(Table1[[#This Row],[County]]="County Durham",Table1[[#This Row],[income]],0)</f>
        <v>0</v>
      </c>
      <c r="CE12" s="20">
        <f ca="1">IF(Table1[[#This Row],[County]]="East Riding of Yorkshire",Table1[[#This Row],[income]],0)</f>
        <v>0</v>
      </c>
      <c r="CF12" s="20">
        <f ca="1">IF(Table1[[#This Row],[County]]="West Yorkshire",Table1[[#This Row],[income]],0)</f>
        <v>0</v>
      </c>
      <c r="CG12" s="20">
        <f ca="1">IF(Table1[[#This Row],[County]]="Essex",Table1[[#This Row],[income]],0)</f>
        <v>0</v>
      </c>
      <c r="CH12" s="20">
        <f ca="1">IF(Table1[[#This Row],[County]]="East Sussex",Table1[[#This Row],[income]],0)</f>
        <v>0</v>
      </c>
      <c r="CI12" s="20">
        <f ca="1">IF(Table1[[#This Row],[County]]="Greater Manchester",Table1[[#This Row],[income]],0)</f>
        <v>0</v>
      </c>
      <c r="CJ12" s="20">
        <f ca="1">IF(Table1[[#This Row],[County]]="Hertfordshire",Table1[[#This Row],[income]],0)</f>
        <v>0</v>
      </c>
      <c r="CK12" s="20">
        <f ca="1">IF(Table1[[#This Row],[County]]="Herefordshire",Table1[[#This Row],[income]],0)</f>
        <v>0</v>
      </c>
      <c r="CL12" s="20">
        <f ca="1">IF(Table1[[#This Row],[County]]="Lancashire",Table1[[#This Row],[income]],0)</f>
        <v>0</v>
      </c>
      <c r="CM12" s="20">
        <f ca="1">IF(Table1[[#This Row],[County]]="Merseyside",Table1[[#This Row],[income]],0)</f>
        <v>0</v>
      </c>
      <c r="CN12" s="20">
        <f ca="1">IF(Table1[[#This Row],[County]]="Northamptonshire",Table1[[#This Row],[income]],0)</f>
        <v>0</v>
      </c>
      <c r="CO12" s="20">
        <f ca="1">IF(Table1[[#This Row],[County]]="Northumberland",Table1[[#This Row],[income]],0)</f>
        <v>0</v>
      </c>
      <c r="CP12" s="20">
        <f ca="1">IF(Table1[[#This Row],[County]]="Wiltshire",Table1[[#This Row],[income]],0)</f>
        <v>0</v>
      </c>
      <c r="CQ12" s="20">
        <f ca="1">IF(Table1[[#This Row],[County]]="West Midlands",Table1[[#This Row],[income]],0)</f>
        <v>0</v>
      </c>
      <c r="CR12" s="20">
        <f ca="1">IF(Table1[[#This Row],[County]]="Warwickshire",Table1[[#This Row],[income]],0)</f>
        <v>0</v>
      </c>
      <c r="CS12" s="20">
        <f ca="1">IF(Table1[[#This Row],[County]]="Tyne and Wear",Table1[[#This Row],[income]],0)</f>
        <v>0</v>
      </c>
      <c r="CT12" s="20">
        <f ca="1">IF(Table1[[#This Row],[County]]="Worcestershire",Table1[[#This Row],[income]],0)</f>
        <v>0</v>
      </c>
      <c r="CU12" s="20">
        <f ca="1">IF(Table1[[#This Row],[County]]="Rutland",Table1[[#This Row],[income]],0)</f>
        <v>0</v>
      </c>
      <c r="CV12" s="20">
        <f ca="1">IF(Table1[[#This Row],[County]]="Shropshire",Table1[[#This Row],[income]],0)</f>
        <v>0</v>
      </c>
      <c r="CW12" s="20">
        <f ca="1">IF(Table1[[#This Row],[County]]="Dorset",Table1[[#This Row],[income]],0)</f>
        <v>0</v>
      </c>
      <c r="CX12" s="20">
        <f ca="1">IF(Table1[[#This Row],[County]]="Buckinghamshire",Table1[[#This Row],[income]],0)</f>
        <v>0</v>
      </c>
      <c r="CY12" s="20">
        <f ca="1">IF(Table1[[#This Row],[County]]="Suffolk",Table1[[#This Row],[income]],0)</f>
        <v>0</v>
      </c>
      <c r="CZ12" s="20">
        <f ca="1">IF(Table1[[#This Row],[County]]="North Yorkshire",Table1[[#This Row],[income]],0)</f>
        <v>0</v>
      </c>
      <c r="DA12" s="20">
        <f ca="1">IF(Table1[[#This Row],[County]]="Kent",Table1[[#This Row],[income]],0)</f>
        <v>0</v>
      </c>
      <c r="DB12" s="5">
        <f ca="1">IF(Table1[[#This Row],[County]]="Derbyshire",Table1[[#This Row],[income]],0)</f>
        <v>0</v>
      </c>
      <c r="DD12" s="6">
        <f ca="1">IF(Table1[[#This Row],[Column1]]="Health",Table1[[#This Row],[income]],0)</f>
        <v>0</v>
      </c>
      <c r="DE12" s="20">
        <f ca="1">IF(Table1[[#This Row],[Column1]]="Agriculture",Table1[[#This Row],[income]],0)</f>
        <v>0</v>
      </c>
      <c r="DF12" s="20">
        <f ca="1">IF(Table1[[#This Row],[Column1]]="Technology",Table1[[#This Row],[income]],0)</f>
        <v>81204</v>
      </c>
      <c r="DG12" s="20">
        <f ca="1">IF(Table1[[#This Row],[Column1]]="Social Service",Table1[[#This Row],[income]],0)</f>
        <v>0</v>
      </c>
      <c r="DH12" s="20">
        <f ca="1">IF(Table1[[#This Row],[Column1]]="Education",Table1[[#This Row],[income]],0)</f>
        <v>0</v>
      </c>
      <c r="DI12" s="5">
        <f ca="1">IF(Table1[[#This Row],[Column1]]="Construction",Table1[[#This Row],[income]],0)</f>
        <v>0</v>
      </c>
      <c r="DK12" s="6">
        <f ca="1">IF(Table1[[#This Row],[Value of Debts]]&gt;Table1[[#This Row],[income]],1,0)</f>
        <v>1</v>
      </c>
      <c r="DL12" s="20"/>
      <c r="DM12" s="20"/>
      <c r="DN12" s="5"/>
      <c r="DP12" s="6">
        <f ca="1">IF(Table1[[#This Row],[Net Worth (£)]]&gt;$DS$5,C12,0)</f>
        <v>25</v>
      </c>
      <c r="DQ12" s="20"/>
      <c r="DR12" s="20"/>
      <c r="DS12" s="5"/>
    </row>
    <row r="13" spans="1:123" x14ac:dyDescent="0.2">
      <c r="A13">
        <f t="shared" ca="1" si="1"/>
        <v>2</v>
      </c>
      <c r="B13" s="1" t="str">
        <f ca="1">IF(A13=1, "men", "women")</f>
        <v>women</v>
      </c>
      <c r="C13" s="1">
        <f ca="1">RANDBETWEEN(25,50)</f>
        <v>26</v>
      </c>
      <c r="D13">
        <f ca="1">RANDBETWEEN(1,6)</f>
        <v>1</v>
      </c>
      <c r="E13" t="str">
        <f ca="1">VLOOKUP(D13,$W$5:$X$10,2)</f>
        <v>Health</v>
      </c>
      <c r="F13">
        <f ca="1">RANDBETWEEN(1,5)</f>
        <v>1</v>
      </c>
      <c r="G13" t="str">
        <f ca="1">VLOOKUP(F13,$Y$5:$Z$9,2)</f>
        <v>High School</v>
      </c>
      <c r="H13">
        <f ca="1">RANDBETWEEN(0,4)</f>
        <v>0</v>
      </c>
      <c r="I13">
        <f ca="1">RANDBETWEEN(1,3)</f>
        <v>2</v>
      </c>
      <c r="J13">
        <f ca="1">RANDBETWEEN(30000,100000)</f>
        <v>92059</v>
      </c>
      <c r="K13">
        <f ca="1">RANDBETWEEN(1,48)</f>
        <v>17</v>
      </c>
      <c r="L13" t="str">
        <f ca="1">VLOOKUP(K13,$AA$5:$AB$52,2)</f>
        <v>Gloucestershire</v>
      </c>
      <c r="M13">
        <f ca="1">J13*(RANDBETWEEN(2,5))</f>
        <v>184118</v>
      </c>
      <c r="N13">
        <f ca="1">RAND()*M13</f>
        <v>178968.61097806197</v>
      </c>
      <c r="O13">
        <f ca="1">I13*RAND()*J13</f>
        <v>173495.61666023807</v>
      </c>
      <c r="P13">
        <f ca="1">RANDBETWEEN(0,O13)</f>
        <v>142849</v>
      </c>
      <c r="Q13">
        <f ca="1">RAND()*J13*2</f>
        <v>24398.395962673767</v>
      </c>
      <c r="R13">
        <f ca="1">RAND()*J13*1.5</f>
        <v>71893.697578538369</v>
      </c>
      <c r="S13">
        <f ca="1">J13+R13+O13</f>
        <v>337448.31423877645</v>
      </c>
      <c r="T13">
        <f ca="1">N13+P13+Q13</f>
        <v>346216.00694073574</v>
      </c>
      <c r="U13">
        <f ca="1">S13-T13</f>
        <v>-8767.692701959284</v>
      </c>
      <c r="AA13">
        <v>9</v>
      </c>
      <c r="AB13" t="s">
        <v>25</v>
      </c>
      <c r="AC13" s="6">
        <f ca="1">IF(Table1[[#This Row],[gender]]="men",1,0)</f>
        <v>0</v>
      </c>
      <c r="AD13">
        <f ca="1">IF(Table1[[#This Row],[gender]]="women",1,0)</f>
        <v>1</v>
      </c>
      <c r="AH13" s="5"/>
      <c r="AJ13" s="6">
        <f ca="1">IF(Table1[[#This Row],[Column1]]="Health",1,0)</f>
        <v>1</v>
      </c>
      <c r="AK13">
        <f ca="1">IF(Table1[[#This Row],[Column1]]="Construction",1,0)</f>
        <v>0</v>
      </c>
      <c r="AL13">
        <f ca="1">IF(Table1[[#This Row],[Column1]]="Technology",1,0)</f>
        <v>0</v>
      </c>
      <c r="AM13">
        <f ca="1">IF(Table1[[#This Row],[Column1]]="Education",1,0)</f>
        <v>0</v>
      </c>
      <c r="AN13">
        <f ca="1">IF(Table1[[#This Row],[Column1]]="Agriculture",1,0)</f>
        <v>0</v>
      </c>
      <c r="AO13">
        <f ca="1">IF(Table1[[#This Row],[Column1]]="Social Service", 1, 0)</f>
        <v>0</v>
      </c>
      <c r="AT13" s="5"/>
      <c r="AV13" s="17">
        <f t="shared" ca="1" si="0"/>
        <v>10589.312426418572</v>
      </c>
      <c r="AW13" s="5"/>
      <c r="AX13" s="6">
        <f ca="1">IF(Table1[[#This Row],[Value of Debts]]&gt;$AY$4,1,0)</f>
        <v>1</v>
      </c>
      <c r="AY13" s="20"/>
      <c r="AZ13" s="20"/>
      <c r="BA13" s="5"/>
      <c r="BB13" s="25">
        <f ca="1">Table1[[#This Row],[Mortage Left]]/Table1[[#This Row],[Value of House]]</f>
        <v>0.97203212601734745</v>
      </c>
      <c r="BC13" s="20">
        <f t="shared" ca="1" si="2"/>
        <v>0</v>
      </c>
      <c r="BD13" s="20"/>
      <c r="BE13" s="20"/>
      <c r="BF13" s="20"/>
      <c r="BG13" s="6">
        <f ca="1">IF(Table1[[#This Row],[County]]="Cumbria",Table1[[#This Row],[income]],0)</f>
        <v>0</v>
      </c>
      <c r="BH13" s="20">
        <f ca="1">IF(Table1[[#This Row],[County]]="Cheshire",Table1[[#This Row],[income]],0)</f>
        <v>0</v>
      </c>
      <c r="BI13" s="20">
        <f ca="1">IF(Table1[[#This Row],[County]]="Bristol",Table1[[#This Row],[income]],0)</f>
        <v>0</v>
      </c>
      <c r="BJ13" s="20">
        <f ca="1">IF(Table1[[#This Row],[County]]="Surrey",Table1[[#This Row],[income]],0)</f>
        <v>0</v>
      </c>
      <c r="BK13" s="20">
        <f ca="1">IF(Table1[[#This Row],[County]]="Norfolk",Table1[[#This Row],[income]],0)</f>
        <v>0</v>
      </c>
      <c r="BL13" s="20">
        <f ca="1">IF(Table1[[#This Row],[County]]="Lincolnshire",Table1[[#This Row],[income]],0)</f>
        <v>0</v>
      </c>
      <c r="BM13" s="20">
        <f ca="1">IF(Table1[[#This Row],[County]]="Somerset",Table1[[#This Row],[income]],0)</f>
        <v>0</v>
      </c>
      <c r="BN13" s="20">
        <f ca="1">IF(Table1[[#This Row],[County]]="Cambridgeshire",Table1[[#This Row],[income]],0)</f>
        <v>0</v>
      </c>
      <c r="BO13" s="20">
        <f ca="1">IF(Table1[[#This Row],[County]]="South Yorkshire",Table1[[#This Row],[income]],0)</f>
        <v>0</v>
      </c>
      <c r="BP13" s="20">
        <f ca="1">IF(Table1[[#This Row],[County]]="Greater London",Table1[[#This Row],[income]],0)</f>
        <v>0</v>
      </c>
      <c r="BQ13" s="20">
        <f ca="1">IF(Table1[[#This Row],[County]]="Hampshire",Table1[[#This Row],[income]],0)</f>
        <v>0</v>
      </c>
      <c r="BR13" s="20">
        <f ca="1">IF(Table1[[#This Row],[County]]="Gloucestershire",Table1[[#This Row],[income]],0)</f>
        <v>92059</v>
      </c>
      <c r="BS13" s="20">
        <f ca="1">IF(Table1[[#This Row],[County]]="West Sussex",Table1[[#This Row],[income]],0)</f>
        <v>0</v>
      </c>
      <c r="BT13" s="20">
        <f ca="1">IF(Table1[[#This Row],[County]]="Devon",Table1[[#This Row],[income]],0)</f>
        <v>0</v>
      </c>
      <c r="BU13" s="20">
        <f ca="1">IF(Table1[[#This Row],[County]]="Berkshire",Table1[[#This Row],[income]],0)</f>
        <v>0</v>
      </c>
      <c r="BV13" s="20">
        <f ca="1">IF(Table1[[#This Row],[County]]="Staffordshire",Table1[[#This Row],[income]],0)</f>
        <v>0</v>
      </c>
      <c r="BW13" s="20">
        <f ca="1">IF(Table1[[#This Row],[County]]="Leicestershire",Table1[[#This Row],[income]],0)</f>
        <v>0</v>
      </c>
      <c r="BX13" s="20">
        <f ca="1">IF(Table1[[#This Row],[County]]="Cornwall",Table1[[#This Row],[income]],0)</f>
        <v>0</v>
      </c>
      <c r="BY13" s="20">
        <f ca="1">IF(Table1[[#This Row],[County]]="Isle of Wight",Table1[[#This Row],[income]],0)</f>
        <v>0</v>
      </c>
      <c r="BZ13" s="20">
        <f ca="1">IF(Table1[[#This Row],[County]]="Surrey",Table1[[#This Row],[income]],0)</f>
        <v>0</v>
      </c>
      <c r="CA13" s="20">
        <f ca="1">IF(Table1[[#This Row],[County]]="Derbyshire",Table1[[#This Row],[income]],0)</f>
        <v>0</v>
      </c>
      <c r="CB13" s="20">
        <f ca="1">IF(Table1[[#This Row],[County]]="City of London",Table1[[#This Row],[income]],0)</f>
        <v>0</v>
      </c>
      <c r="CC13" s="20">
        <f ca="1">IF(Table1[[#This Row],[County]]="Bedfordshire",Table1[[#This Row],[income]],0)</f>
        <v>0</v>
      </c>
      <c r="CD13" s="20">
        <f ca="1">IF(Table1[[#This Row],[County]]="County Durham",Table1[[#This Row],[income]],0)</f>
        <v>0</v>
      </c>
      <c r="CE13" s="20">
        <f ca="1">IF(Table1[[#This Row],[County]]="East Riding of Yorkshire",Table1[[#This Row],[income]],0)</f>
        <v>0</v>
      </c>
      <c r="CF13" s="20">
        <f ca="1">IF(Table1[[#This Row],[County]]="West Yorkshire",Table1[[#This Row],[income]],0)</f>
        <v>0</v>
      </c>
      <c r="CG13" s="20">
        <f ca="1">IF(Table1[[#This Row],[County]]="Essex",Table1[[#This Row],[income]],0)</f>
        <v>0</v>
      </c>
      <c r="CH13" s="20">
        <f ca="1">IF(Table1[[#This Row],[County]]="East Sussex",Table1[[#This Row],[income]],0)</f>
        <v>0</v>
      </c>
      <c r="CI13" s="20">
        <f ca="1">IF(Table1[[#This Row],[County]]="Greater Manchester",Table1[[#This Row],[income]],0)</f>
        <v>0</v>
      </c>
      <c r="CJ13" s="20">
        <f ca="1">IF(Table1[[#This Row],[County]]="Hertfordshire",Table1[[#This Row],[income]],0)</f>
        <v>0</v>
      </c>
      <c r="CK13" s="20">
        <f ca="1">IF(Table1[[#This Row],[County]]="Herefordshire",Table1[[#This Row],[income]],0)</f>
        <v>0</v>
      </c>
      <c r="CL13" s="20">
        <f ca="1">IF(Table1[[#This Row],[County]]="Lancashire",Table1[[#This Row],[income]],0)</f>
        <v>0</v>
      </c>
      <c r="CM13" s="20">
        <f ca="1">IF(Table1[[#This Row],[County]]="Merseyside",Table1[[#This Row],[income]],0)</f>
        <v>0</v>
      </c>
      <c r="CN13" s="20">
        <f ca="1">IF(Table1[[#This Row],[County]]="Northamptonshire",Table1[[#This Row],[income]],0)</f>
        <v>0</v>
      </c>
      <c r="CO13" s="20">
        <f ca="1">IF(Table1[[#This Row],[County]]="Northumberland",Table1[[#This Row],[income]],0)</f>
        <v>0</v>
      </c>
      <c r="CP13" s="20">
        <f ca="1">IF(Table1[[#This Row],[County]]="Wiltshire",Table1[[#This Row],[income]],0)</f>
        <v>0</v>
      </c>
      <c r="CQ13" s="20">
        <f ca="1">IF(Table1[[#This Row],[County]]="West Midlands",Table1[[#This Row],[income]],0)</f>
        <v>0</v>
      </c>
      <c r="CR13" s="20">
        <f ca="1">IF(Table1[[#This Row],[County]]="Warwickshire",Table1[[#This Row],[income]],0)</f>
        <v>0</v>
      </c>
      <c r="CS13" s="20">
        <f ca="1">IF(Table1[[#This Row],[County]]="Tyne and Wear",Table1[[#This Row],[income]],0)</f>
        <v>0</v>
      </c>
      <c r="CT13" s="20">
        <f ca="1">IF(Table1[[#This Row],[County]]="Worcestershire",Table1[[#This Row],[income]],0)</f>
        <v>0</v>
      </c>
      <c r="CU13" s="20">
        <f ca="1">IF(Table1[[#This Row],[County]]="Rutland",Table1[[#This Row],[income]],0)</f>
        <v>0</v>
      </c>
      <c r="CV13" s="20">
        <f ca="1">IF(Table1[[#This Row],[County]]="Shropshire",Table1[[#This Row],[income]],0)</f>
        <v>0</v>
      </c>
      <c r="CW13" s="20">
        <f ca="1">IF(Table1[[#This Row],[County]]="Dorset",Table1[[#This Row],[income]],0)</f>
        <v>0</v>
      </c>
      <c r="CX13" s="20">
        <f ca="1">IF(Table1[[#This Row],[County]]="Buckinghamshire",Table1[[#This Row],[income]],0)</f>
        <v>0</v>
      </c>
      <c r="CY13" s="20">
        <f ca="1">IF(Table1[[#This Row],[County]]="Suffolk",Table1[[#This Row],[income]],0)</f>
        <v>0</v>
      </c>
      <c r="CZ13" s="20">
        <f ca="1">IF(Table1[[#This Row],[County]]="North Yorkshire",Table1[[#This Row],[income]],0)</f>
        <v>0</v>
      </c>
      <c r="DA13" s="20">
        <f ca="1">IF(Table1[[#This Row],[County]]="Kent",Table1[[#This Row],[income]],0)</f>
        <v>0</v>
      </c>
      <c r="DB13" s="5">
        <f ca="1">IF(Table1[[#This Row],[County]]="Derbyshire",Table1[[#This Row],[income]],0)</f>
        <v>0</v>
      </c>
      <c r="DD13" s="6">
        <f ca="1">IF(Table1[[#This Row],[Column1]]="Health",Table1[[#This Row],[income]],0)</f>
        <v>92059</v>
      </c>
      <c r="DE13" s="20">
        <f ca="1">IF(Table1[[#This Row],[Column1]]="Agriculture",Table1[[#This Row],[income]],0)</f>
        <v>0</v>
      </c>
      <c r="DF13" s="20">
        <f ca="1">IF(Table1[[#This Row],[Column1]]="Technology",Table1[[#This Row],[income]],0)</f>
        <v>0</v>
      </c>
      <c r="DG13" s="20">
        <f ca="1">IF(Table1[[#This Row],[Column1]]="Social Service",Table1[[#This Row],[income]],0)</f>
        <v>0</v>
      </c>
      <c r="DH13" s="20">
        <f ca="1">IF(Table1[[#This Row],[Column1]]="Education",Table1[[#This Row],[income]],0)</f>
        <v>0</v>
      </c>
      <c r="DI13" s="5">
        <f ca="1">IF(Table1[[#This Row],[Column1]]="Construction",Table1[[#This Row],[income]],0)</f>
        <v>0</v>
      </c>
      <c r="DK13" s="6">
        <f ca="1">IF(Table1[[#This Row],[Value of Debts]]&gt;Table1[[#This Row],[income]],1,0)</f>
        <v>1</v>
      </c>
      <c r="DL13" s="20"/>
      <c r="DM13" s="20"/>
      <c r="DN13" s="5"/>
      <c r="DP13" s="6">
        <f ca="1">IF(Table1[[#This Row],[Net Worth (£)]]&gt;$DS$5,C13,0)</f>
        <v>0</v>
      </c>
      <c r="DQ13" s="20"/>
      <c r="DR13" s="20"/>
      <c r="DS13" s="5"/>
    </row>
    <row r="14" spans="1:123" x14ac:dyDescent="0.2">
      <c r="A14">
        <f t="shared" ca="1" si="1"/>
        <v>2</v>
      </c>
      <c r="B14" s="1" t="str">
        <f ca="1">IF(A14=1, "men", "women")</f>
        <v>women</v>
      </c>
      <c r="C14" s="1">
        <f ca="1">RANDBETWEEN(25,50)</f>
        <v>33</v>
      </c>
      <c r="D14">
        <f ca="1">RANDBETWEEN(1,6)</f>
        <v>1</v>
      </c>
      <c r="E14" t="str">
        <f ca="1">VLOOKUP(D14,$W$5:$X$10,2)</f>
        <v>Health</v>
      </c>
      <c r="F14">
        <f ca="1">RANDBETWEEN(1,5)</f>
        <v>5</v>
      </c>
      <c r="G14" t="str">
        <f ca="1">VLOOKUP(F14,$Y$5:$Z$9,2)</f>
        <v>Other</v>
      </c>
      <c r="H14">
        <f ca="1">RANDBETWEEN(0,4)</f>
        <v>0</v>
      </c>
      <c r="I14">
        <f ca="1">RANDBETWEEN(1,3)</f>
        <v>1</v>
      </c>
      <c r="J14">
        <f ca="1">RANDBETWEEN(30000,100000)</f>
        <v>65080</v>
      </c>
      <c r="K14">
        <f ca="1">RANDBETWEEN(1,48)</f>
        <v>14</v>
      </c>
      <c r="L14" t="str">
        <f ca="1">VLOOKUP(K14,$AA$5:$AB$52,2)</f>
        <v>East Riding of Yorkshire</v>
      </c>
      <c r="M14">
        <f ca="1">J14*(RANDBETWEEN(2,5))</f>
        <v>325400</v>
      </c>
      <c r="N14">
        <f ca="1">RAND()*M14</f>
        <v>73649.230086526499</v>
      </c>
      <c r="O14">
        <f ca="1">I14*RAND()*J14</f>
        <v>10589.312426418572</v>
      </c>
      <c r="P14">
        <f ca="1">RANDBETWEEN(0,O14)</f>
        <v>6244</v>
      </c>
      <c r="Q14">
        <f ca="1">RAND()*J14*2</f>
        <v>110008.17821108224</v>
      </c>
      <c r="R14">
        <f ca="1">RAND()*J14*1.5</f>
        <v>2528.7245114645712</v>
      </c>
      <c r="S14">
        <f ca="1">J14+R14+O14</f>
        <v>78198.036937883153</v>
      </c>
      <c r="T14">
        <f ca="1">N14+P14+Q14</f>
        <v>189901.40829760872</v>
      </c>
      <c r="U14">
        <f ca="1">S14-T14</f>
        <v>-111703.37135972557</v>
      </c>
      <c r="AA14">
        <v>10</v>
      </c>
      <c r="AB14" t="s">
        <v>26</v>
      </c>
      <c r="AC14" s="6">
        <f ca="1">IF(Table1[[#This Row],[gender]]="men",1,0)</f>
        <v>0</v>
      </c>
      <c r="AD14">
        <f ca="1">IF(Table1[[#This Row],[gender]]="women",1,0)</f>
        <v>1</v>
      </c>
      <c r="AH14" s="5"/>
      <c r="AJ14" s="6">
        <f ca="1">IF(Table1[[#This Row],[Column1]]="Health",1,0)</f>
        <v>1</v>
      </c>
      <c r="AK14">
        <f ca="1">IF(Table1[[#This Row],[Column1]]="Construction",1,0)</f>
        <v>0</v>
      </c>
      <c r="AL14">
        <f ca="1">IF(Table1[[#This Row],[Column1]]="Technology",1,0)</f>
        <v>0</v>
      </c>
      <c r="AM14">
        <f ca="1">IF(Table1[[#This Row],[Column1]]="Education",1,0)</f>
        <v>0</v>
      </c>
      <c r="AN14">
        <f ca="1">IF(Table1[[#This Row],[Column1]]="Agriculture",1,0)</f>
        <v>0</v>
      </c>
      <c r="AO14">
        <f ca="1">IF(Table1[[#This Row],[Column1]]="Social Service", 1, 0)</f>
        <v>0</v>
      </c>
      <c r="AT14" s="5"/>
      <c r="AV14" s="17">
        <f t="shared" ca="1" si="0"/>
        <v>72546.44310732228</v>
      </c>
      <c r="AW14" s="5"/>
      <c r="AX14" s="6">
        <f ca="1">IF(Table1[[#This Row],[Value of Debts]]&gt;$AY$4,1,0)</f>
        <v>1</v>
      </c>
      <c r="AY14" s="20"/>
      <c r="AZ14" s="20"/>
      <c r="BA14" s="5"/>
      <c r="BB14" s="25">
        <f ca="1">Table1[[#This Row],[Mortage Left]]/Table1[[#This Row],[Value of House]]</f>
        <v>0.2263344501737139</v>
      </c>
      <c r="BC14" s="20">
        <f t="shared" ca="1" si="2"/>
        <v>1</v>
      </c>
      <c r="BD14" s="20"/>
      <c r="BE14" s="20"/>
      <c r="BF14" s="20"/>
      <c r="BG14" s="6">
        <f ca="1">IF(Table1[[#This Row],[County]]="Cumbria",Table1[[#This Row],[income]],0)</f>
        <v>0</v>
      </c>
      <c r="BH14" s="20">
        <f ca="1">IF(Table1[[#This Row],[County]]="Cheshire",Table1[[#This Row],[income]],0)</f>
        <v>0</v>
      </c>
      <c r="BI14" s="20">
        <f ca="1">IF(Table1[[#This Row],[County]]="Bristol",Table1[[#This Row],[income]],0)</f>
        <v>0</v>
      </c>
      <c r="BJ14" s="20">
        <f ca="1">IF(Table1[[#This Row],[County]]="Surrey",Table1[[#This Row],[income]],0)</f>
        <v>0</v>
      </c>
      <c r="BK14" s="20">
        <f ca="1">IF(Table1[[#This Row],[County]]="Norfolk",Table1[[#This Row],[income]],0)</f>
        <v>0</v>
      </c>
      <c r="BL14" s="20">
        <f ca="1">IF(Table1[[#This Row],[County]]="Lincolnshire",Table1[[#This Row],[income]],0)</f>
        <v>0</v>
      </c>
      <c r="BM14" s="20">
        <f ca="1">IF(Table1[[#This Row],[County]]="Somerset",Table1[[#This Row],[income]],0)</f>
        <v>0</v>
      </c>
      <c r="BN14" s="20">
        <f ca="1">IF(Table1[[#This Row],[County]]="Cambridgeshire",Table1[[#This Row],[income]],0)</f>
        <v>0</v>
      </c>
      <c r="BO14" s="20">
        <f ca="1">IF(Table1[[#This Row],[County]]="South Yorkshire",Table1[[#This Row],[income]],0)</f>
        <v>0</v>
      </c>
      <c r="BP14" s="20">
        <f ca="1">IF(Table1[[#This Row],[County]]="Greater London",Table1[[#This Row],[income]],0)</f>
        <v>0</v>
      </c>
      <c r="BQ14" s="20">
        <f ca="1">IF(Table1[[#This Row],[County]]="Hampshire",Table1[[#This Row],[income]],0)</f>
        <v>0</v>
      </c>
      <c r="BR14" s="20">
        <f ca="1">IF(Table1[[#This Row],[County]]="Gloucestershire",Table1[[#This Row],[income]],0)</f>
        <v>0</v>
      </c>
      <c r="BS14" s="20">
        <f ca="1">IF(Table1[[#This Row],[County]]="West Sussex",Table1[[#This Row],[income]],0)</f>
        <v>0</v>
      </c>
      <c r="BT14" s="20">
        <f ca="1">IF(Table1[[#This Row],[County]]="Devon",Table1[[#This Row],[income]],0)</f>
        <v>0</v>
      </c>
      <c r="BU14" s="20">
        <f ca="1">IF(Table1[[#This Row],[County]]="Berkshire",Table1[[#This Row],[income]],0)</f>
        <v>0</v>
      </c>
      <c r="BV14" s="20">
        <f ca="1">IF(Table1[[#This Row],[County]]="Staffordshire",Table1[[#This Row],[income]],0)</f>
        <v>0</v>
      </c>
      <c r="BW14" s="20">
        <f ca="1">IF(Table1[[#This Row],[County]]="Leicestershire",Table1[[#This Row],[income]],0)</f>
        <v>0</v>
      </c>
      <c r="BX14" s="20">
        <f ca="1">IF(Table1[[#This Row],[County]]="Cornwall",Table1[[#This Row],[income]],0)</f>
        <v>0</v>
      </c>
      <c r="BY14" s="20">
        <f ca="1">IF(Table1[[#This Row],[County]]="Isle of Wight",Table1[[#This Row],[income]],0)</f>
        <v>0</v>
      </c>
      <c r="BZ14" s="20">
        <f ca="1">IF(Table1[[#This Row],[County]]="Surrey",Table1[[#This Row],[income]],0)</f>
        <v>0</v>
      </c>
      <c r="CA14" s="20">
        <f ca="1">IF(Table1[[#This Row],[County]]="Derbyshire",Table1[[#This Row],[income]],0)</f>
        <v>0</v>
      </c>
      <c r="CB14" s="20">
        <f ca="1">IF(Table1[[#This Row],[County]]="City of London",Table1[[#This Row],[income]],0)</f>
        <v>0</v>
      </c>
      <c r="CC14" s="20">
        <f ca="1">IF(Table1[[#This Row],[County]]="Bedfordshire",Table1[[#This Row],[income]],0)</f>
        <v>0</v>
      </c>
      <c r="CD14" s="20">
        <f ca="1">IF(Table1[[#This Row],[County]]="County Durham",Table1[[#This Row],[income]],0)</f>
        <v>0</v>
      </c>
      <c r="CE14" s="20">
        <f ca="1">IF(Table1[[#This Row],[County]]="East Riding of Yorkshire",Table1[[#This Row],[income]],0)</f>
        <v>65080</v>
      </c>
      <c r="CF14" s="20">
        <f ca="1">IF(Table1[[#This Row],[County]]="West Yorkshire",Table1[[#This Row],[income]],0)</f>
        <v>0</v>
      </c>
      <c r="CG14" s="20">
        <f ca="1">IF(Table1[[#This Row],[County]]="Essex",Table1[[#This Row],[income]],0)</f>
        <v>0</v>
      </c>
      <c r="CH14" s="20">
        <f ca="1">IF(Table1[[#This Row],[County]]="East Sussex",Table1[[#This Row],[income]],0)</f>
        <v>0</v>
      </c>
      <c r="CI14" s="20">
        <f ca="1">IF(Table1[[#This Row],[County]]="Greater Manchester",Table1[[#This Row],[income]],0)</f>
        <v>0</v>
      </c>
      <c r="CJ14" s="20">
        <f ca="1">IF(Table1[[#This Row],[County]]="Hertfordshire",Table1[[#This Row],[income]],0)</f>
        <v>0</v>
      </c>
      <c r="CK14" s="20">
        <f ca="1">IF(Table1[[#This Row],[County]]="Herefordshire",Table1[[#This Row],[income]],0)</f>
        <v>0</v>
      </c>
      <c r="CL14" s="20">
        <f ca="1">IF(Table1[[#This Row],[County]]="Lancashire",Table1[[#This Row],[income]],0)</f>
        <v>0</v>
      </c>
      <c r="CM14" s="20">
        <f ca="1">IF(Table1[[#This Row],[County]]="Merseyside",Table1[[#This Row],[income]],0)</f>
        <v>0</v>
      </c>
      <c r="CN14" s="20">
        <f ca="1">IF(Table1[[#This Row],[County]]="Northamptonshire",Table1[[#This Row],[income]],0)</f>
        <v>0</v>
      </c>
      <c r="CO14" s="20">
        <f ca="1">IF(Table1[[#This Row],[County]]="Northumberland",Table1[[#This Row],[income]],0)</f>
        <v>0</v>
      </c>
      <c r="CP14" s="20">
        <f ca="1">IF(Table1[[#This Row],[County]]="Wiltshire",Table1[[#This Row],[income]],0)</f>
        <v>0</v>
      </c>
      <c r="CQ14" s="20">
        <f ca="1">IF(Table1[[#This Row],[County]]="West Midlands",Table1[[#This Row],[income]],0)</f>
        <v>0</v>
      </c>
      <c r="CR14" s="20">
        <f ca="1">IF(Table1[[#This Row],[County]]="Warwickshire",Table1[[#This Row],[income]],0)</f>
        <v>0</v>
      </c>
      <c r="CS14" s="20">
        <f ca="1">IF(Table1[[#This Row],[County]]="Tyne and Wear",Table1[[#This Row],[income]],0)</f>
        <v>0</v>
      </c>
      <c r="CT14" s="20">
        <f ca="1">IF(Table1[[#This Row],[County]]="Worcestershire",Table1[[#This Row],[income]],0)</f>
        <v>0</v>
      </c>
      <c r="CU14" s="20">
        <f ca="1">IF(Table1[[#This Row],[County]]="Rutland",Table1[[#This Row],[income]],0)</f>
        <v>0</v>
      </c>
      <c r="CV14" s="20">
        <f ca="1">IF(Table1[[#This Row],[County]]="Shropshire",Table1[[#This Row],[income]],0)</f>
        <v>0</v>
      </c>
      <c r="CW14" s="20">
        <f ca="1">IF(Table1[[#This Row],[County]]="Dorset",Table1[[#This Row],[income]],0)</f>
        <v>0</v>
      </c>
      <c r="CX14" s="20">
        <f ca="1">IF(Table1[[#This Row],[County]]="Buckinghamshire",Table1[[#This Row],[income]],0)</f>
        <v>0</v>
      </c>
      <c r="CY14" s="20">
        <f ca="1">IF(Table1[[#This Row],[County]]="Suffolk",Table1[[#This Row],[income]],0)</f>
        <v>0</v>
      </c>
      <c r="CZ14" s="20">
        <f ca="1">IF(Table1[[#This Row],[County]]="North Yorkshire",Table1[[#This Row],[income]],0)</f>
        <v>0</v>
      </c>
      <c r="DA14" s="20">
        <f ca="1">IF(Table1[[#This Row],[County]]="Kent",Table1[[#This Row],[income]],0)</f>
        <v>0</v>
      </c>
      <c r="DB14" s="5">
        <f ca="1">IF(Table1[[#This Row],[County]]="Derbyshire",Table1[[#This Row],[income]],0)</f>
        <v>0</v>
      </c>
      <c r="DD14" s="6">
        <f ca="1">IF(Table1[[#This Row],[Column1]]="Health",Table1[[#This Row],[income]],0)</f>
        <v>65080</v>
      </c>
      <c r="DE14" s="20">
        <f ca="1">IF(Table1[[#This Row],[Column1]]="Agriculture",Table1[[#This Row],[income]],0)</f>
        <v>0</v>
      </c>
      <c r="DF14" s="20">
        <f ca="1">IF(Table1[[#This Row],[Column1]]="Technology",Table1[[#This Row],[income]],0)</f>
        <v>0</v>
      </c>
      <c r="DG14" s="20">
        <f ca="1">IF(Table1[[#This Row],[Column1]]="Social Service",Table1[[#This Row],[income]],0)</f>
        <v>0</v>
      </c>
      <c r="DH14" s="20">
        <f ca="1">IF(Table1[[#This Row],[Column1]]="Education",Table1[[#This Row],[income]],0)</f>
        <v>0</v>
      </c>
      <c r="DI14" s="5">
        <f ca="1">IF(Table1[[#This Row],[Column1]]="Construction",Table1[[#This Row],[income]],0)</f>
        <v>0</v>
      </c>
      <c r="DK14" s="6">
        <f ca="1">IF(Table1[[#This Row],[Value of Debts]]&gt;Table1[[#This Row],[income]],1,0)</f>
        <v>1</v>
      </c>
      <c r="DL14" s="20"/>
      <c r="DM14" s="20"/>
      <c r="DN14" s="5"/>
      <c r="DP14" s="6">
        <f ca="1">IF(Table1[[#This Row],[Net Worth (£)]]&gt;$DS$5,C14,0)</f>
        <v>0</v>
      </c>
      <c r="DQ14" s="20"/>
      <c r="DR14" s="20"/>
      <c r="DS14" s="5"/>
    </row>
    <row r="15" spans="1:123" x14ac:dyDescent="0.2">
      <c r="A15">
        <f t="shared" ca="1" si="1"/>
        <v>2</v>
      </c>
      <c r="B15" s="1" t="str">
        <f ca="1">IF(A15=1, "men", "women")</f>
        <v>women</v>
      </c>
      <c r="C15" s="1">
        <f ca="1">RANDBETWEEN(25,50)</f>
        <v>28</v>
      </c>
      <c r="D15">
        <f ca="1">RANDBETWEEN(1,6)</f>
        <v>6</v>
      </c>
      <c r="E15" t="str">
        <f ca="1">VLOOKUP(D15,$W$5:$X$10,2)</f>
        <v>Agriculture</v>
      </c>
      <c r="F15">
        <f ca="1">RANDBETWEEN(1,5)</f>
        <v>4</v>
      </c>
      <c r="G15" t="str">
        <f ca="1">VLOOKUP(F15,$Y$5:$Z$9,2)</f>
        <v xml:space="preserve">Technical </v>
      </c>
      <c r="H15">
        <f ca="1">RANDBETWEEN(0,4)</f>
        <v>3</v>
      </c>
      <c r="I15">
        <f ca="1">RANDBETWEEN(1,3)</f>
        <v>2</v>
      </c>
      <c r="J15">
        <f ca="1">RANDBETWEEN(30000,100000)</f>
        <v>85386</v>
      </c>
      <c r="K15">
        <f ca="1">RANDBETWEEN(1,48)</f>
        <v>38</v>
      </c>
      <c r="L15" t="str">
        <f ca="1">VLOOKUP(K15,$AA$5:$AB$52,2)</f>
        <v>South Yorkshire</v>
      </c>
      <c r="M15">
        <f ca="1">J15*(RANDBETWEEN(2,5))</f>
        <v>341544</v>
      </c>
      <c r="N15">
        <f ca="1">RAND()*M15</f>
        <v>54766.5669657779</v>
      </c>
      <c r="O15">
        <f ca="1">I15*RAND()*J15</f>
        <v>145092.88621464456</v>
      </c>
      <c r="P15">
        <f ca="1">RANDBETWEEN(0,O15)</f>
        <v>14095</v>
      </c>
      <c r="Q15">
        <f ca="1">RAND()*J15*2</f>
        <v>43789.564143957061</v>
      </c>
      <c r="R15">
        <f ca="1">RAND()*J15*1.5</f>
        <v>43111.963248820175</v>
      </c>
      <c r="S15">
        <f ca="1">J15+R15+O15</f>
        <v>273590.84946346475</v>
      </c>
      <c r="T15">
        <f ca="1">N15+P15+Q15</f>
        <v>112651.13110973495</v>
      </c>
      <c r="U15">
        <f ca="1">S15-T15</f>
        <v>160939.71835372981</v>
      </c>
      <c r="AA15">
        <v>11</v>
      </c>
      <c r="AB15" t="s">
        <v>27</v>
      </c>
      <c r="AC15" s="6">
        <f ca="1">IF(Table1[[#This Row],[gender]]="men",1,0)</f>
        <v>0</v>
      </c>
      <c r="AD15">
        <f ca="1">IF(Table1[[#This Row],[gender]]="women",1,0)</f>
        <v>1</v>
      </c>
      <c r="AH15" s="5"/>
      <c r="AJ15" s="6">
        <f ca="1">IF(Table1[[#This Row],[Column1]]="Health",1,0)</f>
        <v>0</v>
      </c>
      <c r="AK15">
        <f ca="1">IF(Table1[[#This Row],[Column1]]="Construction",1,0)</f>
        <v>0</v>
      </c>
      <c r="AL15">
        <f ca="1">IF(Table1[[#This Row],[Column1]]="Technology",1,0)</f>
        <v>0</v>
      </c>
      <c r="AM15">
        <f ca="1">IF(Table1[[#This Row],[Column1]]="Education",1,0)</f>
        <v>0</v>
      </c>
      <c r="AN15">
        <f ca="1">IF(Table1[[#This Row],[Column1]]="Agriculture",1,0)</f>
        <v>1</v>
      </c>
      <c r="AO15">
        <f ca="1">IF(Table1[[#This Row],[Column1]]="Social Service", 1, 0)</f>
        <v>0</v>
      </c>
      <c r="AT15" s="5"/>
      <c r="AV15" s="17">
        <f t="shared" ca="1" si="0"/>
        <v>75485.884910839639</v>
      </c>
      <c r="AW15" s="5"/>
      <c r="AX15" s="6">
        <f ca="1">IF(Table1[[#This Row],[Value of Debts]]&gt;$AY$4,1,0)</f>
        <v>1</v>
      </c>
      <c r="AY15" s="20"/>
      <c r="AZ15" s="20"/>
      <c r="BA15" s="5"/>
      <c r="BB15" s="25">
        <f ca="1">Table1[[#This Row],[Mortage Left]]/Table1[[#This Row],[Value of House]]</f>
        <v>0.16034996066620377</v>
      </c>
      <c r="BC15" s="20">
        <f t="shared" ca="1" si="2"/>
        <v>1</v>
      </c>
      <c r="BD15" s="20"/>
      <c r="BE15" s="20"/>
      <c r="BF15" s="20"/>
      <c r="BG15" s="6">
        <f ca="1">IF(Table1[[#This Row],[County]]="Cumbria",Table1[[#This Row],[income]],0)</f>
        <v>0</v>
      </c>
      <c r="BH15" s="20">
        <f ca="1">IF(Table1[[#This Row],[County]]="Cheshire",Table1[[#This Row],[income]],0)</f>
        <v>0</v>
      </c>
      <c r="BI15" s="20">
        <f ca="1">IF(Table1[[#This Row],[County]]="Bristol",Table1[[#This Row],[income]],0)</f>
        <v>0</v>
      </c>
      <c r="BJ15" s="20">
        <f ca="1">IF(Table1[[#This Row],[County]]="Surrey",Table1[[#This Row],[income]],0)</f>
        <v>0</v>
      </c>
      <c r="BK15" s="20">
        <f ca="1">IF(Table1[[#This Row],[County]]="Norfolk",Table1[[#This Row],[income]],0)</f>
        <v>0</v>
      </c>
      <c r="BL15" s="20">
        <f ca="1">IF(Table1[[#This Row],[County]]="Lincolnshire",Table1[[#This Row],[income]],0)</f>
        <v>0</v>
      </c>
      <c r="BM15" s="20">
        <f ca="1">IF(Table1[[#This Row],[County]]="Somerset",Table1[[#This Row],[income]],0)</f>
        <v>0</v>
      </c>
      <c r="BN15" s="20">
        <f ca="1">IF(Table1[[#This Row],[County]]="Cambridgeshire",Table1[[#This Row],[income]],0)</f>
        <v>0</v>
      </c>
      <c r="BO15" s="20">
        <f ca="1">IF(Table1[[#This Row],[County]]="South Yorkshire",Table1[[#This Row],[income]],0)</f>
        <v>85386</v>
      </c>
      <c r="BP15" s="20">
        <f ca="1">IF(Table1[[#This Row],[County]]="Greater London",Table1[[#This Row],[income]],0)</f>
        <v>0</v>
      </c>
      <c r="BQ15" s="20">
        <f ca="1">IF(Table1[[#This Row],[County]]="Hampshire",Table1[[#This Row],[income]],0)</f>
        <v>0</v>
      </c>
      <c r="BR15" s="20">
        <f ca="1">IF(Table1[[#This Row],[County]]="Gloucestershire",Table1[[#This Row],[income]],0)</f>
        <v>0</v>
      </c>
      <c r="BS15" s="20">
        <f ca="1">IF(Table1[[#This Row],[County]]="West Sussex",Table1[[#This Row],[income]],0)</f>
        <v>0</v>
      </c>
      <c r="BT15" s="20">
        <f ca="1">IF(Table1[[#This Row],[County]]="Devon",Table1[[#This Row],[income]],0)</f>
        <v>0</v>
      </c>
      <c r="BU15" s="20">
        <f ca="1">IF(Table1[[#This Row],[County]]="Berkshire",Table1[[#This Row],[income]],0)</f>
        <v>0</v>
      </c>
      <c r="BV15" s="20">
        <f ca="1">IF(Table1[[#This Row],[County]]="Staffordshire",Table1[[#This Row],[income]],0)</f>
        <v>0</v>
      </c>
      <c r="BW15" s="20">
        <f ca="1">IF(Table1[[#This Row],[County]]="Leicestershire",Table1[[#This Row],[income]],0)</f>
        <v>0</v>
      </c>
      <c r="BX15" s="20">
        <f ca="1">IF(Table1[[#This Row],[County]]="Cornwall",Table1[[#This Row],[income]],0)</f>
        <v>0</v>
      </c>
      <c r="BY15" s="20">
        <f ca="1">IF(Table1[[#This Row],[County]]="Isle of Wight",Table1[[#This Row],[income]],0)</f>
        <v>0</v>
      </c>
      <c r="BZ15" s="20">
        <f ca="1">IF(Table1[[#This Row],[County]]="Surrey",Table1[[#This Row],[income]],0)</f>
        <v>0</v>
      </c>
      <c r="CA15" s="20">
        <f ca="1">IF(Table1[[#This Row],[County]]="Derbyshire",Table1[[#This Row],[income]],0)</f>
        <v>0</v>
      </c>
      <c r="CB15" s="20">
        <f ca="1">IF(Table1[[#This Row],[County]]="City of London",Table1[[#This Row],[income]],0)</f>
        <v>0</v>
      </c>
      <c r="CC15" s="20">
        <f ca="1">IF(Table1[[#This Row],[County]]="Bedfordshire",Table1[[#This Row],[income]],0)</f>
        <v>0</v>
      </c>
      <c r="CD15" s="20">
        <f ca="1">IF(Table1[[#This Row],[County]]="County Durham",Table1[[#This Row],[income]],0)</f>
        <v>0</v>
      </c>
      <c r="CE15" s="20">
        <f ca="1">IF(Table1[[#This Row],[County]]="East Riding of Yorkshire",Table1[[#This Row],[income]],0)</f>
        <v>0</v>
      </c>
      <c r="CF15" s="20">
        <f ca="1">IF(Table1[[#This Row],[County]]="West Yorkshire",Table1[[#This Row],[income]],0)</f>
        <v>0</v>
      </c>
      <c r="CG15" s="20">
        <f ca="1">IF(Table1[[#This Row],[County]]="Essex",Table1[[#This Row],[income]],0)</f>
        <v>0</v>
      </c>
      <c r="CH15" s="20">
        <f ca="1">IF(Table1[[#This Row],[County]]="East Sussex",Table1[[#This Row],[income]],0)</f>
        <v>0</v>
      </c>
      <c r="CI15" s="20">
        <f ca="1">IF(Table1[[#This Row],[County]]="Greater Manchester",Table1[[#This Row],[income]],0)</f>
        <v>0</v>
      </c>
      <c r="CJ15" s="20">
        <f ca="1">IF(Table1[[#This Row],[County]]="Hertfordshire",Table1[[#This Row],[income]],0)</f>
        <v>0</v>
      </c>
      <c r="CK15" s="20">
        <f ca="1">IF(Table1[[#This Row],[County]]="Herefordshire",Table1[[#This Row],[income]],0)</f>
        <v>0</v>
      </c>
      <c r="CL15" s="20">
        <f ca="1">IF(Table1[[#This Row],[County]]="Lancashire",Table1[[#This Row],[income]],0)</f>
        <v>0</v>
      </c>
      <c r="CM15" s="20">
        <f ca="1">IF(Table1[[#This Row],[County]]="Merseyside",Table1[[#This Row],[income]],0)</f>
        <v>0</v>
      </c>
      <c r="CN15" s="20">
        <f ca="1">IF(Table1[[#This Row],[County]]="Northamptonshire",Table1[[#This Row],[income]],0)</f>
        <v>0</v>
      </c>
      <c r="CO15" s="20">
        <f ca="1">IF(Table1[[#This Row],[County]]="Northumberland",Table1[[#This Row],[income]],0)</f>
        <v>0</v>
      </c>
      <c r="CP15" s="20">
        <f ca="1">IF(Table1[[#This Row],[County]]="Wiltshire",Table1[[#This Row],[income]],0)</f>
        <v>0</v>
      </c>
      <c r="CQ15" s="20">
        <f ca="1">IF(Table1[[#This Row],[County]]="West Midlands",Table1[[#This Row],[income]],0)</f>
        <v>0</v>
      </c>
      <c r="CR15" s="20">
        <f ca="1">IF(Table1[[#This Row],[County]]="Warwickshire",Table1[[#This Row],[income]],0)</f>
        <v>0</v>
      </c>
      <c r="CS15" s="20">
        <f ca="1">IF(Table1[[#This Row],[County]]="Tyne and Wear",Table1[[#This Row],[income]],0)</f>
        <v>0</v>
      </c>
      <c r="CT15" s="20">
        <f ca="1">IF(Table1[[#This Row],[County]]="Worcestershire",Table1[[#This Row],[income]],0)</f>
        <v>0</v>
      </c>
      <c r="CU15" s="20">
        <f ca="1">IF(Table1[[#This Row],[County]]="Rutland",Table1[[#This Row],[income]],0)</f>
        <v>0</v>
      </c>
      <c r="CV15" s="20">
        <f ca="1">IF(Table1[[#This Row],[County]]="Shropshire",Table1[[#This Row],[income]],0)</f>
        <v>0</v>
      </c>
      <c r="CW15" s="20">
        <f ca="1">IF(Table1[[#This Row],[County]]="Dorset",Table1[[#This Row],[income]],0)</f>
        <v>0</v>
      </c>
      <c r="CX15" s="20">
        <f ca="1">IF(Table1[[#This Row],[County]]="Buckinghamshire",Table1[[#This Row],[income]],0)</f>
        <v>0</v>
      </c>
      <c r="CY15" s="20">
        <f ca="1">IF(Table1[[#This Row],[County]]="Suffolk",Table1[[#This Row],[income]],0)</f>
        <v>0</v>
      </c>
      <c r="CZ15" s="20">
        <f ca="1">IF(Table1[[#This Row],[County]]="North Yorkshire",Table1[[#This Row],[income]],0)</f>
        <v>0</v>
      </c>
      <c r="DA15" s="20">
        <f ca="1">IF(Table1[[#This Row],[County]]="Kent",Table1[[#This Row],[income]],0)</f>
        <v>0</v>
      </c>
      <c r="DB15" s="5">
        <f ca="1">IF(Table1[[#This Row],[County]]="Derbyshire",Table1[[#This Row],[income]],0)</f>
        <v>0</v>
      </c>
      <c r="DD15" s="6">
        <f ca="1">IF(Table1[[#This Row],[Column1]]="Health",Table1[[#This Row],[income]],0)</f>
        <v>0</v>
      </c>
      <c r="DE15" s="20">
        <f ca="1">IF(Table1[[#This Row],[Column1]]="Agriculture",Table1[[#This Row],[income]],0)</f>
        <v>85386</v>
      </c>
      <c r="DF15" s="20">
        <f ca="1">IF(Table1[[#This Row],[Column1]]="Technology",Table1[[#This Row],[income]],0)</f>
        <v>0</v>
      </c>
      <c r="DG15" s="20">
        <f ca="1">IF(Table1[[#This Row],[Column1]]="Social Service",Table1[[#This Row],[income]],0)</f>
        <v>0</v>
      </c>
      <c r="DH15" s="20">
        <f ca="1">IF(Table1[[#This Row],[Column1]]="Education",Table1[[#This Row],[income]],0)</f>
        <v>0</v>
      </c>
      <c r="DI15" s="5">
        <f ca="1">IF(Table1[[#This Row],[Column1]]="Construction",Table1[[#This Row],[income]],0)</f>
        <v>0</v>
      </c>
      <c r="DK15" s="6">
        <f ca="1">IF(Table1[[#This Row],[Value of Debts]]&gt;Table1[[#This Row],[income]],1,0)</f>
        <v>1</v>
      </c>
      <c r="DL15" s="20"/>
      <c r="DM15" s="20"/>
      <c r="DN15" s="5"/>
      <c r="DP15" s="6">
        <f ca="1">IF(Table1[[#This Row],[Net Worth (£)]]&gt;$DS$5,C15,0)</f>
        <v>28</v>
      </c>
      <c r="DQ15" s="20"/>
      <c r="DR15" s="20"/>
      <c r="DS15" s="5"/>
    </row>
    <row r="16" spans="1:123" x14ac:dyDescent="0.2">
      <c r="A16">
        <f t="shared" ca="1" si="1"/>
        <v>2</v>
      </c>
      <c r="B16" s="1" t="str">
        <f ca="1">IF(A16=1, "men", "women")</f>
        <v>women</v>
      </c>
      <c r="C16" s="1">
        <f ca="1">RANDBETWEEN(25,50)</f>
        <v>35</v>
      </c>
      <c r="D16">
        <f ca="1">RANDBETWEEN(1,6)</f>
        <v>1</v>
      </c>
      <c r="E16" t="str">
        <f ca="1">VLOOKUP(D16,$W$5:$X$10,2)</f>
        <v>Health</v>
      </c>
      <c r="F16">
        <f ca="1">RANDBETWEEN(1,5)</f>
        <v>5</v>
      </c>
      <c r="G16" t="str">
        <f ca="1">VLOOKUP(F16,$Y$5:$Z$9,2)</f>
        <v>Other</v>
      </c>
      <c r="H16">
        <f ca="1">RANDBETWEEN(0,4)</f>
        <v>2</v>
      </c>
      <c r="I16">
        <f ca="1">RANDBETWEEN(1,3)</f>
        <v>3</v>
      </c>
      <c r="J16">
        <f ca="1">RANDBETWEEN(30000,100000)</f>
        <v>77457</v>
      </c>
      <c r="K16">
        <f ca="1">RANDBETWEEN(1,48)</f>
        <v>43</v>
      </c>
      <c r="L16" t="str">
        <f ca="1">VLOOKUP(K16,$AA$5:$AB$52,2)</f>
        <v>Warwickshire</v>
      </c>
      <c r="M16">
        <f ca="1">J16*(RANDBETWEEN(2,5))</f>
        <v>387285</v>
      </c>
      <c r="N16">
        <f ca="1">RAND()*M16</f>
        <v>304075.8201649409</v>
      </c>
      <c r="O16">
        <f ca="1">I16*RAND()*J16</f>
        <v>226457.65473251892</v>
      </c>
      <c r="P16">
        <f ca="1">RANDBETWEEN(0,O16)</f>
        <v>141263</v>
      </c>
      <c r="Q16">
        <f ca="1">RAND()*J16*2</f>
        <v>53839.862110783157</v>
      </c>
      <c r="R16">
        <f ca="1">RAND()*J16*1.5</f>
        <v>80707.928848229771</v>
      </c>
      <c r="S16">
        <f ca="1">J16+R16+O16</f>
        <v>384622.58358074864</v>
      </c>
      <c r="T16">
        <f ca="1">N16+P16+Q16</f>
        <v>499178.68227572407</v>
      </c>
      <c r="U16">
        <f ca="1">S16-T16</f>
        <v>-114556.09869497543</v>
      </c>
      <c r="AA16">
        <v>12</v>
      </c>
      <c r="AB16" t="s">
        <v>28</v>
      </c>
      <c r="AC16" s="6">
        <f ca="1">IF(Table1[[#This Row],[gender]]="men",1,0)</f>
        <v>0</v>
      </c>
      <c r="AD16">
        <f ca="1">IF(Table1[[#This Row],[gender]]="women",1,0)</f>
        <v>1</v>
      </c>
      <c r="AH16" s="5"/>
      <c r="AJ16" s="6">
        <f ca="1">IF(Table1[[#This Row],[Column1]]="Health",1,0)</f>
        <v>1</v>
      </c>
      <c r="AK16">
        <f ca="1">IF(Table1[[#This Row],[Column1]]="Construction",1,0)</f>
        <v>0</v>
      </c>
      <c r="AL16">
        <f ca="1">IF(Table1[[#This Row],[Column1]]="Technology",1,0)</f>
        <v>0</v>
      </c>
      <c r="AM16">
        <f ca="1">IF(Table1[[#This Row],[Column1]]="Education",1,0)</f>
        <v>0</v>
      </c>
      <c r="AN16">
        <f ca="1">IF(Table1[[#This Row],[Column1]]="Agriculture",1,0)</f>
        <v>0</v>
      </c>
      <c r="AO16">
        <f ca="1">IF(Table1[[#This Row],[Column1]]="Social Service", 1, 0)</f>
        <v>0</v>
      </c>
      <c r="AT16" s="5"/>
      <c r="AV16" s="17">
        <f t="shared" ca="1" si="0"/>
        <v>17125.243375401235</v>
      </c>
      <c r="AW16" s="5"/>
      <c r="AX16" s="6">
        <f ca="1">IF(Table1[[#This Row],[Value of Debts]]&gt;$AY$4,1,0)</f>
        <v>1</v>
      </c>
      <c r="AY16" s="20"/>
      <c r="AZ16" s="20"/>
      <c r="BA16" s="5"/>
      <c r="BB16" s="25">
        <f ca="1">Table1[[#This Row],[Mortage Left]]/Table1[[#This Row],[Value of House]]</f>
        <v>0.78514742415776728</v>
      </c>
      <c r="BC16" s="20">
        <f t="shared" ca="1" si="2"/>
        <v>0</v>
      </c>
      <c r="BD16" s="20"/>
      <c r="BE16" s="20"/>
      <c r="BF16" s="20"/>
      <c r="BG16" s="6">
        <f ca="1">IF(Table1[[#This Row],[County]]="Cumbria",Table1[[#This Row],[income]],0)</f>
        <v>0</v>
      </c>
      <c r="BH16" s="20">
        <f ca="1">IF(Table1[[#This Row],[County]]="Cheshire",Table1[[#This Row],[income]],0)</f>
        <v>0</v>
      </c>
      <c r="BI16" s="20">
        <f ca="1">IF(Table1[[#This Row],[County]]="Bristol",Table1[[#This Row],[income]],0)</f>
        <v>0</v>
      </c>
      <c r="BJ16" s="20">
        <f ca="1">IF(Table1[[#This Row],[County]]="Surrey",Table1[[#This Row],[income]],0)</f>
        <v>0</v>
      </c>
      <c r="BK16" s="20">
        <f ca="1">IF(Table1[[#This Row],[County]]="Norfolk",Table1[[#This Row],[income]],0)</f>
        <v>0</v>
      </c>
      <c r="BL16" s="20">
        <f ca="1">IF(Table1[[#This Row],[County]]="Lincolnshire",Table1[[#This Row],[income]],0)</f>
        <v>0</v>
      </c>
      <c r="BM16" s="20">
        <f ca="1">IF(Table1[[#This Row],[County]]="Somerset",Table1[[#This Row],[income]],0)</f>
        <v>0</v>
      </c>
      <c r="BN16" s="20">
        <f ca="1">IF(Table1[[#This Row],[County]]="Cambridgeshire",Table1[[#This Row],[income]],0)</f>
        <v>0</v>
      </c>
      <c r="BO16" s="20">
        <f ca="1">IF(Table1[[#This Row],[County]]="South Yorkshire",Table1[[#This Row],[income]],0)</f>
        <v>0</v>
      </c>
      <c r="BP16" s="20">
        <f ca="1">IF(Table1[[#This Row],[County]]="Greater London",Table1[[#This Row],[income]],0)</f>
        <v>0</v>
      </c>
      <c r="BQ16" s="20">
        <f ca="1">IF(Table1[[#This Row],[County]]="Hampshire",Table1[[#This Row],[income]],0)</f>
        <v>0</v>
      </c>
      <c r="BR16" s="20">
        <f ca="1">IF(Table1[[#This Row],[County]]="Gloucestershire",Table1[[#This Row],[income]],0)</f>
        <v>0</v>
      </c>
      <c r="BS16" s="20">
        <f ca="1">IF(Table1[[#This Row],[County]]="West Sussex",Table1[[#This Row],[income]],0)</f>
        <v>0</v>
      </c>
      <c r="BT16" s="20">
        <f ca="1">IF(Table1[[#This Row],[County]]="Devon",Table1[[#This Row],[income]],0)</f>
        <v>0</v>
      </c>
      <c r="BU16" s="20">
        <f ca="1">IF(Table1[[#This Row],[County]]="Berkshire",Table1[[#This Row],[income]],0)</f>
        <v>0</v>
      </c>
      <c r="BV16" s="20">
        <f ca="1">IF(Table1[[#This Row],[County]]="Staffordshire",Table1[[#This Row],[income]],0)</f>
        <v>0</v>
      </c>
      <c r="BW16" s="20">
        <f ca="1">IF(Table1[[#This Row],[County]]="Leicestershire",Table1[[#This Row],[income]],0)</f>
        <v>0</v>
      </c>
      <c r="BX16" s="20">
        <f ca="1">IF(Table1[[#This Row],[County]]="Cornwall",Table1[[#This Row],[income]],0)</f>
        <v>0</v>
      </c>
      <c r="BY16" s="20">
        <f ca="1">IF(Table1[[#This Row],[County]]="Isle of Wight",Table1[[#This Row],[income]],0)</f>
        <v>0</v>
      </c>
      <c r="BZ16" s="20">
        <f ca="1">IF(Table1[[#This Row],[County]]="Surrey",Table1[[#This Row],[income]],0)</f>
        <v>0</v>
      </c>
      <c r="CA16" s="20">
        <f ca="1">IF(Table1[[#This Row],[County]]="Derbyshire",Table1[[#This Row],[income]],0)</f>
        <v>0</v>
      </c>
      <c r="CB16" s="20">
        <f ca="1">IF(Table1[[#This Row],[County]]="City of London",Table1[[#This Row],[income]],0)</f>
        <v>0</v>
      </c>
      <c r="CC16" s="20">
        <f ca="1">IF(Table1[[#This Row],[County]]="Bedfordshire",Table1[[#This Row],[income]],0)</f>
        <v>0</v>
      </c>
      <c r="CD16" s="20">
        <f ca="1">IF(Table1[[#This Row],[County]]="County Durham",Table1[[#This Row],[income]],0)</f>
        <v>0</v>
      </c>
      <c r="CE16" s="20">
        <f ca="1">IF(Table1[[#This Row],[County]]="East Riding of Yorkshire",Table1[[#This Row],[income]],0)</f>
        <v>0</v>
      </c>
      <c r="CF16" s="20">
        <f ca="1">IF(Table1[[#This Row],[County]]="West Yorkshire",Table1[[#This Row],[income]],0)</f>
        <v>0</v>
      </c>
      <c r="CG16" s="20">
        <f ca="1">IF(Table1[[#This Row],[County]]="Essex",Table1[[#This Row],[income]],0)</f>
        <v>0</v>
      </c>
      <c r="CH16" s="20">
        <f ca="1">IF(Table1[[#This Row],[County]]="East Sussex",Table1[[#This Row],[income]],0)</f>
        <v>0</v>
      </c>
      <c r="CI16" s="20">
        <f ca="1">IF(Table1[[#This Row],[County]]="Greater Manchester",Table1[[#This Row],[income]],0)</f>
        <v>0</v>
      </c>
      <c r="CJ16" s="20">
        <f ca="1">IF(Table1[[#This Row],[County]]="Hertfordshire",Table1[[#This Row],[income]],0)</f>
        <v>0</v>
      </c>
      <c r="CK16" s="20">
        <f ca="1">IF(Table1[[#This Row],[County]]="Herefordshire",Table1[[#This Row],[income]],0)</f>
        <v>0</v>
      </c>
      <c r="CL16" s="20">
        <f ca="1">IF(Table1[[#This Row],[County]]="Lancashire",Table1[[#This Row],[income]],0)</f>
        <v>0</v>
      </c>
      <c r="CM16" s="20">
        <f ca="1">IF(Table1[[#This Row],[County]]="Merseyside",Table1[[#This Row],[income]],0)</f>
        <v>0</v>
      </c>
      <c r="CN16" s="20">
        <f ca="1">IF(Table1[[#This Row],[County]]="Northamptonshire",Table1[[#This Row],[income]],0)</f>
        <v>0</v>
      </c>
      <c r="CO16" s="20">
        <f ca="1">IF(Table1[[#This Row],[County]]="Northumberland",Table1[[#This Row],[income]],0)</f>
        <v>0</v>
      </c>
      <c r="CP16" s="20">
        <f ca="1">IF(Table1[[#This Row],[County]]="Wiltshire",Table1[[#This Row],[income]],0)</f>
        <v>0</v>
      </c>
      <c r="CQ16" s="20">
        <f ca="1">IF(Table1[[#This Row],[County]]="West Midlands",Table1[[#This Row],[income]],0)</f>
        <v>0</v>
      </c>
      <c r="CR16" s="20">
        <f ca="1">IF(Table1[[#This Row],[County]]="Warwickshire",Table1[[#This Row],[income]],0)</f>
        <v>77457</v>
      </c>
      <c r="CS16" s="20">
        <f ca="1">IF(Table1[[#This Row],[County]]="Tyne and Wear",Table1[[#This Row],[income]],0)</f>
        <v>0</v>
      </c>
      <c r="CT16" s="20">
        <f ca="1">IF(Table1[[#This Row],[County]]="Worcestershire",Table1[[#This Row],[income]],0)</f>
        <v>0</v>
      </c>
      <c r="CU16" s="20">
        <f ca="1">IF(Table1[[#This Row],[County]]="Rutland",Table1[[#This Row],[income]],0)</f>
        <v>0</v>
      </c>
      <c r="CV16" s="20">
        <f ca="1">IF(Table1[[#This Row],[County]]="Shropshire",Table1[[#This Row],[income]],0)</f>
        <v>0</v>
      </c>
      <c r="CW16" s="20">
        <f ca="1">IF(Table1[[#This Row],[County]]="Dorset",Table1[[#This Row],[income]],0)</f>
        <v>0</v>
      </c>
      <c r="CX16" s="20">
        <f ca="1">IF(Table1[[#This Row],[County]]="Buckinghamshire",Table1[[#This Row],[income]],0)</f>
        <v>0</v>
      </c>
      <c r="CY16" s="20">
        <f ca="1">IF(Table1[[#This Row],[County]]="Suffolk",Table1[[#This Row],[income]],0)</f>
        <v>0</v>
      </c>
      <c r="CZ16" s="20">
        <f ca="1">IF(Table1[[#This Row],[County]]="North Yorkshire",Table1[[#This Row],[income]],0)</f>
        <v>0</v>
      </c>
      <c r="DA16" s="20">
        <f ca="1">IF(Table1[[#This Row],[County]]="Kent",Table1[[#This Row],[income]],0)</f>
        <v>0</v>
      </c>
      <c r="DB16" s="5">
        <f ca="1">IF(Table1[[#This Row],[County]]="Derbyshire",Table1[[#This Row],[income]],0)</f>
        <v>0</v>
      </c>
      <c r="DD16" s="6">
        <f ca="1">IF(Table1[[#This Row],[Column1]]="Health",Table1[[#This Row],[income]],0)</f>
        <v>77457</v>
      </c>
      <c r="DE16" s="20">
        <f ca="1">IF(Table1[[#This Row],[Column1]]="Agriculture",Table1[[#This Row],[income]],0)</f>
        <v>0</v>
      </c>
      <c r="DF16" s="20">
        <f ca="1">IF(Table1[[#This Row],[Column1]]="Technology",Table1[[#This Row],[income]],0)</f>
        <v>0</v>
      </c>
      <c r="DG16" s="20">
        <f ca="1">IF(Table1[[#This Row],[Column1]]="Social Service",Table1[[#This Row],[income]],0)</f>
        <v>0</v>
      </c>
      <c r="DH16" s="20">
        <f ca="1">IF(Table1[[#This Row],[Column1]]="Education",Table1[[#This Row],[income]],0)</f>
        <v>0</v>
      </c>
      <c r="DI16" s="5">
        <f ca="1">IF(Table1[[#This Row],[Column1]]="Construction",Table1[[#This Row],[income]],0)</f>
        <v>0</v>
      </c>
      <c r="DK16" s="6">
        <f ca="1">IF(Table1[[#This Row],[Value of Debts]]&gt;Table1[[#This Row],[income]],1,0)</f>
        <v>1</v>
      </c>
      <c r="DL16" s="20"/>
      <c r="DM16" s="20"/>
      <c r="DN16" s="5"/>
      <c r="DP16" s="6">
        <f ca="1">IF(Table1[[#This Row],[Net Worth (£)]]&gt;$DS$5,C16,0)</f>
        <v>0</v>
      </c>
      <c r="DQ16" s="20"/>
      <c r="DR16" s="20"/>
      <c r="DS16" s="5"/>
    </row>
    <row r="17" spans="1:123" x14ac:dyDescent="0.2">
      <c r="A17">
        <f t="shared" ca="1" si="1"/>
        <v>2</v>
      </c>
      <c r="B17" s="1" t="str">
        <f ca="1">IF(A17=1, "men", "women")</f>
        <v>women</v>
      </c>
      <c r="C17" s="1">
        <f ca="1">RANDBETWEEN(25,50)</f>
        <v>36</v>
      </c>
      <c r="D17">
        <f ca="1">RANDBETWEEN(1,6)</f>
        <v>1</v>
      </c>
      <c r="E17" t="str">
        <f ca="1">VLOOKUP(D17,$W$5:$X$10,2)</f>
        <v>Health</v>
      </c>
      <c r="F17">
        <f ca="1">RANDBETWEEN(1,5)</f>
        <v>1</v>
      </c>
      <c r="G17" t="str">
        <f ca="1">VLOOKUP(F17,$Y$5:$Z$9,2)</f>
        <v>High School</v>
      </c>
      <c r="H17">
        <f ca="1">RANDBETWEEN(0,4)</f>
        <v>4</v>
      </c>
      <c r="I17">
        <f ca="1">RANDBETWEEN(1,3)</f>
        <v>1</v>
      </c>
      <c r="J17">
        <f ca="1">RANDBETWEEN(30000,100000)</f>
        <v>60653</v>
      </c>
      <c r="K17">
        <f ca="1">RANDBETWEEN(1,48)</f>
        <v>30</v>
      </c>
      <c r="L17" t="str">
        <f ca="1">VLOOKUP(K17,$AA$5:$AB$52,2)</f>
        <v>North Yorkshire</v>
      </c>
      <c r="M17">
        <f ca="1">J17*(RANDBETWEEN(2,5))</f>
        <v>121306</v>
      </c>
      <c r="N17">
        <f ca="1">RAND()*M17</f>
        <v>55170.877821886774</v>
      </c>
      <c r="O17">
        <f ca="1">I17*RAND()*J17</f>
        <v>17125.243375401235</v>
      </c>
      <c r="P17">
        <f ca="1">RANDBETWEEN(0,O17)</f>
        <v>12498</v>
      </c>
      <c r="Q17">
        <f ca="1">RAND()*J17*2</f>
        <v>25105.562748176373</v>
      </c>
      <c r="R17">
        <f ca="1">RAND()*J17*1.5</f>
        <v>41674.69999295428</v>
      </c>
      <c r="S17">
        <f ca="1">J17+R17+O17</f>
        <v>119452.94336835551</v>
      </c>
      <c r="T17">
        <f ca="1">N17+P17+Q17</f>
        <v>92774.440570063132</v>
      </c>
      <c r="U17">
        <f ca="1">S17-T17</f>
        <v>26678.502798292378</v>
      </c>
      <c r="AA17">
        <v>13</v>
      </c>
      <c r="AB17" t="s">
        <v>29</v>
      </c>
      <c r="AC17" s="6">
        <f ca="1">IF(Table1[[#This Row],[gender]]="men",1,0)</f>
        <v>0</v>
      </c>
      <c r="AD17">
        <f ca="1">IF(Table1[[#This Row],[gender]]="women",1,0)</f>
        <v>1</v>
      </c>
      <c r="AH17" s="5"/>
      <c r="AJ17" s="6">
        <f ca="1">IF(Table1[[#This Row],[Column1]]="Health",1,0)</f>
        <v>1</v>
      </c>
      <c r="AK17">
        <f ca="1">IF(Table1[[#This Row],[Column1]]="Construction",1,0)</f>
        <v>0</v>
      </c>
      <c r="AL17">
        <f ca="1">IF(Table1[[#This Row],[Column1]]="Technology",1,0)</f>
        <v>0</v>
      </c>
      <c r="AM17">
        <f ca="1">IF(Table1[[#This Row],[Column1]]="Education",1,0)</f>
        <v>0</v>
      </c>
      <c r="AN17">
        <f ca="1">IF(Table1[[#This Row],[Column1]]="Agriculture",1,0)</f>
        <v>0</v>
      </c>
      <c r="AO17">
        <f ca="1">IF(Table1[[#This Row],[Column1]]="Social Service", 1, 0)</f>
        <v>0</v>
      </c>
      <c r="AT17" s="5"/>
      <c r="AV17" s="17">
        <f t="shared" ca="1" si="0"/>
        <v>18512.794612904017</v>
      </c>
      <c r="AW17" s="5"/>
      <c r="AX17" s="6">
        <f ca="1">IF(Table1[[#This Row],[Value of Debts]]&gt;$AY$4,1,0)</f>
        <v>0</v>
      </c>
      <c r="AY17" s="20"/>
      <c r="AZ17" s="20"/>
      <c r="BA17" s="5"/>
      <c r="BB17" s="25">
        <f ca="1">Table1[[#This Row],[Mortage Left]]/Table1[[#This Row],[Value of House]]</f>
        <v>0.45480749362675199</v>
      </c>
      <c r="BC17" s="20">
        <f t="shared" ca="1" si="2"/>
        <v>0</v>
      </c>
      <c r="BD17" s="20"/>
      <c r="BE17" s="20"/>
      <c r="BF17" s="20"/>
      <c r="BG17" s="6">
        <f ca="1">IF(Table1[[#This Row],[County]]="Cumbria",Table1[[#This Row],[income]],0)</f>
        <v>0</v>
      </c>
      <c r="BH17" s="20">
        <f ca="1">IF(Table1[[#This Row],[County]]="Cheshire",Table1[[#This Row],[income]],0)</f>
        <v>0</v>
      </c>
      <c r="BI17" s="20">
        <f ca="1">IF(Table1[[#This Row],[County]]="Bristol",Table1[[#This Row],[income]],0)</f>
        <v>0</v>
      </c>
      <c r="BJ17" s="20">
        <f ca="1">IF(Table1[[#This Row],[County]]="Surrey",Table1[[#This Row],[income]],0)</f>
        <v>0</v>
      </c>
      <c r="BK17" s="20">
        <f ca="1">IF(Table1[[#This Row],[County]]="Norfolk",Table1[[#This Row],[income]],0)</f>
        <v>0</v>
      </c>
      <c r="BL17" s="20">
        <f ca="1">IF(Table1[[#This Row],[County]]="Lincolnshire",Table1[[#This Row],[income]],0)</f>
        <v>0</v>
      </c>
      <c r="BM17" s="20">
        <f ca="1">IF(Table1[[#This Row],[County]]="Somerset",Table1[[#This Row],[income]],0)</f>
        <v>0</v>
      </c>
      <c r="BN17" s="20">
        <f ca="1">IF(Table1[[#This Row],[County]]="Cambridgeshire",Table1[[#This Row],[income]],0)</f>
        <v>0</v>
      </c>
      <c r="BO17" s="20">
        <f ca="1">IF(Table1[[#This Row],[County]]="South Yorkshire",Table1[[#This Row],[income]],0)</f>
        <v>0</v>
      </c>
      <c r="BP17" s="20">
        <f ca="1">IF(Table1[[#This Row],[County]]="Greater London",Table1[[#This Row],[income]],0)</f>
        <v>0</v>
      </c>
      <c r="BQ17" s="20">
        <f ca="1">IF(Table1[[#This Row],[County]]="Hampshire",Table1[[#This Row],[income]],0)</f>
        <v>0</v>
      </c>
      <c r="BR17" s="20">
        <f ca="1">IF(Table1[[#This Row],[County]]="Gloucestershire",Table1[[#This Row],[income]],0)</f>
        <v>0</v>
      </c>
      <c r="BS17" s="20">
        <f ca="1">IF(Table1[[#This Row],[County]]="West Sussex",Table1[[#This Row],[income]],0)</f>
        <v>0</v>
      </c>
      <c r="BT17" s="20">
        <f ca="1">IF(Table1[[#This Row],[County]]="Devon",Table1[[#This Row],[income]],0)</f>
        <v>0</v>
      </c>
      <c r="BU17" s="20">
        <f ca="1">IF(Table1[[#This Row],[County]]="Berkshire",Table1[[#This Row],[income]],0)</f>
        <v>0</v>
      </c>
      <c r="BV17" s="20">
        <f ca="1">IF(Table1[[#This Row],[County]]="Staffordshire",Table1[[#This Row],[income]],0)</f>
        <v>0</v>
      </c>
      <c r="BW17" s="20">
        <f ca="1">IF(Table1[[#This Row],[County]]="Leicestershire",Table1[[#This Row],[income]],0)</f>
        <v>0</v>
      </c>
      <c r="BX17" s="20">
        <f ca="1">IF(Table1[[#This Row],[County]]="Cornwall",Table1[[#This Row],[income]],0)</f>
        <v>0</v>
      </c>
      <c r="BY17" s="20">
        <f ca="1">IF(Table1[[#This Row],[County]]="Isle of Wight",Table1[[#This Row],[income]],0)</f>
        <v>0</v>
      </c>
      <c r="BZ17" s="20">
        <f ca="1">IF(Table1[[#This Row],[County]]="Surrey",Table1[[#This Row],[income]],0)</f>
        <v>0</v>
      </c>
      <c r="CA17" s="20">
        <f ca="1">IF(Table1[[#This Row],[County]]="Derbyshire",Table1[[#This Row],[income]],0)</f>
        <v>0</v>
      </c>
      <c r="CB17" s="20">
        <f ca="1">IF(Table1[[#This Row],[County]]="City of London",Table1[[#This Row],[income]],0)</f>
        <v>0</v>
      </c>
      <c r="CC17" s="20">
        <f ca="1">IF(Table1[[#This Row],[County]]="Bedfordshire",Table1[[#This Row],[income]],0)</f>
        <v>0</v>
      </c>
      <c r="CD17" s="20">
        <f ca="1">IF(Table1[[#This Row],[County]]="County Durham",Table1[[#This Row],[income]],0)</f>
        <v>0</v>
      </c>
      <c r="CE17" s="20">
        <f ca="1">IF(Table1[[#This Row],[County]]="East Riding of Yorkshire",Table1[[#This Row],[income]],0)</f>
        <v>0</v>
      </c>
      <c r="CF17" s="20">
        <f ca="1">IF(Table1[[#This Row],[County]]="West Yorkshire",Table1[[#This Row],[income]],0)</f>
        <v>0</v>
      </c>
      <c r="CG17" s="20">
        <f ca="1">IF(Table1[[#This Row],[County]]="Essex",Table1[[#This Row],[income]],0)</f>
        <v>0</v>
      </c>
      <c r="CH17" s="20">
        <f ca="1">IF(Table1[[#This Row],[County]]="East Sussex",Table1[[#This Row],[income]],0)</f>
        <v>0</v>
      </c>
      <c r="CI17" s="20">
        <f ca="1">IF(Table1[[#This Row],[County]]="Greater Manchester",Table1[[#This Row],[income]],0)</f>
        <v>0</v>
      </c>
      <c r="CJ17" s="20">
        <f ca="1">IF(Table1[[#This Row],[County]]="Hertfordshire",Table1[[#This Row],[income]],0)</f>
        <v>0</v>
      </c>
      <c r="CK17" s="20">
        <f ca="1">IF(Table1[[#This Row],[County]]="Herefordshire",Table1[[#This Row],[income]],0)</f>
        <v>0</v>
      </c>
      <c r="CL17" s="20">
        <f ca="1">IF(Table1[[#This Row],[County]]="Lancashire",Table1[[#This Row],[income]],0)</f>
        <v>0</v>
      </c>
      <c r="CM17" s="20">
        <f ca="1">IF(Table1[[#This Row],[County]]="Merseyside",Table1[[#This Row],[income]],0)</f>
        <v>0</v>
      </c>
      <c r="CN17" s="20">
        <f ca="1">IF(Table1[[#This Row],[County]]="Northamptonshire",Table1[[#This Row],[income]],0)</f>
        <v>0</v>
      </c>
      <c r="CO17" s="20">
        <f ca="1">IF(Table1[[#This Row],[County]]="Northumberland",Table1[[#This Row],[income]],0)</f>
        <v>0</v>
      </c>
      <c r="CP17" s="20">
        <f ca="1">IF(Table1[[#This Row],[County]]="Wiltshire",Table1[[#This Row],[income]],0)</f>
        <v>0</v>
      </c>
      <c r="CQ17" s="20">
        <f ca="1">IF(Table1[[#This Row],[County]]="West Midlands",Table1[[#This Row],[income]],0)</f>
        <v>0</v>
      </c>
      <c r="CR17" s="20">
        <f ca="1">IF(Table1[[#This Row],[County]]="Warwickshire",Table1[[#This Row],[income]],0)</f>
        <v>0</v>
      </c>
      <c r="CS17" s="20">
        <f ca="1">IF(Table1[[#This Row],[County]]="Tyne and Wear",Table1[[#This Row],[income]],0)</f>
        <v>0</v>
      </c>
      <c r="CT17" s="20">
        <f ca="1">IF(Table1[[#This Row],[County]]="Worcestershire",Table1[[#This Row],[income]],0)</f>
        <v>0</v>
      </c>
      <c r="CU17" s="20">
        <f ca="1">IF(Table1[[#This Row],[County]]="Rutland",Table1[[#This Row],[income]],0)</f>
        <v>0</v>
      </c>
      <c r="CV17" s="20">
        <f ca="1">IF(Table1[[#This Row],[County]]="Shropshire",Table1[[#This Row],[income]],0)</f>
        <v>0</v>
      </c>
      <c r="CW17" s="20">
        <f ca="1">IF(Table1[[#This Row],[County]]="Dorset",Table1[[#This Row],[income]],0)</f>
        <v>0</v>
      </c>
      <c r="CX17" s="20">
        <f ca="1">IF(Table1[[#This Row],[County]]="Buckinghamshire",Table1[[#This Row],[income]],0)</f>
        <v>0</v>
      </c>
      <c r="CY17" s="20">
        <f ca="1">IF(Table1[[#This Row],[County]]="Suffolk",Table1[[#This Row],[income]],0)</f>
        <v>0</v>
      </c>
      <c r="CZ17" s="20">
        <f ca="1">IF(Table1[[#This Row],[County]]="North Yorkshire",Table1[[#This Row],[income]],0)</f>
        <v>60653</v>
      </c>
      <c r="DA17" s="20">
        <f ca="1">IF(Table1[[#This Row],[County]]="Kent",Table1[[#This Row],[income]],0)</f>
        <v>0</v>
      </c>
      <c r="DB17" s="5">
        <f ca="1">IF(Table1[[#This Row],[County]]="Derbyshire",Table1[[#This Row],[income]],0)</f>
        <v>0</v>
      </c>
      <c r="DD17" s="6">
        <f ca="1">IF(Table1[[#This Row],[Column1]]="Health",Table1[[#This Row],[income]],0)</f>
        <v>60653</v>
      </c>
      <c r="DE17" s="20">
        <f ca="1">IF(Table1[[#This Row],[Column1]]="Agriculture",Table1[[#This Row],[income]],0)</f>
        <v>0</v>
      </c>
      <c r="DF17" s="20">
        <f ca="1">IF(Table1[[#This Row],[Column1]]="Technology",Table1[[#This Row],[income]],0)</f>
        <v>0</v>
      </c>
      <c r="DG17" s="20">
        <f ca="1">IF(Table1[[#This Row],[Column1]]="Social Service",Table1[[#This Row],[income]],0)</f>
        <v>0</v>
      </c>
      <c r="DH17" s="20">
        <f ca="1">IF(Table1[[#This Row],[Column1]]="Education",Table1[[#This Row],[income]],0)</f>
        <v>0</v>
      </c>
      <c r="DI17" s="5">
        <f ca="1">IF(Table1[[#This Row],[Column1]]="Construction",Table1[[#This Row],[income]],0)</f>
        <v>0</v>
      </c>
      <c r="DK17" s="6">
        <f ca="1">IF(Table1[[#This Row],[Value of Debts]]&gt;Table1[[#This Row],[income]],1,0)</f>
        <v>1</v>
      </c>
      <c r="DL17" s="20"/>
      <c r="DM17" s="20"/>
      <c r="DN17" s="5"/>
      <c r="DP17" s="6">
        <f ca="1">IF(Table1[[#This Row],[Net Worth (£)]]&gt;$DS$5,C17,0)</f>
        <v>0</v>
      </c>
      <c r="DQ17" s="20"/>
      <c r="DR17" s="20"/>
      <c r="DS17" s="5"/>
    </row>
    <row r="18" spans="1:123" x14ac:dyDescent="0.2">
      <c r="A18">
        <f t="shared" ca="1" si="1"/>
        <v>2</v>
      </c>
      <c r="B18" s="1" t="str">
        <f ca="1">IF(A18=1, "men", "women")</f>
        <v>women</v>
      </c>
      <c r="C18" s="1">
        <f ca="1">RANDBETWEEN(25,50)</f>
        <v>31</v>
      </c>
      <c r="D18">
        <f ca="1">RANDBETWEEN(1,6)</f>
        <v>3</v>
      </c>
      <c r="E18" t="str">
        <f ca="1">VLOOKUP(D18,$W$5:$X$10,2)</f>
        <v>Education</v>
      </c>
      <c r="F18">
        <f ca="1">RANDBETWEEN(1,5)</f>
        <v>5</v>
      </c>
      <c r="G18" t="str">
        <f ca="1">VLOOKUP(F18,$Y$5:$Z$9,2)</f>
        <v>Other</v>
      </c>
      <c r="H18">
        <f ca="1">RANDBETWEEN(0,4)</f>
        <v>4</v>
      </c>
      <c r="I18">
        <f ca="1">RANDBETWEEN(1,3)</f>
        <v>3</v>
      </c>
      <c r="J18">
        <f ca="1">RANDBETWEEN(30000,100000)</f>
        <v>52231</v>
      </c>
      <c r="K18">
        <f ca="1">RANDBETWEEN(1,48)</f>
        <v>37</v>
      </c>
      <c r="L18" t="str">
        <f ca="1">VLOOKUP(K18,$AA$5:$AB$52,2)</f>
        <v>Somerset</v>
      </c>
      <c r="M18">
        <f ca="1">J18*(RANDBETWEEN(2,5))</f>
        <v>104462</v>
      </c>
      <c r="N18">
        <f ca="1">RAND()*M18</f>
        <v>45467.610436089861</v>
      </c>
      <c r="O18">
        <f ca="1">I18*RAND()*J18</f>
        <v>55538.383838712056</v>
      </c>
      <c r="P18">
        <f ca="1">RANDBETWEEN(0,O18)</f>
        <v>19645</v>
      </c>
      <c r="Q18">
        <f ca="1">RAND()*J18*2</f>
        <v>5432.563654146481</v>
      </c>
      <c r="R18">
        <f ca="1">RAND()*J18*1.5</f>
        <v>53746.193077977165</v>
      </c>
      <c r="S18">
        <f ca="1">J18+R18+O18</f>
        <v>161515.57691668923</v>
      </c>
      <c r="T18">
        <f ca="1">N18+P18+Q18</f>
        <v>70545.174090236338</v>
      </c>
      <c r="U18">
        <f ca="1">S18-T18</f>
        <v>90970.40282645289</v>
      </c>
      <c r="AA18">
        <v>14</v>
      </c>
      <c r="AB18" t="s">
        <v>30</v>
      </c>
      <c r="AC18" s="6">
        <f ca="1">IF(Table1[[#This Row],[gender]]="men",1,0)</f>
        <v>0</v>
      </c>
      <c r="AD18">
        <f ca="1">IF(Table1[[#This Row],[gender]]="women",1,0)</f>
        <v>1</v>
      </c>
      <c r="AH18" s="5"/>
      <c r="AJ18" s="6">
        <f ca="1">IF(Table1[[#This Row],[Column1]]="Health",1,0)</f>
        <v>0</v>
      </c>
      <c r="AK18">
        <f ca="1">IF(Table1[[#This Row],[Column1]]="Construction",1,0)</f>
        <v>0</v>
      </c>
      <c r="AL18">
        <f ca="1">IF(Table1[[#This Row],[Column1]]="Technology",1,0)</f>
        <v>0</v>
      </c>
      <c r="AM18">
        <f ca="1">IF(Table1[[#This Row],[Column1]]="Education",1,0)</f>
        <v>1</v>
      </c>
      <c r="AN18">
        <f ca="1">IF(Table1[[#This Row],[Column1]]="Agriculture",1,0)</f>
        <v>0</v>
      </c>
      <c r="AO18">
        <f ca="1">IF(Table1[[#This Row],[Column1]]="Social Service", 1, 0)</f>
        <v>0</v>
      </c>
      <c r="AT18" s="5"/>
      <c r="AV18" s="17">
        <f t="shared" ca="1" si="0"/>
        <v>36115.408959552515</v>
      </c>
      <c r="AW18" s="5"/>
      <c r="AX18" s="6">
        <f ca="1">IF(Table1[[#This Row],[Value of Debts]]&gt;$AY$4,1,0)</f>
        <v>0</v>
      </c>
      <c r="AY18" s="20"/>
      <c r="AZ18" s="20"/>
      <c r="BA18" s="5"/>
      <c r="BB18" s="25">
        <f ca="1">Table1[[#This Row],[Mortage Left]]/Table1[[#This Row],[Value of House]]</f>
        <v>0.43525502513918801</v>
      </c>
      <c r="BC18" s="20">
        <f t="shared" ca="1" si="2"/>
        <v>0</v>
      </c>
      <c r="BD18" s="20"/>
      <c r="BE18" s="20"/>
      <c r="BF18" s="20"/>
      <c r="BG18" s="6">
        <f ca="1">IF(Table1[[#This Row],[County]]="Cumbria",Table1[[#This Row],[income]],0)</f>
        <v>0</v>
      </c>
      <c r="BH18" s="20">
        <f ca="1">IF(Table1[[#This Row],[County]]="Cheshire",Table1[[#This Row],[income]],0)</f>
        <v>0</v>
      </c>
      <c r="BI18" s="20">
        <f ca="1">IF(Table1[[#This Row],[County]]="Bristol",Table1[[#This Row],[income]],0)</f>
        <v>0</v>
      </c>
      <c r="BJ18" s="20">
        <f ca="1">IF(Table1[[#This Row],[County]]="Surrey",Table1[[#This Row],[income]],0)</f>
        <v>0</v>
      </c>
      <c r="BK18" s="20">
        <f ca="1">IF(Table1[[#This Row],[County]]="Norfolk",Table1[[#This Row],[income]],0)</f>
        <v>0</v>
      </c>
      <c r="BL18" s="20">
        <f ca="1">IF(Table1[[#This Row],[County]]="Lincolnshire",Table1[[#This Row],[income]],0)</f>
        <v>0</v>
      </c>
      <c r="BM18" s="20">
        <f ca="1">IF(Table1[[#This Row],[County]]="Somerset",Table1[[#This Row],[income]],0)</f>
        <v>52231</v>
      </c>
      <c r="BN18" s="20">
        <f ca="1">IF(Table1[[#This Row],[County]]="Cambridgeshire",Table1[[#This Row],[income]],0)</f>
        <v>0</v>
      </c>
      <c r="BO18" s="20">
        <f ca="1">IF(Table1[[#This Row],[County]]="South Yorkshire",Table1[[#This Row],[income]],0)</f>
        <v>0</v>
      </c>
      <c r="BP18" s="20">
        <f ca="1">IF(Table1[[#This Row],[County]]="Greater London",Table1[[#This Row],[income]],0)</f>
        <v>0</v>
      </c>
      <c r="BQ18" s="20">
        <f ca="1">IF(Table1[[#This Row],[County]]="Hampshire",Table1[[#This Row],[income]],0)</f>
        <v>0</v>
      </c>
      <c r="BR18" s="20">
        <f ca="1">IF(Table1[[#This Row],[County]]="Gloucestershire",Table1[[#This Row],[income]],0)</f>
        <v>0</v>
      </c>
      <c r="BS18" s="20">
        <f ca="1">IF(Table1[[#This Row],[County]]="West Sussex",Table1[[#This Row],[income]],0)</f>
        <v>0</v>
      </c>
      <c r="BT18" s="20">
        <f ca="1">IF(Table1[[#This Row],[County]]="Devon",Table1[[#This Row],[income]],0)</f>
        <v>0</v>
      </c>
      <c r="BU18" s="20">
        <f ca="1">IF(Table1[[#This Row],[County]]="Berkshire",Table1[[#This Row],[income]],0)</f>
        <v>0</v>
      </c>
      <c r="BV18" s="20">
        <f ca="1">IF(Table1[[#This Row],[County]]="Staffordshire",Table1[[#This Row],[income]],0)</f>
        <v>0</v>
      </c>
      <c r="BW18" s="20">
        <f ca="1">IF(Table1[[#This Row],[County]]="Leicestershire",Table1[[#This Row],[income]],0)</f>
        <v>0</v>
      </c>
      <c r="BX18" s="20">
        <f ca="1">IF(Table1[[#This Row],[County]]="Cornwall",Table1[[#This Row],[income]],0)</f>
        <v>0</v>
      </c>
      <c r="BY18" s="20">
        <f ca="1">IF(Table1[[#This Row],[County]]="Isle of Wight",Table1[[#This Row],[income]],0)</f>
        <v>0</v>
      </c>
      <c r="BZ18" s="20">
        <f ca="1">IF(Table1[[#This Row],[County]]="Surrey",Table1[[#This Row],[income]],0)</f>
        <v>0</v>
      </c>
      <c r="CA18" s="20">
        <f ca="1">IF(Table1[[#This Row],[County]]="Derbyshire",Table1[[#This Row],[income]],0)</f>
        <v>0</v>
      </c>
      <c r="CB18" s="20">
        <f ca="1">IF(Table1[[#This Row],[County]]="City of London",Table1[[#This Row],[income]],0)</f>
        <v>0</v>
      </c>
      <c r="CC18" s="20">
        <f ca="1">IF(Table1[[#This Row],[County]]="Bedfordshire",Table1[[#This Row],[income]],0)</f>
        <v>0</v>
      </c>
      <c r="CD18" s="20">
        <f ca="1">IF(Table1[[#This Row],[County]]="County Durham",Table1[[#This Row],[income]],0)</f>
        <v>0</v>
      </c>
      <c r="CE18" s="20">
        <f ca="1">IF(Table1[[#This Row],[County]]="East Riding of Yorkshire",Table1[[#This Row],[income]],0)</f>
        <v>0</v>
      </c>
      <c r="CF18" s="20">
        <f ca="1">IF(Table1[[#This Row],[County]]="West Yorkshire",Table1[[#This Row],[income]],0)</f>
        <v>0</v>
      </c>
      <c r="CG18" s="20">
        <f ca="1">IF(Table1[[#This Row],[County]]="Essex",Table1[[#This Row],[income]],0)</f>
        <v>0</v>
      </c>
      <c r="CH18" s="20">
        <f ca="1">IF(Table1[[#This Row],[County]]="East Sussex",Table1[[#This Row],[income]],0)</f>
        <v>0</v>
      </c>
      <c r="CI18" s="20">
        <f ca="1">IF(Table1[[#This Row],[County]]="Greater Manchester",Table1[[#This Row],[income]],0)</f>
        <v>0</v>
      </c>
      <c r="CJ18" s="20">
        <f ca="1">IF(Table1[[#This Row],[County]]="Hertfordshire",Table1[[#This Row],[income]],0)</f>
        <v>0</v>
      </c>
      <c r="CK18" s="20">
        <f ca="1">IF(Table1[[#This Row],[County]]="Herefordshire",Table1[[#This Row],[income]],0)</f>
        <v>0</v>
      </c>
      <c r="CL18" s="20">
        <f ca="1">IF(Table1[[#This Row],[County]]="Lancashire",Table1[[#This Row],[income]],0)</f>
        <v>0</v>
      </c>
      <c r="CM18" s="20">
        <f ca="1">IF(Table1[[#This Row],[County]]="Merseyside",Table1[[#This Row],[income]],0)</f>
        <v>0</v>
      </c>
      <c r="CN18" s="20">
        <f ca="1">IF(Table1[[#This Row],[County]]="Northamptonshire",Table1[[#This Row],[income]],0)</f>
        <v>0</v>
      </c>
      <c r="CO18" s="20">
        <f ca="1">IF(Table1[[#This Row],[County]]="Northumberland",Table1[[#This Row],[income]],0)</f>
        <v>0</v>
      </c>
      <c r="CP18" s="20">
        <f ca="1">IF(Table1[[#This Row],[County]]="Wiltshire",Table1[[#This Row],[income]],0)</f>
        <v>0</v>
      </c>
      <c r="CQ18" s="20">
        <f ca="1">IF(Table1[[#This Row],[County]]="West Midlands",Table1[[#This Row],[income]],0)</f>
        <v>0</v>
      </c>
      <c r="CR18" s="20">
        <f ca="1">IF(Table1[[#This Row],[County]]="Warwickshire",Table1[[#This Row],[income]],0)</f>
        <v>0</v>
      </c>
      <c r="CS18" s="20">
        <f ca="1">IF(Table1[[#This Row],[County]]="Tyne and Wear",Table1[[#This Row],[income]],0)</f>
        <v>0</v>
      </c>
      <c r="CT18" s="20">
        <f ca="1">IF(Table1[[#This Row],[County]]="Worcestershire",Table1[[#This Row],[income]],0)</f>
        <v>0</v>
      </c>
      <c r="CU18" s="20">
        <f ca="1">IF(Table1[[#This Row],[County]]="Rutland",Table1[[#This Row],[income]],0)</f>
        <v>0</v>
      </c>
      <c r="CV18" s="20">
        <f ca="1">IF(Table1[[#This Row],[County]]="Shropshire",Table1[[#This Row],[income]],0)</f>
        <v>0</v>
      </c>
      <c r="CW18" s="20">
        <f ca="1">IF(Table1[[#This Row],[County]]="Dorset",Table1[[#This Row],[income]],0)</f>
        <v>0</v>
      </c>
      <c r="CX18" s="20">
        <f ca="1">IF(Table1[[#This Row],[County]]="Buckinghamshire",Table1[[#This Row],[income]],0)</f>
        <v>0</v>
      </c>
      <c r="CY18" s="20">
        <f ca="1">IF(Table1[[#This Row],[County]]="Suffolk",Table1[[#This Row],[income]],0)</f>
        <v>0</v>
      </c>
      <c r="CZ18" s="20">
        <f ca="1">IF(Table1[[#This Row],[County]]="North Yorkshire",Table1[[#This Row],[income]],0)</f>
        <v>0</v>
      </c>
      <c r="DA18" s="20">
        <f ca="1">IF(Table1[[#This Row],[County]]="Kent",Table1[[#This Row],[income]],0)</f>
        <v>0</v>
      </c>
      <c r="DB18" s="5">
        <f ca="1">IF(Table1[[#This Row],[County]]="Derbyshire",Table1[[#This Row],[income]],0)</f>
        <v>0</v>
      </c>
      <c r="DD18" s="6">
        <f ca="1">IF(Table1[[#This Row],[Column1]]="Health",Table1[[#This Row],[income]],0)</f>
        <v>0</v>
      </c>
      <c r="DE18" s="20">
        <f ca="1">IF(Table1[[#This Row],[Column1]]="Agriculture",Table1[[#This Row],[income]],0)</f>
        <v>0</v>
      </c>
      <c r="DF18" s="20">
        <f ca="1">IF(Table1[[#This Row],[Column1]]="Technology",Table1[[#This Row],[income]],0)</f>
        <v>0</v>
      </c>
      <c r="DG18" s="20">
        <f ca="1">IF(Table1[[#This Row],[Column1]]="Social Service",Table1[[#This Row],[income]],0)</f>
        <v>0</v>
      </c>
      <c r="DH18" s="20">
        <f ca="1">IF(Table1[[#This Row],[Column1]]="Education",Table1[[#This Row],[income]],0)</f>
        <v>52231</v>
      </c>
      <c r="DI18" s="5">
        <f ca="1">IF(Table1[[#This Row],[Column1]]="Construction",Table1[[#This Row],[income]],0)</f>
        <v>0</v>
      </c>
      <c r="DK18" s="6">
        <f ca="1">IF(Table1[[#This Row],[Value of Debts]]&gt;Table1[[#This Row],[income]],1,0)</f>
        <v>1</v>
      </c>
      <c r="DL18" s="20"/>
      <c r="DM18" s="20"/>
      <c r="DN18" s="5"/>
      <c r="DP18" s="6">
        <f ca="1">IF(Table1[[#This Row],[Net Worth (£)]]&gt;$DS$5,C18,0)</f>
        <v>31</v>
      </c>
      <c r="DQ18" s="20"/>
      <c r="DR18" s="20"/>
      <c r="DS18" s="5"/>
    </row>
    <row r="19" spans="1:123" x14ac:dyDescent="0.2">
      <c r="A19">
        <f t="shared" ca="1" si="1"/>
        <v>2</v>
      </c>
      <c r="B19" s="1" t="str">
        <f ca="1">IF(A19=1, "men", "women")</f>
        <v>women</v>
      </c>
      <c r="C19" s="1">
        <f ca="1">RANDBETWEEN(25,50)</f>
        <v>47</v>
      </c>
      <c r="D19">
        <f ca="1">RANDBETWEEN(1,6)</f>
        <v>5</v>
      </c>
      <c r="E19" t="str">
        <f ca="1">VLOOKUP(D19,$W$5:$X$10,2)</f>
        <v>Social Service</v>
      </c>
      <c r="F19">
        <f ca="1">RANDBETWEEN(1,5)</f>
        <v>2</v>
      </c>
      <c r="G19" t="str">
        <f ca="1">VLOOKUP(F19,$Y$5:$Z$9,2)</f>
        <v>College</v>
      </c>
      <c r="H19">
        <f ca="1">RANDBETWEEN(0,4)</f>
        <v>3</v>
      </c>
      <c r="I19">
        <f ca="1">RANDBETWEEN(1,3)</f>
        <v>2</v>
      </c>
      <c r="J19">
        <f ca="1">RANDBETWEEN(30000,100000)</f>
        <v>68844</v>
      </c>
      <c r="K19">
        <f ca="1">RANDBETWEEN(1,48)</f>
        <v>21</v>
      </c>
      <c r="L19" t="str">
        <f ca="1">VLOOKUP(K19,$AA$5:$AB$52,2)</f>
        <v>Herefordshire</v>
      </c>
      <c r="M19">
        <f ca="1">J19*(RANDBETWEEN(2,5))</f>
        <v>137688</v>
      </c>
      <c r="N19">
        <f ca="1">RAND()*M19</f>
        <v>77980.80164051817</v>
      </c>
      <c r="O19">
        <f ca="1">I19*RAND()*J19</f>
        <v>72230.817919105029</v>
      </c>
      <c r="P19">
        <f ca="1">RANDBETWEEN(0,O19)</f>
        <v>39789</v>
      </c>
      <c r="Q19">
        <f ca="1">RAND()*J19*2</f>
        <v>46444.510326992946</v>
      </c>
      <c r="R19">
        <f ca="1">RAND()*J19*1.5</f>
        <v>3189.2857290030197</v>
      </c>
      <c r="S19">
        <f ca="1">J19+R19+O19</f>
        <v>144264.10364810805</v>
      </c>
      <c r="T19">
        <f ca="1">N19+P19+Q19</f>
        <v>164214.31196751111</v>
      </c>
      <c r="U19">
        <f ca="1">S19-T19</f>
        <v>-19950.208319403057</v>
      </c>
      <c r="AA19">
        <v>15</v>
      </c>
      <c r="AB19" t="s">
        <v>31</v>
      </c>
      <c r="AC19" s="6">
        <f ca="1">IF(Table1[[#This Row],[gender]]="men",1,0)</f>
        <v>0</v>
      </c>
      <c r="AD19">
        <f ca="1">IF(Table1[[#This Row],[gender]]="women",1,0)</f>
        <v>1</v>
      </c>
      <c r="AH19" s="5"/>
      <c r="AJ19" s="6">
        <f ca="1">IF(Table1[[#This Row],[Column1]]="Health",1,0)</f>
        <v>0</v>
      </c>
      <c r="AK19">
        <f ca="1">IF(Table1[[#This Row],[Column1]]="Construction",1,0)</f>
        <v>0</v>
      </c>
      <c r="AL19">
        <f ca="1">IF(Table1[[#This Row],[Column1]]="Technology",1,0)</f>
        <v>0</v>
      </c>
      <c r="AM19">
        <f ca="1">IF(Table1[[#This Row],[Column1]]="Education",1,0)</f>
        <v>0</v>
      </c>
      <c r="AN19">
        <f ca="1">IF(Table1[[#This Row],[Column1]]="Agriculture",1,0)</f>
        <v>0</v>
      </c>
      <c r="AO19">
        <f ca="1">IF(Table1[[#This Row],[Column1]]="Social Service", 1, 0)</f>
        <v>1</v>
      </c>
      <c r="AT19" s="5"/>
      <c r="AV19" s="17">
        <f t="shared" ca="1" si="0"/>
        <v>37520.442697406521</v>
      </c>
      <c r="AW19" s="5"/>
      <c r="AX19" s="6">
        <f ca="1">IF(Table1[[#This Row],[Value of Debts]]&gt;$AY$4,1,0)</f>
        <v>1</v>
      </c>
      <c r="AY19" s="20"/>
      <c r="AZ19" s="20"/>
      <c r="BA19" s="5"/>
      <c r="BB19" s="25">
        <f ca="1">Table1[[#This Row],[Mortage Left]]/Table1[[#This Row],[Value of House]]</f>
        <v>0.56635873598656505</v>
      </c>
      <c r="BC19" s="20">
        <f t="shared" ca="1" si="2"/>
        <v>0</v>
      </c>
      <c r="BD19" s="20"/>
      <c r="BE19" s="20"/>
      <c r="BF19" s="20"/>
      <c r="BG19" s="6">
        <f ca="1">IF(Table1[[#This Row],[County]]="Cumbria",Table1[[#This Row],[income]],0)</f>
        <v>0</v>
      </c>
      <c r="BH19" s="20">
        <f ca="1">IF(Table1[[#This Row],[County]]="Cheshire",Table1[[#This Row],[income]],0)</f>
        <v>0</v>
      </c>
      <c r="BI19" s="20">
        <f ca="1">IF(Table1[[#This Row],[County]]="Bristol",Table1[[#This Row],[income]],0)</f>
        <v>0</v>
      </c>
      <c r="BJ19" s="20">
        <f ca="1">IF(Table1[[#This Row],[County]]="Surrey",Table1[[#This Row],[income]],0)</f>
        <v>0</v>
      </c>
      <c r="BK19" s="20">
        <f ca="1">IF(Table1[[#This Row],[County]]="Norfolk",Table1[[#This Row],[income]],0)</f>
        <v>0</v>
      </c>
      <c r="BL19" s="20">
        <f ca="1">IF(Table1[[#This Row],[County]]="Lincolnshire",Table1[[#This Row],[income]],0)</f>
        <v>0</v>
      </c>
      <c r="BM19" s="20">
        <f ca="1">IF(Table1[[#This Row],[County]]="Somerset",Table1[[#This Row],[income]],0)</f>
        <v>0</v>
      </c>
      <c r="BN19" s="20">
        <f ca="1">IF(Table1[[#This Row],[County]]="Cambridgeshire",Table1[[#This Row],[income]],0)</f>
        <v>0</v>
      </c>
      <c r="BO19" s="20">
        <f ca="1">IF(Table1[[#This Row],[County]]="South Yorkshire",Table1[[#This Row],[income]],0)</f>
        <v>0</v>
      </c>
      <c r="BP19" s="20">
        <f ca="1">IF(Table1[[#This Row],[County]]="Greater London",Table1[[#This Row],[income]],0)</f>
        <v>0</v>
      </c>
      <c r="BQ19" s="20">
        <f ca="1">IF(Table1[[#This Row],[County]]="Hampshire",Table1[[#This Row],[income]],0)</f>
        <v>0</v>
      </c>
      <c r="BR19" s="20">
        <f ca="1">IF(Table1[[#This Row],[County]]="Gloucestershire",Table1[[#This Row],[income]],0)</f>
        <v>0</v>
      </c>
      <c r="BS19" s="20">
        <f ca="1">IF(Table1[[#This Row],[County]]="West Sussex",Table1[[#This Row],[income]],0)</f>
        <v>0</v>
      </c>
      <c r="BT19" s="20">
        <f ca="1">IF(Table1[[#This Row],[County]]="Devon",Table1[[#This Row],[income]],0)</f>
        <v>0</v>
      </c>
      <c r="BU19" s="20">
        <f ca="1">IF(Table1[[#This Row],[County]]="Berkshire",Table1[[#This Row],[income]],0)</f>
        <v>0</v>
      </c>
      <c r="BV19" s="20">
        <f ca="1">IF(Table1[[#This Row],[County]]="Staffordshire",Table1[[#This Row],[income]],0)</f>
        <v>0</v>
      </c>
      <c r="BW19" s="20">
        <f ca="1">IF(Table1[[#This Row],[County]]="Leicestershire",Table1[[#This Row],[income]],0)</f>
        <v>0</v>
      </c>
      <c r="BX19" s="20">
        <f ca="1">IF(Table1[[#This Row],[County]]="Cornwall",Table1[[#This Row],[income]],0)</f>
        <v>0</v>
      </c>
      <c r="BY19" s="20">
        <f ca="1">IF(Table1[[#This Row],[County]]="Isle of Wight",Table1[[#This Row],[income]],0)</f>
        <v>0</v>
      </c>
      <c r="BZ19" s="20">
        <f ca="1">IF(Table1[[#This Row],[County]]="Surrey",Table1[[#This Row],[income]],0)</f>
        <v>0</v>
      </c>
      <c r="CA19" s="20">
        <f ca="1">IF(Table1[[#This Row],[County]]="Derbyshire",Table1[[#This Row],[income]],0)</f>
        <v>0</v>
      </c>
      <c r="CB19" s="20">
        <f ca="1">IF(Table1[[#This Row],[County]]="City of London",Table1[[#This Row],[income]],0)</f>
        <v>0</v>
      </c>
      <c r="CC19" s="20">
        <f ca="1">IF(Table1[[#This Row],[County]]="Bedfordshire",Table1[[#This Row],[income]],0)</f>
        <v>0</v>
      </c>
      <c r="CD19" s="20">
        <f ca="1">IF(Table1[[#This Row],[County]]="County Durham",Table1[[#This Row],[income]],0)</f>
        <v>0</v>
      </c>
      <c r="CE19" s="20">
        <f ca="1">IF(Table1[[#This Row],[County]]="East Riding of Yorkshire",Table1[[#This Row],[income]],0)</f>
        <v>0</v>
      </c>
      <c r="CF19" s="20">
        <f ca="1">IF(Table1[[#This Row],[County]]="West Yorkshire",Table1[[#This Row],[income]],0)</f>
        <v>0</v>
      </c>
      <c r="CG19" s="20">
        <f ca="1">IF(Table1[[#This Row],[County]]="Essex",Table1[[#This Row],[income]],0)</f>
        <v>0</v>
      </c>
      <c r="CH19" s="20">
        <f ca="1">IF(Table1[[#This Row],[County]]="East Sussex",Table1[[#This Row],[income]],0)</f>
        <v>0</v>
      </c>
      <c r="CI19" s="20">
        <f ca="1">IF(Table1[[#This Row],[County]]="Greater Manchester",Table1[[#This Row],[income]],0)</f>
        <v>0</v>
      </c>
      <c r="CJ19" s="20">
        <f ca="1">IF(Table1[[#This Row],[County]]="Hertfordshire",Table1[[#This Row],[income]],0)</f>
        <v>0</v>
      </c>
      <c r="CK19" s="20">
        <f ca="1">IF(Table1[[#This Row],[County]]="Herefordshire",Table1[[#This Row],[income]],0)</f>
        <v>68844</v>
      </c>
      <c r="CL19" s="20">
        <f ca="1">IF(Table1[[#This Row],[County]]="Lancashire",Table1[[#This Row],[income]],0)</f>
        <v>0</v>
      </c>
      <c r="CM19" s="20">
        <f ca="1">IF(Table1[[#This Row],[County]]="Merseyside",Table1[[#This Row],[income]],0)</f>
        <v>0</v>
      </c>
      <c r="CN19" s="20">
        <f ca="1">IF(Table1[[#This Row],[County]]="Northamptonshire",Table1[[#This Row],[income]],0)</f>
        <v>0</v>
      </c>
      <c r="CO19" s="20">
        <f ca="1">IF(Table1[[#This Row],[County]]="Northumberland",Table1[[#This Row],[income]],0)</f>
        <v>0</v>
      </c>
      <c r="CP19" s="20">
        <f ca="1">IF(Table1[[#This Row],[County]]="Wiltshire",Table1[[#This Row],[income]],0)</f>
        <v>0</v>
      </c>
      <c r="CQ19" s="20">
        <f ca="1">IF(Table1[[#This Row],[County]]="West Midlands",Table1[[#This Row],[income]],0)</f>
        <v>0</v>
      </c>
      <c r="CR19" s="20">
        <f ca="1">IF(Table1[[#This Row],[County]]="Warwickshire",Table1[[#This Row],[income]],0)</f>
        <v>0</v>
      </c>
      <c r="CS19" s="20">
        <f ca="1">IF(Table1[[#This Row],[County]]="Tyne and Wear",Table1[[#This Row],[income]],0)</f>
        <v>0</v>
      </c>
      <c r="CT19" s="20">
        <f ca="1">IF(Table1[[#This Row],[County]]="Worcestershire",Table1[[#This Row],[income]],0)</f>
        <v>0</v>
      </c>
      <c r="CU19" s="20">
        <f ca="1">IF(Table1[[#This Row],[County]]="Rutland",Table1[[#This Row],[income]],0)</f>
        <v>0</v>
      </c>
      <c r="CV19" s="20">
        <f ca="1">IF(Table1[[#This Row],[County]]="Shropshire",Table1[[#This Row],[income]],0)</f>
        <v>0</v>
      </c>
      <c r="CW19" s="20">
        <f ca="1">IF(Table1[[#This Row],[County]]="Dorset",Table1[[#This Row],[income]],0)</f>
        <v>0</v>
      </c>
      <c r="CX19" s="20">
        <f ca="1">IF(Table1[[#This Row],[County]]="Buckinghamshire",Table1[[#This Row],[income]],0)</f>
        <v>0</v>
      </c>
      <c r="CY19" s="20">
        <f ca="1">IF(Table1[[#This Row],[County]]="Suffolk",Table1[[#This Row],[income]],0)</f>
        <v>0</v>
      </c>
      <c r="CZ19" s="20">
        <f ca="1">IF(Table1[[#This Row],[County]]="North Yorkshire",Table1[[#This Row],[income]],0)</f>
        <v>0</v>
      </c>
      <c r="DA19" s="20">
        <f ca="1">IF(Table1[[#This Row],[County]]="Kent",Table1[[#This Row],[income]],0)</f>
        <v>0</v>
      </c>
      <c r="DB19" s="5">
        <f ca="1">IF(Table1[[#This Row],[County]]="Derbyshire",Table1[[#This Row],[income]],0)</f>
        <v>0</v>
      </c>
      <c r="DD19" s="6">
        <f ca="1">IF(Table1[[#This Row],[Column1]]="Health",Table1[[#This Row],[income]],0)</f>
        <v>0</v>
      </c>
      <c r="DE19" s="20">
        <f ca="1">IF(Table1[[#This Row],[Column1]]="Agriculture",Table1[[#This Row],[income]],0)</f>
        <v>0</v>
      </c>
      <c r="DF19" s="20">
        <f ca="1">IF(Table1[[#This Row],[Column1]]="Technology",Table1[[#This Row],[income]],0)</f>
        <v>0</v>
      </c>
      <c r="DG19" s="20">
        <f ca="1">IF(Table1[[#This Row],[Column1]]="Social Service",Table1[[#This Row],[income]],0)</f>
        <v>68844</v>
      </c>
      <c r="DH19" s="20">
        <f ca="1">IF(Table1[[#This Row],[Column1]]="Education",Table1[[#This Row],[income]],0)</f>
        <v>0</v>
      </c>
      <c r="DI19" s="5">
        <f ca="1">IF(Table1[[#This Row],[Column1]]="Construction",Table1[[#This Row],[income]],0)</f>
        <v>0</v>
      </c>
      <c r="DK19" s="6">
        <f ca="1">IF(Table1[[#This Row],[Value of Debts]]&gt;Table1[[#This Row],[income]],1,0)</f>
        <v>1</v>
      </c>
      <c r="DL19" s="20"/>
      <c r="DM19" s="20"/>
      <c r="DN19" s="5"/>
      <c r="DP19" s="6">
        <f ca="1">IF(Table1[[#This Row],[Net Worth (£)]]&gt;$DS$5,C19,0)</f>
        <v>0</v>
      </c>
      <c r="DQ19" s="20"/>
      <c r="DR19" s="20"/>
      <c r="DS19" s="5"/>
    </row>
    <row r="20" spans="1:123" x14ac:dyDescent="0.2">
      <c r="A20">
        <f t="shared" ca="1" si="1"/>
        <v>1</v>
      </c>
      <c r="B20" s="1" t="str">
        <f ca="1">IF(A20=1, "men", "women")</f>
        <v>men</v>
      </c>
      <c r="C20" s="1">
        <f ca="1">RANDBETWEEN(25,50)</f>
        <v>26</v>
      </c>
      <c r="D20">
        <f ca="1">RANDBETWEEN(1,6)</f>
        <v>6</v>
      </c>
      <c r="E20" t="str">
        <f ca="1">VLOOKUP(D20,$W$5:$X$10,2)</f>
        <v>Agriculture</v>
      </c>
      <c r="F20">
        <f ca="1">RANDBETWEEN(1,5)</f>
        <v>5</v>
      </c>
      <c r="G20" t="str">
        <f ca="1">VLOOKUP(F20,$Y$5:$Z$9,2)</f>
        <v>Other</v>
      </c>
      <c r="H20">
        <f ca="1">RANDBETWEEN(0,4)</f>
        <v>2</v>
      </c>
      <c r="I20">
        <f ca="1">RANDBETWEEN(1,3)</f>
        <v>2</v>
      </c>
      <c r="J20">
        <f ca="1">RANDBETWEEN(30000,100000)</f>
        <v>57424</v>
      </c>
      <c r="K20">
        <f ca="1">RANDBETWEEN(1,48)</f>
        <v>45</v>
      </c>
      <c r="L20" t="str">
        <f ca="1">VLOOKUP(K20,$AA$5:$AB$52,2)</f>
        <v>West Sussex</v>
      </c>
      <c r="M20">
        <f ca="1">J20*(RANDBETWEEN(2,5))</f>
        <v>229696</v>
      </c>
      <c r="N20">
        <f ca="1">RAND()*M20</f>
        <v>69656.754580383524</v>
      </c>
      <c r="O20">
        <f ca="1">I20*RAND()*J20</f>
        <v>75040.885394813042</v>
      </c>
      <c r="P20">
        <f ca="1">RANDBETWEEN(0,O20)</f>
        <v>48928</v>
      </c>
      <c r="Q20">
        <f ca="1">RAND()*J20*2</f>
        <v>23130.401695324341</v>
      </c>
      <c r="R20">
        <f ca="1">RAND()*J20*1.5</f>
        <v>31676.637706253096</v>
      </c>
      <c r="S20">
        <f ca="1">J20+R20+O20</f>
        <v>164141.52310106612</v>
      </c>
      <c r="T20">
        <f ca="1">N20+P20+Q20</f>
        <v>141715.15627570788</v>
      </c>
      <c r="U20">
        <f ca="1">S20-T20</f>
        <v>22426.366825358244</v>
      </c>
      <c r="AA20">
        <v>16</v>
      </c>
      <c r="AB20" t="s">
        <v>32</v>
      </c>
      <c r="AC20" s="6">
        <f ca="1">IF(Table1[[#This Row],[gender]]="men",1,0)</f>
        <v>1</v>
      </c>
      <c r="AD20">
        <f ca="1">IF(Table1[[#This Row],[gender]]="women",1,0)</f>
        <v>0</v>
      </c>
      <c r="AH20" s="5"/>
      <c r="AJ20" s="6">
        <f ca="1">IF(Table1[[#This Row],[Column1]]="Health",1,0)</f>
        <v>0</v>
      </c>
      <c r="AK20">
        <f ca="1">IF(Table1[[#This Row],[Column1]]="Construction",1,0)</f>
        <v>0</v>
      </c>
      <c r="AL20">
        <f ca="1">IF(Table1[[#This Row],[Column1]]="Technology",1,0)</f>
        <v>0</v>
      </c>
      <c r="AM20">
        <f ca="1">IF(Table1[[#This Row],[Column1]]="Education",1,0)</f>
        <v>0</v>
      </c>
      <c r="AN20">
        <f ca="1">IF(Table1[[#This Row],[Column1]]="Agriculture",1,0)</f>
        <v>1</v>
      </c>
      <c r="AO20">
        <f ca="1">IF(Table1[[#This Row],[Column1]]="Social Service", 1, 0)</f>
        <v>0</v>
      </c>
      <c r="AT20" s="5"/>
      <c r="AV20" s="17">
        <f t="shared" ca="1" si="0"/>
        <v>10680.522986596943</v>
      </c>
      <c r="AW20" s="5"/>
      <c r="AX20" s="6">
        <f ca="1">IF(Table1[[#This Row],[Value of Debts]]&gt;$AY$4,1,0)</f>
        <v>1</v>
      </c>
      <c r="AY20" s="20"/>
      <c r="AZ20" s="20"/>
      <c r="BA20" s="5"/>
      <c r="BB20" s="25">
        <f ca="1">Table1[[#This Row],[Mortage Left]]/Table1[[#This Row],[Value of House]]</f>
        <v>0.30325628038966079</v>
      </c>
      <c r="BC20" s="20">
        <f t="shared" ca="1" si="2"/>
        <v>0</v>
      </c>
      <c r="BD20" s="20"/>
      <c r="BE20" s="20"/>
      <c r="BF20" s="20"/>
      <c r="BG20" s="6">
        <f ca="1">IF(Table1[[#This Row],[County]]="Cumbria",Table1[[#This Row],[income]],0)</f>
        <v>0</v>
      </c>
      <c r="BH20" s="20">
        <f ca="1">IF(Table1[[#This Row],[County]]="Cheshire",Table1[[#This Row],[income]],0)</f>
        <v>0</v>
      </c>
      <c r="BI20" s="20">
        <f ca="1">IF(Table1[[#This Row],[County]]="Bristol",Table1[[#This Row],[income]],0)</f>
        <v>0</v>
      </c>
      <c r="BJ20" s="20">
        <f ca="1">IF(Table1[[#This Row],[County]]="Surrey",Table1[[#This Row],[income]],0)</f>
        <v>0</v>
      </c>
      <c r="BK20" s="20">
        <f ca="1">IF(Table1[[#This Row],[County]]="Norfolk",Table1[[#This Row],[income]],0)</f>
        <v>0</v>
      </c>
      <c r="BL20" s="20">
        <f ca="1">IF(Table1[[#This Row],[County]]="Lincolnshire",Table1[[#This Row],[income]],0)</f>
        <v>0</v>
      </c>
      <c r="BM20" s="20">
        <f ca="1">IF(Table1[[#This Row],[County]]="Somerset",Table1[[#This Row],[income]],0)</f>
        <v>0</v>
      </c>
      <c r="BN20" s="20">
        <f ca="1">IF(Table1[[#This Row],[County]]="Cambridgeshire",Table1[[#This Row],[income]],0)</f>
        <v>0</v>
      </c>
      <c r="BO20" s="20">
        <f ca="1">IF(Table1[[#This Row],[County]]="South Yorkshire",Table1[[#This Row],[income]],0)</f>
        <v>0</v>
      </c>
      <c r="BP20" s="20">
        <f ca="1">IF(Table1[[#This Row],[County]]="Greater London",Table1[[#This Row],[income]],0)</f>
        <v>0</v>
      </c>
      <c r="BQ20" s="20">
        <f ca="1">IF(Table1[[#This Row],[County]]="Hampshire",Table1[[#This Row],[income]],0)</f>
        <v>0</v>
      </c>
      <c r="BR20" s="20">
        <f ca="1">IF(Table1[[#This Row],[County]]="Gloucestershire",Table1[[#This Row],[income]],0)</f>
        <v>0</v>
      </c>
      <c r="BS20" s="20">
        <f ca="1">IF(Table1[[#This Row],[County]]="West Sussex",Table1[[#This Row],[income]],0)</f>
        <v>57424</v>
      </c>
      <c r="BT20" s="20">
        <f ca="1">IF(Table1[[#This Row],[County]]="Devon",Table1[[#This Row],[income]],0)</f>
        <v>0</v>
      </c>
      <c r="BU20" s="20">
        <f ca="1">IF(Table1[[#This Row],[County]]="Berkshire",Table1[[#This Row],[income]],0)</f>
        <v>0</v>
      </c>
      <c r="BV20" s="20">
        <f ca="1">IF(Table1[[#This Row],[County]]="Staffordshire",Table1[[#This Row],[income]],0)</f>
        <v>0</v>
      </c>
      <c r="BW20" s="20">
        <f ca="1">IF(Table1[[#This Row],[County]]="Leicestershire",Table1[[#This Row],[income]],0)</f>
        <v>0</v>
      </c>
      <c r="BX20" s="20">
        <f ca="1">IF(Table1[[#This Row],[County]]="Cornwall",Table1[[#This Row],[income]],0)</f>
        <v>0</v>
      </c>
      <c r="BY20" s="20">
        <f ca="1">IF(Table1[[#This Row],[County]]="Isle of Wight",Table1[[#This Row],[income]],0)</f>
        <v>0</v>
      </c>
      <c r="BZ20" s="20">
        <f ca="1">IF(Table1[[#This Row],[County]]="Surrey",Table1[[#This Row],[income]],0)</f>
        <v>0</v>
      </c>
      <c r="CA20" s="20">
        <f ca="1">IF(Table1[[#This Row],[County]]="Derbyshire",Table1[[#This Row],[income]],0)</f>
        <v>0</v>
      </c>
      <c r="CB20" s="20">
        <f ca="1">IF(Table1[[#This Row],[County]]="City of London",Table1[[#This Row],[income]],0)</f>
        <v>0</v>
      </c>
      <c r="CC20" s="20">
        <f ca="1">IF(Table1[[#This Row],[County]]="Bedfordshire",Table1[[#This Row],[income]],0)</f>
        <v>0</v>
      </c>
      <c r="CD20" s="20">
        <f ca="1">IF(Table1[[#This Row],[County]]="County Durham",Table1[[#This Row],[income]],0)</f>
        <v>0</v>
      </c>
      <c r="CE20" s="20">
        <f ca="1">IF(Table1[[#This Row],[County]]="East Riding of Yorkshire",Table1[[#This Row],[income]],0)</f>
        <v>0</v>
      </c>
      <c r="CF20" s="20">
        <f ca="1">IF(Table1[[#This Row],[County]]="West Yorkshire",Table1[[#This Row],[income]],0)</f>
        <v>0</v>
      </c>
      <c r="CG20" s="20">
        <f ca="1">IF(Table1[[#This Row],[County]]="Essex",Table1[[#This Row],[income]],0)</f>
        <v>0</v>
      </c>
      <c r="CH20" s="20">
        <f ca="1">IF(Table1[[#This Row],[County]]="East Sussex",Table1[[#This Row],[income]],0)</f>
        <v>0</v>
      </c>
      <c r="CI20" s="20">
        <f ca="1">IF(Table1[[#This Row],[County]]="Greater Manchester",Table1[[#This Row],[income]],0)</f>
        <v>0</v>
      </c>
      <c r="CJ20" s="20">
        <f ca="1">IF(Table1[[#This Row],[County]]="Hertfordshire",Table1[[#This Row],[income]],0)</f>
        <v>0</v>
      </c>
      <c r="CK20" s="20">
        <f ca="1">IF(Table1[[#This Row],[County]]="Herefordshire",Table1[[#This Row],[income]],0)</f>
        <v>0</v>
      </c>
      <c r="CL20" s="20">
        <f ca="1">IF(Table1[[#This Row],[County]]="Lancashire",Table1[[#This Row],[income]],0)</f>
        <v>0</v>
      </c>
      <c r="CM20" s="20">
        <f ca="1">IF(Table1[[#This Row],[County]]="Merseyside",Table1[[#This Row],[income]],0)</f>
        <v>0</v>
      </c>
      <c r="CN20" s="20">
        <f ca="1">IF(Table1[[#This Row],[County]]="Northamptonshire",Table1[[#This Row],[income]],0)</f>
        <v>0</v>
      </c>
      <c r="CO20" s="20">
        <f ca="1">IF(Table1[[#This Row],[County]]="Northumberland",Table1[[#This Row],[income]],0)</f>
        <v>0</v>
      </c>
      <c r="CP20" s="20">
        <f ca="1">IF(Table1[[#This Row],[County]]="Wiltshire",Table1[[#This Row],[income]],0)</f>
        <v>0</v>
      </c>
      <c r="CQ20" s="20">
        <f ca="1">IF(Table1[[#This Row],[County]]="West Midlands",Table1[[#This Row],[income]],0)</f>
        <v>0</v>
      </c>
      <c r="CR20" s="20">
        <f ca="1">IF(Table1[[#This Row],[County]]="Warwickshire",Table1[[#This Row],[income]],0)</f>
        <v>0</v>
      </c>
      <c r="CS20" s="20">
        <f ca="1">IF(Table1[[#This Row],[County]]="Tyne and Wear",Table1[[#This Row],[income]],0)</f>
        <v>0</v>
      </c>
      <c r="CT20" s="20">
        <f ca="1">IF(Table1[[#This Row],[County]]="Worcestershire",Table1[[#This Row],[income]],0)</f>
        <v>0</v>
      </c>
      <c r="CU20" s="20">
        <f ca="1">IF(Table1[[#This Row],[County]]="Rutland",Table1[[#This Row],[income]],0)</f>
        <v>0</v>
      </c>
      <c r="CV20" s="20">
        <f ca="1">IF(Table1[[#This Row],[County]]="Shropshire",Table1[[#This Row],[income]],0)</f>
        <v>0</v>
      </c>
      <c r="CW20" s="20">
        <f ca="1">IF(Table1[[#This Row],[County]]="Dorset",Table1[[#This Row],[income]],0)</f>
        <v>0</v>
      </c>
      <c r="CX20" s="20">
        <f ca="1">IF(Table1[[#This Row],[County]]="Buckinghamshire",Table1[[#This Row],[income]],0)</f>
        <v>0</v>
      </c>
      <c r="CY20" s="20">
        <f ca="1">IF(Table1[[#This Row],[County]]="Suffolk",Table1[[#This Row],[income]],0)</f>
        <v>0</v>
      </c>
      <c r="CZ20" s="20">
        <f ca="1">IF(Table1[[#This Row],[County]]="North Yorkshire",Table1[[#This Row],[income]],0)</f>
        <v>0</v>
      </c>
      <c r="DA20" s="20">
        <f ca="1">IF(Table1[[#This Row],[County]]="Kent",Table1[[#This Row],[income]],0)</f>
        <v>0</v>
      </c>
      <c r="DB20" s="5">
        <f ca="1">IF(Table1[[#This Row],[County]]="Derbyshire",Table1[[#This Row],[income]],0)</f>
        <v>0</v>
      </c>
      <c r="DD20" s="6">
        <f ca="1">IF(Table1[[#This Row],[Column1]]="Health",Table1[[#This Row],[income]],0)</f>
        <v>0</v>
      </c>
      <c r="DE20" s="20">
        <f ca="1">IF(Table1[[#This Row],[Column1]]="Agriculture",Table1[[#This Row],[income]],0)</f>
        <v>57424</v>
      </c>
      <c r="DF20" s="20">
        <f ca="1">IF(Table1[[#This Row],[Column1]]="Technology",Table1[[#This Row],[income]],0)</f>
        <v>0</v>
      </c>
      <c r="DG20" s="20">
        <f ca="1">IF(Table1[[#This Row],[Column1]]="Social Service",Table1[[#This Row],[income]],0)</f>
        <v>0</v>
      </c>
      <c r="DH20" s="20">
        <f ca="1">IF(Table1[[#This Row],[Column1]]="Education",Table1[[#This Row],[income]],0)</f>
        <v>0</v>
      </c>
      <c r="DI20" s="5">
        <f ca="1">IF(Table1[[#This Row],[Column1]]="Construction",Table1[[#This Row],[income]],0)</f>
        <v>0</v>
      </c>
      <c r="DK20" s="6">
        <f ca="1">IF(Table1[[#This Row],[Value of Debts]]&gt;Table1[[#This Row],[income]],1,0)</f>
        <v>1</v>
      </c>
      <c r="DL20" s="20"/>
      <c r="DM20" s="20"/>
      <c r="DN20" s="5"/>
      <c r="DP20" s="6">
        <f ca="1">IF(Table1[[#This Row],[Net Worth (£)]]&gt;$DS$5,C20,0)</f>
        <v>0</v>
      </c>
      <c r="DQ20" s="20"/>
      <c r="DR20" s="20"/>
      <c r="DS20" s="5"/>
    </row>
    <row r="21" spans="1:123" x14ac:dyDescent="0.2">
      <c r="A21">
        <f t="shared" ca="1" si="1"/>
        <v>1</v>
      </c>
      <c r="B21" s="1" t="str">
        <f ca="1">IF(A21=1, "men", "women")</f>
        <v>men</v>
      </c>
      <c r="C21" s="1">
        <f ca="1">RANDBETWEEN(25,50)</f>
        <v>31</v>
      </c>
      <c r="D21">
        <f ca="1">RANDBETWEEN(1,6)</f>
        <v>5</v>
      </c>
      <c r="E21" t="str">
        <f ca="1">VLOOKUP(D21,$W$5:$X$10,2)</f>
        <v>Social Service</v>
      </c>
      <c r="F21">
        <f ca="1">RANDBETWEEN(1,5)</f>
        <v>4</v>
      </c>
      <c r="G21" t="str">
        <f ca="1">VLOOKUP(F21,$Y$5:$Z$9,2)</f>
        <v xml:space="preserve">Technical </v>
      </c>
      <c r="H21">
        <f ca="1">RANDBETWEEN(0,4)</f>
        <v>3</v>
      </c>
      <c r="I21">
        <f ca="1">RANDBETWEEN(1,3)</f>
        <v>1</v>
      </c>
      <c r="J21">
        <f ca="1">RANDBETWEEN(30000,100000)</f>
        <v>34847</v>
      </c>
      <c r="K21">
        <f ca="1">RANDBETWEEN(1,48)</f>
        <v>29</v>
      </c>
      <c r="L21" t="str">
        <f ca="1">VLOOKUP(K21,$AA$5:$AB$52,2)</f>
        <v>Norfolk</v>
      </c>
      <c r="M21">
        <f ca="1">J21*(RANDBETWEEN(2,5))</f>
        <v>174235</v>
      </c>
      <c r="N21">
        <f ca="1">RAND()*M21</f>
        <v>83668.080546759928</v>
      </c>
      <c r="O21">
        <f ca="1">I21*RAND()*J21</f>
        <v>10680.522986596943</v>
      </c>
      <c r="P21">
        <f ca="1">RANDBETWEEN(0,O21)</f>
        <v>8941</v>
      </c>
      <c r="Q21">
        <f ca="1">RAND()*J21*2</f>
        <v>18613.254654647728</v>
      </c>
      <c r="R21">
        <f ca="1">RAND()*J21*1.5</f>
        <v>26933.444384914081</v>
      </c>
      <c r="S21">
        <f ca="1">J21+R21+O21</f>
        <v>72460.967371511026</v>
      </c>
      <c r="T21">
        <f ca="1">N21+P21+Q21</f>
        <v>111222.33520140765</v>
      </c>
      <c r="U21">
        <f ca="1">S21-T21</f>
        <v>-38761.367829896626</v>
      </c>
      <c r="AA21">
        <v>17</v>
      </c>
      <c r="AB21" t="s">
        <v>33</v>
      </c>
      <c r="AC21" s="6">
        <f ca="1">IF(Table1[[#This Row],[gender]]="men",1,0)</f>
        <v>1</v>
      </c>
      <c r="AD21">
        <f ca="1">IF(Table1[[#This Row],[gender]]="women",1,0)</f>
        <v>0</v>
      </c>
      <c r="AH21" s="5"/>
      <c r="AJ21" s="6">
        <f ca="1">IF(Table1[[#This Row],[Column1]]="Health",1,0)</f>
        <v>0</v>
      </c>
      <c r="AK21">
        <f ca="1">IF(Table1[[#This Row],[Column1]]="Construction",1,0)</f>
        <v>0</v>
      </c>
      <c r="AL21">
        <f ca="1">IF(Table1[[#This Row],[Column1]]="Technology",1,0)</f>
        <v>0</v>
      </c>
      <c r="AM21">
        <f ca="1">IF(Table1[[#This Row],[Column1]]="Education",1,0)</f>
        <v>0</v>
      </c>
      <c r="AN21">
        <f ca="1">IF(Table1[[#This Row],[Column1]]="Agriculture",1,0)</f>
        <v>0</v>
      </c>
      <c r="AO21">
        <f ca="1">IF(Table1[[#This Row],[Column1]]="Social Service", 1, 0)</f>
        <v>1</v>
      </c>
      <c r="AT21" s="5"/>
      <c r="AV21" s="17">
        <f t="shared" ca="1" si="0"/>
        <v>1690.0762132973766</v>
      </c>
      <c r="AW21" s="5"/>
      <c r="AX21" s="6">
        <f ca="1">IF(Table1[[#This Row],[Value of Debts]]&gt;$AY$4,1,0)</f>
        <v>1</v>
      </c>
      <c r="AY21" s="20"/>
      <c r="AZ21" s="20"/>
      <c r="BA21" s="5"/>
      <c r="BB21" s="25">
        <f ca="1">Table1[[#This Row],[Mortage Left]]/Table1[[#This Row],[Value of House]]</f>
        <v>0.48020248828742751</v>
      </c>
      <c r="BC21" s="20">
        <f t="shared" ca="1" si="2"/>
        <v>0</v>
      </c>
      <c r="BD21" s="20"/>
      <c r="BE21" s="20"/>
      <c r="BF21" s="20"/>
      <c r="BG21" s="6">
        <f ca="1">IF(Table1[[#This Row],[County]]="Cumbria",Table1[[#This Row],[income]],0)</f>
        <v>0</v>
      </c>
      <c r="BH21" s="20">
        <f ca="1">IF(Table1[[#This Row],[County]]="Cheshire",Table1[[#This Row],[income]],0)</f>
        <v>0</v>
      </c>
      <c r="BI21" s="20">
        <f ca="1">IF(Table1[[#This Row],[County]]="Bristol",Table1[[#This Row],[income]],0)</f>
        <v>0</v>
      </c>
      <c r="BJ21" s="20">
        <f ca="1">IF(Table1[[#This Row],[County]]="Surrey",Table1[[#This Row],[income]],0)</f>
        <v>0</v>
      </c>
      <c r="BK21" s="20">
        <f ca="1">IF(Table1[[#This Row],[County]]="Norfolk",Table1[[#This Row],[income]],0)</f>
        <v>34847</v>
      </c>
      <c r="BL21" s="20">
        <f ca="1">IF(Table1[[#This Row],[County]]="Lincolnshire",Table1[[#This Row],[income]],0)</f>
        <v>0</v>
      </c>
      <c r="BM21" s="20">
        <f ca="1">IF(Table1[[#This Row],[County]]="Somerset",Table1[[#This Row],[income]],0)</f>
        <v>0</v>
      </c>
      <c r="BN21" s="20">
        <f ca="1">IF(Table1[[#This Row],[County]]="Cambridgeshire",Table1[[#This Row],[income]],0)</f>
        <v>0</v>
      </c>
      <c r="BO21" s="20">
        <f ca="1">IF(Table1[[#This Row],[County]]="South Yorkshire",Table1[[#This Row],[income]],0)</f>
        <v>0</v>
      </c>
      <c r="BP21" s="20">
        <f ca="1">IF(Table1[[#This Row],[County]]="Greater London",Table1[[#This Row],[income]],0)</f>
        <v>0</v>
      </c>
      <c r="BQ21" s="20">
        <f ca="1">IF(Table1[[#This Row],[County]]="Hampshire",Table1[[#This Row],[income]],0)</f>
        <v>0</v>
      </c>
      <c r="BR21" s="20">
        <f ca="1">IF(Table1[[#This Row],[County]]="Gloucestershire",Table1[[#This Row],[income]],0)</f>
        <v>0</v>
      </c>
      <c r="BS21" s="20">
        <f ca="1">IF(Table1[[#This Row],[County]]="West Sussex",Table1[[#This Row],[income]],0)</f>
        <v>0</v>
      </c>
      <c r="BT21" s="20">
        <f ca="1">IF(Table1[[#This Row],[County]]="Devon",Table1[[#This Row],[income]],0)</f>
        <v>0</v>
      </c>
      <c r="BU21" s="20">
        <f ca="1">IF(Table1[[#This Row],[County]]="Berkshire",Table1[[#This Row],[income]],0)</f>
        <v>0</v>
      </c>
      <c r="BV21" s="20">
        <f ca="1">IF(Table1[[#This Row],[County]]="Staffordshire",Table1[[#This Row],[income]],0)</f>
        <v>0</v>
      </c>
      <c r="BW21" s="20">
        <f ca="1">IF(Table1[[#This Row],[County]]="Leicestershire",Table1[[#This Row],[income]],0)</f>
        <v>0</v>
      </c>
      <c r="BX21" s="20">
        <f ca="1">IF(Table1[[#This Row],[County]]="Cornwall",Table1[[#This Row],[income]],0)</f>
        <v>0</v>
      </c>
      <c r="BY21" s="20">
        <f ca="1">IF(Table1[[#This Row],[County]]="Isle of Wight",Table1[[#This Row],[income]],0)</f>
        <v>0</v>
      </c>
      <c r="BZ21" s="20">
        <f ca="1">IF(Table1[[#This Row],[County]]="Surrey",Table1[[#This Row],[income]],0)</f>
        <v>0</v>
      </c>
      <c r="CA21" s="20">
        <f ca="1">IF(Table1[[#This Row],[County]]="Derbyshire",Table1[[#This Row],[income]],0)</f>
        <v>0</v>
      </c>
      <c r="CB21" s="20">
        <f ca="1">IF(Table1[[#This Row],[County]]="City of London",Table1[[#This Row],[income]],0)</f>
        <v>0</v>
      </c>
      <c r="CC21" s="20">
        <f ca="1">IF(Table1[[#This Row],[County]]="Bedfordshire",Table1[[#This Row],[income]],0)</f>
        <v>0</v>
      </c>
      <c r="CD21" s="20">
        <f ca="1">IF(Table1[[#This Row],[County]]="County Durham",Table1[[#This Row],[income]],0)</f>
        <v>0</v>
      </c>
      <c r="CE21" s="20">
        <f ca="1">IF(Table1[[#This Row],[County]]="East Riding of Yorkshire",Table1[[#This Row],[income]],0)</f>
        <v>0</v>
      </c>
      <c r="CF21" s="20">
        <f ca="1">IF(Table1[[#This Row],[County]]="West Yorkshire",Table1[[#This Row],[income]],0)</f>
        <v>0</v>
      </c>
      <c r="CG21" s="20">
        <f ca="1">IF(Table1[[#This Row],[County]]="Essex",Table1[[#This Row],[income]],0)</f>
        <v>0</v>
      </c>
      <c r="CH21" s="20">
        <f ca="1">IF(Table1[[#This Row],[County]]="East Sussex",Table1[[#This Row],[income]],0)</f>
        <v>0</v>
      </c>
      <c r="CI21" s="20">
        <f ca="1">IF(Table1[[#This Row],[County]]="Greater Manchester",Table1[[#This Row],[income]],0)</f>
        <v>0</v>
      </c>
      <c r="CJ21" s="20">
        <f ca="1">IF(Table1[[#This Row],[County]]="Hertfordshire",Table1[[#This Row],[income]],0)</f>
        <v>0</v>
      </c>
      <c r="CK21" s="20">
        <f ca="1">IF(Table1[[#This Row],[County]]="Herefordshire",Table1[[#This Row],[income]],0)</f>
        <v>0</v>
      </c>
      <c r="CL21" s="20">
        <f ca="1">IF(Table1[[#This Row],[County]]="Lancashire",Table1[[#This Row],[income]],0)</f>
        <v>0</v>
      </c>
      <c r="CM21" s="20">
        <f ca="1">IF(Table1[[#This Row],[County]]="Merseyside",Table1[[#This Row],[income]],0)</f>
        <v>0</v>
      </c>
      <c r="CN21" s="20">
        <f ca="1">IF(Table1[[#This Row],[County]]="Northamptonshire",Table1[[#This Row],[income]],0)</f>
        <v>0</v>
      </c>
      <c r="CO21" s="20">
        <f ca="1">IF(Table1[[#This Row],[County]]="Northumberland",Table1[[#This Row],[income]],0)</f>
        <v>0</v>
      </c>
      <c r="CP21" s="20">
        <f ca="1">IF(Table1[[#This Row],[County]]="Wiltshire",Table1[[#This Row],[income]],0)</f>
        <v>0</v>
      </c>
      <c r="CQ21" s="20">
        <f ca="1">IF(Table1[[#This Row],[County]]="West Midlands",Table1[[#This Row],[income]],0)</f>
        <v>0</v>
      </c>
      <c r="CR21" s="20">
        <f ca="1">IF(Table1[[#This Row],[County]]="Warwickshire",Table1[[#This Row],[income]],0)</f>
        <v>0</v>
      </c>
      <c r="CS21" s="20">
        <f ca="1">IF(Table1[[#This Row],[County]]="Tyne and Wear",Table1[[#This Row],[income]],0)</f>
        <v>0</v>
      </c>
      <c r="CT21" s="20">
        <f ca="1">IF(Table1[[#This Row],[County]]="Worcestershire",Table1[[#This Row],[income]],0)</f>
        <v>0</v>
      </c>
      <c r="CU21" s="20">
        <f ca="1">IF(Table1[[#This Row],[County]]="Rutland",Table1[[#This Row],[income]],0)</f>
        <v>0</v>
      </c>
      <c r="CV21" s="20">
        <f ca="1">IF(Table1[[#This Row],[County]]="Shropshire",Table1[[#This Row],[income]],0)</f>
        <v>0</v>
      </c>
      <c r="CW21" s="20">
        <f ca="1">IF(Table1[[#This Row],[County]]="Dorset",Table1[[#This Row],[income]],0)</f>
        <v>0</v>
      </c>
      <c r="CX21" s="20">
        <f ca="1">IF(Table1[[#This Row],[County]]="Buckinghamshire",Table1[[#This Row],[income]],0)</f>
        <v>0</v>
      </c>
      <c r="CY21" s="20">
        <f ca="1">IF(Table1[[#This Row],[County]]="Suffolk",Table1[[#This Row],[income]],0)</f>
        <v>0</v>
      </c>
      <c r="CZ21" s="20">
        <f ca="1">IF(Table1[[#This Row],[County]]="North Yorkshire",Table1[[#This Row],[income]],0)</f>
        <v>0</v>
      </c>
      <c r="DA21" s="20">
        <f ca="1">IF(Table1[[#This Row],[County]]="Kent",Table1[[#This Row],[income]],0)</f>
        <v>0</v>
      </c>
      <c r="DB21" s="5">
        <f ca="1">IF(Table1[[#This Row],[County]]="Derbyshire",Table1[[#This Row],[income]],0)</f>
        <v>0</v>
      </c>
      <c r="DD21" s="6">
        <f ca="1">IF(Table1[[#This Row],[Column1]]="Health",Table1[[#This Row],[income]],0)</f>
        <v>0</v>
      </c>
      <c r="DE21" s="20">
        <f ca="1">IF(Table1[[#This Row],[Column1]]="Agriculture",Table1[[#This Row],[income]],0)</f>
        <v>0</v>
      </c>
      <c r="DF21" s="20">
        <f ca="1">IF(Table1[[#This Row],[Column1]]="Technology",Table1[[#This Row],[income]],0)</f>
        <v>0</v>
      </c>
      <c r="DG21" s="20">
        <f ca="1">IF(Table1[[#This Row],[Column1]]="Social Service",Table1[[#This Row],[income]],0)</f>
        <v>34847</v>
      </c>
      <c r="DH21" s="20">
        <f ca="1">IF(Table1[[#This Row],[Column1]]="Education",Table1[[#This Row],[income]],0)</f>
        <v>0</v>
      </c>
      <c r="DI21" s="5">
        <f ca="1">IF(Table1[[#This Row],[Column1]]="Construction",Table1[[#This Row],[income]],0)</f>
        <v>0</v>
      </c>
      <c r="DK21" s="6">
        <f ca="1">IF(Table1[[#This Row],[Value of Debts]]&gt;Table1[[#This Row],[income]],1,0)</f>
        <v>1</v>
      </c>
      <c r="DL21" s="20"/>
      <c r="DM21" s="20"/>
      <c r="DN21" s="5"/>
      <c r="DP21" s="6">
        <f ca="1">IF(Table1[[#This Row],[Net Worth (£)]]&gt;$DS$5,C21,0)</f>
        <v>0</v>
      </c>
      <c r="DQ21" s="20"/>
      <c r="DR21" s="20"/>
      <c r="DS21" s="5"/>
    </row>
    <row r="22" spans="1:123" x14ac:dyDescent="0.2">
      <c r="A22">
        <f t="shared" ca="1" si="1"/>
        <v>2</v>
      </c>
      <c r="B22" s="1" t="str">
        <f ca="1">IF(A22=1, "men", "women")</f>
        <v>women</v>
      </c>
      <c r="C22" s="1">
        <f ca="1">RANDBETWEEN(25,50)</f>
        <v>28</v>
      </c>
      <c r="D22">
        <f ca="1">RANDBETWEEN(1,6)</f>
        <v>6</v>
      </c>
      <c r="E22" t="str">
        <f ca="1">VLOOKUP(D22,$W$5:$X$10,2)</f>
        <v>Agriculture</v>
      </c>
      <c r="F22">
        <f ca="1">RANDBETWEEN(1,5)</f>
        <v>4</v>
      </c>
      <c r="G22" t="str">
        <f ca="1">VLOOKUP(F22,$Y$5:$Z$9,2)</f>
        <v xml:space="preserve">Technical </v>
      </c>
      <c r="H22">
        <f ca="1">RANDBETWEEN(0,4)</f>
        <v>2</v>
      </c>
      <c r="I22">
        <f ca="1">RANDBETWEEN(1,3)</f>
        <v>1</v>
      </c>
      <c r="J22">
        <f ca="1">RANDBETWEEN(30000,100000)</f>
        <v>72636</v>
      </c>
      <c r="K22">
        <f ca="1">RANDBETWEEN(1,48)</f>
        <v>33</v>
      </c>
      <c r="L22" t="str">
        <f ca="1">VLOOKUP(K22,$AA$5:$AB$52,2)</f>
        <v>Nottinghamshire</v>
      </c>
      <c r="M22">
        <f ca="1">J22*(RANDBETWEEN(2,5))</f>
        <v>363180</v>
      </c>
      <c r="N22">
        <f ca="1">RAND()*M22</f>
        <v>327977.00782302371</v>
      </c>
      <c r="O22">
        <f ca="1">I22*RAND()*J22</f>
        <v>1690.0762132973766</v>
      </c>
      <c r="P22">
        <f ca="1">RANDBETWEEN(0,O22)</f>
        <v>137</v>
      </c>
      <c r="Q22">
        <f ca="1">RAND()*J22*2</f>
        <v>17303.963276172555</v>
      </c>
      <c r="R22">
        <f ca="1">RAND()*J22*1.5</f>
        <v>56143.065360891313</v>
      </c>
      <c r="S22">
        <f ca="1">J22+R22+O22</f>
        <v>130469.14157418869</v>
      </c>
      <c r="T22">
        <f ca="1">N22+P22+Q22</f>
        <v>345417.97109919629</v>
      </c>
      <c r="U22">
        <f ca="1">S22-T22</f>
        <v>-214948.8295250076</v>
      </c>
      <c r="AA22">
        <v>18</v>
      </c>
      <c r="AB22" t="s">
        <v>34</v>
      </c>
      <c r="AC22" s="6">
        <f ca="1">IF(Table1[[#This Row],[gender]]="men",1,0)</f>
        <v>0</v>
      </c>
      <c r="AD22">
        <f ca="1">IF(Table1[[#This Row],[gender]]="women",1,0)</f>
        <v>1</v>
      </c>
      <c r="AH22" s="5"/>
      <c r="AJ22" s="6">
        <f ca="1">IF(Table1[[#This Row],[Column1]]="Health",1,0)</f>
        <v>0</v>
      </c>
      <c r="AK22">
        <f ca="1">IF(Table1[[#This Row],[Column1]]="Construction",1,0)</f>
        <v>0</v>
      </c>
      <c r="AL22">
        <f ca="1">IF(Table1[[#This Row],[Column1]]="Technology",1,0)</f>
        <v>0</v>
      </c>
      <c r="AM22">
        <f ca="1">IF(Table1[[#This Row],[Column1]]="Education",1,0)</f>
        <v>0</v>
      </c>
      <c r="AN22">
        <f ca="1">IF(Table1[[#This Row],[Column1]]="Agriculture",1,0)</f>
        <v>1</v>
      </c>
      <c r="AO22">
        <f ca="1">IF(Table1[[#This Row],[Column1]]="Social Service", 1, 0)</f>
        <v>0</v>
      </c>
      <c r="AT22" s="5"/>
      <c r="AV22" s="17">
        <f t="shared" ca="1" si="0"/>
        <v>67119.013948452484</v>
      </c>
      <c r="AW22" s="5"/>
      <c r="AX22" s="6">
        <f ca="1">IF(Table1[[#This Row],[Value of Debts]]&gt;$AY$4,1,0)</f>
        <v>1</v>
      </c>
      <c r="AY22" s="20"/>
      <c r="AZ22" s="20"/>
      <c r="BA22" s="5"/>
      <c r="BB22" s="25">
        <f ca="1">Table1[[#This Row],[Mortage Left]]/Table1[[#This Row],[Value of House]]</f>
        <v>0.90307012451958724</v>
      </c>
      <c r="BC22" s="20">
        <f t="shared" ca="1" si="2"/>
        <v>0</v>
      </c>
      <c r="BD22" s="20"/>
      <c r="BE22" s="20"/>
      <c r="BF22" s="20"/>
      <c r="BG22" s="6">
        <f ca="1">IF(Table1[[#This Row],[County]]="Cumbria",Table1[[#This Row],[income]],0)</f>
        <v>0</v>
      </c>
      <c r="BH22" s="20">
        <f ca="1">IF(Table1[[#This Row],[County]]="Cheshire",Table1[[#This Row],[income]],0)</f>
        <v>0</v>
      </c>
      <c r="BI22" s="20">
        <f ca="1">IF(Table1[[#This Row],[County]]="Bristol",Table1[[#This Row],[income]],0)</f>
        <v>0</v>
      </c>
      <c r="BJ22" s="20">
        <f ca="1">IF(Table1[[#This Row],[County]]="Surrey",Table1[[#This Row],[income]],0)</f>
        <v>0</v>
      </c>
      <c r="BK22" s="20">
        <f ca="1">IF(Table1[[#This Row],[County]]="Norfolk",Table1[[#This Row],[income]],0)</f>
        <v>0</v>
      </c>
      <c r="BL22" s="20">
        <f ca="1">IF(Table1[[#This Row],[County]]="Lincolnshire",Table1[[#This Row],[income]],0)</f>
        <v>0</v>
      </c>
      <c r="BM22" s="20">
        <f ca="1">IF(Table1[[#This Row],[County]]="Somerset",Table1[[#This Row],[income]],0)</f>
        <v>0</v>
      </c>
      <c r="BN22" s="20">
        <f ca="1">IF(Table1[[#This Row],[County]]="Cambridgeshire",Table1[[#This Row],[income]],0)</f>
        <v>0</v>
      </c>
      <c r="BO22" s="20">
        <f ca="1">IF(Table1[[#This Row],[County]]="South Yorkshire",Table1[[#This Row],[income]],0)</f>
        <v>0</v>
      </c>
      <c r="BP22" s="20">
        <f ca="1">IF(Table1[[#This Row],[County]]="Greater London",Table1[[#This Row],[income]],0)</f>
        <v>0</v>
      </c>
      <c r="BQ22" s="20">
        <f ca="1">IF(Table1[[#This Row],[County]]="Hampshire",Table1[[#This Row],[income]],0)</f>
        <v>0</v>
      </c>
      <c r="BR22" s="20">
        <f ca="1">IF(Table1[[#This Row],[County]]="Gloucestershire",Table1[[#This Row],[income]],0)</f>
        <v>0</v>
      </c>
      <c r="BS22" s="20">
        <f ca="1">IF(Table1[[#This Row],[County]]="West Sussex",Table1[[#This Row],[income]],0)</f>
        <v>0</v>
      </c>
      <c r="BT22" s="20">
        <f ca="1">IF(Table1[[#This Row],[County]]="Devon",Table1[[#This Row],[income]],0)</f>
        <v>0</v>
      </c>
      <c r="BU22" s="20">
        <f ca="1">IF(Table1[[#This Row],[County]]="Berkshire",Table1[[#This Row],[income]],0)</f>
        <v>0</v>
      </c>
      <c r="BV22" s="20">
        <f ca="1">IF(Table1[[#This Row],[County]]="Staffordshire",Table1[[#This Row],[income]],0)</f>
        <v>0</v>
      </c>
      <c r="BW22" s="20">
        <f ca="1">IF(Table1[[#This Row],[County]]="Leicestershire",Table1[[#This Row],[income]],0)</f>
        <v>0</v>
      </c>
      <c r="BX22" s="20">
        <f ca="1">IF(Table1[[#This Row],[County]]="Cornwall",Table1[[#This Row],[income]],0)</f>
        <v>0</v>
      </c>
      <c r="BY22" s="20">
        <f ca="1">IF(Table1[[#This Row],[County]]="Isle of Wight",Table1[[#This Row],[income]],0)</f>
        <v>0</v>
      </c>
      <c r="BZ22" s="20">
        <f ca="1">IF(Table1[[#This Row],[County]]="Surrey",Table1[[#This Row],[income]],0)</f>
        <v>0</v>
      </c>
      <c r="CA22" s="20">
        <f ca="1">IF(Table1[[#This Row],[County]]="Derbyshire",Table1[[#This Row],[income]],0)</f>
        <v>0</v>
      </c>
      <c r="CB22" s="20">
        <f ca="1">IF(Table1[[#This Row],[County]]="City of London",Table1[[#This Row],[income]],0)</f>
        <v>0</v>
      </c>
      <c r="CC22" s="20">
        <f ca="1">IF(Table1[[#This Row],[County]]="Bedfordshire",Table1[[#This Row],[income]],0)</f>
        <v>0</v>
      </c>
      <c r="CD22" s="20">
        <f ca="1">IF(Table1[[#This Row],[County]]="County Durham",Table1[[#This Row],[income]],0)</f>
        <v>0</v>
      </c>
      <c r="CE22" s="20">
        <f ca="1">IF(Table1[[#This Row],[County]]="East Riding of Yorkshire",Table1[[#This Row],[income]],0)</f>
        <v>0</v>
      </c>
      <c r="CF22" s="20">
        <f ca="1">IF(Table1[[#This Row],[County]]="West Yorkshire",Table1[[#This Row],[income]],0)</f>
        <v>0</v>
      </c>
      <c r="CG22" s="20">
        <f ca="1">IF(Table1[[#This Row],[County]]="Essex",Table1[[#This Row],[income]],0)</f>
        <v>0</v>
      </c>
      <c r="CH22" s="20">
        <f ca="1">IF(Table1[[#This Row],[County]]="East Sussex",Table1[[#This Row],[income]],0)</f>
        <v>0</v>
      </c>
      <c r="CI22" s="20">
        <f ca="1">IF(Table1[[#This Row],[County]]="Greater Manchester",Table1[[#This Row],[income]],0)</f>
        <v>0</v>
      </c>
      <c r="CJ22" s="20">
        <f ca="1">IF(Table1[[#This Row],[County]]="Hertfordshire",Table1[[#This Row],[income]],0)</f>
        <v>0</v>
      </c>
      <c r="CK22" s="20">
        <f ca="1">IF(Table1[[#This Row],[County]]="Herefordshire",Table1[[#This Row],[income]],0)</f>
        <v>0</v>
      </c>
      <c r="CL22" s="20">
        <f ca="1">IF(Table1[[#This Row],[County]]="Lancashire",Table1[[#This Row],[income]],0)</f>
        <v>0</v>
      </c>
      <c r="CM22" s="20">
        <f ca="1">IF(Table1[[#This Row],[County]]="Merseyside",Table1[[#This Row],[income]],0)</f>
        <v>0</v>
      </c>
      <c r="CN22" s="20">
        <f ca="1">IF(Table1[[#This Row],[County]]="Northamptonshire",Table1[[#This Row],[income]],0)</f>
        <v>0</v>
      </c>
      <c r="CO22" s="20">
        <f ca="1">IF(Table1[[#This Row],[County]]="Northumberland",Table1[[#This Row],[income]],0)</f>
        <v>0</v>
      </c>
      <c r="CP22" s="20">
        <f ca="1">IF(Table1[[#This Row],[County]]="Wiltshire",Table1[[#This Row],[income]],0)</f>
        <v>0</v>
      </c>
      <c r="CQ22" s="20">
        <f ca="1">IF(Table1[[#This Row],[County]]="West Midlands",Table1[[#This Row],[income]],0)</f>
        <v>0</v>
      </c>
      <c r="CR22" s="20">
        <f ca="1">IF(Table1[[#This Row],[County]]="Warwickshire",Table1[[#This Row],[income]],0)</f>
        <v>0</v>
      </c>
      <c r="CS22" s="20">
        <f ca="1">IF(Table1[[#This Row],[County]]="Tyne and Wear",Table1[[#This Row],[income]],0)</f>
        <v>0</v>
      </c>
      <c r="CT22" s="20">
        <f ca="1">IF(Table1[[#This Row],[County]]="Worcestershire",Table1[[#This Row],[income]],0)</f>
        <v>0</v>
      </c>
      <c r="CU22" s="20">
        <f ca="1">IF(Table1[[#This Row],[County]]="Rutland",Table1[[#This Row],[income]],0)</f>
        <v>0</v>
      </c>
      <c r="CV22" s="20">
        <f ca="1">IF(Table1[[#This Row],[County]]="Shropshire",Table1[[#This Row],[income]],0)</f>
        <v>0</v>
      </c>
      <c r="CW22" s="20">
        <f ca="1">IF(Table1[[#This Row],[County]]="Dorset",Table1[[#This Row],[income]],0)</f>
        <v>0</v>
      </c>
      <c r="CX22" s="20">
        <f ca="1">IF(Table1[[#This Row],[County]]="Buckinghamshire",Table1[[#This Row],[income]],0)</f>
        <v>0</v>
      </c>
      <c r="CY22" s="20">
        <f ca="1">IF(Table1[[#This Row],[County]]="Suffolk",Table1[[#This Row],[income]],0)</f>
        <v>0</v>
      </c>
      <c r="CZ22" s="20">
        <f ca="1">IF(Table1[[#This Row],[County]]="North Yorkshire",Table1[[#This Row],[income]],0)</f>
        <v>0</v>
      </c>
      <c r="DA22" s="20">
        <f ca="1">IF(Table1[[#This Row],[County]]="Kent",Table1[[#This Row],[income]],0)</f>
        <v>0</v>
      </c>
      <c r="DB22" s="5">
        <f ca="1">IF(Table1[[#This Row],[County]]="Derbyshire",Table1[[#This Row],[income]],0)</f>
        <v>0</v>
      </c>
      <c r="DD22" s="6">
        <f ca="1">IF(Table1[[#This Row],[Column1]]="Health",Table1[[#This Row],[income]],0)</f>
        <v>0</v>
      </c>
      <c r="DE22" s="20">
        <f ca="1">IF(Table1[[#This Row],[Column1]]="Agriculture",Table1[[#This Row],[income]],0)</f>
        <v>72636</v>
      </c>
      <c r="DF22" s="20">
        <f ca="1">IF(Table1[[#This Row],[Column1]]="Technology",Table1[[#This Row],[income]],0)</f>
        <v>0</v>
      </c>
      <c r="DG22" s="20">
        <f ca="1">IF(Table1[[#This Row],[Column1]]="Social Service",Table1[[#This Row],[income]],0)</f>
        <v>0</v>
      </c>
      <c r="DH22" s="20">
        <f ca="1">IF(Table1[[#This Row],[Column1]]="Education",Table1[[#This Row],[income]],0)</f>
        <v>0</v>
      </c>
      <c r="DI22" s="5">
        <f ca="1">IF(Table1[[#This Row],[Column1]]="Construction",Table1[[#This Row],[income]],0)</f>
        <v>0</v>
      </c>
      <c r="DK22" s="6">
        <f ca="1">IF(Table1[[#This Row],[Value of Debts]]&gt;Table1[[#This Row],[income]],1,0)</f>
        <v>1</v>
      </c>
      <c r="DL22" s="20"/>
      <c r="DM22" s="20"/>
      <c r="DN22" s="5"/>
      <c r="DP22" s="6">
        <f ca="1">IF(Table1[[#This Row],[Net Worth (£)]]&gt;$DS$5,C22,0)</f>
        <v>0</v>
      </c>
      <c r="DQ22" s="20"/>
      <c r="DR22" s="20"/>
      <c r="DS22" s="5"/>
    </row>
    <row r="23" spans="1:123" x14ac:dyDescent="0.2">
      <c r="A23">
        <f t="shared" ca="1" si="1"/>
        <v>2</v>
      </c>
      <c r="B23" s="1" t="str">
        <f ca="1">IF(A23=1, "men", "women")</f>
        <v>women</v>
      </c>
      <c r="C23" s="1">
        <f ca="1">RANDBETWEEN(25,50)</f>
        <v>27</v>
      </c>
      <c r="D23">
        <f ca="1">RANDBETWEEN(1,6)</f>
        <v>1</v>
      </c>
      <c r="E23" t="str">
        <f ca="1">VLOOKUP(D23,$W$5:$X$10,2)</f>
        <v>Health</v>
      </c>
      <c r="F23">
        <f ca="1">RANDBETWEEN(1,5)</f>
        <v>2</v>
      </c>
      <c r="G23" t="str">
        <f ca="1">VLOOKUP(F23,$Y$5:$Z$9,2)</f>
        <v>College</v>
      </c>
      <c r="H23">
        <f ca="1">RANDBETWEEN(0,4)</f>
        <v>4</v>
      </c>
      <c r="I23">
        <f ca="1">RANDBETWEEN(1,3)</f>
        <v>2</v>
      </c>
      <c r="J23">
        <f ca="1">RANDBETWEEN(30000,100000)</f>
        <v>88162</v>
      </c>
      <c r="K23">
        <f ca="1">RANDBETWEEN(1,48)</f>
        <v>25</v>
      </c>
      <c r="L23" t="str">
        <f ca="1">VLOOKUP(K23,$AA$5:$AB$52,2)</f>
        <v>Lancashire</v>
      </c>
      <c r="M23">
        <f ca="1">J23*(RANDBETWEEN(2,5))</f>
        <v>352648</v>
      </c>
      <c r="N23">
        <f ca="1">RAND()*M23</f>
        <v>282561.33767987735</v>
      </c>
      <c r="O23">
        <f ca="1">I23*RAND()*J23</f>
        <v>134238.02789690497</v>
      </c>
      <c r="P23">
        <f ca="1">RANDBETWEEN(0,O23)</f>
        <v>72464</v>
      </c>
      <c r="Q23">
        <f ca="1">RAND()*J23*2</f>
        <v>17170.456956972277</v>
      </c>
      <c r="R23">
        <f ca="1">RAND()*J23*1.5</f>
        <v>57110.546990655435</v>
      </c>
      <c r="S23">
        <f ca="1">J23+R23+O23</f>
        <v>279510.57488756039</v>
      </c>
      <c r="T23">
        <f ca="1">N23+P23+Q23</f>
        <v>372195.79463684961</v>
      </c>
      <c r="U23">
        <f ca="1">S23-T23</f>
        <v>-92685.219749289216</v>
      </c>
      <c r="AA23">
        <v>19</v>
      </c>
      <c r="AB23" t="s">
        <v>35</v>
      </c>
      <c r="AC23" s="6">
        <f ca="1">IF(Table1[[#This Row],[gender]]="men",1,0)</f>
        <v>0</v>
      </c>
      <c r="AD23">
        <f ca="1">IF(Table1[[#This Row],[gender]]="women",1,0)</f>
        <v>1</v>
      </c>
      <c r="AH23" s="5"/>
      <c r="AJ23" s="6">
        <f ca="1">IF(Table1[[#This Row],[Column1]]="Health",1,0)</f>
        <v>1</v>
      </c>
      <c r="AK23">
        <f ca="1">IF(Table1[[#This Row],[Column1]]="Construction",1,0)</f>
        <v>0</v>
      </c>
      <c r="AL23">
        <f ca="1">IF(Table1[[#This Row],[Column1]]="Technology",1,0)</f>
        <v>0</v>
      </c>
      <c r="AM23">
        <f ca="1">IF(Table1[[#This Row],[Column1]]="Education",1,0)</f>
        <v>0</v>
      </c>
      <c r="AN23">
        <f ca="1">IF(Table1[[#This Row],[Column1]]="Agriculture",1,0)</f>
        <v>0</v>
      </c>
      <c r="AO23">
        <f ca="1">IF(Table1[[#This Row],[Column1]]="Social Service", 1, 0)</f>
        <v>0</v>
      </c>
      <c r="AT23" s="5"/>
      <c r="AV23" s="17">
        <f t="shared" ca="1" si="0"/>
        <v>69308.177263734164</v>
      </c>
      <c r="AW23" s="5"/>
      <c r="AX23" s="6">
        <f ca="1">IF(Table1[[#This Row],[Value of Debts]]&gt;$AY$4,1,0)</f>
        <v>1</v>
      </c>
      <c r="AY23" s="20"/>
      <c r="AZ23" s="20"/>
      <c r="BA23" s="5"/>
      <c r="BB23" s="25">
        <f ca="1">Table1[[#This Row],[Mortage Left]]/Table1[[#This Row],[Value of House]]</f>
        <v>0.80125603343809504</v>
      </c>
      <c r="BC23" s="20">
        <f t="shared" ca="1" si="2"/>
        <v>0</v>
      </c>
      <c r="BD23" s="20"/>
      <c r="BE23" s="20"/>
      <c r="BF23" s="20"/>
      <c r="BG23" s="6">
        <f ca="1">IF(Table1[[#This Row],[County]]="Cumbria",Table1[[#This Row],[income]],0)</f>
        <v>0</v>
      </c>
      <c r="BH23" s="20">
        <f ca="1">IF(Table1[[#This Row],[County]]="Cheshire",Table1[[#This Row],[income]],0)</f>
        <v>0</v>
      </c>
      <c r="BI23" s="20">
        <f ca="1">IF(Table1[[#This Row],[County]]="Bristol",Table1[[#This Row],[income]],0)</f>
        <v>0</v>
      </c>
      <c r="BJ23" s="20">
        <f ca="1">IF(Table1[[#This Row],[County]]="Surrey",Table1[[#This Row],[income]],0)</f>
        <v>0</v>
      </c>
      <c r="BK23" s="20">
        <f ca="1">IF(Table1[[#This Row],[County]]="Norfolk",Table1[[#This Row],[income]],0)</f>
        <v>0</v>
      </c>
      <c r="BL23" s="20">
        <f ca="1">IF(Table1[[#This Row],[County]]="Lincolnshire",Table1[[#This Row],[income]],0)</f>
        <v>0</v>
      </c>
      <c r="BM23" s="20">
        <f ca="1">IF(Table1[[#This Row],[County]]="Somerset",Table1[[#This Row],[income]],0)</f>
        <v>0</v>
      </c>
      <c r="BN23" s="20">
        <f ca="1">IF(Table1[[#This Row],[County]]="Cambridgeshire",Table1[[#This Row],[income]],0)</f>
        <v>0</v>
      </c>
      <c r="BO23" s="20">
        <f ca="1">IF(Table1[[#This Row],[County]]="South Yorkshire",Table1[[#This Row],[income]],0)</f>
        <v>0</v>
      </c>
      <c r="BP23" s="20">
        <f ca="1">IF(Table1[[#This Row],[County]]="Greater London",Table1[[#This Row],[income]],0)</f>
        <v>0</v>
      </c>
      <c r="BQ23" s="20">
        <f ca="1">IF(Table1[[#This Row],[County]]="Hampshire",Table1[[#This Row],[income]],0)</f>
        <v>0</v>
      </c>
      <c r="BR23" s="20">
        <f ca="1">IF(Table1[[#This Row],[County]]="Gloucestershire",Table1[[#This Row],[income]],0)</f>
        <v>0</v>
      </c>
      <c r="BS23" s="20">
        <f ca="1">IF(Table1[[#This Row],[County]]="West Sussex",Table1[[#This Row],[income]],0)</f>
        <v>0</v>
      </c>
      <c r="BT23" s="20">
        <f ca="1">IF(Table1[[#This Row],[County]]="Devon",Table1[[#This Row],[income]],0)</f>
        <v>0</v>
      </c>
      <c r="BU23" s="20">
        <f ca="1">IF(Table1[[#This Row],[County]]="Berkshire",Table1[[#This Row],[income]],0)</f>
        <v>0</v>
      </c>
      <c r="BV23" s="20">
        <f ca="1">IF(Table1[[#This Row],[County]]="Staffordshire",Table1[[#This Row],[income]],0)</f>
        <v>0</v>
      </c>
      <c r="BW23" s="20">
        <f ca="1">IF(Table1[[#This Row],[County]]="Leicestershire",Table1[[#This Row],[income]],0)</f>
        <v>0</v>
      </c>
      <c r="BX23" s="20">
        <f ca="1">IF(Table1[[#This Row],[County]]="Cornwall",Table1[[#This Row],[income]],0)</f>
        <v>0</v>
      </c>
      <c r="BY23" s="20">
        <f ca="1">IF(Table1[[#This Row],[County]]="Isle of Wight",Table1[[#This Row],[income]],0)</f>
        <v>0</v>
      </c>
      <c r="BZ23" s="20">
        <f ca="1">IF(Table1[[#This Row],[County]]="Surrey",Table1[[#This Row],[income]],0)</f>
        <v>0</v>
      </c>
      <c r="CA23" s="20">
        <f ca="1">IF(Table1[[#This Row],[County]]="Derbyshire",Table1[[#This Row],[income]],0)</f>
        <v>0</v>
      </c>
      <c r="CB23" s="20">
        <f ca="1">IF(Table1[[#This Row],[County]]="City of London",Table1[[#This Row],[income]],0)</f>
        <v>0</v>
      </c>
      <c r="CC23" s="20">
        <f ca="1">IF(Table1[[#This Row],[County]]="Bedfordshire",Table1[[#This Row],[income]],0)</f>
        <v>0</v>
      </c>
      <c r="CD23" s="20">
        <f ca="1">IF(Table1[[#This Row],[County]]="County Durham",Table1[[#This Row],[income]],0)</f>
        <v>0</v>
      </c>
      <c r="CE23" s="20">
        <f ca="1">IF(Table1[[#This Row],[County]]="East Riding of Yorkshire",Table1[[#This Row],[income]],0)</f>
        <v>0</v>
      </c>
      <c r="CF23" s="20">
        <f ca="1">IF(Table1[[#This Row],[County]]="West Yorkshire",Table1[[#This Row],[income]],0)</f>
        <v>0</v>
      </c>
      <c r="CG23" s="20">
        <f ca="1">IF(Table1[[#This Row],[County]]="Essex",Table1[[#This Row],[income]],0)</f>
        <v>0</v>
      </c>
      <c r="CH23" s="20">
        <f ca="1">IF(Table1[[#This Row],[County]]="East Sussex",Table1[[#This Row],[income]],0)</f>
        <v>0</v>
      </c>
      <c r="CI23" s="20">
        <f ca="1">IF(Table1[[#This Row],[County]]="Greater Manchester",Table1[[#This Row],[income]],0)</f>
        <v>0</v>
      </c>
      <c r="CJ23" s="20">
        <f ca="1">IF(Table1[[#This Row],[County]]="Hertfordshire",Table1[[#This Row],[income]],0)</f>
        <v>0</v>
      </c>
      <c r="CK23" s="20">
        <f ca="1">IF(Table1[[#This Row],[County]]="Herefordshire",Table1[[#This Row],[income]],0)</f>
        <v>0</v>
      </c>
      <c r="CL23" s="20">
        <f ca="1">IF(Table1[[#This Row],[County]]="Lancashire",Table1[[#This Row],[income]],0)</f>
        <v>88162</v>
      </c>
      <c r="CM23" s="20">
        <f ca="1">IF(Table1[[#This Row],[County]]="Merseyside",Table1[[#This Row],[income]],0)</f>
        <v>0</v>
      </c>
      <c r="CN23" s="20">
        <f ca="1">IF(Table1[[#This Row],[County]]="Northamptonshire",Table1[[#This Row],[income]],0)</f>
        <v>0</v>
      </c>
      <c r="CO23" s="20">
        <f ca="1">IF(Table1[[#This Row],[County]]="Northumberland",Table1[[#This Row],[income]],0)</f>
        <v>0</v>
      </c>
      <c r="CP23" s="20">
        <f ca="1">IF(Table1[[#This Row],[County]]="Wiltshire",Table1[[#This Row],[income]],0)</f>
        <v>0</v>
      </c>
      <c r="CQ23" s="20">
        <f ca="1">IF(Table1[[#This Row],[County]]="West Midlands",Table1[[#This Row],[income]],0)</f>
        <v>0</v>
      </c>
      <c r="CR23" s="20">
        <f ca="1">IF(Table1[[#This Row],[County]]="Warwickshire",Table1[[#This Row],[income]],0)</f>
        <v>0</v>
      </c>
      <c r="CS23" s="20">
        <f ca="1">IF(Table1[[#This Row],[County]]="Tyne and Wear",Table1[[#This Row],[income]],0)</f>
        <v>0</v>
      </c>
      <c r="CT23" s="20">
        <f ca="1">IF(Table1[[#This Row],[County]]="Worcestershire",Table1[[#This Row],[income]],0)</f>
        <v>0</v>
      </c>
      <c r="CU23" s="20">
        <f ca="1">IF(Table1[[#This Row],[County]]="Rutland",Table1[[#This Row],[income]],0)</f>
        <v>0</v>
      </c>
      <c r="CV23" s="20">
        <f ca="1">IF(Table1[[#This Row],[County]]="Shropshire",Table1[[#This Row],[income]],0)</f>
        <v>0</v>
      </c>
      <c r="CW23" s="20">
        <f ca="1">IF(Table1[[#This Row],[County]]="Dorset",Table1[[#This Row],[income]],0)</f>
        <v>0</v>
      </c>
      <c r="CX23" s="20">
        <f ca="1">IF(Table1[[#This Row],[County]]="Buckinghamshire",Table1[[#This Row],[income]],0)</f>
        <v>0</v>
      </c>
      <c r="CY23" s="20">
        <f ca="1">IF(Table1[[#This Row],[County]]="Suffolk",Table1[[#This Row],[income]],0)</f>
        <v>0</v>
      </c>
      <c r="CZ23" s="20">
        <f ca="1">IF(Table1[[#This Row],[County]]="North Yorkshire",Table1[[#This Row],[income]],0)</f>
        <v>0</v>
      </c>
      <c r="DA23" s="20">
        <f ca="1">IF(Table1[[#This Row],[County]]="Kent",Table1[[#This Row],[income]],0)</f>
        <v>0</v>
      </c>
      <c r="DB23" s="5">
        <f ca="1">IF(Table1[[#This Row],[County]]="Derbyshire",Table1[[#This Row],[income]],0)</f>
        <v>0</v>
      </c>
      <c r="DD23" s="6">
        <f ca="1">IF(Table1[[#This Row],[Column1]]="Health",Table1[[#This Row],[income]],0)</f>
        <v>88162</v>
      </c>
      <c r="DE23" s="20">
        <f ca="1">IF(Table1[[#This Row],[Column1]]="Agriculture",Table1[[#This Row],[income]],0)</f>
        <v>0</v>
      </c>
      <c r="DF23" s="20">
        <f ca="1">IF(Table1[[#This Row],[Column1]]="Technology",Table1[[#This Row],[income]],0)</f>
        <v>0</v>
      </c>
      <c r="DG23" s="20">
        <f ca="1">IF(Table1[[#This Row],[Column1]]="Social Service",Table1[[#This Row],[income]],0)</f>
        <v>0</v>
      </c>
      <c r="DH23" s="20">
        <f ca="1">IF(Table1[[#This Row],[Column1]]="Education",Table1[[#This Row],[income]],0)</f>
        <v>0</v>
      </c>
      <c r="DI23" s="5">
        <f ca="1">IF(Table1[[#This Row],[Column1]]="Construction",Table1[[#This Row],[income]],0)</f>
        <v>0</v>
      </c>
      <c r="DK23" s="6">
        <f ca="1">IF(Table1[[#This Row],[Value of Debts]]&gt;Table1[[#This Row],[income]],1,0)</f>
        <v>1</v>
      </c>
      <c r="DL23" s="20"/>
      <c r="DM23" s="20"/>
      <c r="DN23" s="5"/>
      <c r="DP23" s="6">
        <f ca="1">IF(Table1[[#This Row],[Net Worth (£)]]&gt;$DS$5,C23,0)</f>
        <v>0</v>
      </c>
      <c r="DQ23" s="20"/>
      <c r="DR23" s="20"/>
      <c r="DS23" s="5"/>
    </row>
    <row r="24" spans="1:123" x14ac:dyDescent="0.2">
      <c r="A24">
        <f t="shared" ca="1" si="1"/>
        <v>2</v>
      </c>
      <c r="B24" s="1" t="str">
        <f ca="1">IF(A24=1, "men", "women")</f>
        <v>women</v>
      </c>
      <c r="C24" s="1">
        <f ca="1">RANDBETWEEN(25,50)</f>
        <v>50</v>
      </c>
      <c r="D24">
        <f ca="1">RANDBETWEEN(1,6)</f>
        <v>6</v>
      </c>
      <c r="E24" t="str">
        <f ca="1">VLOOKUP(D24,$W$5:$X$10,2)</f>
        <v>Agriculture</v>
      </c>
      <c r="F24">
        <f ca="1">RANDBETWEEN(1,5)</f>
        <v>1</v>
      </c>
      <c r="G24" t="str">
        <f ca="1">VLOOKUP(F24,$Y$5:$Z$9,2)</f>
        <v>High School</v>
      </c>
      <c r="H24">
        <f ca="1">RANDBETWEEN(0,4)</f>
        <v>0</v>
      </c>
      <c r="I24">
        <f ca="1">RANDBETWEEN(1,3)</f>
        <v>3</v>
      </c>
      <c r="J24">
        <f ca="1">RANDBETWEEN(30000,100000)</f>
        <v>86753</v>
      </c>
      <c r="K24">
        <f ca="1">RANDBETWEEN(1,48)</f>
        <v>32</v>
      </c>
      <c r="L24" t="str">
        <f ca="1">VLOOKUP(K24,$AA$5:$AB$52,2)</f>
        <v>Northumberland</v>
      </c>
      <c r="M24">
        <f ca="1">J24*(RANDBETWEEN(2,5))</f>
        <v>260259</v>
      </c>
      <c r="N24">
        <f ca="1">RAND()*M24</f>
        <v>15240.564643758364</v>
      </c>
      <c r="O24">
        <f ca="1">I24*RAND()*J24</f>
        <v>207924.53179120249</v>
      </c>
      <c r="P24">
        <f ca="1">RANDBETWEEN(0,O24)</f>
        <v>175086</v>
      </c>
      <c r="Q24">
        <f ca="1">RAND()*J24*2</f>
        <v>149512.0492136036</v>
      </c>
      <c r="R24">
        <f ca="1">RAND()*J24*1.5</f>
        <v>63073.479443295961</v>
      </c>
      <c r="S24">
        <f ca="1">J24+R24+O24</f>
        <v>357751.01123449847</v>
      </c>
      <c r="T24">
        <f ca="1">N24+P24+Q24</f>
        <v>339838.61385736195</v>
      </c>
      <c r="U24">
        <f ca="1">S24-T24</f>
        <v>17912.397377136513</v>
      </c>
      <c r="AA24">
        <v>20</v>
      </c>
      <c r="AB24" t="s">
        <v>36</v>
      </c>
      <c r="AC24" s="6">
        <f ca="1">IF(Table1[[#This Row],[gender]]="men",1,0)</f>
        <v>0</v>
      </c>
      <c r="AD24">
        <f ca="1">IF(Table1[[#This Row],[gender]]="women",1,0)</f>
        <v>1</v>
      </c>
      <c r="AH24" s="5"/>
      <c r="AJ24" s="6">
        <f ca="1">IF(Table1[[#This Row],[Column1]]="Health",1,0)</f>
        <v>0</v>
      </c>
      <c r="AK24">
        <f ca="1">IF(Table1[[#This Row],[Column1]]="Construction",1,0)</f>
        <v>0</v>
      </c>
      <c r="AL24">
        <f ca="1">IF(Table1[[#This Row],[Column1]]="Technology",1,0)</f>
        <v>0</v>
      </c>
      <c r="AM24">
        <f ca="1">IF(Table1[[#This Row],[Column1]]="Education",1,0)</f>
        <v>0</v>
      </c>
      <c r="AN24">
        <f ca="1">IF(Table1[[#This Row],[Column1]]="Agriculture",1,0)</f>
        <v>1</v>
      </c>
      <c r="AO24">
        <f ca="1">IF(Table1[[#This Row],[Column1]]="Social Service", 1, 0)</f>
        <v>0</v>
      </c>
      <c r="AT24" s="5"/>
      <c r="AV24" s="17">
        <f t="shared" ca="1" si="0"/>
        <v>46232.805279018066</v>
      </c>
      <c r="AW24" s="5"/>
      <c r="AX24" s="6">
        <f ca="1">IF(Table1[[#This Row],[Value of Debts]]&gt;$AY$4,1,0)</f>
        <v>1</v>
      </c>
      <c r="AY24" s="20"/>
      <c r="AZ24" s="20"/>
      <c r="BA24" s="5"/>
      <c r="BB24" s="25">
        <f ca="1">Table1[[#This Row],[Mortage Left]]/Table1[[#This Row],[Value of House]]</f>
        <v>5.8559222327598137E-2</v>
      </c>
      <c r="BC24" s="20">
        <f t="shared" ca="1" si="2"/>
        <v>1</v>
      </c>
      <c r="BD24" s="20"/>
      <c r="BE24" s="20"/>
      <c r="BF24" s="20"/>
      <c r="BG24" s="6">
        <f ca="1">IF(Table1[[#This Row],[County]]="Cumbria",Table1[[#This Row],[income]],0)</f>
        <v>0</v>
      </c>
      <c r="BH24" s="20">
        <f ca="1">IF(Table1[[#This Row],[County]]="Cheshire",Table1[[#This Row],[income]],0)</f>
        <v>0</v>
      </c>
      <c r="BI24" s="20">
        <f ca="1">IF(Table1[[#This Row],[County]]="Bristol",Table1[[#This Row],[income]],0)</f>
        <v>0</v>
      </c>
      <c r="BJ24" s="20">
        <f ca="1">IF(Table1[[#This Row],[County]]="Surrey",Table1[[#This Row],[income]],0)</f>
        <v>0</v>
      </c>
      <c r="BK24" s="20">
        <f ca="1">IF(Table1[[#This Row],[County]]="Norfolk",Table1[[#This Row],[income]],0)</f>
        <v>0</v>
      </c>
      <c r="BL24" s="20">
        <f ca="1">IF(Table1[[#This Row],[County]]="Lincolnshire",Table1[[#This Row],[income]],0)</f>
        <v>0</v>
      </c>
      <c r="BM24" s="20">
        <f ca="1">IF(Table1[[#This Row],[County]]="Somerset",Table1[[#This Row],[income]],0)</f>
        <v>0</v>
      </c>
      <c r="BN24" s="20">
        <f ca="1">IF(Table1[[#This Row],[County]]="Cambridgeshire",Table1[[#This Row],[income]],0)</f>
        <v>0</v>
      </c>
      <c r="BO24" s="20">
        <f ca="1">IF(Table1[[#This Row],[County]]="South Yorkshire",Table1[[#This Row],[income]],0)</f>
        <v>0</v>
      </c>
      <c r="BP24" s="20">
        <f ca="1">IF(Table1[[#This Row],[County]]="Greater London",Table1[[#This Row],[income]],0)</f>
        <v>0</v>
      </c>
      <c r="BQ24" s="20">
        <f ca="1">IF(Table1[[#This Row],[County]]="Hampshire",Table1[[#This Row],[income]],0)</f>
        <v>0</v>
      </c>
      <c r="BR24" s="20">
        <f ca="1">IF(Table1[[#This Row],[County]]="Gloucestershire",Table1[[#This Row],[income]],0)</f>
        <v>0</v>
      </c>
      <c r="BS24" s="20">
        <f ca="1">IF(Table1[[#This Row],[County]]="West Sussex",Table1[[#This Row],[income]],0)</f>
        <v>0</v>
      </c>
      <c r="BT24" s="20">
        <f ca="1">IF(Table1[[#This Row],[County]]="Devon",Table1[[#This Row],[income]],0)</f>
        <v>0</v>
      </c>
      <c r="BU24" s="20">
        <f ca="1">IF(Table1[[#This Row],[County]]="Berkshire",Table1[[#This Row],[income]],0)</f>
        <v>0</v>
      </c>
      <c r="BV24" s="20">
        <f ca="1">IF(Table1[[#This Row],[County]]="Staffordshire",Table1[[#This Row],[income]],0)</f>
        <v>0</v>
      </c>
      <c r="BW24" s="20">
        <f ca="1">IF(Table1[[#This Row],[County]]="Leicestershire",Table1[[#This Row],[income]],0)</f>
        <v>0</v>
      </c>
      <c r="BX24" s="20">
        <f ca="1">IF(Table1[[#This Row],[County]]="Cornwall",Table1[[#This Row],[income]],0)</f>
        <v>0</v>
      </c>
      <c r="BY24" s="20">
        <f ca="1">IF(Table1[[#This Row],[County]]="Isle of Wight",Table1[[#This Row],[income]],0)</f>
        <v>0</v>
      </c>
      <c r="BZ24" s="20">
        <f ca="1">IF(Table1[[#This Row],[County]]="Surrey",Table1[[#This Row],[income]],0)</f>
        <v>0</v>
      </c>
      <c r="CA24" s="20">
        <f ca="1">IF(Table1[[#This Row],[County]]="Derbyshire",Table1[[#This Row],[income]],0)</f>
        <v>0</v>
      </c>
      <c r="CB24" s="20">
        <f ca="1">IF(Table1[[#This Row],[County]]="City of London",Table1[[#This Row],[income]],0)</f>
        <v>0</v>
      </c>
      <c r="CC24" s="20">
        <f ca="1">IF(Table1[[#This Row],[County]]="Bedfordshire",Table1[[#This Row],[income]],0)</f>
        <v>0</v>
      </c>
      <c r="CD24" s="20">
        <f ca="1">IF(Table1[[#This Row],[County]]="County Durham",Table1[[#This Row],[income]],0)</f>
        <v>0</v>
      </c>
      <c r="CE24" s="20">
        <f ca="1">IF(Table1[[#This Row],[County]]="East Riding of Yorkshire",Table1[[#This Row],[income]],0)</f>
        <v>0</v>
      </c>
      <c r="CF24" s="20">
        <f ca="1">IF(Table1[[#This Row],[County]]="West Yorkshire",Table1[[#This Row],[income]],0)</f>
        <v>0</v>
      </c>
      <c r="CG24" s="20">
        <f ca="1">IF(Table1[[#This Row],[County]]="Essex",Table1[[#This Row],[income]],0)</f>
        <v>0</v>
      </c>
      <c r="CH24" s="20">
        <f ca="1">IF(Table1[[#This Row],[County]]="East Sussex",Table1[[#This Row],[income]],0)</f>
        <v>0</v>
      </c>
      <c r="CI24" s="20">
        <f ca="1">IF(Table1[[#This Row],[County]]="Greater Manchester",Table1[[#This Row],[income]],0)</f>
        <v>0</v>
      </c>
      <c r="CJ24" s="20">
        <f ca="1">IF(Table1[[#This Row],[County]]="Hertfordshire",Table1[[#This Row],[income]],0)</f>
        <v>0</v>
      </c>
      <c r="CK24" s="20">
        <f ca="1">IF(Table1[[#This Row],[County]]="Herefordshire",Table1[[#This Row],[income]],0)</f>
        <v>0</v>
      </c>
      <c r="CL24" s="20">
        <f ca="1">IF(Table1[[#This Row],[County]]="Lancashire",Table1[[#This Row],[income]],0)</f>
        <v>0</v>
      </c>
      <c r="CM24" s="20">
        <f ca="1">IF(Table1[[#This Row],[County]]="Merseyside",Table1[[#This Row],[income]],0)</f>
        <v>0</v>
      </c>
      <c r="CN24" s="20">
        <f ca="1">IF(Table1[[#This Row],[County]]="Northamptonshire",Table1[[#This Row],[income]],0)</f>
        <v>0</v>
      </c>
      <c r="CO24" s="20">
        <f ca="1">IF(Table1[[#This Row],[County]]="Northumberland",Table1[[#This Row],[income]],0)</f>
        <v>86753</v>
      </c>
      <c r="CP24" s="20">
        <f ca="1">IF(Table1[[#This Row],[County]]="Wiltshire",Table1[[#This Row],[income]],0)</f>
        <v>0</v>
      </c>
      <c r="CQ24" s="20">
        <f ca="1">IF(Table1[[#This Row],[County]]="West Midlands",Table1[[#This Row],[income]],0)</f>
        <v>0</v>
      </c>
      <c r="CR24" s="20">
        <f ca="1">IF(Table1[[#This Row],[County]]="Warwickshire",Table1[[#This Row],[income]],0)</f>
        <v>0</v>
      </c>
      <c r="CS24" s="20">
        <f ca="1">IF(Table1[[#This Row],[County]]="Tyne and Wear",Table1[[#This Row],[income]],0)</f>
        <v>0</v>
      </c>
      <c r="CT24" s="20">
        <f ca="1">IF(Table1[[#This Row],[County]]="Worcestershire",Table1[[#This Row],[income]],0)</f>
        <v>0</v>
      </c>
      <c r="CU24" s="20">
        <f ca="1">IF(Table1[[#This Row],[County]]="Rutland",Table1[[#This Row],[income]],0)</f>
        <v>0</v>
      </c>
      <c r="CV24" s="20">
        <f ca="1">IF(Table1[[#This Row],[County]]="Shropshire",Table1[[#This Row],[income]],0)</f>
        <v>0</v>
      </c>
      <c r="CW24" s="20">
        <f ca="1">IF(Table1[[#This Row],[County]]="Dorset",Table1[[#This Row],[income]],0)</f>
        <v>0</v>
      </c>
      <c r="CX24" s="20">
        <f ca="1">IF(Table1[[#This Row],[County]]="Buckinghamshire",Table1[[#This Row],[income]],0)</f>
        <v>0</v>
      </c>
      <c r="CY24" s="20">
        <f ca="1">IF(Table1[[#This Row],[County]]="Suffolk",Table1[[#This Row],[income]],0)</f>
        <v>0</v>
      </c>
      <c r="CZ24" s="20">
        <f ca="1">IF(Table1[[#This Row],[County]]="North Yorkshire",Table1[[#This Row],[income]],0)</f>
        <v>0</v>
      </c>
      <c r="DA24" s="20">
        <f ca="1">IF(Table1[[#This Row],[County]]="Kent",Table1[[#This Row],[income]],0)</f>
        <v>0</v>
      </c>
      <c r="DB24" s="5">
        <f ca="1">IF(Table1[[#This Row],[County]]="Derbyshire",Table1[[#This Row],[income]],0)</f>
        <v>0</v>
      </c>
      <c r="DD24" s="6">
        <f ca="1">IF(Table1[[#This Row],[Column1]]="Health",Table1[[#This Row],[income]],0)</f>
        <v>0</v>
      </c>
      <c r="DE24" s="20">
        <f ca="1">IF(Table1[[#This Row],[Column1]]="Agriculture",Table1[[#This Row],[income]],0)</f>
        <v>86753</v>
      </c>
      <c r="DF24" s="20">
        <f ca="1">IF(Table1[[#This Row],[Column1]]="Technology",Table1[[#This Row],[income]],0)</f>
        <v>0</v>
      </c>
      <c r="DG24" s="20">
        <f ca="1">IF(Table1[[#This Row],[Column1]]="Social Service",Table1[[#This Row],[income]],0)</f>
        <v>0</v>
      </c>
      <c r="DH24" s="20">
        <f ca="1">IF(Table1[[#This Row],[Column1]]="Education",Table1[[#This Row],[income]],0)</f>
        <v>0</v>
      </c>
      <c r="DI24" s="5">
        <f ca="1">IF(Table1[[#This Row],[Column1]]="Construction",Table1[[#This Row],[income]],0)</f>
        <v>0</v>
      </c>
      <c r="DK24" s="6">
        <f ca="1">IF(Table1[[#This Row],[Value of Debts]]&gt;Table1[[#This Row],[income]],1,0)</f>
        <v>1</v>
      </c>
      <c r="DL24" s="20"/>
      <c r="DM24" s="20"/>
      <c r="DN24" s="5"/>
      <c r="DP24" s="6">
        <f ca="1">IF(Table1[[#This Row],[Net Worth (£)]]&gt;$DS$5,C24,0)</f>
        <v>0</v>
      </c>
      <c r="DQ24" s="20"/>
      <c r="DR24" s="20"/>
      <c r="DS24" s="5"/>
    </row>
    <row r="25" spans="1:123" hidden="1" x14ac:dyDescent="0.2">
      <c r="A25">
        <f t="shared" ca="1" si="1"/>
        <v>1</v>
      </c>
      <c r="B25" s="1" t="str">
        <f ca="1">IF(A25=1, "men", "women")</f>
        <v>men</v>
      </c>
      <c r="C25" s="1">
        <f ca="1">RANDBETWEEN(25,50)</f>
        <v>26</v>
      </c>
      <c r="D25">
        <f ca="1">RANDBETWEEN(1,6)</f>
        <v>3</v>
      </c>
      <c r="E25" t="str">
        <f ca="1">VLOOKUP(D25,$W$5:$X$10,2)</f>
        <v>Education</v>
      </c>
      <c r="F25">
        <f ca="1">RANDBETWEEN(1,5)</f>
        <v>4</v>
      </c>
      <c r="G25" t="str">
        <f ca="1">VLOOKUP(F25,$Y$5:$Z$9,2)</f>
        <v xml:space="preserve">Technical </v>
      </c>
      <c r="H25">
        <f ca="1">RANDBETWEEN(0,4)</f>
        <v>3</v>
      </c>
      <c r="I25">
        <f ca="1">RANDBETWEEN(1,3)</f>
        <v>3</v>
      </c>
      <c r="J25">
        <f ca="1">RANDBETWEEN(30000,100000)</f>
        <v>73909</v>
      </c>
      <c r="K25">
        <f ca="1">RANDBETWEEN(1,48)</f>
        <v>43</v>
      </c>
      <c r="L25" t="str">
        <f ca="1">VLOOKUP(K25,$AA$5:$AB$52,2)</f>
        <v>Warwickshire</v>
      </c>
      <c r="M25">
        <f ca="1">J25*(RANDBETWEEN(2,5))</f>
        <v>295636</v>
      </c>
      <c r="N25">
        <f ca="1">RAND()*M25</f>
        <v>203612.24150850999</v>
      </c>
      <c r="O25">
        <f ca="1">I25*RAND()*J25</f>
        <v>138698.4158370542</v>
      </c>
      <c r="P25">
        <f ca="1">RANDBETWEEN(0,O25)</f>
        <v>106704</v>
      </c>
      <c r="Q25">
        <f ca="1">RAND()*J25*2</f>
        <v>86213.923556468566</v>
      </c>
      <c r="R25">
        <f ca="1">RAND()*J25*1.5</f>
        <v>23943.031703131237</v>
      </c>
      <c r="S25">
        <f ca="1">J25+R25+O25</f>
        <v>236550.44754018544</v>
      </c>
      <c r="T25">
        <f ca="1">N25+P25+Q25</f>
        <v>396530.16506497853</v>
      </c>
      <c r="U25">
        <f ca="1">S25-T25</f>
        <v>-159979.71752479309</v>
      </c>
      <c r="AA25">
        <v>21</v>
      </c>
      <c r="AB25" t="s">
        <v>37</v>
      </c>
      <c r="AC25" s="6">
        <f ca="1">IF(Table1[[#This Row],[gender]]="men",1,0)</f>
        <v>1</v>
      </c>
      <c r="AD25">
        <f ca="1">IF(Table1[[#This Row],[gender]]="women",1,0)</f>
        <v>0</v>
      </c>
      <c r="AH25" s="5"/>
      <c r="AJ25" s="6">
        <f ca="1">IF(Table1[[#This Row],[Column1]]="Health",1,0)</f>
        <v>0</v>
      </c>
      <c r="AK25">
        <f ca="1">IF(Table1[[#This Row],[Column1]]="Construction",1,0)</f>
        <v>0</v>
      </c>
      <c r="AL25">
        <f ca="1">IF(Table1[[#This Row],[Column1]]="Technology",1,0)</f>
        <v>0</v>
      </c>
      <c r="AM25">
        <f ca="1">IF(Table1[[#This Row],[Column1]]="Education",1,0)</f>
        <v>1</v>
      </c>
      <c r="AN25">
        <f ca="1">IF(Table1[[#This Row],[Column1]]="Agriculture",1,0)</f>
        <v>0</v>
      </c>
      <c r="AO25">
        <f ca="1">IF(Table1[[#This Row],[Column1]]="Social Service", 1, 0)</f>
        <v>0</v>
      </c>
      <c r="AT25" s="5"/>
      <c r="AV25" s="17">
        <f t="shared" ca="1" si="0"/>
        <v>53112.572415371309</v>
      </c>
      <c r="AW25" s="5"/>
      <c r="AX25" s="6">
        <f ca="1">IF(Table1[[#This Row],[Value of Debts]]&gt;$AY$4,1,0)</f>
        <v>1</v>
      </c>
      <c r="AY25" s="20"/>
      <c r="AZ25" s="20"/>
      <c r="BA25" s="5"/>
      <c r="BB25" s="25">
        <f ca="1">Table1[[#This Row],[Mortage Left]]/Table1[[#This Row],[Value of House]]</f>
        <v>0.68872614129710186</v>
      </c>
      <c r="BC25" s="20">
        <f t="shared" ca="1" si="2"/>
        <v>0</v>
      </c>
      <c r="BD25" s="20"/>
      <c r="BE25" s="20"/>
      <c r="BF25" s="20"/>
      <c r="BG25" s="6">
        <f ca="1">IF(Table1[[#This Row],[County]]="Cumbria",Table1[[#This Row],[income]],0)</f>
        <v>0</v>
      </c>
      <c r="BH25" s="20">
        <f ca="1">IF(Table1[[#This Row],[County]]="Cheshire",Table1[[#This Row],[income]],0)</f>
        <v>0</v>
      </c>
      <c r="BI25" s="20">
        <f ca="1">IF(Table1[[#This Row],[County]]="Bristol",Table1[[#This Row],[income]],0)</f>
        <v>0</v>
      </c>
      <c r="BJ25" s="20">
        <f ca="1">IF(Table1[[#This Row],[County]]="Surrey",Table1[[#This Row],[income]],0)</f>
        <v>0</v>
      </c>
      <c r="BK25" s="20">
        <f ca="1">IF(Table1[[#This Row],[County]]="Norfolk",Table1[[#This Row],[income]],0)</f>
        <v>0</v>
      </c>
      <c r="BL25" s="20">
        <f ca="1">IF(Table1[[#This Row],[County]]="Lincolnshire",Table1[[#This Row],[income]],0)</f>
        <v>0</v>
      </c>
      <c r="BM25" s="20">
        <f ca="1">IF(Table1[[#This Row],[County]]="Somerset",Table1[[#This Row],[income]],0)</f>
        <v>0</v>
      </c>
      <c r="BN25" s="20">
        <f ca="1">IF(Table1[[#This Row],[County]]="Cambridgeshire",Table1[[#This Row],[income]],0)</f>
        <v>0</v>
      </c>
      <c r="BO25" s="20">
        <f ca="1">IF(Table1[[#This Row],[County]]="South Yorkshire",Table1[[#This Row],[income]],0)</f>
        <v>0</v>
      </c>
      <c r="BP25" s="20">
        <f ca="1">IF(Table1[[#This Row],[County]]="Greater London",Table1[[#This Row],[income]],0)</f>
        <v>0</v>
      </c>
      <c r="BQ25" s="20">
        <f ca="1">IF(Table1[[#This Row],[County]]="Hampshire",Table1[[#This Row],[income]],0)</f>
        <v>0</v>
      </c>
      <c r="BR25" s="20">
        <f ca="1">IF(Table1[[#This Row],[County]]="Gloucestershire",Table1[[#This Row],[income]],0)</f>
        <v>0</v>
      </c>
      <c r="BS25" s="20">
        <f ca="1">IF(Table1[[#This Row],[County]]="West Sussex",Table1[[#This Row],[income]],0)</f>
        <v>0</v>
      </c>
      <c r="BT25" s="20">
        <f ca="1">IF(Table1[[#This Row],[County]]="Devon",Table1[[#This Row],[income]],0)</f>
        <v>0</v>
      </c>
      <c r="BU25" s="20">
        <f ca="1">IF(Table1[[#This Row],[County]]="Berkshire",Table1[[#This Row],[income]],0)</f>
        <v>0</v>
      </c>
      <c r="BV25" s="20">
        <f ca="1">IF(Table1[[#This Row],[County]]="Staffordshire",Table1[[#This Row],[income]],0)</f>
        <v>0</v>
      </c>
      <c r="BW25" s="20">
        <f ca="1">IF(Table1[[#This Row],[County]]="Leicestershire",Table1[[#This Row],[income]],0)</f>
        <v>0</v>
      </c>
      <c r="BX25" s="20">
        <f ca="1">IF(Table1[[#This Row],[County]]="Cornwall",Table1[[#This Row],[income]],0)</f>
        <v>0</v>
      </c>
      <c r="BY25" s="20">
        <f ca="1">IF(Table1[[#This Row],[County]]="Isle of Wight",Table1[[#This Row],[income]],0)</f>
        <v>0</v>
      </c>
      <c r="BZ25" s="20">
        <f ca="1">IF(Table1[[#This Row],[County]]="Surrey",Table1[[#This Row],[income]],0)</f>
        <v>0</v>
      </c>
      <c r="CA25" s="20">
        <f ca="1">IF(Table1[[#This Row],[County]]="Derbyshire",Table1[[#This Row],[income]],0)</f>
        <v>0</v>
      </c>
      <c r="CB25" s="20">
        <f ca="1">IF(Table1[[#This Row],[County]]="City of London",Table1[[#This Row],[income]],0)</f>
        <v>0</v>
      </c>
      <c r="CC25" s="20">
        <f ca="1">IF(Table1[[#This Row],[County]]="Bedfordshire",Table1[[#This Row],[income]],0)</f>
        <v>0</v>
      </c>
      <c r="CD25" s="20">
        <f ca="1">IF(Table1[[#This Row],[County]]="County Durham",Table1[[#This Row],[income]],0)</f>
        <v>0</v>
      </c>
      <c r="CE25" s="20">
        <f ca="1">IF(Table1[[#This Row],[County]]="East Riding of Yorkshire",Table1[[#This Row],[income]],0)</f>
        <v>0</v>
      </c>
      <c r="CF25" s="20">
        <f ca="1">IF(Table1[[#This Row],[County]]="West Yorkshire",Table1[[#This Row],[income]],0)</f>
        <v>0</v>
      </c>
      <c r="CG25" s="20">
        <f ca="1">IF(Table1[[#This Row],[County]]="Essex",Table1[[#This Row],[income]],0)</f>
        <v>0</v>
      </c>
      <c r="CH25" s="20">
        <f ca="1">IF(Table1[[#This Row],[County]]="East Sussex",Table1[[#This Row],[income]],0)</f>
        <v>0</v>
      </c>
      <c r="CI25" s="20">
        <f ca="1">IF(Table1[[#This Row],[County]]="Greater Manchester",Table1[[#This Row],[income]],0)</f>
        <v>0</v>
      </c>
      <c r="CJ25" s="20">
        <f ca="1">IF(Table1[[#This Row],[County]]="Hertfordshire",Table1[[#This Row],[income]],0)</f>
        <v>0</v>
      </c>
      <c r="CK25" s="20">
        <f ca="1">IF(Table1[[#This Row],[County]]="Herefordshire",Table1[[#This Row],[income]],0)</f>
        <v>0</v>
      </c>
      <c r="CL25" s="20">
        <f ca="1">IF(Table1[[#This Row],[County]]="Lancashire",Table1[[#This Row],[income]],0)</f>
        <v>0</v>
      </c>
      <c r="CM25" s="20">
        <f ca="1">IF(Table1[[#This Row],[County]]="Merseyside",Table1[[#This Row],[income]],0)</f>
        <v>0</v>
      </c>
      <c r="CN25" s="20">
        <f ca="1">IF(Table1[[#This Row],[County]]="Northamptonshire",Table1[[#This Row],[income]],0)</f>
        <v>0</v>
      </c>
      <c r="CO25" s="20">
        <f ca="1">IF(Table1[[#This Row],[County]]="Northumberland",Table1[[#This Row],[income]],0)</f>
        <v>0</v>
      </c>
      <c r="CP25" s="20">
        <f ca="1">IF(Table1[[#This Row],[County]]="Wiltshire",Table1[[#This Row],[income]],0)</f>
        <v>0</v>
      </c>
      <c r="CQ25" s="20">
        <f ca="1">IF(Table1[[#This Row],[County]]="West Midlands",Table1[[#This Row],[income]],0)</f>
        <v>0</v>
      </c>
      <c r="CR25" s="20">
        <f ca="1">IF(Table1[[#This Row],[County]]="Warwickshire",Table1[[#This Row],[income]],0)</f>
        <v>73909</v>
      </c>
      <c r="CS25" s="20">
        <f ca="1">IF(Table1[[#This Row],[County]]="Tyne and Wear",Table1[[#This Row],[income]],0)</f>
        <v>0</v>
      </c>
      <c r="CT25" s="20">
        <f ca="1">IF(Table1[[#This Row],[County]]="Worcestershire",Table1[[#This Row],[income]],0)</f>
        <v>0</v>
      </c>
      <c r="CU25" s="20">
        <f ca="1">IF(Table1[[#This Row],[County]]="Rutland",Table1[[#This Row],[income]],0)</f>
        <v>0</v>
      </c>
      <c r="CV25" s="20">
        <f ca="1">IF(Table1[[#This Row],[County]]="Shropshire",Table1[[#This Row],[income]],0)</f>
        <v>0</v>
      </c>
      <c r="CW25" s="20">
        <f ca="1">IF(Table1[[#This Row],[County]]="Dorset",Table1[[#This Row],[income]],0)</f>
        <v>0</v>
      </c>
      <c r="CX25" s="20">
        <f ca="1">IF(Table1[[#This Row],[County]]="Buckinghamshire",Table1[[#This Row],[income]],0)</f>
        <v>0</v>
      </c>
      <c r="CY25" s="20">
        <f ca="1">IF(Table1[[#This Row],[County]]="Suffolk",Table1[[#This Row],[income]],0)</f>
        <v>0</v>
      </c>
      <c r="CZ25" s="20">
        <f ca="1">IF(Table1[[#This Row],[County]]="North Yorkshire",Table1[[#This Row],[income]],0)</f>
        <v>0</v>
      </c>
      <c r="DA25" s="20">
        <f ca="1">IF(Table1[[#This Row],[County]]="Kent",Table1[[#This Row],[income]],0)</f>
        <v>0</v>
      </c>
      <c r="DB25" s="5">
        <f ca="1">IF(Table1[[#This Row],[County]]="Derbyshire",Table1[[#This Row],[income]],0)</f>
        <v>0</v>
      </c>
      <c r="DD25" s="6">
        <f ca="1">IF(Table1[[#This Row],[Column1]]="Health",Table1[[#This Row],[income]],0)</f>
        <v>0</v>
      </c>
      <c r="DE25" s="20">
        <f ca="1">IF(Table1[[#This Row],[Column1]]="Agriculture",Table1[[#This Row],[income]],0)</f>
        <v>0</v>
      </c>
      <c r="DF25" s="20">
        <f ca="1">IF(Table1[[#This Row],[Column1]]="Technology",Table1[[#This Row],[income]],0)</f>
        <v>0</v>
      </c>
      <c r="DG25" s="20">
        <f ca="1">IF(Table1[[#This Row],[Column1]]="Social Service",Table1[[#This Row],[income]],0)</f>
        <v>0</v>
      </c>
      <c r="DH25" s="20">
        <f ca="1">IF(Table1[[#This Row],[Column1]]="Education",Table1[[#This Row],[income]],0)</f>
        <v>73909</v>
      </c>
      <c r="DI25" s="5">
        <f ca="1">IF(Table1[[#This Row],[Column1]]="Construction",Table1[[#This Row],[income]],0)</f>
        <v>0</v>
      </c>
      <c r="DK25" s="6">
        <f ca="1">IF(Table1[[#This Row],[Value of Debts]]&gt;Table1[[#This Row],[income]],1,0)</f>
        <v>1</v>
      </c>
      <c r="DL25" s="20"/>
      <c r="DM25" s="20"/>
      <c r="DN25" s="5"/>
      <c r="DP25" s="6">
        <f ca="1">IF(Table1[[#This Row],[Net Worth (£)]]&gt;$DS$5,C25,0)</f>
        <v>0</v>
      </c>
      <c r="DQ25" s="20"/>
      <c r="DR25" s="20"/>
      <c r="DS25" s="5"/>
    </row>
    <row r="26" spans="1:123" x14ac:dyDescent="0.2">
      <c r="A26">
        <f t="shared" ca="1" si="1"/>
        <v>2</v>
      </c>
      <c r="B26" s="1" t="str">
        <f ca="1">IF(A26=1, "men", "women")</f>
        <v>women</v>
      </c>
      <c r="C26" s="1">
        <f ca="1">RANDBETWEEN(25,50)</f>
        <v>37</v>
      </c>
      <c r="D26">
        <f ca="1">RANDBETWEEN(1,6)</f>
        <v>6</v>
      </c>
      <c r="E26" t="str">
        <f ca="1">VLOOKUP(D26,$W$5:$X$10,2)</f>
        <v>Agriculture</v>
      </c>
      <c r="F26">
        <f ca="1">RANDBETWEEN(1,5)</f>
        <v>2</v>
      </c>
      <c r="G26" t="str">
        <f ca="1">VLOOKUP(F26,$Y$5:$Z$9,2)</f>
        <v>College</v>
      </c>
      <c r="H26">
        <f ca="1">RANDBETWEEN(0,4)</f>
        <v>1</v>
      </c>
      <c r="I26">
        <f ca="1">RANDBETWEEN(1,3)</f>
        <v>3</v>
      </c>
      <c r="J26">
        <f ca="1">RANDBETWEEN(30000,100000)</f>
        <v>70773</v>
      </c>
      <c r="K26">
        <f ca="1">RANDBETWEEN(1,48)</f>
        <v>18</v>
      </c>
      <c r="L26" t="str">
        <f ca="1">VLOOKUP(K26,$AA$5:$AB$52,2)</f>
        <v>Greater London</v>
      </c>
      <c r="M26">
        <f ca="1">J26*(RANDBETWEEN(2,5))</f>
        <v>353865</v>
      </c>
      <c r="N26">
        <f ca="1">RAND()*M26</f>
        <v>8131.5902840187937</v>
      </c>
      <c r="O26">
        <f ca="1">I26*RAND()*J26</f>
        <v>159337.71724611393</v>
      </c>
      <c r="P26">
        <f ca="1">RANDBETWEEN(0,O26)</f>
        <v>88302</v>
      </c>
      <c r="Q26">
        <f ca="1">RAND()*J26*2</f>
        <v>76556.867557959209</v>
      </c>
      <c r="R26">
        <f ca="1">RAND()*J26*1.5</f>
        <v>14019.920322366132</v>
      </c>
      <c r="S26">
        <f ca="1">J26+R26+O26</f>
        <v>244130.63756848004</v>
      </c>
      <c r="T26">
        <f ca="1">N26+P26+Q26</f>
        <v>172990.457841978</v>
      </c>
      <c r="U26">
        <f ca="1">S26-T26</f>
        <v>71140.179726502043</v>
      </c>
      <c r="AA26">
        <v>22</v>
      </c>
      <c r="AB26" t="s">
        <v>38</v>
      </c>
      <c r="AC26" s="6">
        <f ca="1">IF(Table1[[#This Row],[gender]]="men",1,0)</f>
        <v>0</v>
      </c>
      <c r="AD26">
        <f ca="1">IF(Table1[[#This Row],[gender]]="women",1,0)</f>
        <v>1</v>
      </c>
      <c r="AH26" s="5"/>
      <c r="AJ26" s="6">
        <f ca="1">IF(Table1[[#This Row],[Column1]]="Health",1,0)</f>
        <v>0</v>
      </c>
      <c r="AK26">
        <f ca="1">IF(Table1[[#This Row],[Column1]]="Construction",1,0)</f>
        <v>0</v>
      </c>
      <c r="AL26">
        <f ca="1">IF(Table1[[#This Row],[Column1]]="Technology",1,0)</f>
        <v>0</v>
      </c>
      <c r="AM26">
        <f ca="1">IF(Table1[[#This Row],[Column1]]="Education",1,0)</f>
        <v>0</v>
      </c>
      <c r="AN26">
        <f ca="1">IF(Table1[[#This Row],[Column1]]="Agriculture",1,0)</f>
        <v>1</v>
      </c>
      <c r="AO26">
        <f ca="1">IF(Table1[[#This Row],[Column1]]="Social Service", 1, 0)</f>
        <v>0</v>
      </c>
      <c r="AT26" s="5"/>
      <c r="AV26" s="17">
        <f t="shared" ca="1" si="0"/>
        <v>30591.587723257224</v>
      </c>
      <c r="AW26" s="5"/>
      <c r="AX26" s="6">
        <f ca="1">IF(Table1[[#This Row],[Value of Debts]]&gt;$AY$4,1,0)</f>
        <v>1</v>
      </c>
      <c r="AY26" s="20"/>
      <c r="AZ26" s="20"/>
      <c r="BA26" s="5"/>
      <c r="BB26" s="25">
        <f ca="1">Table1[[#This Row],[Mortage Left]]/Table1[[#This Row],[Value of House]]</f>
        <v>2.2979357336890605E-2</v>
      </c>
      <c r="BC26" s="20">
        <f t="shared" ca="1" si="2"/>
        <v>1</v>
      </c>
      <c r="BD26" s="20"/>
      <c r="BE26" s="20"/>
      <c r="BF26" s="20"/>
      <c r="BG26" s="6">
        <f ca="1">IF(Table1[[#This Row],[County]]="Cumbria",Table1[[#This Row],[income]],0)</f>
        <v>0</v>
      </c>
      <c r="BH26" s="20">
        <f ca="1">IF(Table1[[#This Row],[County]]="Cheshire",Table1[[#This Row],[income]],0)</f>
        <v>0</v>
      </c>
      <c r="BI26" s="20">
        <f ca="1">IF(Table1[[#This Row],[County]]="Bristol",Table1[[#This Row],[income]],0)</f>
        <v>0</v>
      </c>
      <c r="BJ26" s="20">
        <f ca="1">IF(Table1[[#This Row],[County]]="Surrey",Table1[[#This Row],[income]],0)</f>
        <v>0</v>
      </c>
      <c r="BK26" s="20">
        <f ca="1">IF(Table1[[#This Row],[County]]="Norfolk",Table1[[#This Row],[income]],0)</f>
        <v>0</v>
      </c>
      <c r="BL26" s="20">
        <f ca="1">IF(Table1[[#This Row],[County]]="Lincolnshire",Table1[[#This Row],[income]],0)</f>
        <v>0</v>
      </c>
      <c r="BM26" s="20">
        <f ca="1">IF(Table1[[#This Row],[County]]="Somerset",Table1[[#This Row],[income]],0)</f>
        <v>0</v>
      </c>
      <c r="BN26" s="20">
        <f ca="1">IF(Table1[[#This Row],[County]]="Cambridgeshire",Table1[[#This Row],[income]],0)</f>
        <v>0</v>
      </c>
      <c r="BO26" s="20">
        <f ca="1">IF(Table1[[#This Row],[County]]="South Yorkshire",Table1[[#This Row],[income]],0)</f>
        <v>0</v>
      </c>
      <c r="BP26" s="20">
        <f ca="1">IF(Table1[[#This Row],[County]]="Greater London",Table1[[#This Row],[income]],0)</f>
        <v>70773</v>
      </c>
      <c r="BQ26" s="20">
        <f ca="1">IF(Table1[[#This Row],[County]]="Hampshire",Table1[[#This Row],[income]],0)</f>
        <v>0</v>
      </c>
      <c r="BR26" s="20">
        <f ca="1">IF(Table1[[#This Row],[County]]="Gloucestershire",Table1[[#This Row],[income]],0)</f>
        <v>0</v>
      </c>
      <c r="BS26" s="20">
        <f ca="1">IF(Table1[[#This Row],[County]]="West Sussex",Table1[[#This Row],[income]],0)</f>
        <v>0</v>
      </c>
      <c r="BT26" s="20">
        <f ca="1">IF(Table1[[#This Row],[County]]="Devon",Table1[[#This Row],[income]],0)</f>
        <v>0</v>
      </c>
      <c r="BU26" s="20">
        <f ca="1">IF(Table1[[#This Row],[County]]="Berkshire",Table1[[#This Row],[income]],0)</f>
        <v>0</v>
      </c>
      <c r="BV26" s="20">
        <f ca="1">IF(Table1[[#This Row],[County]]="Staffordshire",Table1[[#This Row],[income]],0)</f>
        <v>0</v>
      </c>
      <c r="BW26" s="20">
        <f ca="1">IF(Table1[[#This Row],[County]]="Leicestershire",Table1[[#This Row],[income]],0)</f>
        <v>0</v>
      </c>
      <c r="BX26" s="20">
        <f ca="1">IF(Table1[[#This Row],[County]]="Cornwall",Table1[[#This Row],[income]],0)</f>
        <v>0</v>
      </c>
      <c r="BY26" s="20">
        <f ca="1">IF(Table1[[#This Row],[County]]="Isle of Wight",Table1[[#This Row],[income]],0)</f>
        <v>0</v>
      </c>
      <c r="BZ26" s="20">
        <f ca="1">IF(Table1[[#This Row],[County]]="Surrey",Table1[[#This Row],[income]],0)</f>
        <v>0</v>
      </c>
      <c r="CA26" s="20">
        <f ca="1">IF(Table1[[#This Row],[County]]="Derbyshire",Table1[[#This Row],[income]],0)</f>
        <v>0</v>
      </c>
      <c r="CB26" s="20">
        <f ca="1">IF(Table1[[#This Row],[County]]="City of London",Table1[[#This Row],[income]],0)</f>
        <v>0</v>
      </c>
      <c r="CC26" s="20">
        <f ca="1">IF(Table1[[#This Row],[County]]="Bedfordshire",Table1[[#This Row],[income]],0)</f>
        <v>0</v>
      </c>
      <c r="CD26" s="20">
        <f ca="1">IF(Table1[[#This Row],[County]]="County Durham",Table1[[#This Row],[income]],0)</f>
        <v>0</v>
      </c>
      <c r="CE26" s="20">
        <f ca="1">IF(Table1[[#This Row],[County]]="East Riding of Yorkshire",Table1[[#This Row],[income]],0)</f>
        <v>0</v>
      </c>
      <c r="CF26" s="20">
        <f ca="1">IF(Table1[[#This Row],[County]]="West Yorkshire",Table1[[#This Row],[income]],0)</f>
        <v>0</v>
      </c>
      <c r="CG26" s="20">
        <f ca="1">IF(Table1[[#This Row],[County]]="Essex",Table1[[#This Row],[income]],0)</f>
        <v>0</v>
      </c>
      <c r="CH26" s="20">
        <f ca="1">IF(Table1[[#This Row],[County]]="East Sussex",Table1[[#This Row],[income]],0)</f>
        <v>0</v>
      </c>
      <c r="CI26" s="20">
        <f ca="1">IF(Table1[[#This Row],[County]]="Greater Manchester",Table1[[#This Row],[income]],0)</f>
        <v>0</v>
      </c>
      <c r="CJ26" s="20">
        <f ca="1">IF(Table1[[#This Row],[County]]="Hertfordshire",Table1[[#This Row],[income]],0)</f>
        <v>0</v>
      </c>
      <c r="CK26" s="20">
        <f ca="1">IF(Table1[[#This Row],[County]]="Herefordshire",Table1[[#This Row],[income]],0)</f>
        <v>0</v>
      </c>
      <c r="CL26" s="20">
        <f ca="1">IF(Table1[[#This Row],[County]]="Lancashire",Table1[[#This Row],[income]],0)</f>
        <v>0</v>
      </c>
      <c r="CM26" s="20">
        <f ca="1">IF(Table1[[#This Row],[County]]="Merseyside",Table1[[#This Row],[income]],0)</f>
        <v>0</v>
      </c>
      <c r="CN26" s="20">
        <f ca="1">IF(Table1[[#This Row],[County]]="Northamptonshire",Table1[[#This Row],[income]],0)</f>
        <v>0</v>
      </c>
      <c r="CO26" s="20">
        <f ca="1">IF(Table1[[#This Row],[County]]="Northumberland",Table1[[#This Row],[income]],0)</f>
        <v>0</v>
      </c>
      <c r="CP26" s="20">
        <f ca="1">IF(Table1[[#This Row],[County]]="Wiltshire",Table1[[#This Row],[income]],0)</f>
        <v>0</v>
      </c>
      <c r="CQ26" s="20">
        <f ca="1">IF(Table1[[#This Row],[County]]="West Midlands",Table1[[#This Row],[income]],0)</f>
        <v>0</v>
      </c>
      <c r="CR26" s="20">
        <f ca="1">IF(Table1[[#This Row],[County]]="Warwickshire",Table1[[#This Row],[income]],0)</f>
        <v>0</v>
      </c>
      <c r="CS26" s="20">
        <f ca="1">IF(Table1[[#This Row],[County]]="Tyne and Wear",Table1[[#This Row],[income]],0)</f>
        <v>0</v>
      </c>
      <c r="CT26" s="20">
        <f ca="1">IF(Table1[[#This Row],[County]]="Worcestershire",Table1[[#This Row],[income]],0)</f>
        <v>0</v>
      </c>
      <c r="CU26" s="20">
        <f ca="1">IF(Table1[[#This Row],[County]]="Rutland",Table1[[#This Row],[income]],0)</f>
        <v>0</v>
      </c>
      <c r="CV26" s="20">
        <f ca="1">IF(Table1[[#This Row],[County]]="Shropshire",Table1[[#This Row],[income]],0)</f>
        <v>0</v>
      </c>
      <c r="CW26" s="20">
        <f ca="1">IF(Table1[[#This Row],[County]]="Dorset",Table1[[#This Row],[income]],0)</f>
        <v>0</v>
      </c>
      <c r="CX26" s="20">
        <f ca="1">IF(Table1[[#This Row],[County]]="Buckinghamshire",Table1[[#This Row],[income]],0)</f>
        <v>0</v>
      </c>
      <c r="CY26" s="20">
        <f ca="1">IF(Table1[[#This Row],[County]]="Suffolk",Table1[[#This Row],[income]],0)</f>
        <v>0</v>
      </c>
      <c r="CZ26" s="20">
        <f ca="1">IF(Table1[[#This Row],[County]]="North Yorkshire",Table1[[#This Row],[income]],0)</f>
        <v>0</v>
      </c>
      <c r="DA26" s="20">
        <f ca="1">IF(Table1[[#This Row],[County]]="Kent",Table1[[#This Row],[income]],0)</f>
        <v>0</v>
      </c>
      <c r="DB26" s="5">
        <f ca="1">IF(Table1[[#This Row],[County]]="Derbyshire",Table1[[#This Row],[income]],0)</f>
        <v>0</v>
      </c>
      <c r="DD26" s="6">
        <f ca="1">IF(Table1[[#This Row],[Column1]]="Health",Table1[[#This Row],[income]],0)</f>
        <v>0</v>
      </c>
      <c r="DE26" s="20">
        <f ca="1">IF(Table1[[#This Row],[Column1]]="Agriculture",Table1[[#This Row],[income]],0)</f>
        <v>70773</v>
      </c>
      <c r="DF26" s="20">
        <f ca="1">IF(Table1[[#This Row],[Column1]]="Technology",Table1[[#This Row],[income]],0)</f>
        <v>0</v>
      </c>
      <c r="DG26" s="20">
        <f ca="1">IF(Table1[[#This Row],[Column1]]="Social Service",Table1[[#This Row],[income]],0)</f>
        <v>0</v>
      </c>
      <c r="DH26" s="20">
        <f ca="1">IF(Table1[[#This Row],[Column1]]="Education",Table1[[#This Row],[income]],0)</f>
        <v>0</v>
      </c>
      <c r="DI26" s="5">
        <f ca="1">IF(Table1[[#This Row],[Column1]]="Construction",Table1[[#This Row],[income]],0)</f>
        <v>0</v>
      </c>
      <c r="DK26" s="6">
        <f ca="1">IF(Table1[[#This Row],[Value of Debts]]&gt;Table1[[#This Row],[income]],1,0)</f>
        <v>1</v>
      </c>
      <c r="DL26" s="20"/>
      <c r="DM26" s="20"/>
      <c r="DN26" s="5"/>
      <c r="DP26" s="6">
        <f ca="1">IF(Table1[[#This Row],[Net Worth (£)]]&gt;$DS$5,C26,0)</f>
        <v>37</v>
      </c>
      <c r="DQ26" s="20"/>
      <c r="DR26" s="20"/>
      <c r="DS26" s="5"/>
    </row>
    <row r="27" spans="1:123" x14ac:dyDescent="0.2">
      <c r="A27">
        <f t="shared" ca="1" si="1"/>
        <v>1</v>
      </c>
      <c r="B27" s="1" t="str">
        <f ca="1">IF(A27=1, "men", "women")</f>
        <v>men</v>
      </c>
      <c r="C27" s="1">
        <f ca="1">RANDBETWEEN(25,50)</f>
        <v>36</v>
      </c>
      <c r="D27">
        <f ca="1">RANDBETWEEN(1,6)</f>
        <v>1</v>
      </c>
      <c r="E27" t="str">
        <f ca="1">VLOOKUP(D27,$W$5:$X$10,2)</f>
        <v>Health</v>
      </c>
      <c r="F27">
        <f ca="1">RANDBETWEEN(1,5)</f>
        <v>1</v>
      </c>
      <c r="G27" t="str">
        <f ca="1">VLOOKUP(F27,$Y$5:$Z$9,2)</f>
        <v>High School</v>
      </c>
      <c r="H27">
        <f ca="1">RANDBETWEEN(0,4)</f>
        <v>3</v>
      </c>
      <c r="I27">
        <f ca="1">RANDBETWEEN(1,3)</f>
        <v>3</v>
      </c>
      <c r="J27">
        <f ca="1">RANDBETWEEN(30000,100000)</f>
        <v>50154</v>
      </c>
      <c r="K27">
        <f ca="1">RANDBETWEEN(1,48)</f>
        <v>44</v>
      </c>
      <c r="L27" t="str">
        <f ca="1">VLOOKUP(K27,$AA$5:$AB$52,2)</f>
        <v>West Midlands</v>
      </c>
      <c r="M27">
        <f ca="1">J27*(RANDBETWEEN(2,5))</f>
        <v>200616</v>
      </c>
      <c r="N27">
        <f ca="1">RAND()*M27</f>
        <v>19798.768231276066</v>
      </c>
      <c r="O27">
        <f ca="1">I27*RAND()*J27</f>
        <v>91774.763169771672</v>
      </c>
      <c r="P27">
        <f ca="1">RANDBETWEEN(0,O27)</f>
        <v>55536</v>
      </c>
      <c r="Q27">
        <f ca="1">RAND()*J27*2</f>
        <v>9919.7666558752589</v>
      </c>
      <c r="R27">
        <f ca="1">RAND()*J27*1.5</f>
        <v>48620.200227115944</v>
      </c>
      <c r="S27">
        <f ca="1">J27+R27+O27</f>
        <v>190548.96339688762</v>
      </c>
      <c r="T27">
        <f ca="1">N27+P27+Q27</f>
        <v>85254.534887151327</v>
      </c>
      <c r="U27">
        <f ca="1">S27-T27</f>
        <v>105294.42850973629</v>
      </c>
      <c r="AA27">
        <v>23</v>
      </c>
      <c r="AB27" t="s">
        <v>39</v>
      </c>
      <c r="AC27" s="6">
        <f ca="1">IF(Table1[[#This Row],[gender]]="men",1,0)</f>
        <v>1</v>
      </c>
      <c r="AD27">
        <f ca="1">IF(Table1[[#This Row],[gender]]="women",1,0)</f>
        <v>0</v>
      </c>
      <c r="AH27" s="5"/>
      <c r="AJ27" s="6">
        <f ca="1">IF(Table1[[#This Row],[Column1]]="Health",1,0)</f>
        <v>1</v>
      </c>
      <c r="AK27">
        <f ca="1">IF(Table1[[#This Row],[Column1]]="Construction",1,0)</f>
        <v>0</v>
      </c>
      <c r="AL27">
        <f ca="1">IF(Table1[[#This Row],[Column1]]="Technology",1,0)</f>
        <v>0</v>
      </c>
      <c r="AM27">
        <f ca="1">IF(Table1[[#This Row],[Column1]]="Education",1,0)</f>
        <v>0</v>
      </c>
      <c r="AN27">
        <f ca="1">IF(Table1[[#This Row],[Column1]]="Agriculture",1,0)</f>
        <v>0</v>
      </c>
      <c r="AO27">
        <f ca="1">IF(Table1[[#This Row],[Column1]]="Social Service", 1, 0)</f>
        <v>0</v>
      </c>
      <c r="AT27" s="5"/>
      <c r="AV27" s="17">
        <f t="shared" ca="1" si="0"/>
        <v>6352.4593290531702</v>
      </c>
      <c r="AW27" s="5"/>
      <c r="AX27" s="6">
        <f ca="1">IF(Table1[[#This Row],[Value of Debts]]&gt;$AY$4,1,0)</f>
        <v>0</v>
      </c>
      <c r="AY27" s="20"/>
      <c r="AZ27" s="20"/>
      <c r="BA27" s="5"/>
      <c r="BB27" s="25">
        <f ca="1">Table1[[#This Row],[Mortage Left]]/Table1[[#This Row],[Value of House]]</f>
        <v>9.8689876337261562E-2</v>
      </c>
      <c r="BC27" s="20">
        <f t="shared" ca="1" si="2"/>
        <v>1</v>
      </c>
      <c r="BD27" s="20"/>
      <c r="BE27" s="20"/>
      <c r="BF27" s="20"/>
      <c r="BG27" s="6">
        <f ca="1">IF(Table1[[#This Row],[County]]="Cumbria",Table1[[#This Row],[income]],0)</f>
        <v>0</v>
      </c>
      <c r="BH27" s="20">
        <f ca="1">IF(Table1[[#This Row],[County]]="Cheshire",Table1[[#This Row],[income]],0)</f>
        <v>0</v>
      </c>
      <c r="BI27" s="20">
        <f ca="1">IF(Table1[[#This Row],[County]]="Bristol",Table1[[#This Row],[income]],0)</f>
        <v>0</v>
      </c>
      <c r="BJ27" s="20">
        <f ca="1">IF(Table1[[#This Row],[County]]="Surrey",Table1[[#This Row],[income]],0)</f>
        <v>0</v>
      </c>
      <c r="BK27" s="20">
        <f ca="1">IF(Table1[[#This Row],[County]]="Norfolk",Table1[[#This Row],[income]],0)</f>
        <v>0</v>
      </c>
      <c r="BL27" s="20">
        <f ca="1">IF(Table1[[#This Row],[County]]="Lincolnshire",Table1[[#This Row],[income]],0)</f>
        <v>0</v>
      </c>
      <c r="BM27" s="20">
        <f ca="1">IF(Table1[[#This Row],[County]]="Somerset",Table1[[#This Row],[income]],0)</f>
        <v>0</v>
      </c>
      <c r="BN27" s="20">
        <f ca="1">IF(Table1[[#This Row],[County]]="Cambridgeshire",Table1[[#This Row],[income]],0)</f>
        <v>0</v>
      </c>
      <c r="BO27" s="20">
        <f ca="1">IF(Table1[[#This Row],[County]]="South Yorkshire",Table1[[#This Row],[income]],0)</f>
        <v>0</v>
      </c>
      <c r="BP27" s="20">
        <f ca="1">IF(Table1[[#This Row],[County]]="Greater London",Table1[[#This Row],[income]],0)</f>
        <v>0</v>
      </c>
      <c r="BQ27" s="20">
        <f ca="1">IF(Table1[[#This Row],[County]]="Hampshire",Table1[[#This Row],[income]],0)</f>
        <v>0</v>
      </c>
      <c r="BR27" s="20">
        <f ca="1">IF(Table1[[#This Row],[County]]="Gloucestershire",Table1[[#This Row],[income]],0)</f>
        <v>0</v>
      </c>
      <c r="BS27" s="20">
        <f ca="1">IF(Table1[[#This Row],[County]]="West Sussex",Table1[[#This Row],[income]],0)</f>
        <v>0</v>
      </c>
      <c r="BT27" s="20">
        <f ca="1">IF(Table1[[#This Row],[County]]="Devon",Table1[[#This Row],[income]],0)</f>
        <v>0</v>
      </c>
      <c r="BU27" s="20">
        <f ca="1">IF(Table1[[#This Row],[County]]="Berkshire",Table1[[#This Row],[income]],0)</f>
        <v>0</v>
      </c>
      <c r="BV27" s="20">
        <f ca="1">IF(Table1[[#This Row],[County]]="Staffordshire",Table1[[#This Row],[income]],0)</f>
        <v>0</v>
      </c>
      <c r="BW27" s="20">
        <f ca="1">IF(Table1[[#This Row],[County]]="Leicestershire",Table1[[#This Row],[income]],0)</f>
        <v>0</v>
      </c>
      <c r="BX27" s="20">
        <f ca="1">IF(Table1[[#This Row],[County]]="Cornwall",Table1[[#This Row],[income]],0)</f>
        <v>0</v>
      </c>
      <c r="BY27" s="20">
        <f ca="1">IF(Table1[[#This Row],[County]]="Isle of Wight",Table1[[#This Row],[income]],0)</f>
        <v>0</v>
      </c>
      <c r="BZ27" s="20">
        <f ca="1">IF(Table1[[#This Row],[County]]="Surrey",Table1[[#This Row],[income]],0)</f>
        <v>0</v>
      </c>
      <c r="CA27" s="20">
        <f ca="1">IF(Table1[[#This Row],[County]]="Derbyshire",Table1[[#This Row],[income]],0)</f>
        <v>0</v>
      </c>
      <c r="CB27" s="20">
        <f ca="1">IF(Table1[[#This Row],[County]]="City of London",Table1[[#This Row],[income]],0)</f>
        <v>0</v>
      </c>
      <c r="CC27" s="20">
        <f ca="1">IF(Table1[[#This Row],[County]]="Bedfordshire",Table1[[#This Row],[income]],0)</f>
        <v>0</v>
      </c>
      <c r="CD27" s="20">
        <f ca="1">IF(Table1[[#This Row],[County]]="County Durham",Table1[[#This Row],[income]],0)</f>
        <v>0</v>
      </c>
      <c r="CE27" s="20">
        <f ca="1">IF(Table1[[#This Row],[County]]="East Riding of Yorkshire",Table1[[#This Row],[income]],0)</f>
        <v>0</v>
      </c>
      <c r="CF27" s="20">
        <f ca="1">IF(Table1[[#This Row],[County]]="West Yorkshire",Table1[[#This Row],[income]],0)</f>
        <v>0</v>
      </c>
      <c r="CG27" s="20">
        <f ca="1">IF(Table1[[#This Row],[County]]="Essex",Table1[[#This Row],[income]],0)</f>
        <v>0</v>
      </c>
      <c r="CH27" s="20">
        <f ca="1">IF(Table1[[#This Row],[County]]="East Sussex",Table1[[#This Row],[income]],0)</f>
        <v>0</v>
      </c>
      <c r="CI27" s="20">
        <f ca="1">IF(Table1[[#This Row],[County]]="Greater Manchester",Table1[[#This Row],[income]],0)</f>
        <v>0</v>
      </c>
      <c r="CJ27" s="20">
        <f ca="1">IF(Table1[[#This Row],[County]]="Hertfordshire",Table1[[#This Row],[income]],0)</f>
        <v>0</v>
      </c>
      <c r="CK27" s="20">
        <f ca="1">IF(Table1[[#This Row],[County]]="Herefordshire",Table1[[#This Row],[income]],0)</f>
        <v>0</v>
      </c>
      <c r="CL27" s="20">
        <f ca="1">IF(Table1[[#This Row],[County]]="Lancashire",Table1[[#This Row],[income]],0)</f>
        <v>0</v>
      </c>
      <c r="CM27" s="20">
        <f ca="1">IF(Table1[[#This Row],[County]]="Merseyside",Table1[[#This Row],[income]],0)</f>
        <v>0</v>
      </c>
      <c r="CN27" s="20">
        <f ca="1">IF(Table1[[#This Row],[County]]="Northamptonshire",Table1[[#This Row],[income]],0)</f>
        <v>0</v>
      </c>
      <c r="CO27" s="20">
        <f ca="1">IF(Table1[[#This Row],[County]]="Northumberland",Table1[[#This Row],[income]],0)</f>
        <v>0</v>
      </c>
      <c r="CP27" s="20">
        <f ca="1">IF(Table1[[#This Row],[County]]="Wiltshire",Table1[[#This Row],[income]],0)</f>
        <v>0</v>
      </c>
      <c r="CQ27" s="20">
        <f ca="1">IF(Table1[[#This Row],[County]]="West Midlands",Table1[[#This Row],[income]],0)</f>
        <v>50154</v>
      </c>
      <c r="CR27" s="20">
        <f ca="1">IF(Table1[[#This Row],[County]]="Warwickshire",Table1[[#This Row],[income]],0)</f>
        <v>0</v>
      </c>
      <c r="CS27" s="20">
        <f ca="1">IF(Table1[[#This Row],[County]]="Tyne and Wear",Table1[[#This Row],[income]],0)</f>
        <v>0</v>
      </c>
      <c r="CT27" s="20">
        <f ca="1">IF(Table1[[#This Row],[County]]="Worcestershire",Table1[[#This Row],[income]],0)</f>
        <v>0</v>
      </c>
      <c r="CU27" s="20">
        <f ca="1">IF(Table1[[#This Row],[County]]="Rutland",Table1[[#This Row],[income]],0)</f>
        <v>0</v>
      </c>
      <c r="CV27" s="20">
        <f ca="1">IF(Table1[[#This Row],[County]]="Shropshire",Table1[[#This Row],[income]],0)</f>
        <v>0</v>
      </c>
      <c r="CW27" s="20">
        <f ca="1">IF(Table1[[#This Row],[County]]="Dorset",Table1[[#This Row],[income]],0)</f>
        <v>0</v>
      </c>
      <c r="CX27" s="20">
        <f ca="1">IF(Table1[[#This Row],[County]]="Buckinghamshire",Table1[[#This Row],[income]],0)</f>
        <v>0</v>
      </c>
      <c r="CY27" s="20">
        <f ca="1">IF(Table1[[#This Row],[County]]="Suffolk",Table1[[#This Row],[income]],0)</f>
        <v>0</v>
      </c>
      <c r="CZ27" s="20">
        <f ca="1">IF(Table1[[#This Row],[County]]="North Yorkshire",Table1[[#This Row],[income]],0)</f>
        <v>0</v>
      </c>
      <c r="DA27" s="20">
        <f ca="1">IF(Table1[[#This Row],[County]]="Kent",Table1[[#This Row],[income]],0)</f>
        <v>0</v>
      </c>
      <c r="DB27" s="5">
        <f ca="1">IF(Table1[[#This Row],[County]]="Derbyshire",Table1[[#This Row],[income]],0)</f>
        <v>0</v>
      </c>
      <c r="DD27" s="6">
        <f ca="1">IF(Table1[[#This Row],[Column1]]="Health",Table1[[#This Row],[income]],0)</f>
        <v>50154</v>
      </c>
      <c r="DE27" s="20">
        <f ca="1">IF(Table1[[#This Row],[Column1]]="Agriculture",Table1[[#This Row],[income]],0)</f>
        <v>0</v>
      </c>
      <c r="DF27" s="20">
        <f ca="1">IF(Table1[[#This Row],[Column1]]="Technology",Table1[[#This Row],[income]],0)</f>
        <v>0</v>
      </c>
      <c r="DG27" s="20">
        <f ca="1">IF(Table1[[#This Row],[Column1]]="Social Service",Table1[[#This Row],[income]],0)</f>
        <v>0</v>
      </c>
      <c r="DH27" s="20">
        <f ca="1">IF(Table1[[#This Row],[Column1]]="Education",Table1[[#This Row],[income]],0)</f>
        <v>0</v>
      </c>
      <c r="DI27" s="5">
        <f ca="1">IF(Table1[[#This Row],[Column1]]="Construction",Table1[[#This Row],[income]],0)</f>
        <v>0</v>
      </c>
      <c r="DK27" s="6">
        <f ca="1">IF(Table1[[#This Row],[Value of Debts]]&gt;Table1[[#This Row],[income]],1,0)</f>
        <v>1</v>
      </c>
      <c r="DL27" s="20"/>
      <c r="DM27" s="20"/>
      <c r="DN27" s="5"/>
      <c r="DP27" s="6">
        <f ca="1">IF(Table1[[#This Row],[Net Worth (£)]]&gt;$DS$5,C27,0)</f>
        <v>36</v>
      </c>
      <c r="DQ27" s="20"/>
      <c r="DR27" s="20"/>
      <c r="DS27" s="5"/>
    </row>
    <row r="28" spans="1:123" x14ac:dyDescent="0.2">
      <c r="A28">
        <f t="shared" ca="1" si="1"/>
        <v>1</v>
      </c>
      <c r="B28" s="1" t="str">
        <f ca="1">IF(A28=1, "men", "women")</f>
        <v>men</v>
      </c>
      <c r="C28" s="1">
        <f ca="1">RANDBETWEEN(25,50)</f>
        <v>44</v>
      </c>
      <c r="D28">
        <f ca="1">RANDBETWEEN(1,6)</f>
        <v>3</v>
      </c>
      <c r="E28" t="str">
        <f ca="1">VLOOKUP(D28,$W$5:$X$10,2)</f>
        <v>Education</v>
      </c>
      <c r="F28">
        <f ca="1">RANDBETWEEN(1,5)</f>
        <v>3</v>
      </c>
      <c r="G28" t="str">
        <f ca="1">VLOOKUP(F28,$Y$5:$Z$9,2)</f>
        <v>University</v>
      </c>
      <c r="H28">
        <f ca="1">RANDBETWEEN(0,4)</f>
        <v>1</v>
      </c>
      <c r="I28">
        <f ca="1">RANDBETWEEN(1,3)</f>
        <v>1</v>
      </c>
      <c r="J28">
        <f ca="1">RANDBETWEEN(30000,100000)</f>
        <v>45681</v>
      </c>
      <c r="K28">
        <f ca="1">RANDBETWEEN(1,48)</f>
        <v>4</v>
      </c>
      <c r="L28" t="str">
        <f ca="1">VLOOKUP(K28,$AA$5:$AB$52,2)</f>
        <v>Buckinghamshire</v>
      </c>
      <c r="M28">
        <f ca="1">J28*(RANDBETWEEN(2,5))</f>
        <v>228405</v>
      </c>
      <c r="N28">
        <f ca="1">RAND()*M28</f>
        <v>143028.35105418728</v>
      </c>
      <c r="O28">
        <f ca="1">I28*RAND()*J28</f>
        <v>6352.4593290531702</v>
      </c>
      <c r="P28">
        <f ca="1">RANDBETWEEN(0,O28)</f>
        <v>1594</v>
      </c>
      <c r="Q28">
        <f ca="1">RAND()*J28*2</f>
        <v>88373.595163524398</v>
      </c>
      <c r="R28">
        <f ca="1">RAND()*J28*1.5</f>
        <v>62992.311144232161</v>
      </c>
      <c r="S28">
        <f ca="1">J28+R28+O28</f>
        <v>115025.77047328535</v>
      </c>
      <c r="T28">
        <f ca="1">N28+P28+Q28</f>
        <v>232995.94621771167</v>
      </c>
      <c r="U28">
        <f ca="1">S28-T28</f>
        <v>-117970.17574442632</v>
      </c>
      <c r="AA28">
        <v>24</v>
      </c>
      <c r="AB28" t="s">
        <v>40</v>
      </c>
      <c r="AC28" s="6">
        <f ca="1">IF(Table1[[#This Row],[gender]]="men",1,0)</f>
        <v>1</v>
      </c>
      <c r="AD28">
        <f ca="1">IF(Table1[[#This Row],[gender]]="women",1,0)</f>
        <v>0</v>
      </c>
      <c r="AH28" s="5"/>
      <c r="AJ28" s="6">
        <f ca="1">IF(Table1[[#This Row],[Column1]]="Health",1,0)</f>
        <v>0</v>
      </c>
      <c r="AK28">
        <f ca="1">IF(Table1[[#This Row],[Column1]]="Construction",1,0)</f>
        <v>0</v>
      </c>
      <c r="AL28">
        <f ca="1">IF(Table1[[#This Row],[Column1]]="Technology",1,0)</f>
        <v>0</v>
      </c>
      <c r="AM28">
        <f ca="1">IF(Table1[[#This Row],[Column1]]="Education",1,0)</f>
        <v>1</v>
      </c>
      <c r="AN28">
        <f ca="1">IF(Table1[[#This Row],[Column1]]="Agriculture",1,0)</f>
        <v>0</v>
      </c>
      <c r="AO28">
        <f ca="1">IF(Table1[[#This Row],[Column1]]="Social Service", 1, 0)</f>
        <v>0</v>
      </c>
      <c r="AT28" s="5"/>
      <c r="AV28" s="17">
        <f t="shared" ca="1" si="0"/>
        <v>61990.288712601876</v>
      </c>
      <c r="AW28" s="5"/>
      <c r="AX28" s="6">
        <f ca="1">IF(Table1[[#This Row],[Value of Debts]]&gt;$AY$4,1,0)</f>
        <v>1</v>
      </c>
      <c r="AY28" s="20"/>
      <c r="AZ28" s="20"/>
      <c r="BA28" s="5"/>
      <c r="BB28" s="25">
        <f ca="1">Table1[[#This Row],[Mortage Left]]/Table1[[#This Row],[Value of House]]</f>
        <v>0.62620499137141172</v>
      </c>
      <c r="BC28" s="20">
        <f t="shared" ca="1" si="2"/>
        <v>0</v>
      </c>
      <c r="BD28" s="20"/>
      <c r="BE28" s="20"/>
      <c r="BF28" s="20"/>
      <c r="BG28" s="6">
        <f ca="1">IF(Table1[[#This Row],[County]]="Cumbria",Table1[[#This Row],[income]],0)</f>
        <v>0</v>
      </c>
      <c r="BH28" s="20">
        <f ca="1">IF(Table1[[#This Row],[County]]="Cheshire",Table1[[#This Row],[income]],0)</f>
        <v>0</v>
      </c>
      <c r="BI28" s="20">
        <f ca="1">IF(Table1[[#This Row],[County]]="Bristol",Table1[[#This Row],[income]],0)</f>
        <v>0</v>
      </c>
      <c r="BJ28" s="20">
        <f ca="1">IF(Table1[[#This Row],[County]]="Surrey",Table1[[#This Row],[income]],0)</f>
        <v>0</v>
      </c>
      <c r="BK28" s="20">
        <f ca="1">IF(Table1[[#This Row],[County]]="Norfolk",Table1[[#This Row],[income]],0)</f>
        <v>0</v>
      </c>
      <c r="BL28" s="20">
        <f ca="1">IF(Table1[[#This Row],[County]]="Lincolnshire",Table1[[#This Row],[income]],0)</f>
        <v>0</v>
      </c>
      <c r="BM28" s="20">
        <f ca="1">IF(Table1[[#This Row],[County]]="Somerset",Table1[[#This Row],[income]],0)</f>
        <v>0</v>
      </c>
      <c r="BN28" s="20">
        <f ca="1">IF(Table1[[#This Row],[County]]="Cambridgeshire",Table1[[#This Row],[income]],0)</f>
        <v>0</v>
      </c>
      <c r="BO28" s="20">
        <f ca="1">IF(Table1[[#This Row],[County]]="South Yorkshire",Table1[[#This Row],[income]],0)</f>
        <v>0</v>
      </c>
      <c r="BP28" s="20">
        <f ca="1">IF(Table1[[#This Row],[County]]="Greater London",Table1[[#This Row],[income]],0)</f>
        <v>0</v>
      </c>
      <c r="BQ28" s="20">
        <f ca="1">IF(Table1[[#This Row],[County]]="Hampshire",Table1[[#This Row],[income]],0)</f>
        <v>0</v>
      </c>
      <c r="BR28" s="20">
        <f ca="1">IF(Table1[[#This Row],[County]]="Gloucestershire",Table1[[#This Row],[income]],0)</f>
        <v>0</v>
      </c>
      <c r="BS28" s="20">
        <f ca="1">IF(Table1[[#This Row],[County]]="West Sussex",Table1[[#This Row],[income]],0)</f>
        <v>0</v>
      </c>
      <c r="BT28" s="20">
        <f ca="1">IF(Table1[[#This Row],[County]]="Devon",Table1[[#This Row],[income]],0)</f>
        <v>0</v>
      </c>
      <c r="BU28" s="20">
        <f ca="1">IF(Table1[[#This Row],[County]]="Berkshire",Table1[[#This Row],[income]],0)</f>
        <v>0</v>
      </c>
      <c r="BV28" s="20">
        <f ca="1">IF(Table1[[#This Row],[County]]="Staffordshire",Table1[[#This Row],[income]],0)</f>
        <v>0</v>
      </c>
      <c r="BW28" s="20">
        <f ca="1">IF(Table1[[#This Row],[County]]="Leicestershire",Table1[[#This Row],[income]],0)</f>
        <v>0</v>
      </c>
      <c r="BX28" s="20">
        <f ca="1">IF(Table1[[#This Row],[County]]="Cornwall",Table1[[#This Row],[income]],0)</f>
        <v>0</v>
      </c>
      <c r="BY28" s="20">
        <f ca="1">IF(Table1[[#This Row],[County]]="Isle of Wight",Table1[[#This Row],[income]],0)</f>
        <v>0</v>
      </c>
      <c r="BZ28" s="20">
        <f ca="1">IF(Table1[[#This Row],[County]]="Surrey",Table1[[#This Row],[income]],0)</f>
        <v>0</v>
      </c>
      <c r="CA28" s="20">
        <f ca="1">IF(Table1[[#This Row],[County]]="Derbyshire",Table1[[#This Row],[income]],0)</f>
        <v>0</v>
      </c>
      <c r="CB28" s="20">
        <f ca="1">IF(Table1[[#This Row],[County]]="City of London",Table1[[#This Row],[income]],0)</f>
        <v>0</v>
      </c>
      <c r="CC28" s="20">
        <f ca="1">IF(Table1[[#This Row],[County]]="Bedfordshire",Table1[[#This Row],[income]],0)</f>
        <v>0</v>
      </c>
      <c r="CD28" s="20">
        <f ca="1">IF(Table1[[#This Row],[County]]="County Durham",Table1[[#This Row],[income]],0)</f>
        <v>0</v>
      </c>
      <c r="CE28" s="20">
        <f ca="1">IF(Table1[[#This Row],[County]]="East Riding of Yorkshire",Table1[[#This Row],[income]],0)</f>
        <v>0</v>
      </c>
      <c r="CF28" s="20">
        <f ca="1">IF(Table1[[#This Row],[County]]="West Yorkshire",Table1[[#This Row],[income]],0)</f>
        <v>0</v>
      </c>
      <c r="CG28" s="20">
        <f ca="1">IF(Table1[[#This Row],[County]]="Essex",Table1[[#This Row],[income]],0)</f>
        <v>0</v>
      </c>
      <c r="CH28" s="20">
        <f ca="1">IF(Table1[[#This Row],[County]]="East Sussex",Table1[[#This Row],[income]],0)</f>
        <v>0</v>
      </c>
      <c r="CI28" s="20">
        <f ca="1">IF(Table1[[#This Row],[County]]="Greater Manchester",Table1[[#This Row],[income]],0)</f>
        <v>0</v>
      </c>
      <c r="CJ28" s="20">
        <f ca="1">IF(Table1[[#This Row],[County]]="Hertfordshire",Table1[[#This Row],[income]],0)</f>
        <v>0</v>
      </c>
      <c r="CK28" s="20">
        <f ca="1">IF(Table1[[#This Row],[County]]="Herefordshire",Table1[[#This Row],[income]],0)</f>
        <v>0</v>
      </c>
      <c r="CL28" s="20">
        <f ca="1">IF(Table1[[#This Row],[County]]="Lancashire",Table1[[#This Row],[income]],0)</f>
        <v>0</v>
      </c>
      <c r="CM28" s="20">
        <f ca="1">IF(Table1[[#This Row],[County]]="Merseyside",Table1[[#This Row],[income]],0)</f>
        <v>0</v>
      </c>
      <c r="CN28" s="20">
        <f ca="1">IF(Table1[[#This Row],[County]]="Northamptonshire",Table1[[#This Row],[income]],0)</f>
        <v>0</v>
      </c>
      <c r="CO28" s="20">
        <f ca="1">IF(Table1[[#This Row],[County]]="Northumberland",Table1[[#This Row],[income]],0)</f>
        <v>0</v>
      </c>
      <c r="CP28" s="20">
        <f ca="1">IF(Table1[[#This Row],[County]]="Wiltshire",Table1[[#This Row],[income]],0)</f>
        <v>0</v>
      </c>
      <c r="CQ28" s="20">
        <f ca="1">IF(Table1[[#This Row],[County]]="West Midlands",Table1[[#This Row],[income]],0)</f>
        <v>0</v>
      </c>
      <c r="CR28" s="20">
        <f ca="1">IF(Table1[[#This Row],[County]]="Warwickshire",Table1[[#This Row],[income]],0)</f>
        <v>0</v>
      </c>
      <c r="CS28" s="20">
        <f ca="1">IF(Table1[[#This Row],[County]]="Tyne and Wear",Table1[[#This Row],[income]],0)</f>
        <v>0</v>
      </c>
      <c r="CT28" s="20">
        <f ca="1">IF(Table1[[#This Row],[County]]="Worcestershire",Table1[[#This Row],[income]],0)</f>
        <v>0</v>
      </c>
      <c r="CU28" s="20">
        <f ca="1">IF(Table1[[#This Row],[County]]="Rutland",Table1[[#This Row],[income]],0)</f>
        <v>0</v>
      </c>
      <c r="CV28" s="20">
        <f ca="1">IF(Table1[[#This Row],[County]]="Shropshire",Table1[[#This Row],[income]],0)</f>
        <v>0</v>
      </c>
      <c r="CW28" s="20">
        <f ca="1">IF(Table1[[#This Row],[County]]="Dorset",Table1[[#This Row],[income]],0)</f>
        <v>0</v>
      </c>
      <c r="CX28" s="20">
        <f ca="1">IF(Table1[[#This Row],[County]]="Buckinghamshire",Table1[[#This Row],[income]],0)</f>
        <v>45681</v>
      </c>
      <c r="CY28" s="20">
        <f ca="1">IF(Table1[[#This Row],[County]]="Suffolk",Table1[[#This Row],[income]],0)</f>
        <v>0</v>
      </c>
      <c r="CZ28" s="20">
        <f ca="1">IF(Table1[[#This Row],[County]]="North Yorkshire",Table1[[#This Row],[income]],0)</f>
        <v>0</v>
      </c>
      <c r="DA28" s="20">
        <f ca="1">IF(Table1[[#This Row],[County]]="Kent",Table1[[#This Row],[income]],0)</f>
        <v>0</v>
      </c>
      <c r="DB28" s="5">
        <f ca="1">IF(Table1[[#This Row],[County]]="Derbyshire",Table1[[#This Row],[income]],0)</f>
        <v>0</v>
      </c>
      <c r="DD28" s="6">
        <f ca="1">IF(Table1[[#This Row],[Column1]]="Health",Table1[[#This Row],[income]],0)</f>
        <v>0</v>
      </c>
      <c r="DE28" s="20">
        <f ca="1">IF(Table1[[#This Row],[Column1]]="Agriculture",Table1[[#This Row],[income]],0)</f>
        <v>0</v>
      </c>
      <c r="DF28" s="20">
        <f ca="1">IF(Table1[[#This Row],[Column1]]="Technology",Table1[[#This Row],[income]],0)</f>
        <v>0</v>
      </c>
      <c r="DG28" s="20">
        <f ca="1">IF(Table1[[#This Row],[Column1]]="Social Service",Table1[[#This Row],[income]],0)</f>
        <v>0</v>
      </c>
      <c r="DH28" s="20">
        <f ca="1">IF(Table1[[#This Row],[Column1]]="Education",Table1[[#This Row],[income]],0)</f>
        <v>45681</v>
      </c>
      <c r="DI28" s="5">
        <f ca="1">IF(Table1[[#This Row],[Column1]]="Construction",Table1[[#This Row],[income]],0)</f>
        <v>0</v>
      </c>
      <c r="DK28" s="6">
        <f ca="1">IF(Table1[[#This Row],[Value of Debts]]&gt;Table1[[#This Row],[income]],1,0)</f>
        <v>1</v>
      </c>
      <c r="DL28" s="20"/>
      <c r="DM28" s="20"/>
      <c r="DN28" s="5"/>
      <c r="DP28" s="6">
        <f ca="1">IF(Table1[[#This Row],[Net Worth (£)]]&gt;$DS$5,C28,0)</f>
        <v>0</v>
      </c>
      <c r="DQ28" s="20"/>
      <c r="DR28" s="20"/>
      <c r="DS28" s="5"/>
    </row>
    <row r="29" spans="1:123" x14ac:dyDescent="0.2">
      <c r="A29">
        <f t="shared" ca="1" si="1"/>
        <v>1</v>
      </c>
      <c r="B29" s="1" t="str">
        <f ca="1">IF(A29=1, "men", "women")</f>
        <v>men</v>
      </c>
      <c r="C29" s="1">
        <f ca="1">RANDBETWEEN(25,50)</f>
        <v>41</v>
      </c>
      <c r="D29">
        <f ca="1">RANDBETWEEN(1,6)</f>
        <v>6</v>
      </c>
      <c r="E29" t="str">
        <f ca="1">VLOOKUP(D29,$W$5:$X$10,2)</f>
        <v>Agriculture</v>
      </c>
      <c r="F29">
        <f ca="1">RANDBETWEEN(1,5)</f>
        <v>4</v>
      </c>
      <c r="G29" t="str">
        <f ca="1">VLOOKUP(F29,$Y$5:$Z$9,2)</f>
        <v xml:space="preserve">Technical </v>
      </c>
      <c r="H29">
        <f ca="1">RANDBETWEEN(0,4)</f>
        <v>4</v>
      </c>
      <c r="I29">
        <f ca="1">RANDBETWEEN(1,3)</f>
        <v>3</v>
      </c>
      <c r="J29">
        <f ca="1">RANDBETWEEN(30000,100000)</f>
        <v>98996</v>
      </c>
      <c r="K29">
        <f ca="1">RANDBETWEEN(1,48)</f>
        <v>5</v>
      </c>
      <c r="L29" t="str">
        <f ca="1">VLOOKUP(K29,$AA$5:$AB$52,2)</f>
        <v>Cambridgeshire</v>
      </c>
      <c r="M29">
        <f ca="1">J29*(RANDBETWEEN(2,5))</f>
        <v>197992</v>
      </c>
      <c r="N29">
        <f ca="1">RAND()*M29</f>
        <v>14016.02001222175</v>
      </c>
      <c r="O29">
        <f ca="1">I29*RAND()*J29</f>
        <v>185970.86613780563</v>
      </c>
      <c r="P29">
        <f ca="1">RANDBETWEEN(0,O29)</f>
        <v>132908</v>
      </c>
      <c r="Q29">
        <f ca="1">RAND()*J29*2</f>
        <v>56250.894486229241</v>
      </c>
      <c r="R29">
        <f ca="1">RAND()*J29*1.5</f>
        <v>50390.429820001867</v>
      </c>
      <c r="S29">
        <f ca="1">J29+R29+O29</f>
        <v>335357.29595780751</v>
      </c>
      <c r="T29">
        <f ca="1">N29+P29+Q29</f>
        <v>203174.91449845099</v>
      </c>
      <c r="U29">
        <f ca="1">S29-T29</f>
        <v>132182.38145935652</v>
      </c>
      <c r="AA29">
        <v>25</v>
      </c>
      <c r="AB29" t="s">
        <v>41</v>
      </c>
      <c r="AC29" s="6">
        <f ca="1">IF(Table1[[#This Row],[gender]]="men",1,0)</f>
        <v>1</v>
      </c>
      <c r="AD29">
        <f ca="1">IF(Table1[[#This Row],[gender]]="women",1,0)</f>
        <v>0</v>
      </c>
      <c r="AH29" s="5"/>
      <c r="AJ29" s="6">
        <f ca="1">IF(Table1[[#This Row],[Column1]]="Health",1,0)</f>
        <v>0</v>
      </c>
      <c r="AK29">
        <f ca="1">IF(Table1[[#This Row],[Column1]]="Construction",1,0)</f>
        <v>0</v>
      </c>
      <c r="AL29">
        <f ca="1">IF(Table1[[#This Row],[Column1]]="Technology",1,0)</f>
        <v>0</v>
      </c>
      <c r="AM29">
        <f ca="1">IF(Table1[[#This Row],[Column1]]="Education",1,0)</f>
        <v>0</v>
      </c>
      <c r="AN29">
        <f ca="1">IF(Table1[[#This Row],[Column1]]="Agriculture",1,0)</f>
        <v>1</v>
      </c>
      <c r="AO29">
        <f ca="1">IF(Table1[[#This Row],[Column1]]="Social Service", 1, 0)</f>
        <v>0</v>
      </c>
      <c r="AT29" s="5"/>
      <c r="AV29" s="17">
        <f t="shared" ca="1" si="0"/>
        <v>24577.581554943899</v>
      </c>
      <c r="AW29" s="5"/>
      <c r="AX29" s="6">
        <f ca="1">IF(Table1[[#This Row],[Value of Debts]]&gt;$AY$4,1,0)</f>
        <v>1</v>
      </c>
      <c r="AY29" s="20"/>
      <c r="AZ29" s="20"/>
      <c r="BA29" s="5"/>
      <c r="BB29" s="25">
        <f ca="1">Table1[[#This Row],[Mortage Left]]/Table1[[#This Row],[Value of House]]</f>
        <v>7.0790840095669272E-2</v>
      </c>
      <c r="BC29" s="20">
        <f t="shared" ca="1" si="2"/>
        <v>1</v>
      </c>
      <c r="BD29" s="20"/>
      <c r="BE29" s="20"/>
      <c r="BF29" s="20"/>
      <c r="BG29" s="6">
        <f ca="1">IF(Table1[[#This Row],[County]]="Cumbria",Table1[[#This Row],[income]],0)</f>
        <v>0</v>
      </c>
      <c r="BH29" s="20">
        <f ca="1">IF(Table1[[#This Row],[County]]="Cheshire",Table1[[#This Row],[income]],0)</f>
        <v>0</v>
      </c>
      <c r="BI29" s="20">
        <f ca="1">IF(Table1[[#This Row],[County]]="Bristol",Table1[[#This Row],[income]],0)</f>
        <v>0</v>
      </c>
      <c r="BJ29" s="20">
        <f ca="1">IF(Table1[[#This Row],[County]]="Surrey",Table1[[#This Row],[income]],0)</f>
        <v>0</v>
      </c>
      <c r="BK29" s="20">
        <f ca="1">IF(Table1[[#This Row],[County]]="Norfolk",Table1[[#This Row],[income]],0)</f>
        <v>0</v>
      </c>
      <c r="BL29" s="20">
        <f ca="1">IF(Table1[[#This Row],[County]]="Lincolnshire",Table1[[#This Row],[income]],0)</f>
        <v>0</v>
      </c>
      <c r="BM29" s="20">
        <f ca="1">IF(Table1[[#This Row],[County]]="Somerset",Table1[[#This Row],[income]],0)</f>
        <v>0</v>
      </c>
      <c r="BN29" s="20">
        <f ca="1">IF(Table1[[#This Row],[County]]="Cambridgeshire",Table1[[#This Row],[income]],0)</f>
        <v>98996</v>
      </c>
      <c r="BO29" s="20">
        <f ca="1">IF(Table1[[#This Row],[County]]="South Yorkshire",Table1[[#This Row],[income]],0)</f>
        <v>0</v>
      </c>
      <c r="BP29" s="20">
        <f ca="1">IF(Table1[[#This Row],[County]]="Greater London",Table1[[#This Row],[income]],0)</f>
        <v>0</v>
      </c>
      <c r="BQ29" s="20">
        <f ca="1">IF(Table1[[#This Row],[County]]="Hampshire",Table1[[#This Row],[income]],0)</f>
        <v>0</v>
      </c>
      <c r="BR29" s="20">
        <f ca="1">IF(Table1[[#This Row],[County]]="Gloucestershire",Table1[[#This Row],[income]],0)</f>
        <v>0</v>
      </c>
      <c r="BS29" s="20">
        <f ca="1">IF(Table1[[#This Row],[County]]="West Sussex",Table1[[#This Row],[income]],0)</f>
        <v>0</v>
      </c>
      <c r="BT29" s="20">
        <f ca="1">IF(Table1[[#This Row],[County]]="Devon",Table1[[#This Row],[income]],0)</f>
        <v>0</v>
      </c>
      <c r="BU29" s="20">
        <f ca="1">IF(Table1[[#This Row],[County]]="Berkshire",Table1[[#This Row],[income]],0)</f>
        <v>0</v>
      </c>
      <c r="BV29" s="20">
        <f ca="1">IF(Table1[[#This Row],[County]]="Staffordshire",Table1[[#This Row],[income]],0)</f>
        <v>0</v>
      </c>
      <c r="BW29" s="20">
        <f ca="1">IF(Table1[[#This Row],[County]]="Leicestershire",Table1[[#This Row],[income]],0)</f>
        <v>0</v>
      </c>
      <c r="BX29" s="20">
        <f ca="1">IF(Table1[[#This Row],[County]]="Cornwall",Table1[[#This Row],[income]],0)</f>
        <v>0</v>
      </c>
      <c r="BY29" s="20">
        <f ca="1">IF(Table1[[#This Row],[County]]="Isle of Wight",Table1[[#This Row],[income]],0)</f>
        <v>0</v>
      </c>
      <c r="BZ29" s="20">
        <f ca="1">IF(Table1[[#This Row],[County]]="Surrey",Table1[[#This Row],[income]],0)</f>
        <v>0</v>
      </c>
      <c r="CA29" s="20">
        <f ca="1">IF(Table1[[#This Row],[County]]="Derbyshire",Table1[[#This Row],[income]],0)</f>
        <v>0</v>
      </c>
      <c r="CB29" s="20">
        <f ca="1">IF(Table1[[#This Row],[County]]="City of London",Table1[[#This Row],[income]],0)</f>
        <v>0</v>
      </c>
      <c r="CC29" s="20">
        <f ca="1">IF(Table1[[#This Row],[County]]="Bedfordshire",Table1[[#This Row],[income]],0)</f>
        <v>0</v>
      </c>
      <c r="CD29" s="20">
        <f ca="1">IF(Table1[[#This Row],[County]]="County Durham",Table1[[#This Row],[income]],0)</f>
        <v>0</v>
      </c>
      <c r="CE29" s="20">
        <f ca="1">IF(Table1[[#This Row],[County]]="East Riding of Yorkshire",Table1[[#This Row],[income]],0)</f>
        <v>0</v>
      </c>
      <c r="CF29" s="20">
        <f ca="1">IF(Table1[[#This Row],[County]]="West Yorkshire",Table1[[#This Row],[income]],0)</f>
        <v>0</v>
      </c>
      <c r="CG29" s="20">
        <f ca="1">IF(Table1[[#This Row],[County]]="Essex",Table1[[#This Row],[income]],0)</f>
        <v>0</v>
      </c>
      <c r="CH29" s="20">
        <f ca="1">IF(Table1[[#This Row],[County]]="East Sussex",Table1[[#This Row],[income]],0)</f>
        <v>0</v>
      </c>
      <c r="CI29" s="20">
        <f ca="1">IF(Table1[[#This Row],[County]]="Greater Manchester",Table1[[#This Row],[income]],0)</f>
        <v>0</v>
      </c>
      <c r="CJ29" s="20">
        <f ca="1">IF(Table1[[#This Row],[County]]="Hertfordshire",Table1[[#This Row],[income]],0)</f>
        <v>0</v>
      </c>
      <c r="CK29" s="20">
        <f ca="1">IF(Table1[[#This Row],[County]]="Herefordshire",Table1[[#This Row],[income]],0)</f>
        <v>0</v>
      </c>
      <c r="CL29" s="20">
        <f ca="1">IF(Table1[[#This Row],[County]]="Lancashire",Table1[[#This Row],[income]],0)</f>
        <v>0</v>
      </c>
      <c r="CM29" s="20">
        <f ca="1">IF(Table1[[#This Row],[County]]="Merseyside",Table1[[#This Row],[income]],0)</f>
        <v>0</v>
      </c>
      <c r="CN29" s="20">
        <f ca="1">IF(Table1[[#This Row],[County]]="Northamptonshire",Table1[[#This Row],[income]],0)</f>
        <v>0</v>
      </c>
      <c r="CO29" s="20">
        <f ca="1">IF(Table1[[#This Row],[County]]="Northumberland",Table1[[#This Row],[income]],0)</f>
        <v>0</v>
      </c>
      <c r="CP29" s="20">
        <f ca="1">IF(Table1[[#This Row],[County]]="Wiltshire",Table1[[#This Row],[income]],0)</f>
        <v>0</v>
      </c>
      <c r="CQ29" s="20">
        <f ca="1">IF(Table1[[#This Row],[County]]="West Midlands",Table1[[#This Row],[income]],0)</f>
        <v>0</v>
      </c>
      <c r="CR29" s="20">
        <f ca="1">IF(Table1[[#This Row],[County]]="Warwickshire",Table1[[#This Row],[income]],0)</f>
        <v>0</v>
      </c>
      <c r="CS29" s="20">
        <f ca="1">IF(Table1[[#This Row],[County]]="Tyne and Wear",Table1[[#This Row],[income]],0)</f>
        <v>0</v>
      </c>
      <c r="CT29" s="20">
        <f ca="1">IF(Table1[[#This Row],[County]]="Worcestershire",Table1[[#This Row],[income]],0)</f>
        <v>0</v>
      </c>
      <c r="CU29" s="20">
        <f ca="1">IF(Table1[[#This Row],[County]]="Rutland",Table1[[#This Row],[income]],0)</f>
        <v>0</v>
      </c>
      <c r="CV29" s="20">
        <f ca="1">IF(Table1[[#This Row],[County]]="Shropshire",Table1[[#This Row],[income]],0)</f>
        <v>0</v>
      </c>
      <c r="CW29" s="20">
        <f ca="1">IF(Table1[[#This Row],[County]]="Dorset",Table1[[#This Row],[income]],0)</f>
        <v>0</v>
      </c>
      <c r="CX29" s="20">
        <f ca="1">IF(Table1[[#This Row],[County]]="Buckinghamshire",Table1[[#This Row],[income]],0)</f>
        <v>0</v>
      </c>
      <c r="CY29" s="20">
        <f ca="1">IF(Table1[[#This Row],[County]]="Suffolk",Table1[[#This Row],[income]],0)</f>
        <v>0</v>
      </c>
      <c r="CZ29" s="20">
        <f ca="1">IF(Table1[[#This Row],[County]]="North Yorkshire",Table1[[#This Row],[income]],0)</f>
        <v>0</v>
      </c>
      <c r="DA29" s="20">
        <f ca="1">IF(Table1[[#This Row],[County]]="Kent",Table1[[#This Row],[income]],0)</f>
        <v>0</v>
      </c>
      <c r="DB29" s="5">
        <f ca="1">IF(Table1[[#This Row],[County]]="Derbyshire",Table1[[#This Row],[income]],0)</f>
        <v>0</v>
      </c>
      <c r="DD29" s="6">
        <f ca="1">IF(Table1[[#This Row],[Column1]]="Health",Table1[[#This Row],[income]],0)</f>
        <v>0</v>
      </c>
      <c r="DE29" s="20">
        <f ca="1">IF(Table1[[#This Row],[Column1]]="Agriculture",Table1[[#This Row],[income]],0)</f>
        <v>98996</v>
      </c>
      <c r="DF29" s="20">
        <f ca="1">IF(Table1[[#This Row],[Column1]]="Technology",Table1[[#This Row],[income]],0)</f>
        <v>0</v>
      </c>
      <c r="DG29" s="20">
        <f ca="1">IF(Table1[[#This Row],[Column1]]="Social Service",Table1[[#This Row],[income]],0)</f>
        <v>0</v>
      </c>
      <c r="DH29" s="20">
        <f ca="1">IF(Table1[[#This Row],[Column1]]="Education",Table1[[#This Row],[income]],0)</f>
        <v>0</v>
      </c>
      <c r="DI29" s="5">
        <f ca="1">IF(Table1[[#This Row],[Column1]]="Construction",Table1[[#This Row],[income]],0)</f>
        <v>0</v>
      </c>
      <c r="DK29" s="6">
        <f ca="1">IF(Table1[[#This Row],[Value of Debts]]&gt;Table1[[#This Row],[income]],1,0)</f>
        <v>1</v>
      </c>
      <c r="DL29" s="20"/>
      <c r="DM29" s="20"/>
      <c r="DN29" s="5"/>
      <c r="DP29" s="6">
        <f ca="1">IF(Table1[[#This Row],[Net Worth (£)]]&gt;$DS$5,C29,0)</f>
        <v>41</v>
      </c>
      <c r="DQ29" s="20"/>
      <c r="DR29" s="20"/>
      <c r="DS29" s="5"/>
    </row>
    <row r="30" spans="1:123" x14ac:dyDescent="0.2">
      <c r="A30">
        <f t="shared" ca="1" si="1"/>
        <v>1</v>
      </c>
      <c r="B30" s="1" t="str">
        <f ca="1">IF(A30=1, "men", "women")</f>
        <v>men</v>
      </c>
      <c r="C30" s="1">
        <f ca="1">RANDBETWEEN(25,50)</f>
        <v>36</v>
      </c>
      <c r="D30">
        <f ca="1">RANDBETWEEN(1,6)</f>
        <v>5</v>
      </c>
      <c r="E30" t="str">
        <f ca="1">VLOOKUP(D30,$W$5:$X$10,2)</f>
        <v>Social Service</v>
      </c>
      <c r="F30">
        <f ca="1">RANDBETWEEN(1,5)</f>
        <v>2</v>
      </c>
      <c r="G30" t="str">
        <f ca="1">VLOOKUP(F30,$Y$5:$Z$9,2)</f>
        <v>College</v>
      </c>
      <c r="H30">
        <f ca="1">RANDBETWEEN(0,4)</f>
        <v>2</v>
      </c>
      <c r="I30">
        <f ca="1">RANDBETWEEN(1,3)</f>
        <v>2</v>
      </c>
      <c r="J30">
        <f ca="1">RANDBETWEEN(30000,100000)</f>
        <v>60741</v>
      </c>
      <c r="K30">
        <f ca="1">RANDBETWEEN(1,48)</f>
        <v>5</v>
      </c>
      <c r="L30" t="str">
        <f ca="1">VLOOKUP(K30,$AA$5:$AB$52,2)</f>
        <v>Cambridgeshire</v>
      </c>
      <c r="M30">
        <f ca="1">J30*(RANDBETWEEN(2,5))</f>
        <v>242964</v>
      </c>
      <c r="N30">
        <f ca="1">RAND()*M30</f>
        <v>170189.67237369149</v>
      </c>
      <c r="O30">
        <f ca="1">I30*RAND()*J30</f>
        <v>49155.163109887799</v>
      </c>
      <c r="P30">
        <f ca="1">RANDBETWEEN(0,O30)</f>
        <v>4697</v>
      </c>
      <c r="Q30">
        <f ca="1">RAND()*J30*2</f>
        <v>120452.8851708779</v>
      </c>
      <c r="R30">
        <f ca="1">RAND()*J30*1.5</f>
        <v>69767.351694024226</v>
      </c>
      <c r="S30">
        <f ca="1">J30+R30+O30</f>
        <v>179663.51480391202</v>
      </c>
      <c r="T30">
        <f ca="1">N30+P30+Q30</f>
        <v>295339.55754456937</v>
      </c>
      <c r="U30">
        <f ca="1">S30-T30</f>
        <v>-115676.04274065734</v>
      </c>
      <c r="AA30">
        <v>26</v>
      </c>
      <c r="AB30" t="s">
        <v>42</v>
      </c>
      <c r="AC30" s="6">
        <f ca="1">IF(Table1[[#This Row],[gender]]="men",1,0)</f>
        <v>1</v>
      </c>
      <c r="AD30">
        <f ca="1">IF(Table1[[#This Row],[gender]]="women",1,0)</f>
        <v>0</v>
      </c>
      <c r="AH30" s="5"/>
      <c r="AJ30" s="6">
        <f ca="1">IF(Table1[[#This Row],[Column1]]="Health",1,0)</f>
        <v>0</v>
      </c>
      <c r="AK30">
        <f ca="1">IF(Table1[[#This Row],[Column1]]="Construction",1,0)</f>
        <v>0</v>
      </c>
      <c r="AL30">
        <f ca="1">IF(Table1[[#This Row],[Column1]]="Technology",1,0)</f>
        <v>0</v>
      </c>
      <c r="AM30">
        <f ca="1">IF(Table1[[#This Row],[Column1]]="Education",1,0)</f>
        <v>0</v>
      </c>
      <c r="AN30">
        <f ca="1">IF(Table1[[#This Row],[Column1]]="Agriculture",1,0)</f>
        <v>0</v>
      </c>
      <c r="AO30">
        <f ca="1">IF(Table1[[#This Row],[Column1]]="Social Service", 1, 0)</f>
        <v>1</v>
      </c>
      <c r="AT30" s="5"/>
      <c r="AV30" s="17">
        <f t="shared" ca="1" si="0"/>
        <v>12632.804760181665</v>
      </c>
      <c r="AW30" s="5"/>
      <c r="AX30" s="6">
        <f ca="1">IF(Table1[[#This Row],[Value of Debts]]&gt;$AY$4,1,0)</f>
        <v>1</v>
      </c>
      <c r="AY30" s="20"/>
      <c r="AZ30" s="20"/>
      <c r="BA30" s="5"/>
      <c r="BB30" s="25">
        <f ca="1">Table1[[#This Row],[Mortage Left]]/Table1[[#This Row],[Value of House]]</f>
        <v>0.7004727958614918</v>
      </c>
      <c r="BC30" s="20">
        <f t="shared" ca="1" si="2"/>
        <v>0</v>
      </c>
      <c r="BD30" s="20"/>
      <c r="BE30" s="20"/>
      <c r="BF30" s="20"/>
      <c r="BG30" s="6">
        <f ca="1">IF(Table1[[#This Row],[County]]="Cumbria",Table1[[#This Row],[income]],0)</f>
        <v>0</v>
      </c>
      <c r="BH30" s="20">
        <f ca="1">IF(Table1[[#This Row],[County]]="Cheshire",Table1[[#This Row],[income]],0)</f>
        <v>0</v>
      </c>
      <c r="BI30" s="20">
        <f ca="1">IF(Table1[[#This Row],[County]]="Bristol",Table1[[#This Row],[income]],0)</f>
        <v>0</v>
      </c>
      <c r="BJ30" s="20">
        <f ca="1">IF(Table1[[#This Row],[County]]="Surrey",Table1[[#This Row],[income]],0)</f>
        <v>0</v>
      </c>
      <c r="BK30" s="20">
        <f ca="1">IF(Table1[[#This Row],[County]]="Norfolk",Table1[[#This Row],[income]],0)</f>
        <v>0</v>
      </c>
      <c r="BL30" s="20">
        <f ca="1">IF(Table1[[#This Row],[County]]="Lincolnshire",Table1[[#This Row],[income]],0)</f>
        <v>0</v>
      </c>
      <c r="BM30" s="20">
        <f ca="1">IF(Table1[[#This Row],[County]]="Somerset",Table1[[#This Row],[income]],0)</f>
        <v>0</v>
      </c>
      <c r="BN30" s="20">
        <f ca="1">IF(Table1[[#This Row],[County]]="Cambridgeshire",Table1[[#This Row],[income]],0)</f>
        <v>60741</v>
      </c>
      <c r="BO30" s="20">
        <f ca="1">IF(Table1[[#This Row],[County]]="South Yorkshire",Table1[[#This Row],[income]],0)</f>
        <v>0</v>
      </c>
      <c r="BP30" s="20">
        <f ca="1">IF(Table1[[#This Row],[County]]="Greater London",Table1[[#This Row],[income]],0)</f>
        <v>0</v>
      </c>
      <c r="BQ30" s="20">
        <f ca="1">IF(Table1[[#This Row],[County]]="Hampshire",Table1[[#This Row],[income]],0)</f>
        <v>0</v>
      </c>
      <c r="BR30" s="20">
        <f ca="1">IF(Table1[[#This Row],[County]]="Gloucestershire",Table1[[#This Row],[income]],0)</f>
        <v>0</v>
      </c>
      <c r="BS30" s="20">
        <f ca="1">IF(Table1[[#This Row],[County]]="West Sussex",Table1[[#This Row],[income]],0)</f>
        <v>0</v>
      </c>
      <c r="BT30" s="20">
        <f ca="1">IF(Table1[[#This Row],[County]]="Devon",Table1[[#This Row],[income]],0)</f>
        <v>0</v>
      </c>
      <c r="BU30" s="20">
        <f ca="1">IF(Table1[[#This Row],[County]]="Berkshire",Table1[[#This Row],[income]],0)</f>
        <v>0</v>
      </c>
      <c r="BV30" s="20">
        <f ca="1">IF(Table1[[#This Row],[County]]="Staffordshire",Table1[[#This Row],[income]],0)</f>
        <v>0</v>
      </c>
      <c r="BW30" s="20">
        <f ca="1">IF(Table1[[#This Row],[County]]="Leicestershire",Table1[[#This Row],[income]],0)</f>
        <v>0</v>
      </c>
      <c r="BX30" s="20">
        <f ca="1">IF(Table1[[#This Row],[County]]="Cornwall",Table1[[#This Row],[income]],0)</f>
        <v>0</v>
      </c>
      <c r="BY30" s="20">
        <f ca="1">IF(Table1[[#This Row],[County]]="Isle of Wight",Table1[[#This Row],[income]],0)</f>
        <v>0</v>
      </c>
      <c r="BZ30" s="20">
        <f ca="1">IF(Table1[[#This Row],[County]]="Surrey",Table1[[#This Row],[income]],0)</f>
        <v>0</v>
      </c>
      <c r="CA30" s="20">
        <f ca="1">IF(Table1[[#This Row],[County]]="Derbyshire",Table1[[#This Row],[income]],0)</f>
        <v>0</v>
      </c>
      <c r="CB30" s="20">
        <f ca="1">IF(Table1[[#This Row],[County]]="City of London",Table1[[#This Row],[income]],0)</f>
        <v>0</v>
      </c>
      <c r="CC30" s="20">
        <f ca="1">IF(Table1[[#This Row],[County]]="Bedfordshire",Table1[[#This Row],[income]],0)</f>
        <v>0</v>
      </c>
      <c r="CD30" s="20">
        <f ca="1">IF(Table1[[#This Row],[County]]="County Durham",Table1[[#This Row],[income]],0)</f>
        <v>0</v>
      </c>
      <c r="CE30" s="20">
        <f ca="1">IF(Table1[[#This Row],[County]]="East Riding of Yorkshire",Table1[[#This Row],[income]],0)</f>
        <v>0</v>
      </c>
      <c r="CF30" s="20">
        <f ca="1">IF(Table1[[#This Row],[County]]="West Yorkshire",Table1[[#This Row],[income]],0)</f>
        <v>0</v>
      </c>
      <c r="CG30" s="20">
        <f ca="1">IF(Table1[[#This Row],[County]]="Essex",Table1[[#This Row],[income]],0)</f>
        <v>0</v>
      </c>
      <c r="CH30" s="20">
        <f ca="1">IF(Table1[[#This Row],[County]]="East Sussex",Table1[[#This Row],[income]],0)</f>
        <v>0</v>
      </c>
      <c r="CI30" s="20">
        <f ca="1">IF(Table1[[#This Row],[County]]="Greater Manchester",Table1[[#This Row],[income]],0)</f>
        <v>0</v>
      </c>
      <c r="CJ30" s="20">
        <f ca="1">IF(Table1[[#This Row],[County]]="Hertfordshire",Table1[[#This Row],[income]],0)</f>
        <v>0</v>
      </c>
      <c r="CK30" s="20">
        <f ca="1">IF(Table1[[#This Row],[County]]="Herefordshire",Table1[[#This Row],[income]],0)</f>
        <v>0</v>
      </c>
      <c r="CL30" s="20">
        <f ca="1">IF(Table1[[#This Row],[County]]="Lancashire",Table1[[#This Row],[income]],0)</f>
        <v>0</v>
      </c>
      <c r="CM30" s="20">
        <f ca="1">IF(Table1[[#This Row],[County]]="Merseyside",Table1[[#This Row],[income]],0)</f>
        <v>0</v>
      </c>
      <c r="CN30" s="20">
        <f ca="1">IF(Table1[[#This Row],[County]]="Northamptonshire",Table1[[#This Row],[income]],0)</f>
        <v>0</v>
      </c>
      <c r="CO30" s="20">
        <f ca="1">IF(Table1[[#This Row],[County]]="Northumberland",Table1[[#This Row],[income]],0)</f>
        <v>0</v>
      </c>
      <c r="CP30" s="20">
        <f ca="1">IF(Table1[[#This Row],[County]]="Wiltshire",Table1[[#This Row],[income]],0)</f>
        <v>0</v>
      </c>
      <c r="CQ30" s="20">
        <f ca="1">IF(Table1[[#This Row],[County]]="West Midlands",Table1[[#This Row],[income]],0)</f>
        <v>0</v>
      </c>
      <c r="CR30" s="20">
        <f ca="1">IF(Table1[[#This Row],[County]]="Warwickshire",Table1[[#This Row],[income]],0)</f>
        <v>0</v>
      </c>
      <c r="CS30" s="20">
        <f ca="1">IF(Table1[[#This Row],[County]]="Tyne and Wear",Table1[[#This Row],[income]],0)</f>
        <v>0</v>
      </c>
      <c r="CT30" s="20">
        <f ca="1">IF(Table1[[#This Row],[County]]="Worcestershire",Table1[[#This Row],[income]],0)</f>
        <v>0</v>
      </c>
      <c r="CU30" s="20">
        <f ca="1">IF(Table1[[#This Row],[County]]="Rutland",Table1[[#This Row],[income]],0)</f>
        <v>0</v>
      </c>
      <c r="CV30" s="20">
        <f ca="1">IF(Table1[[#This Row],[County]]="Shropshire",Table1[[#This Row],[income]],0)</f>
        <v>0</v>
      </c>
      <c r="CW30" s="20">
        <f ca="1">IF(Table1[[#This Row],[County]]="Dorset",Table1[[#This Row],[income]],0)</f>
        <v>0</v>
      </c>
      <c r="CX30" s="20">
        <f ca="1">IF(Table1[[#This Row],[County]]="Buckinghamshire",Table1[[#This Row],[income]],0)</f>
        <v>0</v>
      </c>
      <c r="CY30" s="20">
        <f ca="1">IF(Table1[[#This Row],[County]]="Suffolk",Table1[[#This Row],[income]],0)</f>
        <v>0</v>
      </c>
      <c r="CZ30" s="20">
        <f ca="1">IF(Table1[[#This Row],[County]]="North Yorkshire",Table1[[#This Row],[income]],0)</f>
        <v>0</v>
      </c>
      <c r="DA30" s="20">
        <f ca="1">IF(Table1[[#This Row],[County]]="Kent",Table1[[#This Row],[income]],0)</f>
        <v>0</v>
      </c>
      <c r="DB30" s="5">
        <f ca="1">IF(Table1[[#This Row],[County]]="Derbyshire",Table1[[#This Row],[income]],0)</f>
        <v>0</v>
      </c>
      <c r="DD30" s="6">
        <f ca="1">IF(Table1[[#This Row],[Column1]]="Health",Table1[[#This Row],[income]],0)</f>
        <v>0</v>
      </c>
      <c r="DE30" s="20">
        <f ca="1">IF(Table1[[#This Row],[Column1]]="Agriculture",Table1[[#This Row],[income]],0)</f>
        <v>0</v>
      </c>
      <c r="DF30" s="20">
        <f ca="1">IF(Table1[[#This Row],[Column1]]="Technology",Table1[[#This Row],[income]],0)</f>
        <v>0</v>
      </c>
      <c r="DG30" s="20">
        <f ca="1">IF(Table1[[#This Row],[Column1]]="Social Service",Table1[[#This Row],[income]],0)</f>
        <v>60741</v>
      </c>
      <c r="DH30" s="20">
        <f ca="1">IF(Table1[[#This Row],[Column1]]="Education",Table1[[#This Row],[income]],0)</f>
        <v>0</v>
      </c>
      <c r="DI30" s="5">
        <f ca="1">IF(Table1[[#This Row],[Column1]]="Construction",Table1[[#This Row],[income]],0)</f>
        <v>0</v>
      </c>
      <c r="DK30" s="6">
        <f ca="1">IF(Table1[[#This Row],[Value of Debts]]&gt;Table1[[#This Row],[income]],1,0)</f>
        <v>1</v>
      </c>
      <c r="DL30" s="20"/>
      <c r="DM30" s="20"/>
      <c r="DN30" s="5"/>
      <c r="DP30" s="6">
        <f ca="1">IF(Table1[[#This Row],[Net Worth (£)]]&gt;$DS$5,C30,0)</f>
        <v>0</v>
      </c>
      <c r="DQ30" s="20"/>
      <c r="DR30" s="20"/>
      <c r="DS30" s="5"/>
    </row>
    <row r="31" spans="1:123" x14ac:dyDescent="0.2">
      <c r="A31">
        <f t="shared" ca="1" si="1"/>
        <v>2</v>
      </c>
      <c r="B31" s="1" t="str">
        <f ca="1">IF(A31=1, "men", "women")</f>
        <v>women</v>
      </c>
      <c r="C31" s="1">
        <f ca="1">RANDBETWEEN(25,50)</f>
        <v>50</v>
      </c>
      <c r="D31">
        <f ca="1">RANDBETWEEN(1,6)</f>
        <v>2</v>
      </c>
      <c r="E31" t="str">
        <f ca="1">VLOOKUP(D31,$W$5:$X$10,2)</f>
        <v>Construction</v>
      </c>
      <c r="F31">
        <f ca="1">RANDBETWEEN(1,5)</f>
        <v>1</v>
      </c>
      <c r="G31" t="str">
        <f ca="1">VLOOKUP(F31,$Y$5:$Z$9,2)</f>
        <v>High School</v>
      </c>
      <c r="H31">
        <f ca="1">RANDBETWEEN(0,4)</f>
        <v>1</v>
      </c>
      <c r="I31">
        <f ca="1">RANDBETWEEN(1,3)</f>
        <v>3</v>
      </c>
      <c r="J31">
        <f ca="1">RANDBETWEEN(30000,100000)</f>
        <v>33027</v>
      </c>
      <c r="K31">
        <f ca="1">RANDBETWEEN(1,48)</f>
        <v>16</v>
      </c>
      <c r="L31" t="str">
        <f ca="1">VLOOKUP(K31,$AA$5:$AB$52,2)</f>
        <v>Essex</v>
      </c>
      <c r="M31">
        <f ca="1">J31*(RANDBETWEEN(2,5))</f>
        <v>66054</v>
      </c>
      <c r="N31">
        <f ca="1">RAND()*M31</f>
        <v>11787.678958066974</v>
      </c>
      <c r="O31">
        <f ca="1">I31*RAND()*J31</f>
        <v>37898.414280544996</v>
      </c>
      <c r="P31">
        <f ca="1">RANDBETWEEN(0,O31)</f>
        <v>15137</v>
      </c>
      <c r="Q31">
        <f ca="1">RAND()*J31*2</f>
        <v>39866.159477752248</v>
      </c>
      <c r="R31">
        <f ca="1">RAND()*J31*1.5</f>
        <v>14467.815461477538</v>
      </c>
      <c r="S31">
        <f ca="1">J31+R31+O31</f>
        <v>85393.229742022537</v>
      </c>
      <c r="T31">
        <f ca="1">N31+P31+Q31</f>
        <v>66790.838435819227</v>
      </c>
      <c r="U31">
        <f ca="1">S31-T31</f>
        <v>18602.39130620331</v>
      </c>
      <c r="AA31">
        <v>27</v>
      </c>
      <c r="AB31" t="s">
        <v>44</v>
      </c>
      <c r="AC31" s="6">
        <f ca="1">IF(Table1[[#This Row],[gender]]="men",1,0)</f>
        <v>0</v>
      </c>
      <c r="AD31">
        <f ca="1">IF(Table1[[#This Row],[gender]]="women",1,0)</f>
        <v>1</v>
      </c>
      <c r="AH31" s="5"/>
      <c r="AJ31" s="6">
        <f ca="1">IF(Table1[[#This Row],[Column1]]="Health",1,0)</f>
        <v>0</v>
      </c>
      <c r="AK31">
        <f ca="1">IF(Table1[[#This Row],[Column1]]="Construction",1,0)</f>
        <v>1</v>
      </c>
      <c r="AL31">
        <f ca="1">IF(Table1[[#This Row],[Column1]]="Technology",1,0)</f>
        <v>0</v>
      </c>
      <c r="AM31">
        <f ca="1">IF(Table1[[#This Row],[Column1]]="Education",1,0)</f>
        <v>0</v>
      </c>
      <c r="AN31">
        <f ca="1">IF(Table1[[#This Row],[Column1]]="Agriculture",1,0)</f>
        <v>0</v>
      </c>
      <c r="AO31">
        <f ca="1">IF(Table1[[#This Row],[Column1]]="Social Service", 1, 0)</f>
        <v>0</v>
      </c>
      <c r="AT31" s="5"/>
      <c r="AV31" s="17">
        <f t="shared" ca="1" si="0"/>
        <v>23687.725314218929</v>
      </c>
      <c r="AW31" s="5"/>
      <c r="AX31" s="6">
        <f ca="1">IF(Table1[[#This Row],[Value of Debts]]&gt;$AY$4,1,0)</f>
        <v>0</v>
      </c>
      <c r="AY31" s="20"/>
      <c r="AZ31" s="20"/>
      <c r="BA31" s="5"/>
      <c r="BB31" s="25">
        <f ca="1">Table1[[#This Row],[Mortage Left]]/Table1[[#This Row],[Value of House]]</f>
        <v>0.17845518754453893</v>
      </c>
      <c r="BC31" s="20">
        <f t="shared" ca="1" si="2"/>
        <v>1</v>
      </c>
      <c r="BD31" s="20"/>
      <c r="BE31" s="20"/>
      <c r="BF31" s="20"/>
      <c r="BG31" s="6">
        <f ca="1">IF(Table1[[#This Row],[County]]="Cumbria",Table1[[#This Row],[income]],0)</f>
        <v>0</v>
      </c>
      <c r="BH31" s="20">
        <f ca="1">IF(Table1[[#This Row],[County]]="Cheshire",Table1[[#This Row],[income]],0)</f>
        <v>0</v>
      </c>
      <c r="BI31" s="20">
        <f ca="1">IF(Table1[[#This Row],[County]]="Bristol",Table1[[#This Row],[income]],0)</f>
        <v>0</v>
      </c>
      <c r="BJ31" s="20">
        <f ca="1">IF(Table1[[#This Row],[County]]="Surrey",Table1[[#This Row],[income]],0)</f>
        <v>0</v>
      </c>
      <c r="BK31" s="20">
        <f ca="1">IF(Table1[[#This Row],[County]]="Norfolk",Table1[[#This Row],[income]],0)</f>
        <v>0</v>
      </c>
      <c r="BL31" s="20">
        <f ca="1">IF(Table1[[#This Row],[County]]="Lincolnshire",Table1[[#This Row],[income]],0)</f>
        <v>0</v>
      </c>
      <c r="BM31" s="20">
        <f ca="1">IF(Table1[[#This Row],[County]]="Somerset",Table1[[#This Row],[income]],0)</f>
        <v>0</v>
      </c>
      <c r="BN31" s="20">
        <f ca="1">IF(Table1[[#This Row],[County]]="Cambridgeshire",Table1[[#This Row],[income]],0)</f>
        <v>0</v>
      </c>
      <c r="BO31" s="20">
        <f ca="1">IF(Table1[[#This Row],[County]]="South Yorkshire",Table1[[#This Row],[income]],0)</f>
        <v>0</v>
      </c>
      <c r="BP31" s="20">
        <f ca="1">IF(Table1[[#This Row],[County]]="Greater London",Table1[[#This Row],[income]],0)</f>
        <v>0</v>
      </c>
      <c r="BQ31" s="20">
        <f ca="1">IF(Table1[[#This Row],[County]]="Hampshire",Table1[[#This Row],[income]],0)</f>
        <v>0</v>
      </c>
      <c r="BR31" s="20">
        <f ca="1">IF(Table1[[#This Row],[County]]="Gloucestershire",Table1[[#This Row],[income]],0)</f>
        <v>0</v>
      </c>
      <c r="BS31" s="20">
        <f ca="1">IF(Table1[[#This Row],[County]]="West Sussex",Table1[[#This Row],[income]],0)</f>
        <v>0</v>
      </c>
      <c r="BT31" s="20">
        <f ca="1">IF(Table1[[#This Row],[County]]="Devon",Table1[[#This Row],[income]],0)</f>
        <v>0</v>
      </c>
      <c r="BU31" s="20">
        <f ca="1">IF(Table1[[#This Row],[County]]="Berkshire",Table1[[#This Row],[income]],0)</f>
        <v>0</v>
      </c>
      <c r="BV31" s="20">
        <f ca="1">IF(Table1[[#This Row],[County]]="Staffordshire",Table1[[#This Row],[income]],0)</f>
        <v>0</v>
      </c>
      <c r="BW31" s="20">
        <f ca="1">IF(Table1[[#This Row],[County]]="Leicestershire",Table1[[#This Row],[income]],0)</f>
        <v>0</v>
      </c>
      <c r="BX31" s="20">
        <f ca="1">IF(Table1[[#This Row],[County]]="Cornwall",Table1[[#This Row],[income]],0)</f>
        <v>0</v>
      </c>
      <c r="BY31" s="20">
        <f ca="1">IF(Table1[[#This Row],[County]]="Isle of Wight",Table1[[#This Row],[income]],0)</f>
        <v>0</v>
      </c>
      <c r="BZ31" s="20">
        <f ca="1">IF(Table1[[#This Row],[County]]="Surrey",Table1[[#This Row],[income]],0)</f>
        <v>0</v>
      </c>
      <c r="CA31" s="20">
        <f ca="1">IF(Table1[[#This Row],[County]]="Derbyshire",Table1[[#This Row],[income]],0)</f>
        <v>0</v>
      </c>
      <c r="CB31" s="20">
        <f ca="1">IF(Table1[[#This Row],[County]]="City of London",Table1[[#This Row],[income]],0)</f>
        <v>0</v>
      </c>
      <c r="CC31" s="20">
        <f ca="1">IF(Table1[[#This Row],[County]]="Bedfordshire",Table1[[#This Row],[income]],0)</f>
        <v>0</v>
      </c>
      <c r="CD31" s="20">
        <f ca="1">IF(Table1[[#This Row],[County]]="County Durham",Table1[[#This Row],[income]],0)</f>
        <v>0</v>
      </c>
      <c r="CE31" s="20">
        <f ca="1">IF(Table1[[#This Row],[County]]="East Riding of Yorkshire",Table1[[#This Row],[income]],0)</f>
        <v>0</v>
      </c>
      <c r="CF31" s="20">
        <f ca="1">IF(Table1[[#This Row],[County]]="West Yorkshire",Table1[[#This Row],[income]],0)</f>
        <v>0</v>
      </c>
      <c r="CG31" s="20">
        <f ca="1">IF(Table1[[#This Row],[County]]="Essex",Table1[[#This Row],[income]],0)</f>
        <v>33027</v>
      </c>
      <c r="CH31" s="20">
        <f ca="1">IF(Table1[[#This Row],[County]]="East Sussex",Table1[[#This Row],[income]],0)</f>
        <v>0</v>
      </c>
      <c r="CI31" s="20">
        <f ca="1">IF(Table1[[#This Row],[County]]="Greater Manchester",Table1[[#This Row],[income]],0)</f>
        <v>0</v>
      </c>
      <c r="CJ31" s="20">
        <f ca="1">IF(Table1[[#This Row],[County]]="Hertfordshire",Table1[[#This Row],[income]],0)</f>
        <v>0</v>
      </c>
      <c r="CK31" s="20">
        <f ca="1">IF(Table1[[#This Row],[County]]="Herefordshire",Table1[[#This Row],[income]],0)</f>
        <v>0</v>
      </c>
      <c r="CL31" s="20">
        <f ca="1">IF(Table1[[#This Row],[County]]="Lancashire",Table1[[#This Row],[income]],0)</f>
        <v>0</v>
      </c>
      <c r="CM31" s="20">
        <f ca="1">IF(Table1[[#This Row],[County]]="Merseyside",Table1[[#This Row],[income]],0)</f>
        <v>0</v>
      </c>
      <c r="CN31" s="20">
        <f ca="1">IF(Table1[[#This Row],[County]]="Northamptonshire",Table1[[#This Row],[income]],0)</f>
        <v>0</v>
      </c>
      <c r="CO31" s="20">
        <f ca="1">IF(Table1[[#This Row],[County]]="Northumberland",Table1[[#This Row],[income]],0)</f>
        <v>0</v>
      </c>
      <c r="CP31" s="20">
        <f ca="1">IF(Table1[[#This Row],[County]]="Wiltshire",Table1[[#This Row],[income]],0)</f>
        <v>0</v>
      </c>
      <c r="CQ31" s="20">
        <f ca="1">IF(Table1[[#This Row],[County]]="West Midlands",Table1[[#This Row],[income]],0)</f>
        <v>0</v>
      </c>
      <c r="CR31" s="20">
        <f ca="1">IF(Table1[[#This Row],[County]]="Warwickshire",Table1[[#This Row],[income]],0)</f>
        <v>0</v>
      </c>
      <c r="CS31" s="20">
        <f ca="1">IF(Table1[[#This Row],[County]]="Tyne and Wear",Table1[[#This Row],[income]],0)</f>
        <v>0</v>
      </c>
      <c r="CT31" s="20">
        <f ca="1">IF(Table1[[#This Row],[County]]="Worcestershire",Table1[[#This Row],[income]],0)</f>
        <v>0</v>
      </c>
      <c r="CU31" s="20">
        <f ca="1">IF(Table1[[#This Row],[County]]="Rutland",Table1[[#This Row],[income]],0)</f>
        <v>0</v>
      </c>
      <c r="CV31" s="20">
        <f ca="1">IF(Table1[[#This Row],[County]]="Shropshire",Table1[[#This Row],[income]],0)</f>
        <v>0</v>
      </c>
      <c r="CW31" s="20">
        <f ca="1">IF(Table1[[#This Row],[County]]="Dorset",Table1[[#This Row],[income]],0)</f>
        <v>0</v>
      </c>
      <c r="CX31" s="20">
        <f ca="1">IF(Table1[[#This Row],[County]]="Buckinghamshire",Table1[[#This Row],[income]],0)</f>
        <v>0</v>
      </c>
      <c r="CY31" s="20">
        <f ca="1">IF(Table1[[#This Row],[County]]="Suffolk",Table1[[#This Row],[income]],0)</f>
        <v>0</v>
      </c>
      <c r="CZ31" s="20">
        <f ca="1">IF(Table1[[#This Row],[County]]="North Yorkshire",Table1[[#This Row],[income]],0)</f>
        <v>0</v>
      </c>
      <c r="DA31" s="20">
        <f ca="1">IF(Table1[[#This Row],[County]]="Kent",Table1[[#This Row],[income]],0)</f>
        <v>0</v>
      </c>
      <c r="DB31" s="5">
        <f ca="1">IF(Table1[[#This Row],[County]]="Derbyshire",Table1[[#This Row],[income]],0)</f>
        <v>0</v>
      </c>
      <c r="DD31" s="6">
        <f ca="1">IF(Table1[[#This Row],[Column1]]="Health",Table1[[#This Row],[income]],0)</f>
        <v>0</v>
      </c>
      <c r="DE31" s="20">
        <f ca="1">IF(Table1[[#This Row],[Column1]]="Agriculture",Table1[[#This Row],[income]],0)</f>
        <v>0</v>
      </c>
      <c r="DF31" s="20">
        <f ca="1">IF(Table1[[#This Row],[Column1]]="Technology",Table1[[#This Row],[income]],0)</f>
        <v>0</v>
      </c>
      <c r="DG31" s="20">
        <f ca="1">IF(Table1[[#This Row],[Column1]]="Social Service",Table1[[#This Row],[income]],0)</f>
        <v>0</v>
      </c>
      <c r="DH31" s="20">
        <f ca="1">IF(Table1[[#This Row],[Column1]]="Education",Table1[[#This Row],[income]],0)</f>
        <v>0</v>
      </c>
      <c r="DI31" s="5">
        <f ca="1">IF(Table1[[#This Row],[Column1]]="Construction",Table1[[#This Row],[income]],0)</f>
        <v>33027</v>
      </c>
      <c r="DK31" s="6">
        <f ca="1">IF(Table1[[#This Row],[Value of Debts]]&gt;Table1[[#This Row],[income]],1,0)</f>
        <v>1</v>
      </c>
      <c r="DL31" s="20"/>
      <c r="DM31" s="20"/>
      <c r="DN31" s="5"/>
      <c r="DP31" s="6">
        <f ca="1">IF(Table1[[#This Row],[Net Worth (£)]]&gt;$DS$5,C31,0)</f>
        <v>0</v>
      </c>
      <c r="DQ31" s="20"/>
      <c r="DR31" s="20"/>
      <c r="DS31" s="5"/>
    </row>
    <row r="32" spans="1:123" x14ac:dyDescent="0.2">
      <c r="A32">
        <f t="shared" ca="1" si="1"/>
        <v>2</v>
      </c>
      <c r="B32" s="1" t="str">
        <f ca="1">IF(A32=1, "men", "women")</f>
        <v>women</v>
      </c>
      <c r="C32" s="1">
        <f ca="1">RANDBETWEEN(25,50)</f>
        <v>28</v>
      </c>
      <c r="D32">
        <f ca="1">RANDBETWEEN(1,6)</f>
        <v>6</v>
      </c>
      <c r="E32" t="str">
        <f ca="1">VLOOKUP(D32,$W$5:$X$10,2)</f>
        <v>Agriculture</v>
      </c>
      <c r="F32">
        <f ca="1">RANDBETWEEN(1,5)</f>
        <v>4</v>
      </c>
      <c r="G32" t="str">
        <f ca="1">VLOOKUP(F32,$Y$5:$Z$9,2)</f>
        <v xml:space="preserve">Technical </v>
      </c>
      <c r="H32">
        <f ca="1">RANDBETWEEN(0,4)</f>
        <v>3</v>
      </c>
      <c r="I32">
        <f ca="1">RANDBETWEEN(1,3)</f>
        <v>2</v>
      </c>
      <c r="J32">
        <f ca="1">RANDBETWEEN(30000,100000)</f>
        <v>34615</v>
      </c>
      <c r="K32">
        <f ca="1">RANDBETWEEN(1,48)</f>
        <v>19</v>
      </c>
      <c r="L32" t="str">
        <f ca="1">VLOOKUP(K32,$AA$5:$AB$52,2)</f>
        <v>Greater Manchester</v>
      </c>
      <c r="M32">
        <f ca="1">J32*(RANDBETWEEN(2,5))</f>
        <v>138460</v>
      </c>
      <c r="N32">
        <f ca="1">RAND()*M32</f>
        <v>105906.97687753092</v>
      </c>
      <c r="O32">
        <f ca="1">I32*RAND()*J32</f>
        <v>47375.450628437859</v>
      </c>
      <c r="P32">
        <f ca="1">RANDBETWEEN(0,O32)</f>
        <v>39442</v>
      </c>
      <c r="Q32">
        <f ca="1">RAND()*J32*2</f>
        <v>17139.129229028033</v>
      </c>
      <c r="R32">
        <f ca="1">RAND()*J32*1.5</f>
        <v>44373.730353395513</v>
      </c>
      <c r="S32">
        <f ca="1">J32+R32+O32</f>
        <v>126364.18098183337</v>
      </c>
      <c r="T32">
        <f ca="1">N32+P32+Q32</f>
        <v>162488.10610655896</v>
      </c>
      <c r="U32">
        <f ca="1">S32-T32</f>
        <v>-36123.925124725589</v>
      </c>
      <c r="AA32">
        <v>28</v>
      </c>
      <c r="AB32" t="s">
        <v>43</v>
      </c>
      <c r="AC32" s="6">
        <f ca="1">IF(Table1[[#This Row],[gender]]="men",1,0)</f>
        <v>0</v>
      </c>
      <c r="AD32">
        <f ca="1">IF(Table1[[#This Row],[gender]]="women",1,0)</f>
        <v>1</v>
      </c>
      <c r="AH32" s="5"/>
      <c r="AJ32" s="6">
        <f ca="1">IF(Table1[[#This Row],[Column1]]="Health",1,0)</f>
        <v>0</v>
      </c>
      <c r="AK32">
        <f ca="1">IF(Table1[[#This Row],[Column1]]="Construction",1,0)</f>
        <v>0</v>
      </c>
      <c r="AL32">
        <f ca="1">IF(Table1[[#This Row],[Column1]]="Technology",1,0)</f>
        <v>0</v>
      </c>
      <c r="AM32">
        <f ca="1">IF(Table1[[#This Row],[Column1]]="Education",1,0)</f>
        <v>0</v>
      </c>
      <c r="AN32">
        <f ca="1">IF(Table1[[#This Row],[Column1]]="Agriculture",1,0)</f>
        <v>1</v>
      </c>
      <c r="AO32">
        <f ca="1">IF(Table1[[#This Row],[Column1]]="Social Service", 1, 0)</f>
        <v>0</v>
      </c>
      <c r="AT32" s="5"/>
      <c r="AV32" s="17">
        <f t="shared" ca="1" si="0"/>
        <v>49665.48555227933</v>
      </c>
      <c r="AW32" s="5"/>
      <c r="AX32" s="6">
        <f ca="1">IF(Table1[[#This Row],[Value of Debts]]&gt;$AY$4,1,0)</f>
        <v>1</v>
      </c>
      <c r="AY32" s="20"/>
      <c r="AZ32" s="20"/>
      <c r="BA32" s="5"/>
      <c r="BB32" s="25">
        <f ca="1">Table1[[#This Row],[Mortage Left]]/Table1[[#This Row],[Value of House]]</f>
        <v>0.76489222069573104</v>
      </c>
      <c r="BC32" s="20">
        <f t="shared" ca="1" si="2"/>
        <v>0</v>
      </c>
      <c r="BD32" s="20"/>
      <c r="BE32" s="20"/>
      <c r="BF32" s="20"/>
      <c r="BG32" s="6">
        <f ca="1">IF(Table1[[#This Row],[County]]="Cumbria",Table1[[#This Row],[income]],0)</f>
        <v>0</v>
      </c>
      <c r="BH32" s="20">
        <f ca="1">IF(Table1[[#This Row],[County]]="Cheshire",Table1[[#This Row],[income]],0)</f>
        <v>0</v>
      </c>
      <c r="BI32" s="20">
        <f ca="1">IF(Table1[[#This Row],[County]]="Bristol",Table1[[#This Row],[income]],0)</f>
        <v>0</v>
      </c>
      <c r="BJ32" s="20">
        <f ca="1">IF(Table1[[#This Row],[County]]="Surrey",Table1[[#This Row],[income]],0)</f>
        <v>0</v>
      </c>
      <c r="BK32" s="20">
        <f ca="1">IF(Table1[[#This Row],[County]]="Norfolk",Table1[[#This Row],[income]],0)</f>
        <v>0</v>
      </c>
      <c r="BL32" s="20">
        <f ca="1">IF(Table1[[#This Row],[County]]="Lincolnshire",Table1[[#This Row],[income]],0)</f>
        <v>0</v>
      </c>
      <c r="BM32" s="20">
        <f ca="1">IF(Table1[[#This Row],[County]]="Somerset",Table1[[#This Row],[income]],0)</f>
        <v>0</v>
      </c>
      <c r="BN32" s="20">
        <f ca="1">IF(Table1[[#This Row],[County]]="Cambridgeshire",Table1[[#This Row],[income]],0)</f>
        <v>0</v>
      </c>
      <c r="BO32" s="20">
        <f ca="1">IF(Table1[[#This Row],[County]]="South Yorkshire",Table1[[#This Row],[income]],0)</f>
        <v>0</v>
      </c>
      <c r="BP32" s="20">
        <f ca="1">IF(Table1[[#This Row],[County]]="Greater London",Table1[[#This Row],[income]],0)</f>
        <v>0</v>
      </c>
      <c r="BQ32" s="20">
        <f ca="1">IF(Table1[[#This Row],[County]]="Hampshire",Table1[[#This Row],[income]],0)</f>
        <v>0</v>
      </c>
      <c r="BR32" s="20">
        <f ca="1">IF(Table1[[#This Row],[County]]="Gloucestershire",Table1[[#This Row],[income]],0)</f>
        <v>0</v>
      </c>
      <c r="BS32" s="20">
        <f ca="1">IF(Table1[[#This Row],[County]]="West Sussex",Table1[[#This Row],[income]],0)</f>
        <v>0</v>
      </c>
      <c r="BT32" s="20">
        <f ca="1">IF(Table1[[#This Row],[County]]="Devon",Table1[[#This Row],[income]],0)</f>
        <v>0</v>
      </c>
      <c r="BU32" s="20">
        <f ca="1">IF(Table1[[#This Row],[County]]="Berkshire",Table1[[#This Row],[income]],0)</f>
        <v>0</v>
      </c>
      <c r="BV32" s="20">
        <f ca="1">IF(Table1[[#This Row],[County]]="Staffordshire",Table1[[#This Row],[income]],0)</f>
        <v>0</v>
      </c>
      <c r="BW32" s="20">
        <f ca="1">IF(Table1[[#This Row],[County]]="Leicestershire",Table1[[#This Row],[income]],0)</f>
        <v>0</v>
      </c>
      <c r="BX32" s="20">
        <f ca="1">IF(Table1[[#This Row],[County]]="Cornwall",Table1[[#This Row],[income]],0)</f>
        <v>0</v>
      </c>
      <c r="BY32" s="20">
        <f ca="1">IF(Table1[[#This Row],[County]]="Isle of Wight",Table1[[#This Row],[income]],0)</f>
        <v>0</v>
      </c>
      <c r="BZ32" s="20">
        <f ca="1">IF(Table1[[#This Row],[County]]="Surrey",Table1[[#This Row],[income]],0)</f>
        <v>0</v>
      </c>
      <c r="CA32" s="20">
        <f ca="1">IF(Table1[[#This Row],[County]]="Derbyshire",Table1[[#This Row],[income]],0)</f>
        <v>0</v>
      </c>
      <c r="CB32" s="20">
        <f ca="1">IF(Table1[[#This Row],[County]]="City of London",Table1[[#This Row],[income]],0)</f>
        <v>0</v>
      </c>
      <c r="CC32" s="20">
        <f ca="1">IF(Table1[[#This Row],[County]]="Bedfordshire",Table1[[#This Row],[income]],0)</f>
        <v>0</v>
      </c>
      <c r="CD32" s="20">
        <f ca="1">IF(Table1[[#This Row],[County]]="County Durham",Table1[[#This Row],[income]],0)</f>
        <v>0</v>
      </c>
      <c r="CE32" s="20">
        <f ca="1">IF(Table1[[#This Row],[County]]="East Riding of Yorkshire",Table1[[#This Row],[income]],0)</f>
        <v>0</v>
      </c>
      <c r="CF32" s="20">
        <f ca="1">IF(Table1[[#This Row],[County]]="West Yorkshire",Table1[[#This Row],[income]],0)</f>
        <v>0</v>
      </c>
      <c r="CG32" s="20">
        <f ca="1">IF(Table1[[#This Row],[County]]="Essex",Table1[[#This Row],[income]],0)</f>
        <v>0</v>
      </c>
      <c r="CH32" s="20">
        <f ca="1">IF(Table1[[#This Row],[County]]="East Sussex",Table1[[#This Row],[income]],0)</f>
        <v>0</v>
      </c>
      <c r="CI32" s="20">
        <f ca="1">IF(Table1[[#This Row],[County]]="Greater Manchester",Table1[[#This Row],[income]],0)</f>
        <v>34615</v>
      </c>
      <c r="CJ32" s="20">
        <f ca="1">IF(Table1[[#This Row],[County]]="Hertfordshire",Table1[[#This Row],[income]],0)</f>
        <v>0</v>
      </c>
      <c r="CK32" s="20">
        <f ca="1">IF(Table1[[#This Row],[County]]="Herefordshire",Table1[[#This Row],[income]],0)</f>
        <v>0</v>
      </c>
      <c r="CL32" s="20">
        <f ca="1">IF(Table1[[#This Row],[County]]="Lancashire",Table1[[#This Row],[income]],0)</f>
        <v>0</v>
      </c>
      <c r="CM32" s="20">
        <f ca="1">IF(Table1[[#This Row],[County]]="Merseyside",Table1[[#This Row],[income]],0)</f>
        <v>0</v>
      </c>
      <c r="CN32" s="20">
        <f ca="1">IF(Table1[[#This Row],[County]]="Northamptonshire",Table1[[#This Row],[income]],0)</f>
        <v>0</v>
      </c>
      <c r="CO32" s="20">
        <f ca="1">IF(Table1[[#This Row],[County]]="Northumberland",Table1[[#This Row],[income]],0)</f>
        <v>0</v>
      </c>
      <c r="CP32" s="20">
        <f ca="1">IF(Table1[[#This Row],[County]]="Wiltshire",Table1[[#This Row],[income]],0)</f>
        <v>0</v>
      </c>
      <c r="CQ32" s="20">
        <f ca="1">IF(Table1[[#This Row],[County]]="West Midlands",Table1[[#This Row],[income]],0)</f>
        <v>0</v>
      </c>
      <c r="CR32" s="20">
        <f ca="1">IF(Table1[[#This Row],[County]]="Warwickshire",Table1[[#This Row],[income]],0)</f>
        <v>0</v>
      </c>
      <c r="CS32" s="20">
        <f ca="1">IF(Table1[[#This Row],[County]]="Tyne and Wear",Table1[[#This Row],[income]],0)</f>
        <v>0</v>
      </c>
      <c r="CT32" s="20">
        <f ca="1">IF(Table1[[#This Row],[County]]="Worcestershire",Table1[[#This Row],[income]],0)</f>
        <v>0</v>
      </c>
      <c r="CU32" s="20">
        <f ca="1">IF(Table1[[#This Row],[County]]="Rutland",Table1[[#This Row],[income]],0)</f>
        <v>0</v>
      </c>
      <c r="CV32" s="20">
        <f ca="1">IF(Table1[[#This Row],[County]]="Shropshire",Table1[[#This Row],[income]],0)</f>
        <v>0</v>
      </c>
      <c r="CW32" s="20">
        <f ca="1">IF(Table1[[#This Row],[County]]="Dorset",Table1[[#This Row],[income]],0)</f>
        <v>0</v>
      </c>
      <c r="CX32" s="20">
        <f ca="1">IF(Table1[[#This Row],[County]]="Buckinghamshire",Table1[[#This Row],[income]],0)</f>
        <v>0</v>
      </c>
      <c r="CY32" s="20">
        <f ca="1">IF(Table1[[#This Row],[County]]="Suffolk",Table1[[#This Row],[income]],0)</f>
        <v>0</v>
      </c>
      <c r="CZ32" s="20">
        <f ca="1">IF(Table1[[#This Row],[County]]="North Yorkshire",Table1[[#This Row],[income]],0)</f>
        <v>0</v>
      </c>
      <c r="DA32" s="20">
        <f ca="1">IF(Table1[[#This Row],[County]]="Kent",Table1[[#This Row],[income]],0)</f>
        <v>0</v>
      </c>
      <c r="DB32" s="5">
        <f ca="1">IF(Table1[[#This Row],[County]]="Derbyshire",Table1[[#This Row],[income]],0)</f>
        <v>0</v>
      </c>
      <c r="DD32" s="6">
        <f ca="1">IF(Table1[[#This Row],[Column1]]="Health",Table1[[#This Row],[income]],0)</f>
        <v>0</v>
      </c>
      <c r="DE32" s="20">
        <f ca="1">IF(Table1[[#This Row],[Column1]]="Agriculture",Table1[[#This Row],[income]],0)</f>
        <v>34615</v>
      </c>
      <c r="DF32" s="20">
        <f ca="1">IF(Table1[[#This Row],[Column1]]="Technology",Table1[[#This Row],[income]],0)</f>
        <v>0</v>
      </c>
      <c r="DG32" s="20">
        <f ca="1">IF(Table1[[#This Row],[Column1]]="Social Service",Table1[[#This Row],[income]],0)</f>
        <v>0</v>
      </c>
      <c r="DH32" s="20">
        <f ca="1">IF(Table1[[#This Row],[Column1]]="Education",Table1[[#This Row],[income]],0)</f>
        <v>0</v>
      </c>
      <c r="DI32" s="5">
        <f ca="1">IF(Table1[[#This Row],[Column1]]="Construction",Table1[[#This Row],[income]],0)</f>
        <v>0</v>
      </c>
      <c r="DK32" s="6">
        <f ca="1">IF(Table1[[#This Row],[Value of Debts]]&gt;Table1[[#This Row],[income]],1,0)</f>
        <v>1</v>
      </c>
      <c r="DL32" s="20"/>
      <c r="DM32" s="20"/>
      <c r="DN32" s="5"/>
      <c r="DP32" s="6">
        <f ca="1">IF(Table1[[#This Row],[Net Worth (£)]]&gt;$DS$5,C32,0)</f>
        <v>0</v>
      </c>
      <c r="DQ32" s="20"/>
      <c r="DR32" s="20"/>
      <c r="DS32" s="5"/>
    </row>
    <row r="33" spans="1:123" x14ac:dyDescent="0.2">
      <c r="A33">
        <f t="shared" ca="1" si="1"/>
        <v>2</v>
      </c>
      <c r="B33" s="1" t="str">
        <f ca="1">IF(A33=1, "men", "women")</f>
        <v>women</v>
      </c>
      <c r="C33" s="1">
        <f ca="1">RANDBETWEEN(25,50)</f>
        <v>41</v>
      </c>
      <c r="D33">
        <f ca="1">RANDBETWEEN(1,6)</f>
        <v>2</v>
      </c>
      <c r="E33" t="str">
        <f ca="1">VLOOKUP(D33,$W$5:$X$10,2)</f>
        <v>Construction</v>
      </c>
      <c r="F33">
        <f ca="1">RANDBETWEEN(1,5)</f>
        <v>5</v>
      </c>
      <c r="G33" t="str">
        <f ca="1">VLOOKUP(F33,$Y$5:$Z$9,2)</f>
        <v>Other</v>
      </c>
      <c r="H33">
        <f ca="1">RANDBETWEEN(0,4)</f>
        <v>0</v>
      </c>
      <c r="I33">
        <f ca="1">RANDBETWEEN(1,3)</f>
        <v>2</v>
      </c>
      <c r="J33">
        <f ca="1">RANDBETWEEN(30000,100000)</f>
        <v>80371</v>
      </c>
      <c r="K33">
        <f ca="1">RANDBETWEEN(1,48)</f>
        <v>21</v>
      </c>
      <c r="L33" t="str">
        <f ca="1">VLOOKUP(K33,$AA$5:$AB$52,2)</f>
        <v>Herefordshire</v>
      </c>
      <c r="M33">
        <f ca="1">J33*(RANDBETWEEN(2,5))</f>
        <v>321484</v>
      </c>
      <c r="N33">
        <f ca="1">RAND()*M33</f>
        <v>192518.50310939492</v>
      </c>
      <c r="O33">
        <f ca="1">I33*RAND()*J33</f>
        <v>99330.971104558659</v>
      </c>
      <c r="P33">
        <f ca="1">RANDBETWEEN(0,O33)</f>
        <v>34179</v>
      </c>
      <c r="Q33">
        <f ca="1">RAND()*J33*2</f>
        <v>132126.65761282766</v>
      </c>
      <c r="R33">
        <f ca="1">RAND()*J33*1.5</f>
        <v>11077.54555722172</v>
      </c>
      <c r="S33">
        <f ca="1">J33+R33+O33</f>
        <v>190779.51666178036</v>
      </c>
      <c r="T33">
        <f ca="1">N33+P33+Q33</f>
        <v>358824.16072222259</v>
      </c>
      <c r="U33">
        <f ca="1">S33-T33</f>
        <v>-168044.64406044222</v>
      </c>
      <c r="AA33">
        <v>29</v>
      </c>
      <c r="AB33" t="s">
        <v>45</v>
      </c>
      <c r="AC33" s="6">
        <f ca="1">IF(Table1[[#This Row],[gender]]="men",1,0)</f>
        <v>0</v>
      </c>
      <c r="AD33">
        <f ca="1">IF(Table1[[#This Row],[gender]]="women",1,0)</f>
        <v>1</v>
      </c>
      <c r="AH33" s="5"/>
      <c r="AJ33" s="6">
        <f ca="1">IF(Table1[[#This Row],[Column1]]="Health",1,0)</f>
        <v>0</v>
      </c>
      <c r="AK33">
        <f ca="1">IF(Table1[[#This Row],[Column1]]="Construction",1,0)</f>
        <v>1</v>
      </c>
      <c r="AL33">
        <f ca="1">IF(Table1[[#This Row],[Column1]]="Technology",1,0)</f>
        <v>0</v>
      </c>
      <c r="AM33">
        <f ca="1">IF(Table1[[#This Row],[Column1]]="Education",1,0)</f>
        <v>0</v>
      </c>
      <c r="AN33">
        <f ca="1">IF(Table1[[#This Row],[Column1]]="Agriculture",1,0)</f>
        <v>0</v>
      </c>
      <c r="AO33">
        <f ca="1">IF(Table1[[#This Row],[Column1]]="Social Service", 1, 0)</f>
        <v>0</v>
      </c>
      <c r="AT33" s="5"/>
      <c r="AV33" s="17">
        <f t="shared" ca="1" si="0"/>
        <v>31673.074804752807</v>
      </c>
      <c r="AW33" s="5"/>
      <c r="AX33" s="6">
        <f ca="1">IF(Table1[[#This Row],[Value of Debts]]&gt;$AY$4,1,0)</f>
        <v>1</v>
      </c>
      <c r="AY33" s="20"/>
      <c r="AZ33" s="20"/>
      <c r="BA33" s="5"/>
      <c r="BB33" s="25">
        <f ca="1">Table1[[#This Row],[Mortage Left]]/Table1[[#This Row],[Value of House]]</f>
        <v>0.59884318693743677</v>
      </c>
      <c r="BC33" s="20">
        <f t="shared" ca="1" si="2"/>
        <v>0</v>
      </c>
      <c r="BD33" s="20"/>
      <c r="BE33" s="20"/>
      <c r="BF33" s="20"/>
      <c r="BG33" s="6">
        <f ca="1">IF(Table1[[#This Row],[County]]="Cumbria",Table1[[#This Row],[income]],0)</f>
        <v>0</v>
      </c>
      <c r="BH33" s="20">
        <f ca="1">IF(Table1[[#This Row],[County]]="Cheshire",Table1[[#This Row],[income]],0)</f>
        <v>0</v>
      </c>
      <c r="BI33" s="20">
        <f ca="1">IF(Table1[[#This Row],[County]]="Bristol",Table1[[#This Row],[income]],0)</f>
        <v>0</v>
      </c>
      <c r="BJ33" s="20">
        <f ca="1">IF(Table1[[#This Row],[County]]="Surrey",Table1[[#This Row],[income]],0)</f>
        <v>0</v>
      </c>
      <c r="BK33" s="20">
        <f ca="1">IF(Table1[[#This Row],[County]]="Norfolk",Table1[[#This Row],[income]],0)</f>
        <v>0</v>
      </c>
      <c r="BL33" s="20">
        <f ca="1">IF(Table1[[#This Row],[County]]="Lincolnshire",Table1[[#This Row],[income]],0)</f>
        <v>0</v>
      </c>
      <c r="BM33" s="20">
        <f ca="1">IF(Table1[[#This Row],[County]]="Somerset",Table1[[#This Row],[income]],0)</f>
        <v>0</v>
      </c>
      <c r="BN33" s="20">
        <f ca="1">IF(Table1[[#This Row],[County]]="Cambridgeshire",Table1[[#This Row],[income]],0)</f>
        <v>0</v>
      </c>
      <c r="BO33" s="20">
        <f ca="1">IF(Table1[[#This Row],[County]]="South Yorkshire",Table1[[#This Row],[income]],0)</f>
        <v>0</v>
      </c>
      <c r="BP33" s="20">
        <f ca="1">IF(Table1[[#This Row],[County]]="Greater London",Table1[[#This Row],[income]],0)</f>
        <v>0</v>
      </c>
      <c r="BQ33" s="20">
        <f ca="1">IF(Table1[[#This Row],[County]]="Hampshire",Table1[[#This Row],[income]],0)</f>
        <v>0</v>
      </c>
      <c r="BR33" s="20">
        <f ca="1">IF(Table1[[#This Row],[County]]="Gloucestershire",Table1[[#This Row],[income]],0)</f>
        <v>0</v>
      </c>
      <c r="BS33" s="20">
        <f ca="1">IF(Table1[[#This Row],[County]]="West Sussex",Table1[[#This Row],[income]],0)</f>
        <v>0</v>
      </c>
      <c r="BT33" s="20">
        <f ca="1">IF(Table1[[#This Row],[County]]="Devon",Table1[[#This Row],[income]],0)</f>
        <v>0</v>
      </c>
      <c r="BU33" s="20">
        <f ca="1">IF(Table1[[#This Row],[County]]="Berkshire",Table1[[#This Row],[income]],0)</f>
        <v>0</v>
      </c>
      <c r="BV33" s="20">
        <f ca="1">IF(Table1[[#This Row],[County]]="Staffordshire",Table1[[#This Row],[income]],0)</f>
        <v>0</v>
      </c>
      <c r="BW33" s="20">
        <f ca="1">IF(Table1[[#This Row],[County]]="Leicestershire",Table1[[#This Row],[income]],0)</f>
        <v>0</v>
      </c>
      <c r="BX33" s="20">
        <f ca="1">IF(Table1[[#This Row],[County]]="Cornwall",Table1[[#This Row],[income]],0)</f>
        <v>0</v>
      </c>
      <c r="BY33" s="20">
        <f ca="1">IF(Table1[[#This Row],[County]]="Isle of Wight",Table1[[#This Row],[income]],0)</f>
        <v>0</v>
      </c>
      <c r="BZ33" s="20">
        <f ca="1">IF(Table1[[#This Row],[County]]="Surrey",Table1[[#This Row],[income]],0)</f>
        <v>0</v>
      </c>
      <c r="CA33" s="20">
        <f ca="1">IF(Table1[[#This Row],[County]]="Derbyshire",Table1[[#This Row],[income]],0)</f>
        <v>0</v>
      </c>
      <c r="CB33" s="20">
        <f ca="1">IF(Table1[[#This Row],[County]]="City of London",Table1[[#This Row],[income]],0)</f>
        <v>0</v>
      </c>
      <c r="CC33" s="20">
        <f ca="1">IF(Table1[[#This Row],[County]]="Bedfordshire",Table1[[#This Row],[income]],0)</f>
        <v>0</v>
      </c>
      <c r="CD33" s="20">
        <f ca="1">IF(Table1[[#This Row],[County]]="County Durham",Table1[[#This Row],[income]],0)</f>
        <v>0</v>
      </c>
      <c r="CE33" s="20">
        <f ca="1">IF(Table1[[#This Row],[County]]="East Riding of Yorkshire",Table1[[#This Row],[income]],0)</f>
        <v>0</v>
      </c>
      <c r="CF33" s="20">
        <f ca="1">IF(Table1[[#This Row],[County]]="West Yorkshire",Table1[[#This Row],[income]],0)</f>
        <v>0</v>
      </c>
      <c r="CG33" s="20">
        <f ca="1">IF(Table1[[#This Row],[County]]="Essex",Table1[[#This Row],[income]],0)</f>
        <v>0</v>
      </c>
      <c r="CH33" s="20">
        <f ca="1">IF(Table1[[#This Row],[County]]="East Sussex",Table1[[#This Row],[income]],0)</f>
        <v>0</v>
      </c>
      <c r="CI33" s="20">
        <f ca="1">IF(Table1[[#This Row],[County]]="Greater Manchester",Table1[[#This Row],[income]],0)</f>
        <v>0</v>
      </c>
      <c r="CJ33" s="20">
        <f ca="1">IF(Table1[[#This Row],[County]]="Hertfordshire",Table1[[#This Row],[income]],0)</f>
        <v>0</v>
      </c>
      <c r="CK33" s="20">
        <f ca="1">IF(Table1[[#This Row],[County]]="Herefordshire",Table1[[#This Row],[income]],0)</f>
        <v>80371</v>
      </c>
      <c r="CL33" s="20">
        <f ca="1">IF(Table1[[#This Row],[County]]="Lancashire",Table1[[#This Row],[income]],0)</f>
        <v>0</v>
      </c>
      <c r="CM33" s="20">
        <f ca="1">IF(Table1[[#This Row],[County]]="Merseyside",Table1[[#This Row],[income]],0)</f>
        <v>0</v>
      </c>
      <c r="CN33" s="20">
        <f ca="1">IF(Table1[[#This Row],[County]]="Northamptonshire",Table1[[#This Row],[income]],0)</f>
        <v>0</v>
      </c>
      <c r="CO33" s="20">
        <f ca="1">IF(Table1[[#This Row],[County]]="Northumberland",Table1[[#This Row],[income]],0)</f>
        <v>0</v>
      </c>
      <c r="CP33" s="20">
        <f ca="1">IF(Table1[[#This Row],[County]]="Wiltshire",Table1[[#This Row],[income]],0)</f>
        <v>0</v>
      </c>
      <c r="CQ33" s="20">
        <f ca="1">IF(Table1[[#This Row],[County]]="West Midlands",Table1[[#This Row],[income]],0)</f>
        <v>0</v>
      </c>
      <c r="CR33" s="20">
        <f ca="1">IF(Table1[[#This Row],[County]]="Warwickshire",Table1[[#This Row],[income]],0)</f>
        <v>0</v>
      </c>
      <c r="CS33" s="20">
        <f ca="1">IF(Table1[[#This Row],[County]]="Tyne and Wear",Table1[[#This Row],[income]],0)</f>
        <v>0</v>
      </c>
      <c r="CT33" s="20">
        <f ca="1">IF(Table1[[#This Row],[County]]="Worcestershire",Table1[[#This Row],[income]],0)</f>
        <v>0</v>
      </c>
      <c r="CU33" s="20">
        <f ca="1">IF(Table1[[#This Row],[County]]="Rutland",Table1[[#This Row],[income]],0)</f>
        <v>0</v>
      </c>
      <c r="CV33" s="20">
        <f ca="1">IF(Table1[[#This Row],[County]]="Shropshire",Table1[[#This Row],[income]],0)</f>
        <v>0</v>
      </c>
      <c r="CW33" s="20">
        <f ca="1">IF(Table1[[#This Row],[County]]="Dorset",Table1[[#This Row],[income]],0)</f>
        <v>0</v>
      </c>
      <c r="CX33" s="20">
        <f ca="1">IF(Table1[[#This Row],[County]]="Buckinghamshire",Table1[[#This Row],[income]],0)</f>
        <v>0</v>
      </c>
      <c r="CY33" s="20">
        <f ca="1">IF(Table1[[#This Row],[County]]="Suffolk",Table1[[#This Row],[income]],0)</f>
        <v>0</v>
      </c>
      <c r="CZ33" s="20">
        <f ca="1">IF(Table1[[#This Row],[County]]="North Yorkshire",Table1[[#This Row],[income]],0)</f>
        <v>0</v>
      </c>
      <c r="DA33" s="20">
        <f ca="1">IF(Table1[[#This Row],[County]]="Kent",Table1[[#This Row],[income]],0)</f>
        <v>0</v>
      </c>
      <c r="DB33" s="5">
        <f ca="1">IF(Table1[[#This Row],[County]]="Derbyshire",Table1[[#This Row],[income]],0)</f>
        <v>0</v>
      </c>
      <c r="DD33" s="6">
        <f ca="1">IF(Table1[[#This Row],[Column1]]="Health",Table1[[#This Row],[income]],0)</f>
        <v>0</v>
      </c>
      <c r="DE33" s="20">
        <f ca="1">IF(Table1[[#This Row],[Column1]]="Agriculture",Table1[[#This Row],[income]],0)</f>
        <v>0</v>
      </c>
      <c r="DF33" s="20">
        <f ca="1">IF(Table1[[#This Row],[Column1]]="Technology",Table1[[#This Row],[income]],0)</f>
        <v>0</v>
      </c>
      <c r="DG33" s="20">
        <f ca="1">IF(Table1[[#This Row],[Column1]]="Social Service",Table1[[#This Row],[income]],0)</f>
        <v>0</v>
      </c>
      <c r="DH33" s="20">
        <f ca="1">IF(Table1[[#This Row],[Column1]]="Education",Table1[[#This Row],[income]],0)</f>
        <v>0</v>
      </c>
      <c r="DI33" s="5">
        <f ca="1">IF(Table1[[#This Row],[Column1]]="Construction",Table1[[#This Row],[income]],0)</f>
        <v>80371</v>
      </c>
      <c r="DK33" s="6">
        <f ca="1">IF(Table1[[#This Row],[Value of Debts]]&gt;Table1[[#This Row],[income]],1,0)</f>
        <v>1</v>
      </c>
      <c r="DL33" s="20"/>
      <c r="DM33" s="20"/>
      <c r="DN33" s="5"/>
      <c r="DP33" s="6">
        <f ca="1">IF(Table1[[#This Row],[Net Worth (£)]]&gt;$DS$5,C33,0)</f>
        <v>0</v>
      </c>
      <c r="DQ33" s="20"/>
      <c r="DR33" s="20"/>
      <c r="DS33" s="5"/>
    </row>
    <row r="34" spans="1:123" x14ac:dyDescent="0.2">
      <c r="A34">
        <f t="shared" ca="1" si="1"/>
        <v>1</v>
      </c>
      <c r="B34" s="1" t="str">
        <f ca="1">IF(A34=1, "men", "women")</f>
        <v>men</v>
      </c>
      <c r="C34" s="1">
        <f ca="1">RANDBETWEEN(25,50)</f>
        <v>27</v>
      </c>
      <c r="D34">
        <f ca="1">RANDBETWEEN(1,6)</f>
        <v>5</v>
      </c>
      <c r="E34" t="str">
        <f ca="1">VLOOKUP(D34,$W$5:$X$10,2)</f>
        <v>Social Service</v>
      </c>
      <c r="F34">
        <f ca="1">RANDBETWEEN(1,5)</f>
        <v>5</v>
      </c>
      <c r="G34" t="str">
        <f ca="1">VLOOKUP(F34,$Y$5:$Z$9,2)</f>
        <v>Other</v>
      </c>
      <c r="H34">
        <f ca="1">RANDBETWEEN(0,4)</f>
        <v>0</v>
      </c>
      <c r="I34">
        <f ca="1">RANDBETWEEN(1,3)</f>
        <v>3</v>
      </c>
      <c r="J34">
        <f ca="1">RANDBETWEEN(30000,100000)</f>
        <v>70621</v>
      </c>
      <c r="K34">
        <f ca="1">RANDBETWEEN(1,48)</f>
        <v>24</v>
      </c>
      <c r="L34" t="str">
        <f ca="1">VLOOKUP(K34,$AA$5:$AB$52,2)</f>
        <v>Kent</v>
      </c>
      <c r="M34">
        <f ca="1">J34*(RANDBETWEEN(2,5))</f>
        <v>211863</v>
      </c>
      <c r="N34">
        <f ca="1">RAND()*M34</f>
        <v>61316.295094581765</v>
      </c>
      <c r="O34">
        <f ca="1">I34*RAND()*J34</f>
        <v>95019.224414258424</v>
      </c>
      <c r="P34">
        <f ca="1">RANDBETWEEN(0,O34)</f>
        <v>47652</v>
      </c>
      <c r="Q34">
        <f ca="1">RAND()*J34*2</f>
        <v>28116.977751056926</v>
      </c>
      <c r="R34">
        <f ca="1">RAND()*J34*1.5</f>
        <v>48289.409930154856</v>
      </c>
      <c r="S34">
        <f ca="1">J34+R34+O34</f>
        <v>213929.63434441329</v>
      </c>
      <c r="T34">
        <f ca="1">N34+P34+Q34</f>
        <v>137085.27284563868</v>
      </c>
      <c r="U34">
        <f ca="1">S34-T34</f>
        <v>76844.361498774611</v>
      </c>
      <c r="AA34">
        <v>30</v>
      </c>
      <c r="AB34" t="s">
        <v>46</v>
      </c>
      <c r="AC34" s="6">
        <f ca="1">IF(Table1[[#This Row],[gender]]="men",1,0)</f>
        <v>1</v>
      </c>
      <c r="AD34">
        <f ca="1">IF(Table1[[#This Row],[gender]]="women",1,0)</f>
        <v>0</v>
      </c>
      <c r="AH34" s="5"/>
      <c r="AJ34" s="6">
        <f ca="1">IF(Table1[[#This Row],[Column1]]="Health",1,0)</f>
        <v>0</v>
      </c>
      <c r="AK34">
        <f ca="1">IF(Table1[[#This Row],[Column1]]="Construction",1,0)</f>
        <v>0</v>
      </c>
      <c r="AL34">
        <f ca="1">IF(Table1[[#This Row],[Column1]]="Technology",1,0)</f>
        <v>0</v>
      </c>
      <c r="AM34">
        <f ca="1">IF(Table1[[#This Row],[Column1]]="Education",1,0)</f>
        <v>0</v>
      </c>
      <c r="AN34">
        <f ca="1">IF(Table1[[#This Row],[Column1]]="Agriculture",1,0)</f>
        <v>0</v>
      </c>
      <c r="AO34">
        <f ca="1">IF(Table1[[#This Row],[Column1]]="Social Service", 1, 0)</f>
        <v>1</v>
      </c>
      <c r="AT34" s="5"/>
      <c r="AV34" s="17">
        <f t="shared" ca="1" si="0"/>
        <v>42042.946574200658</v>
      </c>
      <c r="AW34" s="5"/>
      <c r="AX34" s="6">
        <f ca="1">IF(Table1[[#This Row],[Value of Debts]]&gt;$AY$4,1,0)</f>
        <v>1</v>
      </c>
      <c r="AY34" s="20"/>
      <c r="AZ34" s="20"/>
      <c r="BA34" s="5"/>
      <c r="BB34" s="25">
        <f ca="1">Table1[[#This Row],[Mortage Left]]/Table1[[#This Row],[Value of House]]</f>
        <v>0.28941483456092743</v>
      </c>
      <c r="BC34" s="20">
        <f t="shared" ca="1" si="2"/>
        <v>1</v>
      </c>
      <c r="BD34" s="20"/>
      <c r="BE34" s="20"/>
      <c r="BF34" s="20"/>
      <c r="BG34" s="6">
        <f ca="1">IF(Table1[[#This Row],[County]]="Cumbria",Table1[[#This Row],[income]],0)</f>
        <v>0</v>
      </c>
      <c r="BH34" s="20">
        <f ca="1">IF(Table1[[#This Row],[County]]="Cheshire",Table1[[#This Row],[income]],0)</f>
        <v>0</v>
      </c>
      <c r="BI34" s="20">
        <f ca="1">IF(Table1[[#This Row],[County]]="Bristol",Table1[[#This Row],[income]],0)</f>
        <v>0</v>
      </c>
      <c r="BJ34" s="20">
        <f ca="1">IF(Table1[[#This Row],[County]]="Surrey",Table1[[#This Row],[income]],0)</f>
        <v>0</v>
      </c>
      <c r="BK34" s="20">
        <f ca="1">IF(Table1[[#This Row],[County]]="Norfolk",Table1[[#This Row],[income]],0)</f>
        <v>0</v>
      </c>
      <c r="BL34" s="20">
        <f ca="1">IF(Table1[[#This Row],[County]]="Lincolnshire",Table1[[#This Row],[income]],0)</f>
        <v>0</v>
      </c>
      <c r="BM34" s="20">
        <f ca="1">IF(Table1[[#This Row],[County]]="Somerset",Table1[[#This Row],[income]],0)</f>
        <v>0</v>
      </c>
      <c r="BN34" s="20">
        <f ca="1">IF(Table1[[#This Row],[County]]="Cambridgeshire",Table1[[#This Row],[income]],0)</f>
        <v>0</v>
      </c>
      <c r="BO34" s="20">
        <f ca="1">IF(Table1[[#This Row],[County]]="South Yorkshire",Table1[[#This Row],[income]],0)</f>
        <v>0</v>
      </c>
      <c r="BP34" s="20">
        <f ca="1">IF(Table1[[#This Row],[County]]="Greater London",Table1[[#This Row],[income]],0)</f>
        <v>0</v>
      </c>
      <c r="BQ34" s="20">
        <f ca="1">IF(Table1[[#This Row],[County]]="Hampshire",Table1[[#This Row],[income]],0)</f>
        <v>0</v>
      </c>
      <c r="BR34" s="20">
        <f ca="1">IF(Table1[[#This Row],[County]]="Gloucestershire",Table1[[#This Row],[income]],0)</f>
        <v>0</v>
      </c>
      <c r="BS34" s="20">
        <f ca="1">IF(Table1[[#This Row],[County]]="West Sussex",Table1[[#This Row],[income]],0)</f>
        <v>0</v>
      </c>
      <c r="BT34" s="20">
        <f ca="1">IF(Table1[[#This Row],[County]]="Devon",Table1[[#This Row],[income]],0)</f>
        <v>0</v>
      </c>
      <c r="BU34" s="20">
        <f ca="1">IF(Table1[[#This Row],[County]]="Berkshire",Table1[[#This Row],[income]],0)</f>
        <v>0</v>
      </c>
      <c r="BV34" s="20">
        <f ca="1">IF(Table1[[#This Row],[County]]="Staffordshire",Table1[[#This Row],[income]],0)</f>
        <v>0</v>
      </c>
      <c r="BW34" s="20">
        <f ca="1">IF(Table1[[#This Row],[County]]="Leicestershire",Table1[[#This Row],[income]],0)</f>
        <v>0</v>
      </c>
      <c r="BX34" s="20">
        <f ca="1">IF(Table1[[#This Row],[County]]="Cornwall",Table1[[#This Row],[income]],0)</f>
        <v>0</v>
      </c>
      <c r="BY34" s="20">
        <f ca="1">IF(Table1[[#This Row],[County]]="Isle of Wight",Table1[[#This Row],[income]],0)</f>
        <v>0</v>
      </c>
      <c r="BZ34" s="20">
        <f ca="1">IF(Table1[[#This Row],[County]]="Surrey",Table1[[#This Row],[income]],0)</f>
        <v>0</v>
      </c>
      <c r="CA34" s="20">
        <f ca="1">IF(Table1[[#This Row],[County]]="Derbyshire",Table1[[#This Row],[income]],0)</f>
        <v>0</v>
      </c>
      <c r="CB34" s="20">
        <f ca="1">IF(Table1[[#This Row],[County]]="City of London",Table1[[#This Row],[income]],0)</f>
        <v>0</v>
      </c>
      <c r="CC34" s="20">
        <f ca="1">IF(Table1[[#This Row],[County]]="Bedfordshire",Table1[[#This Row],[income]],0)</f>
        <v>0</v>
      </c>
      <c r="CD34" s="20">
        <f ca="1">IF(Table1[[#This Row],[County]]="County Durham",Table1[[#This Row],[income]],0)</f>
        <v>0</v>
      </c>
      <c r="CE34" s="20">
        <f ca="1">IF(Table1[[#This Row],[County]]="East Riding of Yorkshire",Table1[[#This Row],[income]],0)</f>
        <v>0</v>
      </c>
      <c r="CF34" s="20">
        <f ca="1">IF(Table1[[#This Row],[County]]="West Yorkshire",Table1[[#This Row],[income]],0)</f>
        <v>0</v>
      </c>
      <c r="CG34" s="20">
        <f ca="1">IF(Table1[[#This Row],[County]]="Essex",Table1[[#This Row],[income]],0)</f>
        <v>0</v>
      </c>
      <c r="CH34" s="20">
        <f ca="1">IF(Table1[[#This Row],[County]]="East Sussex",Table1[[#This Row],[income]],0)</f>
        <v>0</v>
      </c>
      <c r="CI34" s="20">
        <f ca="1">IF(Table1[[#This Row],[County]]="Greater Manchester",Table1[[#This Row],[income]],0)</f>
        <v>0</v>
      </c>
      <c r="CJ34" s="20">
        <f ca="1">IF(Table1[[#This Row],[County]]="Hertfordshire",Table1[[#This Row],[income]],0)</f>
        <v>0</v>
      </c>
      <c r="CK34" s="20">
        <f ca="1">IF(Table1[[#This Row],[County]]="Herefordshire",Table1[[#This Row],[income]],0)</f>
        <v>0</v>
      </c>
      <c r="CL34" s="20">
        <f ca="1">IF(Table1[[#This Row],[County]]="Lancashire",Table1[[#This Row],[income]],0)</f>
        <v>0</v>
      </c>
      <c r="CM34" s="20">
        <f ca="1">IF(Table1[[#This Row],[County]]="Merseyside",Table1[[#This Row],[income]],0)</f>
        <v>0</v>
      </c>
      <c r="CN34" s="20">
        <f ca="1">IF(Table1[[#This Row],[County]]="Northamptonshire",Table1[[#This Row],[income]],0)</f>
        <v>0</v>
      </c>
      <c r="CO34" s="20">
        <f ca="1">IF(Table1[[#This Row],[County]]="Northumberland",Table1[[#This Row],[income]],0)</f>
        <v>0</v>
      </c>
      <c r="CP34" s="20">
        <f ca="1">IF(Table1[[#This Row],[County]]="Wiltshire",Table1[[#This Row],[income]],0)</f>
        <v>0</v>
      </c>
      <c r="CQ34" s="20">
        <f ca="1">IF(Table1[[#This Row],[County]]="West Midlands",Table1[[#This Row],[income]],0)</f>
        <v>0</v>
      </c>
      <c r="CR34" s="20">
        <f ca="1">IF(Table1[[#This Row],[County]]="Warwickshire",Table1[[#This Row],[income]],0)</f>
        <v>0</v>
      </c>
      <c r="CS34" s="20">
        <f ca="1">IF(Table1[[#This Row],[County]]="Tyne and Wear",Table1[[#This Row],[income]],0)</f>
        <v>0</v>
      </c>
      <c r="CT34" s="20">
        <f ca="1">IF(Table1[[#This Row],[County]]="Worcestershire",Table1[[#This Row],[income]],0)</f>
        <v>0</v>
      </c>
      <c r="CU34" s="20">
        <f ca="1">IF(Table1[[#This Row],[County]]="Rutland",Table1[[#This Row],[income]],0)</f>
        <v>0</v>
      </c>
      <c r="CV34" s="20">
        <f ca="1">IF(Table1[[#This Row],[County]]="Shropshire",Table1[[#This Row],[income]],0)</f>
        <v>0</v>
      </c>
      <c r="CW34" s="20">
        <f ca="1">IF(Table1[[#This Row],[County]]="Dorset",Table1[[#This Row],[income]],0)</f>
        <v>0</v>
      </c>
      <c r="CX34" s="20">
        <f ca="1">IF(Table1[[#This Row],[County]]="Buckinghamshire",Table1[[#This Row],[income]],0)</f>
        <v>0</v>
      </c>
      <c r="CY34" s="20">
        <f ca="1">IF(Table1[[#This Row],[County]]="Suffolk",Table1[[#This Row],[income]],0)</f>
        <v>0</v>
      </c>
      <c r="CZ34" s="20">
        <f ca="1">IF(Table1[[#This Row],[County]]="North Yorkshire",Table1[[#This Row],[income]],0)</f>
        <v>0</v>
      </c>
      <c r="DA34" s="20">
        <f ca="1">IF(Table1[[#This Row],[County]]="Kent",Table1[[#This Row],[income]],0)</f>
        <v>70621</v>
      </c>
      <c r="DB34" s="5">
        <f ca="1">IF(Table1[[#This Row],[County]]="Derbyshire",Table1[[#This Row],[income]],0)</f>
        <v>0</v>
      </c>
      <c r="DD34" s="6">
        <f ca="1">IF(Table1[[#This Row],[Column1]]="Health",Table1[[#This Row],[income]],0)</f>
        <v>0</v>
      </c>
      <c r="DE34" s="20">
        <f ca="1">IF(Table1[[#This Row],[Column1]]="Agriculture",Table1[[#This Row],[income]],0)</f>
        <v>0</v>
      </c>
      <c r="DF34" s="20">
        <f ca="1">IF(Table1[[#This Row],[Column1]]="Technology",Table1[[#This Row],[income]],0)</f>
        <v>0</v>
      </c>
      <c r="DG34" s="20">
        <f ca="1">IF(Table1[[#This Row],[Column1]]="Social Service",Table1[[#This Row],[income]],0)</f>
        <v>70621</v>
      </c>
      <c r="DH34" s="20">
        <f ca="1">IF(Table1[[#This Row],[Column1]]="Education",Table1[[#This Row],[income]],0)</f>
        <v>0</v>
      </c>
      <c r="DI34" s="5">
        <f ca="1">IF(Table1[[#This Row],[Column1]]="Construction",Table1[[#This Row],[income]],0)</f>
        <v>0</v>
      </c>
      <c r="DK34" s="6">
        <f ca="1">IF(Table1[[#This Row],[Value of Debts]]&gt;Table1[[#This Row],[income]],1,0)</f>
        <v>1</v>
      </c>
      <c r="DL34" s="20"/>
      <c r="DM34" s="20"/>
      <c r="DN34" s="5"/>
      <c r="DP34" s="6">
        <f ca="1">IF(Table1[[#This Row],[Net Worth (£)]]&gt;$DS$5,C34,0)</f>
        <v>27</v>
      </c>
      <c r="DQ34" s="20"/>
      <c r="DR34" s="20"/>
      <c r="DS34" s="5"/>
    </row>
    <row r="35" spans="1:123" x14ac:dyDescent="0.2">
      <c r="A35">
        <f t="shared" ca="1" si="1"/>
        <v>2</v>
      </c>
      <c r="B35" s="1" t="str">
        <f ca="1">IF(A35=1, "men", "women")</f>
        <v>women</v>
      </c>
      <c r="C35" s="1">
        <f ca="1">RANDBETWEEN(25,50)</f>
        <v>49</v>
      </c>
      <c r="D35">
        <f ca="1">RANDBETWEEN(1,6)</f>
        <v>6</v>
      </c>
      <c r="E35" t="str">
        <f ca="1">VLOOKUP(D35,$W$5:$X$10,2)</f>
        <v>Agriculture</v>
      </c>
      <c r="F35">
        <f ca="1">RANDBETWEEN(1,5)</f>
        <v>1</v>
      </c>
      <c r="G35" t="str">
        <f ca="1">VLOOKUP(F35,$Y$5:$Z$9,2)</f>
        <v>High School</v>
      </c>
      <c r="H35">
        <f ca="1">RANDBETWEEN(0,4)</f>
        <v>0</v>
      </c>
      <c r="I35">
        <f ca="1">RANDBETWEEN(1,3)</f>
        <v>1</v>
      </c>
      <c r="J35">
        <f ca="1">RANDBETWEEN(30000,100000)</f>
        <v>78133</v>
      </c>
      <c r="K35">
        <f ca="1">RANDBETWEEN(1,48)</f>
        <v>19</v>
      </c>
      <c r="L35" t="str">
        <f ca="1">VLOOKUP(K35,$AA$5:$AB$52,2)</f>
        <v>Greater Manchester</v>
      </c>
      <c r="M35">
        <f ca="1">J35*(RANDBETWEEN(2,5))</f>
        <v>312532</v>
      </c>
      <c r="N35">
        <f ca="1">RAND()*M35</f>
        <v>245133.60257121464</v>
      </c>
      <c r="O35">
        <f ca="1">I35*RAND()*J35</f>
        <v>42042.946574200658</v>
      </c>
      <c r="P35">
        <f ca="1">RANDBETWEEN(0,O35)</f>
        <v>35173</v>
      </c>
      <c r="Q35">
        <f ca="1">RAND()*J35*2</f>
        <v>143075.01572397925</v>
      </c>
      <c r="R35">
        <f ca="1">RAND()*J35*1.5</f>
        <v>46165.364725320127</v>
      </c>
      <c r="S35">
        <f ca="1">J35+R35+O35</f>
        <v>166341.31129952078</v>
      </c>
      <c r="T35">
        <f ca="1">N35+P35+Q35</f>
        <v>423381.61829519388</v>
      </c>
      <c r="U35">
        <f ca="1">S35-T35</f>
        <v>-257040.30699567311</v>
      </c>
      <c r="AA35">
        <v>31</v>
      </c>
      <c r="AB35" t="s">
        <v>47</v>
      </c>
      <c r="AC35" s="6">
        <f ca="1">IF(Table1[[#This Row],[gender]]="men",1,0)</f>
        <v>0</v>
      </c>
      <c r="AD35">
        <f ca="1">IF(Table1[[#This Row],[gender]]="women",1,0)</f>
        <v>1</v>
      </c>
      <c r="AH35" s="5"/>
      <c r="AJ35" s="6">
        <f ca="1">IF(Table1[[#This Row],[Column1]]="Health",1,0)</f>
        <v>0</v>
      </c>
      <c r="AK35">
        <f ca="1">IF(Table1[[#This Row],[Column1]]="Construction",1,0)</f>
        <v>0</v>
      </c>
      <c r="AL35">
        <f ca="1">IF(Table1[[#This Row],[Column1]]="Technology",1,0)</f>
        <v>0</v>
      </c>
      <c r="AM35">
        <f ca="1">IF(Table1[[#This Row],[Column1]]="Education",1,0)</f>
        <v>0</v>
      </c>
      <c r="AN35">
        <f ca="1">IF(Table1[[#This Row],[Column1]]="Agriculture",1,0)</f>
        <v>1</v>
      </c>
      <c r="AO35">
        <f ca="1">IF(Table1[[#This Row],[Column1]]="Social Service", 1, 0)</f>
        <v>0</v>
      </c>
      <c r="AT35" s="5"/>
      <c r="AV35" s="17">
        <f t="shared" ca="1" si="0"/>
        <v>14839.779228208017</v>
      </c>
      <c r="AW35" s="5"/>
      <c r="AX35" s="6">
        <f ca="1">IF(Table1[[#This Row],[Value of Debts]]&gt;$AY$4,1,0)</f>
        <v>1</v>
      </c>
      <c r="AY35" s="20"/>
      <c r="AZ35" s="20"/>
      <c r="BA35" s="5"/>
      <c r="BB35" s="25">
        <f ca="1">Table1[[#This Row],[Mortage Left]]/Table1[[#This Row],[Value of House]]</f>
        <v>0.78434721107347294</v>
      </c>
      <c r="BC35" s="20">
        <f t="shared" ca="1" si="2"/>
        <v>0</v>
      </c>
      <c r="BD35" s="20"/>
      <c r="BE35" s="20"/>
      <c r="BF35" s="20"/>
      <c r="BG35" s="6">
        <f ca="1">IF(Table1[[#This Row],[County]]="Cumbria",Table1[[#This Row],[income]],0)</f>
        <v>0</v>
      </c>
      <c r="BH35" s="20">
        <f ca="1">IF(Table1[[#This Row],[County]]="Cheshire",Table1[[#This Row],[income]],0)</f>
        <v>0</v>
      </c>
      <c r="BI35" s="20">
        <f ca="1">IF(Table1[[#This Row],[County]]="Bristol",Table1[[#This Row],[income]],0)</f>
        <v>0</v>
      </c>
      <c r="BJ35" s="20">
        <f ca="1">IF(Table1[[#This Row],[County]]="Surrey",Table1[[#This Row],[income]],0)</f>
        <v>0</v>
      </c>
      <c r="BK35" s="20">
        <f ca="1">IF(Table1[[#This Row],[County]]="Norfolk",Table1[[#This Row],[income]],0)</f>
        <v>0</v>
      </c>
      <c r="BL35" s="20">
        <f ca="1">IF(Table1[[#This Row],[County]]="Lincolnshire",Table1[[#This Row],[income]],0)</f>
        <v>0</v>
      </c>
      <c r="BM35" s="20">
        <f ca="1">IF(Table1[[#This Row],[County]]="Somerset",Table1[[#This Row],[income]],0)</f>
        <v>0</v>
      </c>
      <c r="BN35" s="20">
        <f ca="1">IF(Table1[[#This Row],[County]]="Cambridgeshire",Table1[[#This Row],[income]],0)</f>
        <v>0</v>
      </c>
      <c r="BO35" s="20">
        <f ca="1">IF(Table1[[#This Row],[County]]="South Yorkshire",Table1[[#This Row],[income]],0)</f>
        <v>0</v>
      </c>
      <c r="BP35" s="20">
        <f ca="1">IF(Table1[[#This Row],[County]]="Greater London",Table1[[#This Row],[income]],0)</f>
        <v>0</v>
      </c>
      <c r="BQ35" s="20">
        <f ca="1">IF(Table1[[#This Row],[County]]="Hampshire",Table1[[#This Row],[income]],0)</f>
        <v>0</v>
      </c>
      <c r="BR35" s="20">
        <f ca="1">IF(Table1[[#This Row],[County]]="Gloucestershire",Table1[[#This Row],[income]],0)</f>
        <v>0</v>
      </c>
      <c r="BS35" s="20">
        <f ca="1">IF(Table1[[#This Row],[County]]="West Sussex",Table1[[#This Row],[income]],0)</f>
        <v>0</v>
      </c>
      <c r="BT35" s="20">
        <f ca="1">IF(Table1[[#This Row],[County]]="Devon",Table1[[#This Row],[income]],0)</f>
        <v>0</v>
      </c>
      <c r="BU35" s="20">
        <f ca="1">IF(Table1[[#This Row],[County]]="Berkshire",Table1[[#This Row],[income]],0)</f>
        <v>0</v>
      </c>
      <c r="BV35" s="20">
        <f ca="1">IF(Table1[[#This Row],[County]]="Staffordshire",Table1[[#This Row],[income]],0)</f>
        <v>0</v>
      </c>
      <c r="BW35" s="20">
        <f ca="1">IF(Table1[[#This Row],[County]]="Leicestershire",Table1[[#This Row],[income]],0)</f>
        <v>0</v>
      </c>
      <c r="BX35" s="20">
        <f ca="1">IF(Table1[[#This Row],[County]]="Cornwall",Table1[[#This Row],[income]],0)</f>
        <v>0</v>
      </c>
      <c r="BY35" s="20">
        <f ca="1">IF(Table1[[#This Row],[County]]="Isle of Wight",Table1[[#This Row],[income]],0)</f>
        <v>0</v>
      </c>
      <c r="BZ35" s="20">
        <f ca="1">IF(Table1[[#This Row],[County]]="Surrey",Table1[[#This Row],[income]],0)</f>
        <v>0</v>
      </c>
      <c r="CA35" s="20">
        <f ca="1">IF(Table1[[#This Row],[County]]="Derbyshire",Table1[[#This Row],[income]],0)</f>
        <v>0</v>
      </c>
      <c r="CB35" s="20">
        <f ca="1">IF(Table1[[#This Row],[County]]="City of London",Table1[[#This Row],[income]],0)</f>
        <v>0</v>
      </c>
      <c r="CC35" s="20">
        <f ca="1">IF(Table1[[#This Row],[County]]="Bedfordshire",Table1[[#This Row],[income]],0)</f>
        <v>0</v>
      </c>
      <c r="CD35" s="20">
        <f ca="1">IF(Table1[[#This Row],[County]]="County Durham",Table1[[#This Row],[income]],0)</f>
        <v>0</v>
      </c>
      <c r="CE35" s="20">
        <f ca="1">IF(Table1[[#This Row],[County]]="East Riding of Yorkshire",Table1[[#This Row],[income]],0)</f>
        <v>0</v>
      </c>
      <c r="CF35" s="20">
        <f ca="1">IF(Table1[[#This Row],[County]]="West Yorkshire",Table1[[#This Row],[income]],0)</f>
        <v>0</v>
      </c>
      <c r="CG35" s="20">
        <f ca="1">IF(Table1[[#This Row],[County]]="Essex",Table1[[#This Row],[income]],0)</f>
        <v>0</v>
      </c>
      <c r="CH35" s="20">
        <f ca="1">IF(Table1[[#This Row],[County]]="East Sussex",Table1[[#This Row],[income]],0)</f>
        <v>0</v>
      </c>
      <c r="CI35" s="20">
        <f ca="1">IF(Table1[[#This Row],[County]]="Greater Manchester",Table1[[#This Row],[income]],0)</f>
        <v>78133</v>
      </c>
      <c r="CJ35" s="20">
        <f ca="1">IF(Table1[[#This Row],[County]]="Hertfordshire",Table1[[#This Row],[income]],0)</f>
        <v>0</v>
      </c>
      <c r="CK35" s="20">
        <f ca="1">IF(Table1[[#This Row],[County]]="Herefordshire",Table1[[#This Row],[income]],0)</f>
        <v>0</v>
      </c>
      <c r="CL35" s="20">
        <f ca="1">IF(Table1[[#This Row],[County]]="Lancashire",Table1[[#This Row],[income]],0)</f>
        <v>0</v>
      </c>
      <c r="CM35" s="20">
        <f ca="1">IF(Table1[[#This Row],[County]]="Merseyside",Table1[[#This Row],[income]],0)</f>
        <v>0</v>
      </c>
      <c r="CN35" s="20">
        <f ca="1">IF(Table1[[#This Row],[County]]="Northamptonshire",Table1[[#This Row],[income]],0)</f>
        <v>0</v>
      </c>
      <c r="CO35" s="20">
        <f ca="1">IF(Table1[[#This Row],[County]]="Northumberland",Table1[[#This Row],[income]],0)</f>
        <v>0</v>
      </c>
      <c r="CP35" s="20">
        <f ca="1">IF(Table1[[#This Row],[County]]="Wiltshire",Table1[[#This Row],[income]],0)</f>
        <v>0</v>
      </c>
      <c r="CQ35" s="20">
        <f ca="1">IF(Table1[[#This Row],[County]]="West Midlands",Table1[[#This Row],[income]],0)</f>
        <v>0</v>
      </c>
      <c r="CR35" s="20">
        <f ca="1">IF(Table1[[#This Row],[County]]="Warwickshire",Table1[[#This Row],[income]],0)</f>
        <v>0</v>
      </c>
      <c r="CS35" s="20">
        <f ca="1">IF(Table1[[#This Row],[County]]="Tyne and Wear",Table1[[#This Row],[income]],0)</f>
        <v>0</v>
      </c>
      <c r="CT35" s="20">
        <f ca="1">IF(Table1[[#This Row],[County]]="Worcestershire",Table1[[#This Row],[income]],0)</f>
        <v>0</v>
      </c>
      <c r="CU35" s="20">
        <f ca="1">IF(Table1[[#This Row],[County]]="Rutland",Table1[[#This Row],[income]],0)</f>
        <v>0</v>
      </c>
      <c r="CV35" s="20">
        <f ca="1">IF(Table1[[#This Row],[County]]="Shropshire",Table1[[#This Row],[income]],0)</f>
        <v>0</v>
      </c>
      <c r="CW35" s="20">
        <f ca="1">IF(Table1[[#This Row],[County]]="Dorset",Table1[[#This Row],[income]],0)</f>
        <v>0</v>
      </c>
      <c r="CX35" s="20">
        <f ca="1">IF(Table1[[#This Row],[County]]="Buckinghamshire",Table1[[#This Row],[income]],0)</f>
        <v>0</v>
      </c>
      <c r="CY35" s="20">
        <f ca="1">IF(Table1[[#This Row],[County]]="Suffolk",Table1[[#This Row],[income]],0)</f>
        <v>0</v>
      </c>
      <c r="CZ35" s="20">
        <f ca="1">IF(Table1[[#This Row],[County]]="North Yorkshire",Table1[[#This Row],[income]],0)</f>
        <v>0</v>
      </c>
      <c r="DA35" s="20">
        <f ca="1">IF(Table1[[#This Row],[County]]="Kent",Table1[[#This Row],[income]],0)</f>
        <v>0</v>
      </c>
      <c r="DB35" s="5">
        <f ca="1">IF(Table1[[#This Row],[County]]="Derbyshire",Table1[[#This Row],[income]],0)</f>
        <v>0</v>
      </c>
      <c r="DD35" s="6">
        <f ca="1">IF(Table1[[#This Row],[Column1]]="Health",Table1[[#This Row],[income]],0)</f>
        <v>0</v>
      </c>
      <c r="DE35" s="20">
        <f ca="1">IF(Table1[[#This Row],[Column1]]="Agriculture",Table1[[#This Row],[income]],0)</f>
        <v>78133</v>
      </c>
      <c r="DF35" s="20">
        <f ca="1">IF(Table1[[#This Row],[Column1]]="Technology",Table1[[#This Row],[income]],0)</f>
        <v>0</v>
      </c>
      <c r="DG35" s="20">
        <f ca="1">IF(Table1[[#This Row],[Column1]]="Social Service",Table1[[#This Row],[income]],0)</f>
        <v>0</v>
      </c>
      <c r="DH35" s="20">
        <f ca="1">IF(Table1[[#This Row],[Column1]]="Education",Table1[[#This Row],[income]],0)</f>
        <v>0</v>
      </c>
      <c r="DI35" s="5">
        <f ca="1">IF(Table1[[#This Row],[Column1]]="Construction",Table1[[#This Row],[income]],0)</f>
        <v>0</v>
      </c>
      <c r="DK35" s="6">
        <f ca="1">IF(Table1[[#This Row],[Value of Debts]]&gt;Table1[[#This Row],[income]],1,0)</f>
        <v>1</v>
      </c>
      <c r="DL35" s="20"/>
      <c r="DM35" s="20"/>
      <c r="DN35" s="5"/>
      <c r="DP35" s="6">
        <f ca="1">IF(Table1[[#This Row],[Net Worth (£)]]&gt;$DS$5,C35,0)</f>
        <v>0</v>
      </c>
      <c r="DQ35" s="20"/>
      <c r="DR35" s="20"/>
      <c r="DS35" s="5"/>
    </row>
    <row r="36" spans="1:123" x14ac:dyDescent="0.2">
      <c r="A36">
        <f t="shared" ca="1" si="1"/>
        <v>1</v>
      </c>
      <c r="B36" s="1" t="str">
        <f ca="1">IF(A36=1, "men", "women")</f>
        <v>men</v>
      </c>
      <c r="C36" s="1">
        <f ca="1">RANDBETWEEN(25,50)</f>
        <v>25</v>
      </c>
      <c r="D36">
        <f ca="1">RANDBETWEEN(1,6)</f>
        <v>2</v>
      </c>
      <c r="E36" t="str">
        <f ca="1">VLOOKUP(D36,$W$5:$X$10,2)</f>
        <v>Construction</v>
      </c>
      <c r="F36">
        <f ca="1">RANDBETWEEN(1,5)</f>
        <v>1</v>
      </c>
      <c r="G36" t="str">
        <f ca="1">VLOOKUP(F36,$Y$5:$Z$9,2)</f>
        <v>High School</v>
      </c>
      <c r="H36">
        <f ca="1">RANDBETWEEN(0,4)</f>
        <v>0</v>
      </c>
      <c r="I36">
        <f ca="1">RANDBETWEEN(1,3)</f>
        <v>3</v>
      </c>
      <c r="J36">
        <f ca="1">RANDBETWEEN(30000,100000)</f>
        <v>99298</v>
      </c>
      <c r="K36">
        <f ca="1">RANDBETWEEN(1,48)</f>
        <v>23</v>
      </c>
      <c r="L36" t="str">
        <f ca="1">VLOOKUP(K36,$AA$5:$AB$52,2)</f>
        <v>Isle of Wight</v>
      </c>
      <c r="M36">
        <f ca="1">J36*(RANDBETWEEN(2,5))</f>
        <v>397192</v>
      </c>
      <c r="N36">
        <f ca="1">RAND()*M36</f>
        <v>19586.178665540629</v>
      </c>
      <c r="O36">
        <f ca="1">I36*RAND()*J36</f>
        <v>44519.33768462405</v>
      </c>
      <c r="P36">
        <f ca="1">RANDBETWEEN(0,O36)</f>
        <v>41145</v>
      </c>
      <c r="Q36">
        <f ca="1">RAND()*J36*2</f>
        <v>162392.05982528842</v>
      </c>
      <c r="R36">
        <f ca="1">RAND()*J36*1.5</f>
        <v>70074.647876316216</v>
      </c>
      <c r="S36">
        <f ca="1">J36+R36+O36</f>
        <v>213891.98556094026</v>
      </c>
      <c r="T36">
        <f ca="1">N36+P36+Q36</f>
        <v>223123.23849082907</v>
      </c>
      <c r="U36">
        <f ca="1">S36-T36</f>
        <v>-9231.2529298888112</v>
      </c>
      <c r="AA36">
        <v>32</v>
      </c>
      <c r="AB36" t="s">
        <v>48</v>
      </c>
      <c r="AC36" s="6">
        <f ca="1">IF(Table1[[#This Row],[gender]]="men",1,0)</f>
        <v>1</v>
      </c>
      <c r="AD36">
        <f ca="1">IF(Table1[[#This Row],[gender]]="women",1,0)</f>
        <v>0</v>
      </c>
      <c r="AH36" s="5"/>
      <c r="AJ36" s="6">
        <f ca="1">IF(Table1[[#This Row],[Column1]]="Health",1,0)</f>
        <v>0</v>
      </c>
      <c r="AK36">
        <f ca="1">IF(Table1[[#This Row],[Column1]]="Construction",1,0)</f>
        <v>1</v>
      </c>
      <c r="AL36">
        <f ca="1">IF(Table1[[#This Row],[Column1]]="Technology",1,0)</f>
        <v>0</v>
      </c>
      <c r="AM36">
        <f ca="1">IF(Table1[[#This Row],[Column1]]="Education",1,0)</f>
        <v>0</v>
      </c>
      <c r="AN36">
        <f ca="1">IF(Table1[[#This Row],[Column1]]="Agriculture",1,0)</f>
        <v>0</v>
      </c>
      <c r="AO36">
        <f ca="1">IF(Table1[[#This Row],[Column1]]="Social Service", 1, 0)</f>
        <v>0</v>
      </c>
      <c r="AT36" s="5"/>
      <c r="AV36" s="17">
        <f t="shared" ca="1" si="0"/>
        <v>24077.147991513004</v>
      </c>
      <c r="AW36" s="5"/>
      <c r="AX36" s="6">
        <f ca="1">IF(Table1[[#This Row],[Value of Debts]]&gt;$AY$4,1,0)</f>
        <v>1</v>
      </c>
      <c r="AY36" s="20"/>
      <c r="AZ36" s="20"/>
      <c r="BA36" s="5"/>
      <c r="BB36" s="25">
        <f ca="1">Table1[[#This Row],[Mortage Left]]/Table1[[#This Row],[Value of House]]</f>
        <v>4.9311614195504012E-2</v>
      </c>
      <c r="BC36" s="20">
        <f t="shared" ca="1" si="2"/>
        <v>1</v>
      </c>
      <c r="BD36" s="20"/>
      <c r="BE36" s="20"/>
      <c r="BF36" s="20"/>
      <c r="BG36" s="6">
        <f ca="1">IF(Table1[[#This Row],[County]]="Cumbria",Table1[[#This Row],[income]],0)</f>
        <v>0</v>
      </c>
      <c r="BH36" s="20">
        <f ca="1">IF(Table1[[#This Row],[County]]="Cheshire",Table1[[#This Row],[income]],0)</f>
        <v>0</v>
      </c>
      <c r="BI36" s="20">
        <f ca="1">IF(Table1[[#This Row],[County]]="Bristol",Table1[[#This Row],[income]],0)</f>
        <v>0</v>
      </c>
      <c r="BJ36" s="20">
        <f ca="1">IF(Table1[[#This Row],[County]]="Surrey",Table1[[#This Row],[income]],0)</f>
        <v>0</v>
      </c>
      <c r="BK36" s="20">
        <f ca="1">IF(Table1[[#This Row],[County]]="Norfolk",Table1[[#This Row],[income]],0)</f>
        <v>0</v>
      </c>
      <c r="BL36" s="20">
        <f ca="1">IF(Table1[[#This Row],[County]]="Lincolnshire",Table1[[#This Row],[income]],0)</f>
        <v>0</v>
      </c>
      <c r="BM36" s="20">
        <f ca="1">IF(Table1[[#This Row],[County]]="Somerset",Table1[[#This Row],[income]],0)</f>
        <v>0</v>
      </c>
      <c r="BN36" s="20">
        <f ca="1">IF(Table1[[#This Row],[County]]="Cambridgeshire",Table1[[#This Row],[income]],0)</f>
        <v>0</v>
      </c>
      <c r="BO36" s="20">
        <f ca="1">IF(Table1[[#This Row],[County]]="South Yorkshire",Table1[[#This Row],[income]],0)</f>
        <v>0</v>
      </c>
      <c r="BP36" s="20">
        <f ca="1">IF(Table1[[#This Row],[County]]="Greater London",Table1[[#This Row],[income]],0)</f>
        <v>0</v>
      </c>
      <c r="BQ36" s="20">
        <f ca="1">IF(Table1[[#This Row],[County]]="Hampshire",Table1[[#This Row],[income]],0)</f>
        <v>0</v>
      </c>
      <c r="BR36" s="20">
        <f ca="1">IF(Table1[[#This Row],[County]]="Gloucestershire",Table1[[#This Row],[income]],0)</f>
        <v>0</v>
      </c>
      <c r="BS36" s="20">
        <f ca="1">IF(Table1[[#This Row],[County]]="West Sussex",Table1[[#This Row],[income]],0)</f>
        <v>0</v>
      </c>
      <c r="BT36" s="20">
        <f ca="1">IF(Table1[[#This Row],[County]]="Devon",Table1[[#This Row],[income]],0)</f>
        <v>0</v>
      </c>
      <c r="BU36" s="20">
        <f ca="1">IF(Table1[[#This Row],[County]]="Berkshire",Table1[[#This Row],[income]],0)</f>
        <v>0</v>
      </c>
      <c r="BV36" s="20">
        <f ca="1">IF(Table1[[#This Row],[County]]="Staffordshire",Table1[[#This Row],[income]],0)</f>
        <v>0</v>
      </c>
      <c r="BW36" s="20">
        <f ca="1">IF(Table1[[#This Row],[County]]="Leicestershire",Table1[[#This Row],[income]],0)</f>
        <v>0</v>
      </c>
      <c r="BX36" s="20">
        <f ca="1">IF(Table1[[#This Row],[County]]="Cornwall",Table1[[#This Row],[income]],0)</f>
        <v>0</v>
      </c>
      <c r="BY36" s="20">
        <f ca="1">IF(Table1[[#This Row],[County]]="Isle of Wight",Table1[[#This Row],[income]],0)</f>
        <v>99298</v>
      </c>
      <c r="BZ36" s="20">
        <f ca="1">IF(Table1[[#This Row],[County]]="Surrey",Table1[[#This Row],[income]],0)</f>
        <v>0</v>
      </c>
      <c r="CA36" s="20">
        <f ca="1">IF(Table1[[#This Row],[County]]="Derbyshire",Table1[[#This Row],[income]],0)</f>
        <v>0</v>
      </c>
      <c r="CB36" s="20">
        <f ca="1">IF(Table1[[#This Row],[County]]="City of London",Table1[[#This Row],[income]],0)</f>
        <v>0</v>
      </c>
      <c r="CC36" s="20">
        <f ca="1">IF(Table1[[#This Row],[County]]="Bedfordshire",Table1[[#This Row],[income]],0)</f>
        <v>0</v>
      </c>
      <c r="CD36" s="20">
        <f ca="1">IF(Table1[[#This Row],[County]]="County Durham",Table1[[#This Row],[income]],0)</f>
        <v>0</v>
      </c>
      <c r="CE36" s="20">
        <f ca="1">IF(Table1[[#This Row],[County]]="East Riding of Yorkshire",Table1[[#This Row],[income]],0)</f>
        <v>0</v>
      </c>
      <c r="CF36" s="20">
        <f ca="1">IF(Table1[[#This Row],[County]]="West Yorkshire",Table1[[#This Row],[income]],0)</f>
        <v>0</v>
      </c>
      <c r="CG36" s="20">
        <f ca="1">IF(Table1[[#This Row],[County]]="Essex",Table1[[#This Row],[income]],0)</f>
        <v>0</v>
      </c>
      <c r="CH36" s="20">
        <f ca="1">IF(Table1[[#This Row],[County]]="East Sussex",Table1[[#This Row],[income]],0)</f>
        <v>0</v>
      </c>
      <c r="CI36" s="20">
        <f ca="1">IF(Table1[[#This Row],[County]]="Greater Manchester",Table1[[#This Row],[income]],0)</f>
        <v>0</v>
      </c>
      <c r="CJ36" s="20">
        <f ca="1">IF(Table1[[#This Row],[County]]="Hertfordshire",Table1[[#This Row],[income]],0)</f>
        <v>0</v>
      </c>
      <c r="CK36" s="20">
        <f ca="1">IF(Table1[[#This Row],[County]]="Herefordshire",Table1[[#This Row],[income]],0)</f>
        <v>0</v>
      </c>
      <c r="CL36" s="20">
        <f ca="1">IF(Table1[[#This Row],[County]]="Lancashire",Table1[[#This Row],[income]],0)</f>
        <v>0</v>
      </c>
      <c r="CM36" s="20">
        <f ca="1">IF(Table1[[#This Row],[County]]="Merseyside",Table1[[#This Row],[income]],0)</f>
        <v>0</v>
      </c>
      <c r="CN36" s="20">
        <f ca="1">IF(Table1[[#This Row],[County]]="Northamptonshire",Table1[[#This Row],[income]],0)</f>
        <v>0</v>
      </c>
      <c r="CO36" s="20">
        <f ca="1">IF(Table1[[#This Row],[County]]="Northumberland",Table1[[#This Row],[income]],0)</f>
        <v>0</v>
      </c>
      <c r="CP36" s="20">
        <f ca="1">IF(Table1[[#This Row],[County]]="Wiltshire",Table1[[#This Row],[income]],0)</f>
        <v>0</v>
      </c>
      <c r="CQ36" s="20">
        <f ca="1">IF(Table1[[#This Row],[County]]="West Midlands",Table1[[#This Row],[income]],0)</f>
        <v>0</v>
      </c>
      <c r="CR36" s="20">
        <f ca="1">IF(Table1[[#This Row],[County]]="Warwickshire",Table1[[#This Row],[income]],0)</f>
        <v>0</v>
      </c>
      <c r="CS36" s="20">
        <f ca="1">IF(Table1[[#This Row],[County]]="Tyne and Wear",Table1[[#This Row],[income]],0)</f>
        <v>0</v>
      </c>
      <c r="CT36" s="20">
        <f ca="1">IF(Table1[[#This Row],[County]]="Worcestershire",Table1[[#This Row],[income]],0)</f>
        <v>0</v>
      </c>
      <c r="CU36" s="20">
        <f ca="1">IF(Table1[[#This Row],[County]]="Rutland",Table1[[#This Row],[income]],0)</f>
        <v>0</v>
      </c>
      <c r="CV36" s="20">
        <f ca="1">IF(Table1[[#This Row],[County]]="Shropshire",Table1[[#This Row],[income]],0)</f>
        <v>0</v>
      </c>
      <c r="CW36" s="20">
        <f ca="1">IF(Table1[[#This Row],[County]]="Dorset",Table1[[#This Row],[income]],0)</f>
        <v>0</v>
      </c>
      <c r="CX36" s="20">
        <f ca="1">IF(Table1[[#This Row],[County]]="Buckinghamshire",Table1[[#This Row],[income]],0)</f>
        <v>0</v>
      </c>
      <c r="CY36" s="20">
        <f ca="1">IF(Table1[[#This Row],[County]]="Suffolk",Table1[[#This Row],[income]],0)</f>
        <v>0</v>
      </c>
      <c r="CZ36" s="20">
        <f ca="1">IF(Table1[[#This Row],[County]]="North Yorkshire",Table1[[#This Row],[income]],0)</f>
        <v>0</v>
      </c>
      <c r="DA36" s="20">
        <f ca="1">IF(Table1[[#This Row],[County]]="Kent",Table1[[#This Row],[income]],0)</f>
        <v>0</v>
      </c>
      <c r="DB36" s="5">
        <f ca="1">IF(Table1[[#This Row],[County]]="Derbyshire",Table1[[#This Row],[income]],0)</f>
        <v>0</v>
      </c>
      <c r="DD36" s="6">
        <f ca="1">IF(Table1[[#This Row],[Column1]]="Health",Table1[[#This Row],[income]],0)</f>
        <v>0</v>
      </c>
      <c r="DE36" s="20">
        <f ca="1">IF(Table1[[#This Row],[Column1]]="Agriculture",Table1[[#This Row],[income]],0)</f>
        <v>0</v>
      </c>
      <c r="DF36" s="20">
        <f ca="1">IF(Table1[[#This Row],[Column1]]="Technology",Table1[[#This Row],[income]],0)</f>
        <v>0</v>
      </c>
      <c r="DG36" s="20">
        <f ca="1">IF(Table1[[#This Row],[Column1]]="Social Service",Table1[[#This Row],[income]],0)</f>
        <v>0</v>
      </c>
      <c r="DH36" s="20">
        <f ca="1">IF(Table1[[#This Row],[Column1]]="Education",Table1[[#This Row],[income]],0)</f>
        <v>0</v>
      </c>
      <c r="DI36" s="5">
        <f ca="1">IF(Table1[[#This Row],[Column1]]="Construction",Table1[[#This Row],[income]],0)</f>
        <v>99298</v>
      </c>
      <c r="DK36" s="6">
        <f ca="1">IF(Table1[[#This Row],[Value of Debts]]&gt;Table1[[#This Row],[income]],1,0)</f>
        <v>1</v>
      </c>
      <c r="DL36" s="20"/>
      <c r="DM36" s="20"/>
      <c r="DN36" s="5"/>
      <c r="DP36" s="6">
        <f ca="1">IF(Table1[[#This Row],[Net Worth (£)]]&gt;$DS$5,C36,0)</f>
        <v>0</v>
      </c>
      <c r="DQ36" s="20"/>
      <c r="DR36" s="20"/>
      <c r="DS36" s="5"/>
    </row>
    <row r="37" spans="1:123" x14ac:dyDescent="0.2">
      <c r="A37">
        <f t="shared" ca="1" si="1"/>
        <v>1</v>
      </c>
      <c r="B37" s="1" t="str">
        <f ca="1">IF(A37=1, "men", "women")</f>
        <v>men</v>
      </c>
      <c r="C37" s="1">
        <f ca="1">RANDBETWEEN(25,50)</f>
        <v>26</v>
      </c>
      <c r="D37">
        <f ca="1">RANDBETWEEN(1,6)</f>
        <v>6</v>
      </c>
      <c r="E37" t="str">
        <f ca="1">VLOOKUP(D37,$W$5:$X$10,2)</f>
        <v>Agriculture</v>
      </c>
      <c r="F37">
        <f ca="1">RANDBETWEEN(1,5)</f>
        <v>1</v>
      </c>
      <c r="G37" t="str">
        <f ca="1">VLOOKUP(F37,$Y$5:$Z$9,2)</f>
        <v>High School</v>
      </c>
      <c r="H37">
        <f ca="1">RANDBETWEEN(0,4)</f>
        <v>2</v>
      </c>
      <c r="I37">
        <f ca="1">RANDBETWEEN(1,3)</f>
        <v>2</v>
      </c>
      <c r="J37">
        <f ca="1">RANDBETWEEN(30000,100000)</f>
        <v>42345</v>
      </c>
      <c r="K37">
        <f ca="1">RANDBETWEEN(1,48)</f>
        <v>5</v>
      </c>
      <c r="L37" t="str">
        <f ca="1">VLOOKUP(K37,$AA$5:$AB$52,2)</f>
        <v>Cambridgeshire</v>
      </c>
      <c r="M37">
        <f ca="1">J37*(RANDBETWEEN(2,5))</f>
        <v>127035</v>
      </c>
      <c r="N37">
        <f ca="1">RAND()*M37</f>
        <v>42823.809196148126</v>
      </c>
      <c r="O37">
        <f ca="1">I37*RAND()*J37</f>
        <v>48154.295983026008</v>
      </c>
      <c r="P37">
        <f ca="1">RANDBETWEEN(0,O37)</f>
        <v>39590</v>
      </c>
      <c r="Q37">
        <f ca="1">RAND()*J37*2</f>
        <v>12093.227172709845</v>
      </c>
      <c r="R37">
        <f ca="1">RAND()*J37*1.5</f>
        <v>40994.193509308898</v>
      </c>
      <c r="S37">
        <f ca="1">J37+R37+O37</f>
        <v>131493.48949233489</v>
      </c>
      <c r="T37">
        <f ca="1">N37+P37+Q37</f>
        <v>94507.036368857967</v>
      </c>
      <c r="U37">
        <f ca="1">S37-T37</f>
        <v>36986.453123476924</v>
      </c>
      <c r="AA37">
        <v>33</v>
      </c>
      <c r="AB37" t="s">
        <v>50</v>
      </c>
      <c r="AC37" s="6">
        <f ca="1">IF(Table1[[#This Row],[gender]]="men",1,0)</f>
        <v>1</v>
      </c>
      <c r="AD37">
        <f ca="1">IF(Table1[[#This Row],[gender]]="women",1,0)</f>
        <v>0</v>
      </c>
      <c r="AH37" s="5"/>
      <c r="AJ37" s="6">
        <f ca="1">IF(Table1[[#This Row],[Column1]]="Health",1,0)</f>
        <v>0</v>
      </c>
      <c r="AK37">
        <f ca="1">IF(Table1[[#This Row],[Column1]]="Construction",1,0)</f>
        <v>0</v>
      </c>
      <c r="AL37">
        <f ca="1">IF(Table1[[#This Row],[Column1]]="Technology",1,0)</f>
        <v>0</v>
      </c>
      <c r="AM37">
        <f ca="1">IF(Table1[[#This Row],[Column1]]="Education",1,0)</f>
        <v>0</v>
      </c>
      <c r="AN37">
        <f ca="1">IF(Table1[[#This Row],[Column1]]="Agriculture",1,0)</f>
        <v>1</v>
      </c>
      <c r="AO37">
        <f ca="1">IF(Table1[[#This Row],[Column1]]="Social Service", 1, 0)</f>
        <v>0</v>
      </c>
      <c r="AT37" s="5"/>
      <c r="AV37" s="17">
        <f t="shared" ca="1" si="0"/>
        <v>31806.028011800168</v>
      </c>
      <c r="AW37" s="5"/>
      <c r="AX37" s="6">
        <f ca="1">IF(Table1[[#This Row],[Value of Debts]]&gt;$AY$4,1,0)</f>
        <v>0</v>
      </c>
      <c r="AY37" s="20"/>
      <c r="AZ37" s="20"/>
      <c r="BA37" s="5"/>
      <c r="BB37" s="25">
        <f ca="1">Table1[[#This Row],[Mortage Left]]/Table1[[#This Row],[Value of House]]</f>
        <v>0.33710244575233694</v>
      </c>
      <c r="BC37" s="20">
        <f t="shared" ca="1" si="2"/>
        <v>0</v>
      </c>
      <c r="BD37" s="20"/>
      <c r="BE37" s="20"/>
      <c r="BF37" s="20"/>
      <c r="BG37" s="6">
        <f ca="1">IF(Table1[[#This Row],[County]]="Cumbria",Table1[[#This Row],[income]],0)</f>
        <v>0</v>
      </c>
      <c r="BH37" s="20">
        <f ca="1">IF(Table1[[#This Row],[County]]="Cheshire",Table1[[#This Row],[income]],0)</f>
        <v>0</v>
      </c>
      <c r="BI37" s="20">
        <f ca="1">IF(Table1[[#This Row],[County]]="Bristol",Table1[[#This Row],[income]],0)</f>
        <v>0</v>
      </c>
      <c r="BJ37" s="20">
        <f ca="1">IF(Table1[[#This Row],[County]]="Surrey",Table1[[#This Row],[income]],0)</f>
        <v>0</v>
      </c>
      <c r="BK37" s="20">
        <f ca="1">IF(Table1[[#This Row],[County]]="Norfolk",Table1[[#This Row],[income]],0)</f>
        <v>0</v>
      </c>
      <c r="BL37" s="20">
        <f ca="1">IF(Table1[[#This Row],[County]]="Lincolnshire",Table1[[#This Row],[income]],0)</f>
        <v>0</v>
      </c>
      <c r="BM37" s="20">
        <f ca="1">IF(Table1[[#This Row],[County]]="Somerset",Table1[[#This Row],[income]],0)</f>
        <v>0</v>
      </c>
      <c r="BN37" s="20">
        <f ca="1">IF(Table1[[#This Row],[County]]="Cambridgeshire",Table1[[#This Row],[income]],0)</f>
        <v>42345</v>
      </c>
      <c r="BO37" s="20">
        <f ca="1">IF(Table1[[#This Row],[County]]="South Yorkshire",Table1[[#This Row],[income]],0)</f>
        <v>0</v>
      </c>
      <c r="BP37" s="20">
        <f ca="1">IF(Table1[[#This Row],[County]]="Greater London",Table1[[#This Row],[income]],0)</f>
        <v>0</v>
      </c>
      <c r="BQ37" s="20">
        <f ca="1">IF(Table1[[#This Row],[County]]="Hampshire",Table1[[#This Row],[income]],0)</f>
        <v>0</v>
      </c>
      <c r="BR37" s="20">
        <f ca="1">IF(Table1[[#This Row],[County]]="Gloucestershire",Table1[[#This Row],[income]],0)</f>
        <v>0</v>
      </c>
      <c r="BS37" s="20">
        <f ca="1">IF(Table1[[#This Row],[County]]="West Sussex",Table1[[#This Row],[income]],0)</f>
        <v>0</v>
      </c>
      <c r="BT37" s="20">
        <f ca="1">IF(Table1[[#This Row],[County]]="Devon",Table1[[#This Row],[income]],0)</f>
        <v>0</v>
      </c>
      <c r="BU37" s="20">
        <f ca="1">IF(Table1[[#This Row],[County]]="Berkshire",Table1[[#This Row],[income]],0)</f>
        <v>0</v>
      </c>
      <c r="BV37" s="20">
        <f ca="1">IF(Table1[[#This Row],[County]]="Staffordshire",Table1[[#This Row],[income]],0)</f>
        <v>0</v>
      </c>
      <c r="BW37" s="20">
        <f ca="1">IF(Table1[[#This Row],[County]]="Leicestershire",Table1[[#This Row],[income]],0)</f>
        <v>0</v>
      </c>
      <c r="BX37" s="20">
        <f ca="1">IF(Table1[[#This Row],[County]]="Cornwall",Table1[[#This Row],[income]],0)</f>
        <v>0</v>
      </c>
      <c r="BY37" s="20">
        <f ca="1">IF(Table1[[#This Row],[County]]="Isle of Wight",Table1[[#This Row],[income]],0)</f>
        <v>0</v>
      </c>
      <c r="BZ37" s="20">
        <f ca="1">IF(Table1[[#This Row],[County]]="Surrey",Table1[[#This Row],[income]],0)</f>
        <v>0</v>
      </c>
      <c r="CA37" s="20">
        <f ca="1">IF(Table1[[#This Row],[County]]="Derbyshire",Table1[[#This Row],[income]],0)</f>
        <v>0</v>
      </c>
      <c r="CB37" s="20">
        <f ca="1">IF(Table1[[#This Row],[County]]="City of London",Table1[[#This Row],[income]],0)</f>
        <v>0</v>
      </c>
      <c r="CC37" s="20">
        <f ca="1">IF(Table1[[#This Row],[County]]="Bedfordshire",Table1[[#This Row],[income]],0)</f>
        <v>0</v>
      </c>
      <c r="CD37" s="20">
        <f ca="1">IF(Table1[[#This Row],[County]]="County Durham",Table1[[#This Row],[income]],0)</f>
        <v>0</v>
      </c>
      <c r="CE37" s="20">
        <f ca="1">IF(Table1[[#This Row],[County]]="East Riding of Yorkshire",Table1[[#This Row],[income]],0)</f>
        <v>0</v>
      </c>
      <c r="CF37" s="20">
        <f ca="1">IF(Table1[[#This Row],[County]]="West Yorkshire",Table1[[#This Row],[income]],0)</f>
        <v>0</v>
      </c>
      <c r="CG37" s="20">
        <f ca="1">IF(Table1[[#This Row],[County]]="Essex",Table1[[#This Row],[income]],0)</f>
        <v>0</v>
      </c>
      <c r="CH37" s="20">
        <f ca="1">IF(Table1[[#This Row],[County]]="East Sussex",Table1[[#This Row],[income]],0)</f>
        <v>0</v>
      </c>
      <c r="CI37" s="20">
        <f ca="1">IF(Table1[[#This Row],[County]]="Greater Manchester",Table1[[#This Row],[income]],0)</f>
        <v>0</v>
      </c>
      <c r="CJ37" s="20">
        <f ca="1">IF(Table1[[#This Row],[County]]="Hertfordshire",Table1[[#This Row],[income]],0)</f>
        <v>0</v>
      </c>
      <c r="CK37" s="20">
        <f ca="1">IF(Table1[[#This Row],[County]]="Herefordshire",Table1[[#This Row],[income]],0)</f>
        <v>0</v>
      </c>
      <c r="CL37" s="20">
        <f ca="1">IF(Table1[[#This Row],[County]]="Lancashire",Table1[[#This Row],[income]],0)</f>
        <v>0</v>
      </c>
      <c r="CM37" s="20">
        <f ca="1">IF(Table1[[#This Row],[County]]="Merseyside",Table1[[#This Row],[income]],0)</f>
        <v>0</v>
      </c>
      <c r="CN37" s="20">
        <f ca="1">IF(Table1[[#This Row],[County]]="Northamptonshire",Table1[[#This Row],[income]],0)</f>
        <v>0</v>
      </c>
      <c r="CO37" s="20">
        <f ca="1">IF(Table1[[#This Row],[County]]="Northumberland",Table1[[#This Row],[income]],0)</f>
        <v>0</v>
      </c>
      <c r="CP37" s="20">
        <f ca="1">IF(Table1[[#This Row],[County]]="Wiltshire",Table1[[#This Row],[income]],0)</f>
        <v>0</v>
      </c>
      <c r="CQ37" s="20">
        <f ca="1">IF(Table1[[#This Row],[County]]="West Midlands",Table1[[#This Row],[income]],0)</f>
        <v>0</v>
      </c>
      <c r="CR37" s="20">
        <f ca="1">IF(Table1[[#This Row],[County]]="Warwickshire",Table1[[#This Row],[income]],0)</f>
        <v>0</v>
      </c>
      <c r="CS37" s="20">
        <f ca="1">IF(Table1[[#This Row],[County]]="Tyne and Wear",Table1[[#This Row],[income]],0)</f>
        <v>0</v>
      </c>
      <c r="CT37" s="20">
        <f ca="1">IF(Table1[[#This Row],[County]]="Worcestershire",Table1[[#This Row],[income]],0)</f>
        <v>0</v>
      </c>
      <c r="CU37" s="20">
        <f ca="1">IF(Table1[[#This Row],[County]]="Rutland",Table1[[#This Row],[income]],0)</f>
        <v>0</v>
      </c>
      <c r="CV37" s="20">
        <f ca="1">IF(Table1[[#This Row],[County]]="Shropshire",Table1[[#This Row],[income]],0)</f>
        <v>0</v>
      </c>
      <c r="CW37" s="20">
        <f ca="1">IF(Table1[[#This Row],[County]]="Dorset",Table1[[#This Row],[income]],0)</f>
        <v>0</v>
      </c>
      <c r="CX37" s="20">
        <f ca="1">IF(Table1[[#This Row],[County]]="Buckinghamshire",Table1[[#This Row],[income]],0)</f>
        <v>0</v>
      </c>
      <c r="CY37" s="20">
        <f ca="1">IF(Table1[[#This Row],[County]]="Suffolk",Table1[[#This Row],[income]],0)</f>
        <v>0</v>
      </c>
      <c r="CZ37" s="20">
        <f ca="1">IF(Table1[[#This Row],[County]]="North Yorkshire",Table1[[#This Row],[income]],0)</f>
        <v>0</v>
      </c>
      <c r="DA37" s="20">
        <f ca="1">IF(Table1[[#This Row],[County]]="Kent",Table1[[#This Row],[income]],0)</f>
        <v>0</v>
      </c>
      <c r="DB37" s="5">
        <f ca="1">IF(Table1[[#This Row],[County]]="Derbyshire",Table1[[#This Row],[income]],0)</f>
        <v>0</v>
      </c>
      <c r="DD37" s="6">
        <f ca="1">IF(Table1[[#This Row],[Column1]]="Health",Table1[[#This Row],[income]],0)</f>
        <v>0</v>
      </c>
      <c r="DE37" s="20">
        <f ca="1">IF(Table1[[#This Row],[Column1]]="Agriculture",Table1[[#This Row],[income]],0)</f>
        <v>42345</v>
      </c>
      <c r="DF37" s="20">
        <f ca="1">IF(Table1[[#This Row],[Column1]]="Technology",Table1[[#This Row],[income]],0)</f>
        <v>0</v>
      </c>
      <c r="DG37" s="20">
        <f ca="1">IF(Table1[[#This Row],[Column1]]="Social Service",Table1[[#This Row],[income]],0)</f>
        <v>0</v>
      </c>
      <c r="DH37" s="20">
        <f ca="1">IF(Table1[[#This Row],[Column1]]="Education",Table1[[#This Row],[income]],0)</f>
        <v>0</v>
      </c>
      <c r="DI37" s="5">
        <f ca="1">IF(Table1[[#This Row],[Column1]]="Construction",Table1[[#This Row],[income]],0)</f>
        <v>0</v>
      </c>
      <c r="DK37" s="6">
        <f ca="1">IF(Table1[[#This Row],[Value of Debts]]&gt;Table1[[#This Row],[income]],1,0)</f>
        <v>1</v>
      </c>
      <c r="DL37" s="20"/>
      <c r="DM37" s="20"/>
      <c r="DN37" s="5"/>
      <c r="DP37" s="6">
        <f ca="1">IF(Table1[[#This Row],[Net Worth (£)]]&gt;$DS$5,C37,0)</f>
        <v>0</v>
      </c>
      <c r="DQ37" s="20"/>
      <c r="DR37" s="20"/>
      <c r="DS37" s="5"/>
    </row>
    <row r="38" spans="1:123" x14ac:dyDescent="0.2">
      <c r="A38">
        <f t="shared" ca="1" si="1"/>
        <v>2</v>
      </c>
      <c r="B38" s="1" t="str">
        <f ca="1">IF(A38=1, "men", "women")</f>
        <v>women</v>
      </c>
      <c r="C38" s="1">
        <f ca="1">RANDBETWEEN(25,50)</f>
        <v>40</v>
      </c>
      <c r="D38">
        <f ca="1">RANDBETWEEN(1,6)</f>
        <v>6</v>
      </c>
      <c r="E38" t="str">
        <f ca="1">VLOOKUP(D38,$W$5:$X$10,2)</f>
        <v>Agriculture</v>
      </c>
      <c r="F38">
        <f ca="1">RANDBETWEEN(1,5)</f>
        <v>2</v>
      </c>
      <c r="G38" t="str">
        <f ca="1">VLOOKUP(F38,$Y$5:$Z$9,2)</f>
        <v>College</v>
      </c>
      <c r="H38">
        <f ca="1">RANDBETWEEN(0,4)</f>
        <v>4</v>
      </c>
      <c r="I38">
        <f ca="1">RANDBETWEEN(1,3)</f>
        <v>3</v>
      </c>
      <c r="J38">
        <f ca="1">RANDBETWEEN(30000,100000)</f>
        <v>62410</v>
      </c>
      <c r="K38">
        <f ca="1">RANDBETWEEN(1,48)</f>
        <v>8</v>
      </c>
      <c r="L38" t="str">
        <f ca="1">VLOOKUP(K38,$AA$5:$AB$52,2)</f>
        <v>Cornwall</v>
      </c>
      <c r="M38">
        <f ca="1">J38*(RANDBETWEEN(2,5))</f>
        <v>187230</v>
      </c>
      <c r="N38">
        <f ca="1">RAND()*M38</f>
        <v>91600.312566907756</v>
      </c>
      <c r="O38">
        <f ca="1">I38*RAND()*J38</f>
        <v>95418.084035400505</v>
      </c>
      <c r="P38">
        <f ca="1">RANDBETWEEN(0,O38)</f>
        <v>55708</v>
      </c>
      <c r="Q38">
        <f ca="1">RAND()*J38*2</f>
        <v>82955.154731607967</v>
      </c>
      <c r="R38">
        <f ca="1">RAND()*J38*1.5</f>
        <v>51940.296366675022</v>
      </c>
      <c r="S38">
        <f ca="1">J38+R38+O38</f>
        <v>209768.38040207553</v>
      </c>
      <c r="T38">
        <f ca="1">N38+P38+Q38</f>
        <v>230263.46729851572</v>
      </c>
      <c r="U38">
        <f ca="1">S38-T38</f>
        <v>-20495.086896440189</v>
      </c>
      <c r="AA38">
        <v>34</v>
      </c>
      <c r="AB38" t="s">
        <v>49</v>
      </c>
      <c r="AC38" s="6">
        <f ca="1">IF(Table1[[#This Row],[gender]]="men",1,0)</f>
        <v>0</v>
      </c>
      <c r="AD38">
        <f ca="1">IF(Table1[[#This Row],[gender]]="women",1,0)</f>
        <v>1</v>
      </c>
      <c r="AH38" s="5"/>
      <c r="AJ38" s="6">
        <f ca="1">IF(Table1[[#This Row],[Column1]]="Health",1,0)</f>
        <v>0</v>
      </c>
      <c r="AK38">
        <f ca="1">IF(Table1[[#This Row],[Column1]]="Construction",1,0)</f>
        <v>0</v>
      </c>
      <c r="AL38">
        <f ca="1">IF(Table1[[#This Row],[Column1]]="Technology",1,0)</f>
        <v>0</v>
      </c>
      <c r="AM38">
        <f ca="1">IF(Table1[[#This Row],[Column1]]="Education",1,0)</f>
        <v>0</v>
      </c>
      <c r="AN38">
        <f ca="1">IF(Table1[[#This Row],[Column1]]="Agriculture",1,0)</f>
        <v>1</v>
      </c>
      <c r="AO38">
        <f ca="1">IF(Table1[[#This Row],[Column1]]="Social Service", 1, 0)</f>
        <v>0</v>
      </c>
      <c r="AT38" s="5"/>
      <c r="AV38" s="17">
        <f t="shared" ca="1" si="0"/>
        <v>47277.958216356499</v>
      </c>
      <c r="AW38" s="5"/>
      <c r="AX38" s="6">
        <f ca="1">IF(Table1[[#This Row],[Value of Debts]]&gt;$AY$4,1,0)</f>
        <v>1</v>
      </c>
      <c r="AY38" s="20"/>
      <c r="AZ38" s="20"/>
      <c r="BA38" s="5"/>
      <c r="BB38" s="25">
        <f ca="1">Table1[[#This Row],[Mortage Left]]/Table1[[#This Row],[Value of House]]</f>
        <v>0.4892395052443933</v>
      </c>
      <c r="BC38" s="20">
        <f t="shared" ca="1" si="2"/>
        <v>0</v>
      </c>
      <c r="BD38" s="20"/>
      <c r="BE38" s="20"/>
      <c r="BF38" s="20"/>
      <c r="BG38" s="6">
        <f ca="1">IF(Table1[[#This Row],[County]]="Cumbria",Table1[[#This Row],[income]],0)</f>
        <v>0</v>
      </c>
      <c r="BH38" s="20">
        <f ca="1">IF(Table1[[#This Row],[County]]="Cheshire",Table1[[#This Row],[income]],0)</f>
        <v>0</v>
      </c>
      <c r="BI38" s="20">
        <f ca="1">IF(Table1[[#This Row],[County]]="Bristol",Table1[[#This Row],[income]],0)</f>
        <v>0</v>
      </c>
      <c r="BJ38" s="20">
        <f ca="1">IF(Table1[[#This Row],[County]]="Surrey",Table1[[#This Row],[income]],0)</f>
        <v>0</v>
      </c>
      <c r="BK38" s="20">
        <f ca="1">IF(Table1[[#This Row],[County]]="Norfolk",Table1[[#This Row],[income]],0)</f>
        <v>0</v>
      </c>
      <c r="BL38" s="20">
        <f ca="1">IF(Table1[[#This Row],[County]]="Lincolnshire",Table1[[#This Row],[income]],0)</f>
        <v>0</v>
      </c>
      <c r="BM38" s="20">
        <f ca="1">IF(Table1[[#This Row],[County]]="Somerset",Table1[[#This Row],[income]],0)</f>
        <v>0</v>
      </c>
      <c r="BN38" s="20">
        <f ca="1">IF(Table1[[#This Row],[County]]="Cambridgeshire",Table1[[#This Row],[income]],0)</f>
        <v>0</v>
      </c>
      <c r="BO38" s="20">
        <f ca="1">IF(Table1[[#This Row],[County]]="South Yorkshire",Table1[[#This Row],[income]],0)</f>
        <v>0</v>
      </c>
      <c r="BP38" s="20">
        <f ca="1">IF(Table1[[#This Row],[County]]="Greater London",Table1[[#This Row],[income]],0)</f>
        <v>0</v>
      </c>
      <c r="BQ38" s="20">
        <f ca="1">IF(Table1[[#This Row],[County]]="Hampshire",Table1[[#This Row],[income]],0)</f>
        <v>0</v>
      </c>
      <c r="BR38" s="20">
        <f ca="1">IF(Table1[[#This Row],[County]]="Gloucestershire",Table1[[#This Row],[income]],0)</f>
        <v>0</v>
      </c>
      <c r="BS38" s="20">
        <f ca="1">IF(Table1[[#This Row],[County]]="West Sussex",Table1[[#This Row],[income]],0)</f>
        <v>0</v>
      </c>
      <c r="BT38" s="20">
        <f ca="1">IF(Table1[[#This Row],[County]]="Devon",Table1[[#This Row],[income]],0)</f>
        <v>0</v>
      </c>
      <c r="BU38" s="20">
        <f ca="1">IF(Table1[[#This Row],[County]]="Berkshire",Table1[[#This Row],[income]],0)</f>
        <v>0</v>
      </c>
      <c r="BV38" s="20">
        <f ca="1">IF(Table1[[#This Row],[County]]="Staffordshire",Table1[[#This Row],[income]],0)</f>
        <v>0</v>
      </c>
      <c r="BW38" s="20">
        <f ca="1">IF(Table1[[#This Row],[County]]="Leicestershire",Table1[[#This Row],[income]],0)</f>
        <v>0</v>
      </c>
      <c r="BX38" s="20">
        <f ca="1">IF(Table1[[#This Row],[County]]="Cornwall",Table1[[#This Row],[income]],0)</f>
        <v>62410</v>
      </c>
      <c r="BY38" s="20">
        <f ca="1">IF(Table1[[#This Row],[County]]="Isle of Wight",Table1[[#This Row],[income]],0)</f>
        <v>0</v>
      </c>
      <c r="BZ38" s="20">
        <f ca="1">IF(Table1[[#This Row],[County]]="Surrey",Table1[[#This Row],[income]],0)</f>
        <v>0</v>
      </c>
      <c r="CA38" s="20">
        <f ca="1">IF(Table1[[#This Row],[County]]="Derbyshire",Table1[[#This Row],[income]],0)</f>
        <v>0</v>
      </c>
      <c r="CB38" s="20">
        <f ca="1">IF(Table1[[#This Row],[County]]="City of London",Table1[[#This Row],[income]],0)</f>
        <v>0</v>
      </c>
      <c r="CC38" s="20">
        <f ca="1">IF(Table1[[#This Row],[County]]="Bedfordshire",Table1[[#This Row],[income]],0)</f>
        <v>0</v>
      </c>
      <c r="CD38" s="20">
        <f ca="1">IF(Table1[[#This Row],[County]]="County Durham",Table1[[#This Row],[income]],0)</f>
        <v>0</v>
      </c>
      <c r="CE38" s="20">
        <f ca="1">IF(Table1[[#This Row],[County]]="East Riding of Yorkshire",Table1[[#This Row],[income]],0)</f>
        <v>0</v>
      </c>
      <c r="CF38" s="20">
        <f ca="1">IF(Table1[[#This Row],[County]]="West Yorkshire",Table1[[#This Row],[income]],0)</f>
        <v>0</v>
      </c>
      <c r="CG38" s="20">
        <f ca="1">IF(Table1[[#This Row],[County]]="Essex",Table1[[#This Row],[income]],0)</f>
        <v>0</v>
      </c>
      <c r="CH38" s="20">
        <f ca="1">IF(Table1[[#This Row],[County]]="East Sussex",Table1[[#This Row],[income]],0)</f>
        <v>0</v>
      </c>
      <c r="CI38" s="20">
        <f ca="1">IF(Table1[[#This Row],[County]]="Greater Manchester",Table1[[#This Row],[income]],0)</f>
        <v>0</v>
      </c>
      <c r="CJ38" s="20">
        <f ca="1">IF(Table1[[#This Row],[County]]="Hertfordshire",Table1[[#This Row],[income]],0)</f>
        <v>0</v>
      </c>
      <c r="CK38" s="20">
        <f ca="1">IF(Table1[[#This Row],[County]]="Herefordshire",Table1[[#This Row],[income]],0)</f>
        <v>0</v>
      </c>
      <c r="CL38" s="20">
        <f ca="1">IF(Table1[[#This Row],[County]]="Lancashire",Table1[[#This Row],[income]],0)</f>
        <v>0</v>
      </c>
      <c r="CM38" s="20">
        <f ca="1">IF(Table1[[#This Row],[County]]="Merseyside",Table1[[#This Row],[income]],0)</f>
        <v>0</v>
      </c>
      <c r="CN38" s="20">
        <f ca="1">IF(Table1[[#This Row],[County]]="Northamptonshire",Table1[[#This Row],[income]],0)</f>
        <v>0</v>
      </c>
      <c r="CO38" s="20">
        <f ca="1">IF(Table1[[#This Row],[County]]="Northumberland",Table1[[#This Row],[income]],0)</f>
        <v>0</v>
      </c>
      <c r="CP38" s="20">
        <f ca="1">IF(Table1[[#This Row],[County]]="Wiltshire",Table1[[#This Row],[income]],0)</f>
        <v>0</v>
      </c>
      <c r="CQ38" s="20">
        <f ca="1">IF(Table1[[#This Row],[County]]="West Midlands",Table1[[#This Row],[income]],0)</f>
        <v>0</v>
      </c>
      <c r="CR38" s="20">
        <f ca="1">IF(Table1[[#This Row],[County]]="Warwickshire",Table1[[#This Row],[income]],0)</f>
        <v>0</v>
      </c>
      <c r="CS38" s="20">
        <f ca="1">IF(Table1[[#This Row],[County]]="Tyne and Wear",Table1[[#This Row],[income]],0)</f>
        <v>0</v>
      </c>
      <c r="CT38" s="20">
        <f ca="1">IF(Table1[[#This Row],[County]]="Worcestershire",Table1[[#This Row],[income]],0)</f>
        <v>0</v>
      </c>
      <c r="CU38" s="20">
        <f ca="1">IF(Table1[[#This Row],[County]]="Rutland",Table1[[#This Row],[income]],0)</f>
        <v>0</v>
      </c>
      <c r="CV38" s="20">
        <f ca="1">IF(Table1[[#This Row],[County]]="Shropshire",Table1[[#This Row],[income]],0)</f>
        <v>0</v>
      </c>
      <c r="CW38" s="20">
        <f ca="1">IF(Table1[[#This Row],[County]]="Dorset",Table1[[#This Row],[income]],0)</f>
        <v>0</v>
      </c>
      <c r="CX38" s="20">
        <f ca="1">IF(Table1[[#This Row],[County]]="Buckinghamshire",Table1[[#This Row],[income]],0)</f>
        <v>0</v>
      </c>
      <c r="CY38" s="20">
        <f ca="1">IF(Table1[[#This Row],[County]]="Suffolk",Table1[[#This Row],[income]],0)</f>
        <v>0</v>
      </c>
      <c r="CZ38" s="20">
        <f ca="1">IF(Table1[[#This Row],[County]]="North Yorkshire",Table1[[#This Row],[income]],0)</f>
        <v>0</v>
      </c>
      <c r="DA38" s="20">
        <f ca="1">IF(Table1[[#This Row],[County]]="Kent",Table1[[#This Row],[income]],0)</f>
        <v>0</v>
      </c>
      <c r="DB38" s="5">
        <f ca="1">IF(Table1[[#This Row],[County]]="Derbyshire",Table1[[#This Row],[income]],0)</f>
        <v>0</v>
      </c>
      <c r="DD38" s="6">
        <f ca="1">IF(Table1[[#This Row],[Column1]]="Health",Table1[[#This Row],[income]],0)</f>
        <v>0</v>
      </c>
      <c r="DE38" s="20">
        <f ca="1">IF(Table1[[#This Row],[Column1]]="Agriculture",Table1[[#This Row],[income]],0)</f>
        <v>62410</v>
      </c>
      <c r="DF38" s="20">
        <f ca="1">IF(Table1[[#This Row],[Column1]]="Technology",Table1[[#This Row],[income]],0)</f>
        <v>0</v>
      </c>
      <c r="DG38" s="20">
        <f ca="1">IF(Table1[[#This Row],[Column1]]="Social Service",Table1[[#This Row],[income]],0)</f>
        <v>0</v>
      </c>
      <c r="DH38" s="20">
        <f ca="1">IF(Table1[[#This Row],[Column1]]="Education",Table1[[#This Row],[income]],0)</f>
        <v>0</v>
      </c>
      <c r="DI38" s="5">
        <f ca="1">IF(Table1[[#This Row],[Column1]]="Construction",Table1[[#This Row],[income]],0)</f>
        <v>0</v>
      </c>
      <c r="DK38" s="6">
        <f ca="1">IF(Table1[[#This Row],[Value of Debts]]&gt;Table1[[#This Row],[income]],1,0)</f>
        <v>1</v>
      </c>
      <c r="DL38" s="20"/>
      <c r="DM38" s="20"/>
      <c r="DN38" s="5"/>
      <c r="DP38" s="6">
        <f ca="1">IF(Table1[[#This Row],[Net Worth (£)]]&gt;$DS$5,C38,0)</f>
        <v>0</v>
      </c>
      <c r="DQ38" s="20"/>
      <c r="DR38" s="20"/>
      <c r="DS38" s="5"/>
    </row>
    <row r="39" spans="1:123" x14ac:dyDescent="0.2">
      <c r="A39">
        <f t="shared" ca="1" si="1"/>
        <v>1</v>
      </c>
      <c r="B39" s="1" t="str">
        <f ca="1">IF(A39=1, "men", "women")</f>
        <v>men</v>
      </c>
      <c r="C39" s="1">
        <f ca="1">RANDBETWEEN(25,50)</f>
        <v>26</v>
      </c>
      <c r="D39">
        <f ca="1">RANDBETWEEN(1,6)</f>
        <v>6</v>
      </c>
      <c r="E39" t="str">
        <f ca="1">VLOOKUP(D39,$W$5:$X$10,2)</f>
        <v>Agriculture</v>
      </c>
      <c r="F39">
        <f ca="1">RANDBETWEEN(1,5)</f>
        <v>5</v>
      </c>
      <c r="G39" t="str">
        <f ca="1">VLOOKUP(F39,$Y$5:$Z$9,2)</f>
        <v>Other</v>
      </c>
      <c r="H39">
        <f ca="1">RANDBETWEEN(0,4)</f>
        <v>1</v>
      </c>
      <c r="I39">
        <f ca="1">RANDBETWEEN(1,3)</f>
        <v>2</v>
      </c>
      <c r="J39">
        <f ca="1">RANDBETWEEN(30000,100000)</f>
        <v>92361</v>
      </c>
      <c r="K39">
        <f ca="1">RANDBETWEEN(1,48)</f>
        <v>31</v>
      </c>
      <c r="L39" t="str">
        <f ca="1">VLOOKUP(K39,$AA$5:$AB$52,2)</f>
        <v>Northamptonshire</v>
      </c>
      <c r="M39">
        <f ca="1">J39*(RANDBETWEEN(2,5))</f>
        <v>277083</v>
      </c>
      <c r="N39">
        <f ca="1">RAND()*M39</f>
        <v>78016.850226254042</v>
      </c>
      <c r="O39">
        <f ca="1">I39*RAND()*J39</f>
        <v>94555.916432712998</v>
      </c>
      <c r="P39">
        <f ca="1">RANDBETWEEN(0,O39)</f>
        <v>89277</v>
      </c>
      <c r="Q39">
        <f ca="1">RAND()*J39*2</f>
        <v>147394.39400450766</v>
      </c>
      <c r="R39">
        <f ca="1">RAND()*J39*1.5</f>
        <v>815.26311162992033</v>
      </c>
      <c r="S39">
        <f ca="1">J39+R39+O39</f>
        <v>187732.17954434291</v>
      </c>
      <c r="T39">
        <f ca="1">N39+P39+Q39</f>
        <v>314688.24423076166</v>
      </c>
      <c r="U39">
        <f ca="1">S39-T39</f>
        <v>-126956.06468641874</v>
      </c>
      <c r="AA39">
        <v>35</v>
      </c>
      <c r="AB39" t="s">
        <v>51</v>
      </c>
      <c r="AC39" s="6">
        <f ca="1">IF(Table1[[#This Row],[gender]]="men",1,0)</f>
        <v>1</v>
      </c>
      <c r="AD39">
        <f ca="1">IF(Table1[[#This Row],[gender]]="women",1,0)</f>
        <v>0</v>
      </c>
      <c r="AH39" s="5"/>
      <c r="AJ39" s="6">
        <f ca="1">IF(Table1[[#This Row],[Column1]]="Health",1,0)</f>
        <v>0</v>
      </c>
      <c r="AK39">
        <f ca="1">IF(Table1[[#This Row],[Column1]]="Construction",1,0)</f>
        <v>0</v>
      </c>
      <c r="AL39">
        <f ca="1">IF(Table1[[#This Row],[Column1]]="Technology",1,0)</f>
        <v>0</v>
      </c>
      <c r="AM39">
        <f ca="1">IF(Table1[[#This Row],[Column1]]="Education",1,0)</f>
        <v>0</v>
      </c>
      <c r="AN39">
        <f ca="1">IF(Table1[[#This Row],[Column1]]="Agriculture",1,0)</f>
        <v>1</v>
      </c>
      <c r="AO39">
        <f ca="1">IF(Table1[[#This Row],[Column1]]="Social Service", 1, 0)</f>
        <v>0</v>
      </c>
      <c r="AT39" s="5"/>
      <c r="AV39" s="17">
        <f t="shared" ca="1" si="0"/>
        <v>23381.798192564769</v>
      </c>
      <c r="AW39" s="5"/>
      <c r="AX39" s="6">
        <f ca="1">IF(Table1[[#This Row],[Value of Debts]]&gt;$AY$4,1,0)</f>
        <v>1</v>
      </c>
      <c r="AY39" s="20"/>
      <c r="AZ39" s="20"/>
      <c r="BA39" s="5"/>
      <c r="BB39" s="25">
        <f ca="1">Table1[[#This Row],[Mortage Left]]/Table1[[#This Row],[Value of House]]</f>
        <v>0.28156491096983227</v>
      </c>
      <c r="BC39" s="20">
        <f t="shared" ca="1" si="2"/>
        <v>1</v>
      </c>
      <c r="BD39" s="20"/>
      <c r="BE39" s="20"/>
      <c r="BF39" s="20"/>
      <c r="BG39" s="6">
        <f ca="1">IF(Table1[[#This Row],[County]]="Cumbria",Table1[[#This Row],[income]],0)</f>
        <v>0</v>
      </c>
      <c r="BH39" s="20">
        <f ca="1">IF(Table1[[#This Row],[County]]="Cheshire",Table1[[#This Row],[income]],0)</f>
        <v>0</v>
      </c>
      <c r="BI39" s="20">
        <f ca="1">IF(Table1[[#This Row],[County]]="Bristol",Table1[[#This Row],[income]],0)</f>
        <v>0</v>
      </c>
      <c r="BJ39" s="20">
        <f ca="1">IF(Table1[[#This Row],[County]]="Surrey",Table1[[#This Row],[income]],0)</f>
        <v>0</v>
      </c>
      <c r="BK39" s="20">
        <f ca="1">IF(Table1[[#This Row],[County]]="Norfolk",Table1[[#This Row],[income]],0)</f>
        <v>0</v>
      </c>
      <c r="BL39" s="20">
        <f ca="1">IF(Table1[[#This Row],[County]]="Lincolnshire",Table1[[#This Row],[income]],0)</f>
        <v>0</v>
      </c>
      <c r="BM39" s="20">
        <f ca="1">IF(Table1[[#This Row],[County]]="Somerset",Table1[[#This Row],[income]],0)</f>
        <v>0</v>
      </c>
      <c r="BN39" s="20">
        <f ca="1">IF(Table1[[#This Row],[County]]="Cambridgeshire",Table1[[#This Row],[income]],0)</f>
        <v>0</v>
      </c>
      <c r="BO39" s="20">
        <f ca="1">IF(Table1[[#This Row],[County]]="South Yorkshire",Table1[[#This Row],[income]],0)</f>
        <v>0</v>
      </c>
      <c r="BP39" s="20">
        <f ca="1">IF(Table1[[#This Row],[County]]="Greater London",Table1[[#This Row],[income]],0)</f>
        <v>0</v>
      </c>
      <c r="BQ39" s="20">
        <f ca="1">IF(Table1[[#This Row],[County]]="Hampshire",Table1[[#This Row],[income]],0)</f>
        <v>0</v>
      </c>
      <c r="BR39" s="20">
        <f ca="1">IF(Table1[[#This Row],[County]]="Gloucestershire",Table1[[#This Row],[income]],0)</f>
        <v>0</v>
      </c>
      <c r="BS39" s="20">
        <f ca="1">IF(Table1[[#This Row],[County]]="West Sussex",Table1[[#This Row],[income]],0)</f>
        <v>0</v>
      </c>
      <c r="BT39" s="20">
        <f ca="1">IF(Table1[[#This Row],[County]]="Devon",Table1[[#This Row],[income]],0)</f>
        <v>0</v>
      </c>
      <c r="BU39" s="20">
        <f ca="1">IF(Table1[[#This Row],[County]]="Berkshire",Table1[[#This Row],[income]],0)</f>
        <v>0</v>
      </c>
      <c r="BV39" s="20">
        <f ca="1">IF(Table1[[#This Row],[County]]="Staffordshire",Table1[[#This Row],[income]],0)</f>
        <v>0</v>
      </c>
      <c r="BW39" s="20">
        <f ca="1">IF(Table1[[#This Row],[County]]="Leicestershire",Table1[[#This Row],[income]],0)</f>
        <v>0</v>
      </c>
      <c r="BX39" s="20">
        <f ca="1">IF(Table1[[#This Row],[County]]="Cornwall",Table1[[#This Row],[income]],0)</f>
        <v>0</v>
      </c>
      <c r="BY39" s="20">
        <f ca="1">IF(Table1[[#This Row],[County]]="Isle of Wight",Table1[[#This Row],[income]],0)</f>
        <v>0</v>
      </c>
      <c r="BZ39" s="20">
        <f ca="1">IF(Table1[[#This Row],[County]]="Surrey",Table1[[#This Row],[income]],0)</f>
        <v>0</v>
      </c>
      <c r="CA39" s="20">
        <f ca="1">IF(Table1[[#This Row],[County]]="Derbyshire",Table1[[#This Row],[income]],0)</f>
        <v>0</v>
      </c>
      <c r="CB39" s="20">
        <f ca="1">IF(Table1[[#This Row],[County]]="City of London",Table1[[#This Row],[income]],0)</f>
        <v>0</v>
      </c>
      <c r="CC39" s="20">
        <f ca="1">IF(Table1[[#This Row],[County]]="Bedfordshire",Table1[[#This Row],[income]],0)</f>
        <v>0</v>
      </c>
      <c r="CD39" s="20">
        <f ca="1">IF(Table1[[#This Row],[County]]="County Durham",Table1[[#This Row],[income]],0)</f>
        <v>0</v>
      </c>
      <c r="CE39" s="20">
        <f ca="1">IF(Table1[[#This Row],[County]]="East Riding of Yorkshire",Table1[[#This Row],[income]],0)</f>
        <v>0</v>
      </c>
      <c r="CF39" s="20">
        <f ca="1">IF(Table1[[#This Row],[County]]="West Yorkshire",Table1[[#This Row],[income]],0)</f>
        <v>0</v>
      </c>
      <c r="CG39" s="20">
        <f ca="1">IF(Table1[[#This Row],[County]]="Essex",Table1[[#This Row],[income]],0)</f>
        <v>0</v>
      </c>
      <c r="CH39" s="20">
        <f ca="1">IF(Table1[[#This Row],[County]]="East Sussex",Table1[[#This Row],[income]],0)</f>
        <v>0</v>
      </c>
      <c r="CI39" s="20">
        <f ca="1">IF(Table1[[#This Row],[County]]="Greater Manchester",Table1[[#This Row],[income]],0)</f>
        <v>0</v>
      </c>
      <c r="CJ39" s="20">
        <f ca="1">IF(Table1[[#This Row],[County]]="Hertfordshire",Table1[[#This Row],[income]],0)</f>
        <v>0</v>
      </c>
      <c r="CK39" s="20">
        <f ca="1">IF(Table1[[#This Row],[County]]="Herefordshire",Table1[[#This Row],[income]],0)</f>
        <v>0</v>
      </c>
      <c r="CL39" s="20">
        <f ca="1">IF(Table1[[#This Row],[County]]="Lancashire",Table1[[#This Row],[income]],0)</f>
        <v>0</v>
      </c>
      <c r="CM39" s="20">
        <f ca="1">IF(Table1[[#This Row],[County]]="Merseyside",Table1[[#This Row],[income]],0)</f>
        <v>0</v>
      </c>
      <c r="CN39" s="20">
        <f ca="1">IF(Table1[[#This Row],[County]]="Northamptonshire",Table1[[#This Row],[income]],0)</f>
        <v>92361</v>
      </c>
      <c r="CO39" s="20">
        <f ca="1">IF(Table1[[#This Row],[County]]="Northumberland",Table1[[#This Row],[income]],0)</f>
        <v>0</v>
      </c>
      <c r="CP39" s="20">
        <f ca="1">IF(Table1[[#This Row],[County]]="Wiltshire",Table1[[#This Row],[income]],0)</f>
        <v>0</v>
      </c>
      <c r="CQ39" s="20">
        <f ca="1">IF(Table1[[#This Row],[County]]="West Midlands",Table1[[#This Row],[income]],0)</f>
        <v>0</v>
      </c>
      <c r="CR39" s="20">
        <f ca="1">IF(Table1[[#This Row],[County]]="Warwickshire",Table1[[#This Row],[income]],0)</f>
        <v>0</v>
      </c>
      <c r="CS39" s="20">
        <f ca="1">IF(Table1[[#This Row],[County]]="Tyne and Wear",Table1[[#This Row],[income]],0)</f>
        <v>0</v>
      </c>
      <c r="CT39" s="20">
        <f ca="1">IF(Table1[[#This Row],[County]]="Worcestershire",Table1[[#This Row],[income]],0)</f>
        <v>0</v>
      </c>
      <c r="CU39" s="20">
        <f ca="1">IF(Table1[[#This Row],[County]]="Rutland",Table1[[#This Row],[income]],0)</f>
        <v>0</v>
      </c>
      <c r="CV39" s="20">
        <f ca="1">IF(Table1[[#This Row],[County]]="Shropshire",Table1[[#This Row],[income]],0)</f>
        <v>0</v>
      </c>
      <c r="CW39" s="20">
        <f ca="1">IF(Table1[[#This Row],[County]]="Dorset",Table1[[#This Row],[income]],0)</f>
        <v>0</v>
      </c>
      <c r="CX39" s="20">
        <f ca="1">IF(Table1[[#This Row],[County]]="Buckinghamshire",Table1[[#This Row],[income]],0)</f>
        <v>0</v>
      </c>
      <c r="CY39" s="20">
        <f ca="1">IF(Table1[[#This Row],[County]]="Suffolk",Table1[[#This Row],[income]],0)</f>
        <v>0</v>
      </c>
      <c r="CZ39" s="20">
        <f ca="1">IF(Table1[[#This Row],[County]]="North Yorkshire",Table1[[#This Row],[income]],0)</f>
        <v>0</v>
      </c>
      <c r="DA39" s="20">
        <f ca="1">IF(Table1[[#This Row],[County]]="Kent",Table1[[#This Row],[income]],0)</f>
        <v>0</v>
      </c>
      <c r="DB39" s="5">
        <f ca="1">IF(Table1[[#This Row],[County]]="Derbyshire",Table1[[#This Row],[income]],0)</f>
        <v>0</v>
      </c>
      <c r="DD39" s="6">
        <f ca="1">IF(Table1[[#This Row],[Column1]]="Health",Table1[[#This Row],[income]],0)</f>
        <v>0</v>
      </c>
      <c r="DE39" s="20">
        <f ca="1">IF(Table1[[#This Row],[Column1]]="Agriculture",Table1[[#This Row],[income]],0)</f>
        <v>92361</v>
      </c>
      <c r="DF39" s="20">
        <f ca="1">IF(Table1[[#This Row],[Column1]]="Technology",Table1[[#This Row],[income]],0)</f>
        <v>0</v>
      </c>
      <c r="DG39" s="20">
        <f ca="1">IF(Table1[[#This Row],[Column1]]="Social Service",Table1[[#This Row],[income]],0)</f>
        <v>0</v>
      </c>
      <c r="DH39" s="20">
        <f ca="1">IF(Table1[[#This Row],[Column1]]="Education",Table1[[#This Row],[income]],0)</f>
        <v>0</v>
      </c>
      <c r="DI39" s="5">
        <f ca="1">IF(Table1[[#This Row],[Column1]]="Construction",Table1[[#This Row],[income]],0)</f>
        <v>0</v>
      </c>
      <c r="DK39" s="6">
        <f ca="1">IF(Table1[[#This Row],[Value of Debts]]&gt;Table1[[#This Row],[income]],1,0)</f>
        <v>1</v>
      </c>
      <c r="DL39" s="20"/>
      <c r="DM39" s="20"/>
      <c r="DN39" s="5"/>
      <c r="DP39" s="6">
        <f ca="1">IF(Table1[[#This Row],[Net Worth (£)]]&gt;$DS$5,C39,0)</f>
        <v>0</v>
      </c>
      <c r="DQ39" s="20"/>
      <c r="DR39" s="20"/>
      <c r="DS39" s="5"/>
    </row>
    <row r="40" spans="1:123" x14ac:dyDescent="0.2">
      <c r="A40">
        <f t="shared" ca="1" si="1"/>
        <v>2</v>
      </c>
      <c r="B40" s="1" t="str">
        <f ca="1">IF(A40=1, "men", "women")</f>
        <v>women</v>
      </c>
      <c r="C40" s="1">
        <f ca="1">RANDBETWEEN(25,50)</f>
        <v>34</v>
      </c>
      <c r="D40">
        <f ca="1">RANDBETWEEN(1,6)</f>
        <v>1</v>
      </c>
      <c r="E40" t="str">
        <f ca="1">VLOOKUP(D40,$W$5:$X$10,2)</f>
        <v>Health</v>
      </c>
      <c r="F40">
        <f ca="1">RANDBETWEEN(1,5)</f>
        <v>1</v>
      </c>
      <c r="G40" t="str">
        <f ca="1">VLOOKUP(F40,$Y$5:$Z$9,2)</f>
        <v>High School</v>
      </c>
      <c r="H40">
        <f ca="1">RANDBETWEEN(0,4)</f>
        <v>0</v>
      </c>
      <c r="I40">
        <f ca="1">RANDBETWEEN(1,3)</f>
        <v>2</v>
      </c>
      <c r="J40">
        <f ca="1">RANDBETWEEN(30000,100000)</f>
        <v>57908</v>
      </c>
      <c r="K40">
        <f ca="1">RANDBETWEEN(1,48)</f>
        <v>28</v>
      </c>
      <c r="L40" t="str">
        <f ca="1">VLOOKUP(K40,$AA$5:$AB$52,2)</f>
        <v>Lincolnshire</v>
      </c>
      <c r="M40">
        <f ca="1">J40*(RANDBETWEEN(2,5))</f>
        <v>289540</v>
      </c>
      <c r="N40">
        <f ca="1">RAND()*M40</f>
        <v>147697.60870149723</v>
      </c>
      <c r="O40">
        <f ca="1">I40*RAND()*J40</f>
        <v>46763.596385129538</v>
      </c>
      <c r="P40">
        <f ca="1">RANDBETWEEN(0,O40)</f>
        <v>38701</v>
      </c>
      <c r="Q40">
        <f ca="1">RAND()*J40*2</f>
        <v>31841.080525942492</v>
      </c>
      <c r="R40">
        <f ca="1">RAND()*J40*1.5</f>
        <v>10672.073644977294</v>
      </c>
      <c r="S40">
        <f ca="1">J40+R40+O40</f>
        <v>115343.67003010683</v>
      </c>
      <c r="T40">
        <f ca="1">N40+P40+Q40</f>
        <v>218239.68922743973</v>
      </c>
      <c r="U40">
        <f ca="1">S40-T40</f>
        <v>-102896.01919733289</v>
      </c>
      <c r="AA40">
        <v>36</v>
      </c>
      <c r="AB40" t="s">
        <v>52</v>
      </c>
      <c r="AC40" s="6">
        <f ca="1">IF(Table1[[#This Row],[gender]]="men",1,0)</f>
        <v>0</v>
      </c>
      <c r="AD40">
        <f ca="1">IF(Table1[[#This Row],[gender]]="women",1,0)</f>
        <v>1</v>
      </c>
      <c r="AH40" s="5"/>
      <c r="AJ40" s="6">
        <f ca="1">IF(Table1[[#This Row],[Column1]]="Health",1,0)</f>
        <v>1</v>
      </c>
      <c r="AK40">
        <f ca="1">IF(Table1[[#This Row],[Column1]]="Construction",1,0)</f>
        <v>0</v>
      </c>
      <c r="AL40">
        <f ca="1">IF(Table1[[#This Row],[Column1]]="Technology",1,0)</f>
        <v>0</v>
      </c>
      <c r="AM40">
        <f ca="1">IF(Table1[[#This Row],[Column1]]="Education",1,0)</f>
        <v>0</v>
      </c>
      <c r="AN40">
        <f ca="1">IF(Table1[[#This Row],[Column1]]="Agriculture",1,0)</f>
        <v>0</v>
      </c>
      <c r="AO40">
        <f ca="1">IF(Table1[[#This Row],[Column1]]="Social Service", 1, 0)</f>
        <v>0</v>
      </c>
      <c r="AT40" s="5"/>
      <c r="AV40" s="17">
        <f t="shared" ca="1" si="0"/>
        <v>35046.74002578701</v>
      </c>
      <c r="AW40" s="5"/>
      <c r="AX40" s="6">
        <f ca="1">IF(Table1[[#This Row],[Value of Debts]]&gt;$AY$4,1,0)</f>
        <v>1</v>
      </c>
      <c r="AY40" s="20"/>
      <c r="AZ40" s="20"/>
      <c r="BA40" s="5"/>
      <c r="BB40" s="25">
        <f ca="1">Table1[[#This Row],[Mortage Left]]/Table1[[#This Row],[Value of House]]</f>
        <v>0.51011124093906624</v>
      </c>
      <c r="BC40" s="20">
        <f t="shared" ca="1" si="2"/>
        <v>0</v>
      </c>
      <c r="BD40" s="20"/>
      <c r="BE40" s="20"/>
      <c r="BF40" s="20"/>
      <c r="BG40" s="6">
        <f ca="1">IF(Table1[[#This Row],[County]]="Cumbria",Table1[[#This Row],[income]],0)</f>
        <v>0</v>
      </c>
      <c r="BH40" s="20">
        <f ca="1">IF(Table1[[#This Row],[County]]="Cheshire",Table1[[#This Row],[income]],0)</f>
        <v>0</v>
      </c>
      <c r="BI40" s="20">
        <f ca="1">IF(Table1[[#This Row],[County]]="Bristol",Table1[[#This Row],[income]],0)</f>
        <v>0</v>
      </c>
      <c r="BJ40" s="20">
        <f ca="1">IF(Table1[[#This Row],[County]]="Surrey",Table1[[#This Row],[income]],0)</f>
        <v>0</v>
      </c>
      <c r="BK40" s="20">
        <f ca="1">IF(Table1[[#This Row],[County]]="Norfolk",Table1[[#This Row],[income]],0)</f>
        <v>0</v>
      </c>
      <c r="BL40" s="20">
        <f ca="1">IF(Table1[[#This Row],[County]]="Lincolnshire",Table1[[#This Row],[income]],0)</f>
        <v>57908</v>
      </c>
      <c r="BM40" s="20">
        <f ca="1">IF(Table1[[#This Row],[County]]="Somerset",Table1[[#This Row],[income]],0)</f>
        <v>0</v>
      </c>
      <c r="BN40" s="20">
        <f ca="1">IF(Table1[[#This Row],[County]]="Cambridgeshire",Table1[[#This Row],[income]],0)</f>
        <v>0</v>
      </c>
      <c r="BO40" s="20">
        <f ca="1">IF(Table1[[#This Row],[County]]="South Yorkshire",Table1[[#This Row],[income]],0)</f>
        <v>0</v>
      </c>
      <c r="BP40" s="20">
        <f ca="1">IF(Table1[[#This Row],[County]]="Greater London",Table1[[#This Row],[income]],0)</f>
        <v>0</v>
      </c>
      <c r="BQ40" s="20">
        <f ca="1">IF(Table1[[#This Row],[County]]="Hampshire",Table1[[#This Row],[income]],0)</f>
        <v>0</v>
      </c>
      <c r="BR40" s="20">
        <f ca="1">IF(Table1[[#This Row],[County]]="Gloucestershire",Table1[[#This Row],[income]],0)</f>
        <v>0</v>
      </c>
      <c r="BS40" s="20">
        <f ca="1">IF(Table1[[#This Row],[County]]="West Sussex",Table1[[#This Row],[income]],0)</f>
        <v>0</v>
      </c>
      <c r="BT40" s="20">
        <f ca="1">IF(Table1[[#This Row],[County]]="Devon",Table1[[#This Row],[income]],0)</f>
        <v>0</v>
      </c>
      <c r="BU40" s="20">
        <f ca="1">IF(Table1[[#This Row],[County]]="Berkshire",Table1[[#This Row],[income]],0)</f>
        <v>0</v>
      </c>
      <c r="BV40" s="20">
        <f ca="1">IF(Table1[[#This Row],[County]]="Staffordshire",Table1[[#This Row],[income]],0)</f>
        <v>0</v>
      </c>
      <c r="BW40" s="20">
        <f ca="1">IF(Table1[[#This Row],[County]]="Leicestershire",Table1[[#This Row],[income]],0)</f>
        <v>0</v>
      </c>
      <c r="BX40" s="20">
        <f ca="1">IF(Table1[[#This Row],[County]]="Cornwall",Table1[[#This Row],[income]],0)</f>
        <v>0</v>
      </c>
      <c r="BY40" s="20">
        <f ca="1">IF(Table1[[#This Row],[County]]="Isle of Wight",Table1[[#This Row],[income]],0)</f>
        <v>0</v>
      </c>
      <c r="BZ40" s="20">
        <f ca="1">IF(Table1[[#This Row],[County]]="Surrey",Table1[[#This Row],[income]],0)</f>
        <v>0</v>
      </c>
      <c r="CA40" s="20">
        <f ca="1">IF(Table1[[#This Row],[County]]="Derbyshire",Table1[[#This Row],[income]],0)</f>
        <v>0</v>
      </c>
      <c r="CB40" s="20">
        <f ca="1">IF(Table1[[#This Row],[County]]="City of London",Table1[[#This Row],[income]],0)</f>
        <v>0</v>
      </c>
      <c r="CC40" s="20">
        <f ca="1">IF(Table1[[#This Row],[County]]="Bedfordshire",Table1[[#This Row],[income]],0)</f>
        <v>0</v>
      </c>
      <c r="CD40" s="20">
        <f ca="1">IF(Table1[[#This Row],[County]]="County Durham",Table1[[#This Row],[income]],0)</f>
        <v>0</v>
      </c>
      <c r="CE40" s="20">
        <f ca="1">IF(Table1[[#This Row],[County]]="East Riding of Yorkshire",Table1[[#This Row],[income]],0)</f>
        <v>0</v>
      </c>
      <c r="CF40" s="20">
        <f ca="1">IF(Table1[[#This Row],[County]]="West Yorkshire",Table1[[#This Row],[income]],0)</f>
        <v>0</v>
      </c>
      <c r="CG40" s="20">
        <f ca="1">IF(Table1[[#This Row],[County]]="Essex",Table1[[#This Row],[income]],0)</f>
        <v>0</v>
      </c>
      <c r="CH40" s="20">
        <f ca="1">IF(Table1[[#This Row],[County]]="East Sussex",Table1[[#This Row],[income]],0)</f>
        <v>0</v>
      </c>
      <c r="CI40" s="20">
        <f ca="1">IF(Table1[[#This Row],[County]]="Greater Manchester",Table1[[#This Row],[income]],0)</f>
        <v>0</v>
      </c>
      <c r="CJ40" s="20">
        <f ca="1">IF(Table1[[#This Row],[County]]="Hertfordshire",Table1[[#This Row],[income]],0)</f>
        <v>0</v>
      </c>
      <c r="CK40" s="20">
        <f ca="1">IF(Table1[[#This Row],[County]]="Herefordshire",Table1[[#This Row],[income]],0)</f>
        <v>0</v>
      </c>
      <c r="CL40" s="20">
        <f ca="1">IF(Table1[[#This Row],[County]]="Lancashire",Table1[[#This Row],[income]],0)</f>
        <v>0</v>
      </c>
      <c r="CM40" s="20">
        <f ca="1">IF(Table1[[#This Row],[County]]="Merseyside",Table1[[#This Row],[income]],0)</f>
        <v>0</v>
      </c>
      <c r="CN40" s="20">
        <f ca="1">IF(Table1[[#This Row],[County]]="Northamptonshire",Table1[[#This Row],[income]],0)</f>
        <v>0</v>
      </c>
      <c r="CO40" s="20">
        <f ca="1">IF(Table1[[#This Row],[County]]="Northumberland",Table1[[#This Row],[income]],0)</f>
        <v>0</v>
      </c>
      <c r="CP40" s="20">
        <f ca="1">IF(Table1[[#This Row],[County]]="Wiltshire",Table1[[#This Row],[income]],0)</f>
        <v>0</v>
      </c>
      <c r="CQ40" s="20">
        <f ca="1">IF(Table1[[#This Row],[County]]="West Midlands",Table1[[#This Row],[income]],0)</f>
        <v>0</v>
      </c>
      <c r="CR40" s="20">
        <f ca="1">IF(Table1[[#This Row],[County]]="Warwickshire",Table1[[#This Row],[income]],0)</f>
        <v>0</v>
      </c>
      <c r="CS40" s="20">
        <f ca="1">IF(Table1[[#This Row],[County]]="Tyne and Wear",Table1[[#This Row],[income]],0)</f>
        <v>0</v>
      </c>
      <c r="CT40" s="20">
        <f ca="1">IF(Table1[[#This Row],[County]]="Worcestershire",Table1[[#This Row],[income]],0)</f>
        <v>0</v>
      </c>
      <c r="CU40" s="20">
        <f ca="1">IF(Table1[[#This Row],[County]]="Rutland",Table1[[#This Row],[income]],0)</f>
        <v>0</v>
      </c>
      <c r="CV40" s="20">
        <f ca="1">IF(Table1[[#This Row],[County]]="Shropshire",Table1[[#This Row],[income]],0)</f>
        <v>0</v>
      </c>
      <c r="CW40" s="20">
        <f ca="1">IF(Table1[[#This Row],[County]]="Dorset",Table1[[#This Row],[income]],0)</f>
        <v>0</v>
      </c>
      <c r="CX40" s="20">
        <f ca="1">IF(Table1[[#This Row],[County]]="Buckinghamshire",Table1[[#This Row],[income]],0)</f>
        <v>0</v>
      </c>
      <c r="CY40" s="20">
        <f ca="1">IF(Table1[[#This Row],[County]]="Suffolk",Table1[[#This Row],[income]],0)</f>
        <v>0</v>
      </c>
      <c r="CZ40" s="20">
        <f ca="1">IF(Table1[[#This Row],[County]]="North Yorkshire",Table1[[#This Row],[income]],0)</f>
        <v>0</v>
      </c>
      <c r="DA40" s="20">
        <f ca="1">IF(Table1[[#This Row],[County]]="Kent",Table1[[#This Row],[income]],0)</f>
        <v>0</v>
      </c>
      <c r="DB40" s="5">
        <f ca="1">IF(Table1[[#This Row],[County]]="Derbyshire",Table1[[#This Row],[income]],0)</f>
        <v>0</v>
      </c>
      <c r="DD40" s="6">
        <f ca="1">IF(Table1[[#This Row],[Column1]]="Health",Table1[[#This Row],[income]],0)</f>
        <v>57908</v>
      </c>
      <c r="DE40" s="20">
        <f ca="1">IF(Table1[[#This Row],[Column1]]="Agriculture",Table1[[#This Row],[income]],0)</f>
        <v>0</v>
      </c>
      <c r="DF40" s="20">
        <f ca="1">IF(Table1[[#This Row],[Column1]]="Technology",Table1[[#This Row],[income]],0)</f>
        <v>0</v>
      </c>
      <c r="DG40" s="20">
        <f ca="1">IF(Table1[[#This Row],[Column1]]="Social Service",Table1[[#This Row],[income]],0)</f>
        <v>0</v>
      </c>
      <c r="DH40" s="20">
        <f ca="1">IF(Table1[[#This Row],[Column1]]="Education",Table1[[#This Row],[income]],0)</f>
        <v>0</v>
      </c>
      <c r="DI40" s="5">
        <f ca="1">IF(Table1[[#This Row],[Column1]]="Construction",Table1[[#This Row],[income]],0)</f>
        <v>0</v>
      </c>
      <c r="DK40" s="6">
        <f ca="1">IF(Table1[[#This Row],[Value of Debts]]&gt;Table1[[#This Row],[income]],1,0)</f>
        <v>1</v>
      </c>
      <c r="DL40" s="20"/>
      <c r="DM40" s="20"/>
      <c r="DN40" s="5"/>
      <c r="DP40" s="6">
        <f ca="1">IF(Table1[[#This Row],[Net Worth (£)]]&gt;$DS$5,C40,0)</f>
        <v>0</v>
      </c>
      <c r="DQ40" s="20"/>
      <c r="DR40" s="20"/>
      <c r="DS40" s="5"/>
    </row>
    <row r="41" spans="1:123" x14ac:dyDescent="0.2">
      <c r="A41">
        <f t="shared" ca="1" si="1"/>
        <v>2</v>
      </c>
      <c r="B41" s="1" t="str">
        <f ca="1">IF(A41=1, "men", "women")</f>
        <v>women</v>
      </c>
      <c r="C41" s="1">
        <f ca="1">RANDBETWEEN(25,50)</f>
        <v>27</v>
      </c>
      <c r="D41">
        <f ca="1">RANDBETWEEN(1,6)</f>
        <v>6</v>
      </c>
      <c r="E41" t="str">
        <f ca="1">VLOOKUP(D41,$W$5:$X$10,2)</f>
        <v>Agriculture</v>
      </c>
      <c r="F41">
        <f ca="1">RANDBETWEEN(1,5)</f>
        <v>4</v>
      </c>
      <c r="G41" t="str">
        <f ca="1">VLOOKUP(F41,$Y$5:$Z$9,2)</f>
        <v xml:space="preserve">Technical </v>
      </c>
      <c r="H41">
        <f ca="1">RANDBETWEEN(0,4)</f>
        <v>2</v>
      </c>
      <c r="I41">
        <f ca="1">RANDBETWEEN(1,3)</f>
        <v>2</v>
      </c>
      <c r="J41">
        <f ca="1">RANDBETWEEN(30000,100000)</f>
        <v>62281</v>
      </c>
      <c r="K41">
        <f ca="1">RANDBETWEEN(1,48)</f>
        <v>48</v>
      </c>
      <c r="L41" t="str">
        <f ca="1">VLOOKUP(K41,$AA$5:$AB$52,2)</f>
        <v>Worcestershire</v>
      </c>
      <c r="M41">
        <f ca="1">J41*(RANDBETWEEN(2,5))</f>
        <v>249124</v>
      </c>
      <c r="N41">
        <f ca="1">RAND()*M41</f>
        <v>115886.7373297724</v>
      </c>
      <c r="O41">
        <f ca="1">I41*RAND()*J41</f>
        <v>70093.480051574021</v>
      </c>
      <c r="P41">
        <f ca="1">RANDBETWEEN(0,O41)</f>
        <v>58201</v>
      </c>
      <c r="Q41">
        <f ca="1">RAND()*J41*2</f>
        <v>98993.120524291196</v>
      </c>
      <c r="R41">
        <f ca="1">RAND()*J41*1.5</f>
        <v>87982.388220205816</v>
      </c>
      <c r="S41">
        <f ca="1">J41+R41+O41</f>
        <v>220356.86827177985</v>
      </c>
      <c r="T41">
        <f ca="1">N41+P41+Q41</f>
        <v>273080.85785406356</v>
      </c>
      <c r="U41">
        <f ca="1">S41-T41</f>
        <v>-52723.989582283713</v>
      </c>
      <c r="AA41">
        <v>37</v>
      </c>
      <c r="AB41" t="s">
        <v>53</v>
      </c>
      <c r="AC41" s="6">
        <f ca="1">IF(Table1[[#This Row],[gender]]="men",1,0)</f>
        <v>0</v>
      </c>
      <c r="AD41">
        <f ca="1">IF(Table1[[#This Row],[gender]]="women",1,0)</f>
        <v>1</v>
      </c>
      <c r="AH41" s="5"/>
      <c r="AJ41" s="6">
        <f ca="1">IF(Table1[[#This Row],[Column1]]="Health",1,0)</f>
        <v>0</v>
      </c>
      <c r="AK41">
        <f ca="1">IF(Table1[[#This Row],[Column1]]="Construction",1,0)</f>
        <v>0</v>
      </c>
      <c r="AL41">
        <f ca="1">IF(Table1[[#This Row],[Column1]]="Technology",1,0)</f>
        <v>0</v>
      </c>
      <c r="AM41">
        <f ca="1">IF(Table1[[#This Row],[Column1]]="Education",1,0)</f>
        <v>0</v>
      </c>
      <c r="AN41">
        <f ca="1">IF(Table1[[#This Row],[Column1]]="Agriculture",1,0)</f>
        <v>1</v>
      </c>
      <c r="AO41">
        <f ca="1">IF(Table1[[#This Row],[Column1]]="Social Service", 1, 0)</f>
        <v>0</v>
      </c>
      <c r="AT41" s="5"/>
      <c r="AV41" s="17">
        <f t="shared" ca="1" si="0"/>
        <v>32835.245604038595</v>
      </c>
      <c r="AW41" s="5"/>
      <c r="AX41" s="6">
        <f ca="1">IF(Table1[[#This Row],[Value of Debts]]&gt;$AY$4,1,0)</f>
        <v>1</v>
      </c>
      <c r="AY41" s="20"/>
      <c r="AZ41" s="20"/>
      <c r="BA41" s="5"/>
      <c r="BB41" s="25">
        <f ca="1">Table1[[#This Row],[Mortage Left]]/Table1[[#This Row],[Value of House]]</f>
        <v>0.46517692927928422</v>
      </c>
      <c r="BC41" s="20">
        <f t="shared" ca="1" si="2"/>
        <v>0</v>
      </c>
      <c r="BD41" s="20"/>
      <c r="BE41" s="20"/>
      <c r="BF41" s="20"/>
      <c r="BG41" s="6">
        <f ca="1">IF(Table1[[#This Row],[County]]="Cumbria",Table1[[#This Row],[income]],0)</f>
        <v>0</v>
      </c>
      <c r="BH41" s="20">
        <f ca="1">IF(Table1[[#This Row],[County]]="Cheshire",Table1[[#This Row],[income]],0)</f>
        <v>0</v>
      </c>
      <c r="BI41" s="20">
        <f ca="1">IF(Table1[[#This Row],[County]]="Bristol",Table1[[#This Row],[income]],0)</f>
        <v>0</v>
      </c>
      <c r="BJ41" s="20">
        <f ca="1">IF(Table1[[#This Row],[County]]="Surrey",Table1[[#This Row],[income]],0)</f>
        <v>0</v>
      </c>
      <c r="BK41" s="20">
        <f ca="1">IF(Table1[[#This Row],[County]]="Norfolk",Table1[[#This Row],[income]],0)</f>
        <v>0</v>
      </c>
      <c r="BL41" s="20">
        <f ca="1">IF(Table1[[#This Row],[County]]="Lincolnshire",Table1[[#This Row],[income]],0)</f>
        <v>0</v>
      </c>
      <c r="BM41" s="20">
        <f ca="1">IF(Table1[[#This Row],[County]]="Somerset",Table1[[#This Row],[income]],0)</f>
        <v>0</v>
      </c>
      <c r="BN41" s="20">
        <f ca="1">IF(Table1[[#This Row],[County]]="Cambridgeshire",Table1[[#This Row],[income]],0)</f>
        <v>0</v>
      </c>
      <c r="BO41" s="20">
        <f ca="1">IF(Table1[[#This Row],[County]]="South Yorkshire",Table1[[#This Row],[income]],0)</f>
        <v>0</v>
      </c>
      <c r="BP41" s="20">
        <f ca="1">IF(Table1[[#This Row],[County]]="Greater London",Table1[[#This Row],[income]],0)</f>
        <v>0</v>
      </c>
      <c r="BQ41" s="20">
        <f ca="1">IF(Table1[[#This Row],[County]]="Hampshire",Table1[[#This Row],[income]],0)</f>
        <v>0</v>
      </c>
      <c r="BR41" s="20">
        <f ca="1">IF(Table1[[#This Row],[County]]="Gloucestershire",Table1[[#This Row],[income]],0)</f>
        <v>0</v>
      </c>
      <c r="BS41" s="20">
        <f ca="1">IF(Table1[[#This Row],[County]]="West Sussex",Table1[[#This Row],[income]],0)</f>
        <v>0</v>
      </c>
      <c r="BT41" s="20">
        <f ca="1">IF(Table1[[#This Row],[County]]="Devon",Table1[[#This Row],[income]],0)</f>
        <v>0</v>
      </c>
      <c r="BU41" s="20">
        <f ca="1">IF(Table1[[#This Row],[County]]="Berkshire",Table1[[#This Row],[income]],0)</f>
        <v>0</v>
      </c>
      <c r="BV41" s="20">
        <f ca="1">IF(Table1[[#This Row],[County]]="Staffordshire",Table1[[#This Row],[income]],0)</f>
        <v>0</v>
      </c>
      <c r="BW41" s="20">
        <f ca="1">IF(Table1[[#This Row],[County]]="Leicestershire",Table1[[#This Row],[income]],0)</f>
        <v>0</v>
      </c>
      <c r="BX41" s="20">
        <f ca="1">IF(Table1[[#This Row],[County]]="Cornwall",Table1[[#This Row],[income]],0)</f>
        <v>0</v>
      </c>
      <c r="BY41" s="20">
        <f ca="1">IF(Table1[[#This Row],[County]]="Isle of Wight",Table1[[#This Row],[income]],0)</f>
        <v>0</v>
      </c>
      <c r="BZ41" s="20">
        <f ca="1">IF(Table1[[#This Row],[County]]="Surrey",Table1[[#This Row],[income]],0)</f>
        <v>0</v>
      </c>
      <c r="CA41" s="20">
        <f ca="1">IF(Table1[[#This Row],[County]]="Derbyshire",Table1[[#This Row],[income]],0)</f>
        <v>0</v>
      </c>
      <c r="CB41" s="20">
        <f ca="1">IF(Table1[[#This Row],[County]]="City of London",Table1[[#This Row],[income]],0)</f>
        <v>0</v>
      </c>
      <c r="CC41" s="20">
        <f ca="1">IF(Table1[[#This Row],[County]]="Bedfordshire",Table1[[#This Row],[income]],0)</f>
        <v>0</v>
      </c>
      <c r="CD41" s="20">
        <f ca="1">IF(Table1[[#This Row],[County]]="County Durham",Table1[[#This Row],[income]],0)</f>
        <v>0</v>
      </c>
      <c r="CE41" s="20">
        <f ca="1">IF(Table1[[#This Row],[County]]="East Riding of Yorkshire",Table1[[#This Row],[income]],0)</f>
        <v>0</v>
      </c>
      <c r="CF41" s="20">
        <f ca="1">IF(Table1[[#This Row],[County]]="West Yorkshire",Table1[[#This Row],[income]],0)</f>
        <v>0</v>
      </c>
      <c r="CG41" s="20">
        <f ca="1">IF(Table1[[#This Row],[County]]="Essex",Table1[[#This Row],[income]],0)</f>
        <v>0</v>
      </c>
      <c r="CH41" s="20">
        <f ca="1">IF(Table1[[#This Row],[County]]="East Sussex",Table1[[#This Row],[income]],0)</f>
        <v>0</v>
      </c>
      <c r="CI41" s="20">
        <f ca="1">IF(Table1[[#This Row],[County]]="Greater Manchester",Table1[[#This Row],[income]],0)</f>
        <v>0</v>
      </c>
      <c r="CJ41" s="20">
        <f ca="1">IF(Table1[[#This Row],[County]]="Hertfordshire",Table1[[#This Row],[income]],0)</f>
        <v>0</v>
      </c>
      <c r="CK41" s="20">
        <f ca="1">IF(Table1[[#This Row],[County]]="Herefordshire",Table1[[#This Row],[income]],0)</f>
        <v>0</v>
      </c>
      <c r="CL41" s="20">
        <f ca="1">IF(Table1[[#This Row],[County]]="Lancashire",Table1[[#This Row],[income]],0)</f>
        <v>0</v>
      </c>
      <c r="CM41" s="20">
        <f ca="1">IF(Table1[[#This Row],[County]]="Merseyside",Table1[[#This Row],[income]],0)</f>
        <v>0</v>
      </c>
      <c r="CN41" s="20">
        <f ca="1">IF(Table1[[#This Row],[County]]="Northamptonshire",Table1[[#This Row],[income]],0)</f>
        <v>0</v>
      </c>
      <c r="CO41" s="20">
        <f ca="1">IF(Table1[[#This Row],[County]]="Northumberland",Table1[[#This Row],[income]],0)</f>
        <v>0</v>
      </c>
      <c r="CP41" s="20">
        <f ca="1">IF(Table1[[#This Row],[County]]="Wiltshire",Table1[[#This Row],[income]],0)</f>
        <v>0</v>
      </c>
      <c r="CQ41" s="20">
        <f ca="1">IF(Table1[[#This Row],[County]]="West Midlands",Table1[[#This Row],[income]],0)</f>
        <v>0</v>
      </c>
      <c r="CR41" s="20">
        <f ca="1">IF(Table1[[#This Row],[County]]="Warwickshire",Table1[[#This Row],[income]],0)</f>
        <v>0</v>
      </c>
      <c r="CS41" s="20">
        <f ca="1">IF(Table1[[#This Row],[County]]="Tyne and Wear",Table1[[#This Row],[income]],0)</f>
        <v>0</v>
      </c>
      <c r="CT41" s="20">
        <f ca="1">IF(Table1[[#This Row],[County]]="Worcestershire",Table1[[#This Row],[income]],0)</f>
        <v>62281</v>
      </c>
      <c r="CU41" s="20">
        <f ca="1">IF(Table1[[#This Row],[County]]="Rutland",Table1[[#This Row],[income]],0)</f>
        <v>0</v>
      </c>
      <c r="CV41" s="20">
        <f ca="1">IF(Table1[[#This Row],[County]]="Shropshire",Table1[[#This Row],[income]],0)</f>
        <v>0</v>
      </c>
      <c r="CW41" s="20">
        <f ca="1">IF(Table1[[#This Row],[County]]="Dorset",Table1[[#This Row],[income]],0)</f>
        <v>0</v>
      </c>
      <c r="CX41" s="20">
        <f ca="1">IF(Table1[[#This Row],[County]]="Buckinghamshire",Table1[[#This Row],[income]],0)</f>
        <v>0</v>
      </c>
      <c r="CY41" s="20">
        <f ca="1">IF(Table1[[#This Row],[County]]="Suffolk",Table1[[#This Row],[income]],0)</f>
        <v>0</v>
      </c>
      <c r="CZ41" s="20">
        <f ca="1">IF(Table1[[#This Row],[County]]="North Yorkshire",Table1[[#This Row],[income]],0)</f>
        <v>0</v>
      </c>
      <c r="DA41" s="20">
        <f ca="1">IF(Table1[[#This Row],[County]]="Kent",Table1[[#This Row],[income]],0)</f>
        <v>0</v>
      </c>
      <c r="DB41" s="5">
        <f ca="1">IF(Table1[[#This Row],[County]]="Derbyshire",Table1[[#This Row],[income]],0)</f>
        <v>0</v>
      </c>
      <c r="DD41" s="6">
        <f ca="1">IF(Table1[[#This Row],[Column1]]="Health",Table1[[#This Row],[income]],0)</f>
        <v>0</v>
      </c>
      <c r="DE41" s="20">
        <f ca="1">IF(Table1[[#This Row],[Column1]]="Agriculture",Table1[[#This Row],[income]],0)</f>
        <v>62281</v>
      </c>
      <c r="DF41" s="20">
        <f ca="1">IF(Table1[[#This Row],[Column1]]="Technology",Table1[[#This Row],[income]],0)</f>
        <v>0</v>
      </c>
      <c r="DG41" s="20">
        <f ca="1">IF(Table1[[#This Row],[Column1]]="Social Service",Table1[[#This Row],[income]],0)</f>
        <v>0</v>
      </c>
      <c r="DH41" s="20">
        <f ca="1">IF(Table1[[#This Row],[Column1]]="Education",Table1[[#This Row],[income]],0)</f>
        <v>0</v>
      </c>
      <c r="DI41" s="5">
        <f ca="1">IF(Table1[[#This Row],[Column1]]="Construction",Table1[[#This Row],[income]],0)</f>
        <v>0</v>
      </c>
      <c r="DK41" s="6">
        <f ca="1">IF(Table1[[#This Row],[Value of Debts]]&gt;Table1[[#This Row],[income]],1,0)</f>
        <v>1</v>
      </c>
      <c r="DL41" s="20"/>
      <c r="DM41" s="20"/>
      <c r="DN41" s="5"/>
      <c r="DP41" s="6">
        <f ca="1">IF(Table1[[#This Row],[Net Worth (£)]]&gt;$DS$5,C41,0)</f>
        <v>0</v>
      </c>
      <c r="DQ41" s="20"/>
      <c r="DR41" s="20"/>
      <c r="DS41" s="5"/>
    </row>
    <row r="42" spans="1:123" x14ac:dyDescent="0.2">
      <c r="A42">
        <f t="shared" ca="1" si="1"/>
        <v>2</v>
      </c>
      <c r="B42" s="1" t="str">
        <f ca="1">IF(A42=1, "men", "women")</f>
        <v>women</v>
      </c>
      <c r="C42" s="1">
        <f ca="1">RANDBETWEEN(25,50)</f>
        <v>35</v>
      </c>
      <c r="D42">
        <f ca="1">RANDBETWEEN(1,6)</f>
        <v>6</v>
      </c>
      <c r="E42" t="str">
        <f ca="1">VLOOKUP(D42,$W$5:$X$10,2)</f>
        <v>Agriculture</v>
      </c>
      <c r="F42">
        <f ca="1">RANDBETWEEN(1,5)</f>
        <v>3</v>
      </c>
      <c r="G42" t="str">
        <f ca="1">VLOOKUP(F42,$Y$5:$Z$9,2)</f>
        <v>University</v>
      </c>
      <c r="H42">
        <f ca="1">RANDBETWEEN(0,4)</f>
        <v>2</v>
      </c>
      <c r="I42">
        <f ca="1">RANDBETWEEN(1,3)</f>
        <v>1</v>
      </c>
      <c r="J42">
        <f ca="1">RANDBETWEEN(30000,100000)</f>
        <v>49739</v>
      </c>
      <c r="K42">
        <f ca="1">RANDBETWEEN(1,48)</f>
        <v>45</v>
      </c>
      <c r="L42" t="str">
        <f ca="1">VLOOKUP(K42,$AA$5:$AB$52,2)</f>
        <v>West Sussex</v>
      </c>
      <c r="M42">
        <f ca="1">J42*(RANDBETWEEN(2,5))</f>
        <v>149217</v>
      </c>
      <c r="N42">
        <f ca="1">RAND()*M42</f>
        <v>97435.071288602339</v>
      </c>
      <c r="O42">
        <f ca="1">I42*RAND()*J42</f>
        <v>32835.245604038595</v>
      </c>
      <c r="P42">
        <f ca="1">RANDBETWEEN(0,O42)</f>
        <v>26044</v>
      </c>
      <c r="Q42">
        <f ca="1">RAND()*J42*2</f>
        <v>83192.827018187949</v>
      </c>
      <c r="R42">
        <f ca="1">RAND()*J42*1.5</f>
        <v>14686.182431541518</v>
      </c>
      <c r="S42">
        <f ca="1">J42+R42+O42</f>
        <v>97260.428035580117</v>
      </c>
      <c r="T42">
        <f ca="1">N42+P42+Q42</f>
        <v>206671.89830679027</v>
      </c>
      <c r="U42">
        <f ca="1">S42-T42</f>
        <v>-109411.47027121016</v>
      </c>
      <c r="AA42">
        <v>38</v>
      </c>
      <c r="AB42" t="s">
        <v>54</v>
      </c>
      <c r="AC42" s="6">
        <f ca="1">IF(Table1[[#This Row],[gender]]="men",1,0)</f>
        <v>0</v>
      </c>
      <c r="AD42">
        <f ca="1">IF(Table1[[#This Row],[gender]]="women",1,0)</f>
        <v>1</v>
      </c>
      <c r="AH42" s="5"/>
      <c r="AJ42" s="6">
        <f ca="1">IF(Table1[[#This Row],[Column1]]="Health",1,0)</f>
        <v>0</v>
      </c>
      <c r="AK42">
        <f ca="1">IF(Table1[[#This Row],[Column1]]="Construction",1,0)</f>
        <v>0</v>
      </c>
      <c r="AL42">
        <f ca="1">IF(Table1[[#This Row],[Column1]]="Technology",1,0)</f>
        <v>0</v>
      </c>
      <c r="AM42">
        <f ca="1">IF(Table1[[#This Row],[Column1]]="Education",1,0)</f>
        <v>0</v>
      </c>
      <c r="AN42">
        <f ca="1">IF(Table1[[#This Row],[Column1]]="Agriculture",1,0)</f>
        <v>1</v>
      </c>
      <c r="AO42">
        <f ca="1">IF(Table1[[#This Row],[Column1]]="Social Service", 1, 0)</f>
        <v>0</v>
      </c>
      <c r="AT42" s="5"/>
      <c r="AV42" s="17">
        <f t="shared" ca="1" si="0"/>
        <v>75728.903613226139</v>
      </c>
      <c r="AW42" s="5"/>
      <c r="AX42" s="6">
        <f ca="1">IF(Table1[[#This Row],[Value of Debts]]&gt;$AY$4,1,0)</f>
        <v>1</v>
      </c>
      <c r="AY42" s="20"/>
      <c r="AZ42" s="20"/>
      <c r="BA42" s="5"/>
      <c r="BB42" s="25">
        <f ca="1">Table1[[#This Row],[Mortage Left]]/Table1[[#This Row],[Value of House]]</f>
        <v>0.65297567494724018</v>
      </c>
      <c r="BC42" s="20">
        <f t="shared" ca="1" si="2"/>
        <v>0</v>
      </c>
      <c r="BD42" s="20"/>
      <c r="BE42" s="20"/>
      <c r="BF42" s="20"/>
      <c r="BG42" s="6">
        <f ca="1">IF(Table1[[#This Row],[County]]="Cumbria",Table1[[#This Row],[income]],0)</f>
        <v>0</v>
      </c>
      <c r="BH42" s="20">
        <f ca="1">IF(Table1[[#This Row],[County]]="Cheshire",Table1[[#This Row],[income]],0)</f>
        <v>0</v>
      </c>
      <c r="BI42" s="20">
        <f ca="1">IF(Table1[[#This Row],[County]]="Bristol",Table1[[#This Row],[income]],0)</f>
        <v>0</v>
      </c>
      <c r="BJ42" s="20">
        <f ca="1">IF(Table1[[#This Row],[County]]="Surrey",Table1[[#This Row],[income]],0)</f>
        <v>0</v>
      </c>
      <c r="BK42" s="20">
        <f ca="1">IF(Table1[[#This Row],[County]]="Norfolk",Table1[[#This Row],[income]],0)</f>
        <v>0</v>
      </c>
      <c r="BL42" s="20">
        <f ca="1">IF(Table1[[#This Row],[County]]="Lincolnshire",Table1[[#This Row],[income]],0)</f>
        <v>0</v>
      </c>
      <c r="BM42" s="20">
        <f ca="1">IF(Table1[[#This Row],[County]]="Somerset",Table1[[#This Row],[income]],0)</f>
        <v>0</v>
      </c>
      <c r="BN42" s="20">
        <f ca="1">IF(Table1[[#This Row],[County]]="Cambridgeshire",Table1[[#This Row],[income]],0)</f>
        <v>0</v>
      </c>
      <c r="BO42" s="20">
        <f ca="1">IF(Table1[[#This Row],[County]]="South Yorkshire",Table1[[#This Row],[income]],0)</f>
        <v>0</v>
      </c>
      <c r="BP42" s="20">
        <f ca="1">IF(Table1[[#This Row],[County]]="Greater London",Table1[[#This Row],[income]],0)</f>
        <v>0</v>
      </c>
      <c r="BQ42" s="20">
        <f ca="1">IF(Table1[[#This Row],[County]]="Hampshire",Table1[[#This Row],[income]],0)</f>
        <v>0</v>
      </c>
      <c r="BR42" s="20">
        <f ca="1">IF(Table1[[#This Row],[County]]="Gloucestershire",Table1[[#This Row],[income]],0)</f>
        <v>0</v>
      </c>
      <c r="BS42" s="20">
        <f ca="1">IF(Table1[[#This Row],[County]]="West Sussex",Table1[[#This Row],[income]],0)</f>
        <v>49739</v>
      </c>
      <c r="BT42" s="20">
        <f ca="1">IF(Table1[[#This Row],[County]]="Devon",Table1[[#This Row],[income]],0)</f>
        <v>0</v>
      </c>
      <c r="BU42" s="20">
        <f ca="1">IF(Table1[[#This Row],[County]]="Berkshire",Table1[[#This Row],[income]],0)</f>
        <v>0</v>
      </c>
      <c r="BV42" s="20">
        <f ca="1">IF(Table1[[#This Row],[County]]="Staffordshire",Table1[[#This Row],[income]],0)</f>
        <v>0</v>
      </c>
      <c r="BW42" s="20">
        <f ca="1">IF(Table1[[#This Row],[County]]="Leicestershire",Table1[[#This Row],[income]],0)</f>
        <v>0</v>
      </c>
      <c r="BX42" s="20">
        <f ca="1">IF(Table1[[#This Row],[County]]="Cornwall",Table1[[#This Row],[income]],0)</f>
        <v>0</v>
      </c>
      <c r="BY42" s="20">
        <f ca="1">IF(Table1[[#This Row],[County]]="Isle of Wight",Table1[[#This Row],[income]],0)</f>
        <v>0</v>
      </c>
      <c r="BZ42" s="20">
        <f ca="1">IF(Table1[[#This Row],[County]]="Surrey",Table1[[#This Row],[income]],0)</f>
        <v>0</v>
      </c>
      <c r="CA42" s="20">
        <f ca="1">IF(Table1[[#This Row],[County]]="Derbyshire",Table1[[#This Row],[income]],0)</f>
        <v>0</v>
      </c>
      <c r="CB42" s="20">
        <f ca="1">IF(Table1[[#This Row],[County]]="City of London",Table1[[#This Row],[income]],0)</f>
        <v>0</v>
      </c>
      <c r="CC42" s="20">
        <f ca="1">IF(Table1[[#This Row],[County]]="Bedfordshire",Table1[[#This Row],[income]],0)</f>
        <v>0</v>
      </c>
      <c r="CD42" s="20">
        <f ca="1">IF(Table1[[#This Row],[County]]="County Durham",Table1[[#This Row],[income]],0)</f>
        <v>0</v>
      </c>
      <c r="CE42" s="20">
        <f ca="1">IF(Table1[[#This Row],[County]]="East Riding of Yorkshire",Table1[[#This Row],[income]],0)</f>
        <v>0</v>
      </c>
      <c r="CF42" s="20">
        <f ca="1">IF(Table1[[#This Row],[County]]="West Yorkshire",Table1[[#This Row],[income]],0)</f>
        <v>0</v>
      </c>
      <c r="CG42" s="20">
        <f ca="1">IF(Table1[[#This Row],[County]]="Essex",Table1[[#This Row],[income]],0)</f>
        <v>0</v>
      </c>
      <c r="CH42" s="20">
        <f ca="1">IF(Table1[[#This Row],[County]]="East Sussex",Table1[[#This Row],[income]],0)</f>
        <v>0</v>
      </c>
      <c r="CI42" s="20">
        <f ca="1">IF(Table1[[#This Row],[County]]="Greater Manchester",Table1[[#This Row],[income]],0)</f>
        <v>0</v>
      </c>
      <c r="CJ42" s="20">
        <f ca="1">IF(Table1[[#This Row],[County]]="Hertfordshire",Table1[[#This Row],[income]],0)</f>
        <v>0</v>
      </c>
      <c r="CK42" s="20">
        <f ca="1">IF(Table1[[#This Row],[County]]="Herefordshire",Table1[[#This Row],[income]],0)</f>
        <v>0</v>
      </c>
      <c r="CL42" s="20">
        <f ca="1">IF(Table1[[#This Row],[County]]="Lancashire",Table1[[#This Row],[income]],0)</f>
        <v>0</v>
      </c>
      <c r="CM42" s="20">
        <f ca="1">IF(Table1[[#This Row],[County]]="Merseyside",Table1[[#This Row],[income]],0)</f>
        <v>0</v>
      </c>
      <c r="CN42" s="20">
        <f ca="1">IF(Table1[[#This Row],[County]]="Northamptonshire",Table1[[#This Row],[income]],0)</f>
        <v>0</v>
      </c>
      <c r="CO42" s="20">
        <f ca="1">IF(Table1[[#This Row],[County]]="Northumberland",Table1[[#This Row],[income]],0)</f>
        <v>0</v>
      </c>
      <c r="CP42" s="20">
        <f ca="1">IF(Table1[[#This Row],[County]]="Wiltshire",Table1[[#This Row],[income]],0)</f>
        <v>0</v>
      </c>
      <c r="CQ42" s="20">
        <f ca="1">IF(Table1[[#This Row],[County]]="West Midlands",Table1[[#This Row],[income]],0)</f>
        <v>0</v>
      </c>
      <c r="CR42" s="20">
        <f ca="1">IF(Table1[[#This Row],[County]]="Warwickshire",Table1[[#This Row],[income]],0)</f>
        <v>0</v>
      </c>
      <c r="CS42" s="20">
        <f ca="1">IF(Table1[[#This Row],[County]]="Tyne and Wear",Table1[[#This Row],[income]],0)</f>
        <v>0</v>
      </c>
      <c r="CT42" s="20">
        <f ca="1">IF(Table1[[#This Row],[County]]="Worcestershire",Table1[[#This Row],[income]],0)</f>
        <v>0</v>
      </c>
      <c r="CU42" s="20">
        <f ca="1">IF(Table1[[#This Row],[County]]="Rutland",Table1[[#This Row],[income]],0)</f>
        <v>0</v>
      </c>
      <c r="CV42" s="20">
        <f ca="1">IF(Table1[[#This Row],[County]]="Shropshire",Table1[[#This Row],[income]],0)</f>
        <v>0</v>
      </c>
      <c r="CW42" s="20">
        <f ca="1">IF(Table1[[#This Row],[County]]="Dorset",Table1[[#This Row],[income]],0)</f>
        <v>0</v>
      </c>
      <c r="CX42" s="20">
        <f ca="1">IF(Table1[[#This Row],[County]]="Buckinghamshire",Table1[[#This Row],[income]],0)</f>
        <v>0</v>
      </c>
      <c r="CY42" s="20">
        <f ca="1">IF(Table1[[#This Row],[County]]="Suffolk",Table1[[#This Row],[income]],0)</f>
        <v>0</v>
      </c>
      <c r="CZ42" s="20">
        <f ca="1">IF(Table1[[#This Row],[County]]="North Yorkshire",Table1[[#This Row],[income]],0)</f>
        <v>0</v>
      </c>
      <c r="DA42" s="20">
        <f ca="1">IF(Table1[[#This Row],[County]]="Kent",Table1[[#This Row],[income]],0)</f>
        <v>0</v>
      </c>
      <c r="DB42" s="5">
        <f ca="1">IF(Table1[[#This Row],[County]]="Derbyshire",Table1[[#This Row],[income]],0)</f>
        <v>0</v>
      </c>
      <c r="DD42" s="6">
        <f ca="1">IF(Table1[[#This Row],[Column1]]="Health",Table1[[#This Row],[income]],0)</f>
        <v>0</v>
      </c>
      <c r="DE42" s="20">
        <f ca="1">IF(Table1[[#This Row],[Column1]]="Agriculture",Table1[[#This Row],[income]],0)</f>
        <v>49739</v>
      </c>
      <c r="DF42" s="20">
        <f ca="1">IF(Table1[[#This Row],[Column1]]="Technology",Table1[[#This Row],[income]],0)</f>
        <v>0</v>
      </c>
      <c r="DG42" s="20">
        <f ca="1">IF(Table1[[#This Row],[Column1]]="Social Service",Table1[[#This Row],[income]],0)</f>
        <v>0</v>
      </c>
      <c r="DH42" s="20">
        <f ca="1">IF(Table1[[#This Row],[Column1]]="Education",Table1[[#This Row],[income]],0)</f>
        <v>0</v>
      </c>
      <c r="DI42" s="5">
        <f ca="1">IF(Table1[[#This Row],[Column1]]="Construction",Table1[[#This Row],[income]],0)</f>
        <v>0</v>
      </c>
      <c r="DK42" s="6">
        <f ca="1">IF(Table1[[#This Row],[Value of Debts]]&gt;Table1[[#This Row],[income]],1,0)</f>
        <v>1</v>
      </c>
      <c r="DL42" s="20"/>
      <c r="DM42" s="20"/>
      <c r="DN42" s="5"/>
      <c r="DP42" s="6">
        <f ca="1">IF(Table1[[#This Row],[Net Worth (£)]]&gt;$DS$5,C42,0)</f>
        <v>0</v>
      </c>
      <c r="DQ42" s="20"/>
      <c r="DR42" s="20"/>
      <c r="DS42" s="5"/>
    </row>
    <row r="43" spans="1:123" x14ac:dyDescent="0.2">
      <c r="A43">
        <f t="shared" ca="1" si="1"/>
        <v>1</v>
      </c>
      <c r="B43" s="1" t="str">
        <f ca="1">IF(A43=1, "men", "women")</f>
        <v>men</v>
      </c>
      <c r="C43" s="1">
        <f ca="1">RANDBETWEEN(25,50)</f>
        <v>40</v>
      </c>
      <c r="D43">
        <f ca="1">RANDBETWEEN(1,6)</f>
        <v>1</v>
      </c>
      <c r="E43" t="str">
        <f ca="1">VLOOKUP(D43,$W$5:$X$10,2)</f>
        <v>Health</v>
      </c>
      <c r="F43">
        <f ca="1">RANDBETWEEN(1,5)</f>
        <v>3</v>
      </c>
      <c r="G43" t="str">
        <f ca="1">VLOOKUP(F43,$Y$5:$Z$9,2)</f>
        <v>University</v>
      </c>
      <c r="H43">
        <f ca="1">RANDBETWEEN(0,4)</f>
        <v>1</v>
      </c>
      <c r="I43">
        <f ca="1">RANDBETWEEN(1,3)</f>
        <v>1</v>
      </c>
      <c r="J43">
        <f ca="1">RANDBETWEEN(30000,100000)</f>
        <v>76693</v>
      </c>
      <c r="K43">
        <f ca="1">RANDBETWEEN(1,48)</f>
        <v>24</v>
      </c>
      <c r="L43" t="str">
        <f ca="1">VLOOKUP(K43,$AA$5:$AB$52,2)</f>
        <v>Kent</v>
      </c>
      <c r="M43">
        <f ca="1">J43*(RANDBETWEEN(2,5))</f>
        <v>230079</v>
      </c>
      <c r="N43">
        <f ca="1">RAND()*M43</f>
        <v>105422.92375780799</v>
      </c>
      <c r="O43">
        <f ca="1">I43*RAND()*J43</f>
        <v>75728.903613226139</v>
      </c>
      <c r="P43">
        <f ca="1">RANDBETWEEN(0,O43)</f>
        <v>58004</v>
      </c>
      <c r="Q43">
        <f ca="1">RAND()*J43*2</f>
        <v>138337.03776861701</v>
      </c>
      <c r="R43">
        <f ca="1">RAND()*J43*1.5</f>
        <v>92512.560035426461</v>
      </c>
      <c r="S43">
        <f ca="1">J43+R43+O43</f>
        <v>244934.4636486526</v>
      </c>
      <c r="T43">
        <f ca="1">N43+P43+Q43</f>
        <v>301763.96152642497</v>
      </c>
      <c r="U43">
        <f ca="1">S43-T43</f>
        <v>-56829.497877772374</v>
      </c>
      <c r="AA43">
        <v>39</v>
      </c>
      <c r="AB43" t="s">
        <v>55</v>
      </c>
      <c r="AC43" s="6">
        <f ca="1">IF(Table1[[#This Row],[gender]]="men",1,0)</f>
        <v>1</v>
      </c>
      <c r="AD43">
        <f ca="1">IF(Table1[[#This Row],[gender]]="women",1,0)</f>
        <v>0</v>
      </c>
      <c r="AH43" s="5"/>
      <c r="AJ43" s="6">
        <f ca="1">IF(Table1[[#This Row],[Column1]]="Health",1,0)</f>
        <v>1</v>
      </c>
      <c r="AK43">
        <f ca="1">IF(Table1[[#This Row],[Column1]]="Construction",1,0)</f>
        <v>0</v>
      </c>
      <c r="AL43">
        <f ca="1">IF(Table1[[#This Row],[Column1]]="Technology",1,0)</f>
        <v>0</v>
      </c>
      <c r="AM43">
        <f ca="1">IF(Table1[[#This Row],[Column1]]="Education",1,0)</f>
        <v>0</v>
      </c>
      <c r="AN43">
        <f ca="1">IF(Table1[[#This Row],[Column1]]="Agriculture",1,0)</f>
        <v>0</v>
      </c>
      <c r="AO43">
        <f ca="1">IF(Table1[[#This Row],[Column1]]="Social Service", 1, 0)</f>
        <v>0</v>
      </c>
      <c r="AT43" s="5"/>
      <c r="AV43" s="17">
        <f t="shared" ca="1" si="0"/>
        <v>17915.290353208296</v>
      </c>
      <c r="AW43" s="5"/>
      <c r="AX43" s="6">
        <f ca="1">IF(Table1[[#This Row],[Value of Debts]]&gt;$AY$4,1,0)</f>
        <v>1</v>
      </c>
      <c r="AY43" s="20"/>
      <c r="AZ43" s="20"/>
      <c r="BA43" s="5"/>
      <c r="BB43" s="25">
        <f ca="1">Table1[[#This Row],[Mortage Left]]/Table1[[#This Row],[Value of House]]</f>
        <v>0.45820315525453426</v>
      </c>
      <c r="BC43" s="20">
        <f t="shared" ca="1" si="2"/>
        <v>0</v>
      </c>
      <c r="BD43" s="20"/>
      <c r="BE43" s="20"/>
      <c r="BF43" s="20"/>
      <c r="BG43" s="6">
        <f ca="1">IF(Table1[[#This Row],[County]]="Cumbria",Table1[[#This Row],[income]],0)</f>
        <v>0</v>
      </c>
      <c r="BH43" s="20">
        <f ca="1">IF(Table1[[#This Row],[County]]="Cheshire",Table1[[#This Row],[income]],0)</f>
        <v>0</v>
      </c>
      <c r="BI43" s="20">
        <f ca="1">IF(Table1[[#This Row],[County]]="Bristol",Table1[[#This Row],[income]],0)</f>
        <v>0</v>
      </c>
      <c r="BJ43" s="20">
        <f ca="1">IF(Table1[[#This Row],[County]]="Surrey",Table1[[#This Row],[income]],0)</f>
        <v>0</v>
      </c>
      <c r="BK43" s="20">
        <f ca="1">IF(Table1[[#This Row],[County]]="Norfolk",Table1[[#This Row],[income]],0)</f>
        <v>0</v>
      </c>
      <c r="BL43" s="20">
        <f ca="1">IF(Table1[[#This Row],[County]]="Lincolnshire",Table1[[#This Row],[income]],0)</f>
        <v>0</v>
      </c>
      <c r="BM43" s="20">
        <f ca="1">IF(Table1[[#This Row],[County]]="Somerset",Table1[[#This Row],[income]],0)</f>
        <v>0</v>
      </c>
      <c r="BN43" s="20">
        <f ca="1">IF(Table1[[#This Row],[County]]="Cambridgeshire",Table1[[#This Row],[income]],0)</f>
        <v>0</v>
      </c>
      <c r="BO43" s="20">
        <f ca="1">IF(Table1[[#This Row],[County]]="South Yorkshire",Table1[[#This Row],[income]],0)</f>
        <v>0</v>
      </c>
      <c r="BP43" s="20">
        <f ca="1">IF(Table1[[#This Row],[County]]="Greater London",Table1[[#This Row],[income]],0)</f>
        <v>0</v>
      </c>
      <c r="BQ43" s="20">
        <f ca="1">IF(Table1[[#This Row],[County]]="Hampshire",Table1[[#This Row],[income]],0)</f>
        <v>0</v>
      </c>
      <c r="BR43" s="20">
        <f ca="1">IF(Table1[[#This Row],[County]]="Gloucestershire",Table1[[#This Row],[income]],0)</f>
        <v>0</v>
      </c>
      <c r="BS43" s="20">
        <f ca="1">IF(Table1[[#This Row],[County]]="West Sussex",Table1[[#This Row],[income]],0)</f>
        <v>0</v>
      </c>
      <c r="BT43" s="20">
        <f ca="1">IF(Table1[[#This Row],[County]]="Devon",Table1[[#This Row],[income]],0)</f>
        <v>0</v>
      </c>
      <c r="BU43" s="20">
        <f ca="1">IF(Table1[[#This Row],[County]]="Berkshire",Table1[[#This Row],[income]],0)</f>
        <v>0</v>
      </c>
      <c r="BV43" s="20">
        <f ca="1">IF(Table1[[#This Row],[County]]="Staffordshire",Table1[[#This Row],[income]],0)</f>
        <v>0</v>
      </c>
      <c r="BW43" s="20">
        <f ca="1">IF(Table1[[#This Row],[County]]="Leicestershire",Table1[[#This Row],[income]],0)</f>
        <v>0</v>
      </c>
      <c r="BX43" s="20">
        <f ca="1">IF(Table1[[#This Row],[County]]="Cornwall",Table1[[#This Row],[income]],0)</f>
        <v>0</v>
      </c>
      <c r="BY43" s="20">
        <f ca="1">IF(Table1[[#This Row],[County]]="Isle of Wight",Table1[[#This Row],[income]],0)</f>
        <v>0</v>
      </c>
      <c r="BZ43" s="20">
        <f ca="1">IF(Table1[[#This Row],[County]]="Surrey",Table1[[#This Row],[income]],0)</f>
        <v>0</v>
      </c>
      <c r="CA43" s="20">
        <f ca="1">IF(Table1[[#This Row],[County]]="Derbyshire",Table1[[#This Row],[income]],0)</f>
        <v>0</v>
      </c>
      <c r="CB43" s="20">
        <f ca="1">IF(Table1[[#This Row],[County]]="City of London",Table1[[#This Row],[income]],0)</f>
        <v>0</v>
      </c>
      <c r="CC43" s="20">
        <f ca="1">IF(Table1[[#This Row],[County]]="Bedfordshire",Table1[[#This Row],[income]],0)</f>
        <v>0</v>
      </c>
      <c r="CD43" s="20">
        <f ca="1">IF(Table1[[#This Row],[County]]="County Durham",Table1[[#This Row],[income]],0)</f>
        <v>0</v>
      </c>
      <c r="CE43" s="20">
        <f ca="1">IF(Table1[[#This Row],[County]]="East Riding of Yorkshire",Table1[[#This Row],[income]],0)</f>
        <v>0</v>
      </c>
      <c r="CF43" s="20">
        <f ca="1">IF(Table1[[#This Row],[County]]="West Yorkshire",Table1[[#This Row],[income]],0)</f>
        <v>0</v>
      </c>
      <c r="CG43" s="20">
        <f ca="1">IF(Table1[[#This Row],[County]]="Essex",Table1[[#This Row],[income]],0)</f>
        <v>0</v>
      </c>
      <c r="CH43" s="20">
        <f ca="1">IF(Table1[[#This Row],[County]]="East Sussex",Table1[[#This Row],[income]],0)</f>
        <v>0</v>
      </c>
      <c r="CI43" s="20">
        <f ca="1">IF(Table1[[#This Row],[County]]="Greater Manchester",Table1[[#This Row],[income]],0)</f>
        <v>0</v>
      </c>
      <c r="CJ43" s="20">
        <f ca="1">IF(Table1[[#This Row],[County]]="Hertfordshire",Table1[[#This Row],[income]],0)</f>
        <v>0</v>
      </c>
      <c r="CK43" s="20">
        <f ca="1">IF(Table1[[#This Row],[County]]="Herefordshire",Table1[[#This Row],[income]],0)</f>
        <v>0</v>
      </c>
      <c r="CL43" s="20">
        <f ca="1">IF(Table1[[#This Row],[County]]="Lancashire",Table1[[#This Row],[income]],0)</f>
        <v>0</v>
      </c>
      <c r="CM43" s="20">
        <f ca="1">IF(Table1[[#This Row],[County]]="Merseyside",Table1[[#This Row],[income]],0)</f>
        <v>0</v>
      </c>
      <c r="CN43" s="20">
        <f ca="1">IF(Table1[[#This Row],[County]]="Northamptonshire",Table1[[#This Row],[income]],0)</f>
        <v>0</v>
      </c>
      <c r="CO43" s="20">
        <f ca="1">IF(Table1[[#This Row],[County]]="Northumberland",Table1[[#This Row],[income]],0)</f>
        <v>0</v>
      </c>
      <c r="CP43" s="20">
        <f ca="1">IF(Table1[[#This Row],[County]]="Wiltshire",Table1[[#This Row],[income]],0)</f>
        <v>0</v>
      </c>
      <c r="CQ43" s="20">
        <f ca="1">IF(Table1[[#This Row],[County]]="West Midlands",Table1[[#This Row],[income]],0)</f>
        <v>0</v>
      </c>
      <c r="CR43" s="20">
        <f ca="1">IF(Table1[[#This Row],[County]]="Warwickshire",Table1[[#This Row],[income]],0)</f>
        <v>0</v>
      </c>
      <c r="CS43" s="20">
        <f ca="1">IF(Table1[[#This Row],[County]]="Tyne and Wear",Table1[[#This Row],[income]],0)</f>
        <v>0</v>
      </c>
      <c r="CT43" s="20">
        <f ca="1">IF(Table1[[#This Row],[County]]="Worcestershire",Table1[[#This Row],[income]],0)</f>
        <v>0</v>
      </c>
      <c r="CU43" s="20">
        <f ca="1">IF(Table1[[#This Row],[County]]="Rutland",Table1[[#This Row],[income]],0)</f>
        <v>0</v>
      </c>
      <c r="CV43" s="20">
        <f ca="1">IF(Table1[[#This Row],[County]]="Shropshire",Table1[[#This Row],[income]],0)</f>
        <v>0</v>
      </c>
      <c r="CW43" s="20">
        <f ca="1">IF(Table1[[#This Row],[County]]="Dorset",Table1[[#This Row],[income]],0)</f>
        <v>0</v>
      </c>
      <c r="CX43" s="20">
        <f ca="1">IF(Table1[[#This Row],[County]]="Buckinghamshire",Table1[[#This Row],[income]],0)</f>
        <v>0</v>
      </c>
      <c r="CY43" s="20">
        <f ca="1">IF(Table1[[#This Row],[County]]="Suffolk",Table1[[#This Row],[income]],0)</f>
        <v>0</v>
      </c>
      <c r="CZ43" s="20">
        <f ca="1">IF(Table1[[#This Row],[County]]="North Yorkshire",Table1[[#This Row],[income]],0)</f>
        <v>0</v>
      </c>
      <c r="DA43" s="20">
        <f ca="1">IF(Table1[[#This Row],[County]]="Kent",Table1[[#This Row],[income]],0)</f>
        <v>76693</v>
      </c>
      <c r="DB43" s="5">
        <f ca="1">IF(Table1[[#This Row],[County]]="Derbyshire",Table1[[#This Row],[income]],0)</f>
        <v>0</v>
      </c>
      <c r="DD43" s="6">
        <f ca="1">IF(Table1[[#This Row],[Column1]]="Health",Table1[[#This Row],[income]],0)</f>
        <v>76693</v>
      </c>
      <c r="DE43" s="20">
        <f ca="1">IF(Table1[[#This Row],[Column1]]="Agriculture",Table1[[#This Row],[income]],0)</f>
        <v>0</v>
      </c>
      <c r="DF43" s="20">
        <f ca="1">IF(Table1[[#This Row],[Column1]]="Technology",Table1[[#This Row],[income]],0)</f>
        <v>0</v>
      </c>
      <c r="DG43" s="20">
        <f ca="1">IF(Table1[[#This Row],[Column1]]="Social Service",Table1[[#This Row],[income]],0)</f>
        <v>0</v>
      </c>
      <c r="DH43" s="20">
        <f ca="1">IF(Table1[[#This Row],[Column1]]="Education",Table1[[#This Row],[income]],0)</f>
        <v>0</v>
      </c>
      <c r="DI43" s="5">
        <f ca="1">IF(Table1[[#This Row],[Column1]]="Construction",Table1[[#This Row],[income]],0)</f>
        <v>0</v>
      </c>
      <c r="DK43" s="6">
        <f ca="1">IF(Table1[[#This Row],[Value of Debts]]&gt;Table1[[#This Row],[income]],1,0)</f>
        <v>1</v>
      </c>
      <c r="DL43" s="20"/>
      <c r="DM43" s="20"/>
      <c r="DN43" s="5"/>
      <c r="DP43" s="6">
        <f ca="1">IF(Table1[[#This Row],[Net Worth (£)]]&gt;$DS$5,C43,0)</f>
        <v>0</v>
      </c>
      <c r="DQ43" s="20"/>
      <c r="DR43" s="20"/>
      <c r="DS43" s="5"/>
    </row>
    <row r="44" spans="1:123" x14ac:dyDescent="0.2">
      <c r="A44">
        <f t="shared" ca="1" si="1"/>
        <v>2</v>
      </c>
      <c r="B44" s="1" t="str">
        <f ca="1">IF(A44=1, "men", "women")</f>
        <v>women</v>
      </c>
      <c r="C44" s="1">
        <f ca="1">RANDBETWEEN(25,50)</f>
        <v>27</v>
      </c>
      <c r="D44">
        <f ca="1">RANDBETWEEN(1,6)</f>
        <v>2</v>
      </c>
      <c r="E44" t="str">
        <f ca="1">VLOOKUP(D44,$W$5:$X$10,2)</f>
        <v>Construction</v>
      </c>
      <c r="F44">
        <f ca="1">RANDBETWEEN(1,5)</f>
        <v>1</v>
      </c>
      <c r="G44" t="str">
        <f ca="1">VLOOKUP(F44,$Y$5:$Z$9,2)</f>
        <v>High School</v>
      </c>
      <c r="H44">
        <f ca="1">RANDBETWEEN(0,4)</f>
        <v>2</v>
      </c>
      <c r="I44">
        <f ca="1">RANDBETWEEN(1,3)</f>
        <v>2</v>
      </c>
      <c r="J44">
        <f ca="1">RANDBETWEEN(30000,100000)</f>
        <v>89832</v>
      </c>
      <c r="K44">
        <f ca="1">RANDBETWEEN(1,48)</f>
        <v>44</v>
      </c>
      <c r="L44" t="str">
        <f ca="1">VLOOKUP(K44,$AA$5:$AB$52,2)</f>
        <v>West Midlands</v>
      </c>
      <c r="M44">
        <f ca="1">J44*(RANDBETWEEN(2,5))</f>
        <v>449160</v>
      </c>
      <c r="N44">
        <f ca="1">RAND()*M44</f>
        <v>352427.67364298034</v>
      </c>
      <c r="O44">
        <f ca="1">I44*RAND()*J44</f>
        <v>35830.580706416593</v>
      </c>
      <c r="P44">
        <f ca="1">RANDBETWEEN(0,O44)</f>
        <v>35330</v>
      </c>
      <c r="Q44">
        <f ca="1">RAND()*J44*2</f>
        <v>35161.742289570662</v>
      </c>
      <c r="R44">
        <f ca="1">RAND()*J44*1.5</f>
        <v>79898.52200477483</v>
      </c>
      <c r="S44">
        <f ca="1">J44+R44+O44</f>
        <v>205561.10271119143</v>
      </c>
      <c r="T44">
        <f ca="1">N44+P44+Q44</f>
        <v>422919.41593255103</v>
      </c>
      <c r="U44">
        <f ca="1">S44-T44</f>
        <v>-217358.3132213596</v>
      </c>
      <c r="AA44">
        <v>40</v>
      </c>
      <c r="AB44" t="s">
        <v>56</v>
      </c>
      <c r="AC44" s="6">
        <f ca="1">IF(Table1[[#This Row],[gender]]="men",1,0)</f>
        <v>0</v>
      </c>
      <c r="AD44">
        <f ca="1">IF(Table1[[#This Row],[gender]]="women",1,0)</f>
        <v>1</v>
      </c>
      <c r="AH44" s="5"/>
      <c r="AJ44" s="6">
        <f ca="1">IF(Table1[[#This Row],[Column1]]="Health",1,0)</f>
        <v>0</v>
      </c>
      <c r="AK44">
        <f ca="1">IF(Table1[[#This Row],[Column1]]="Construction",1,0)</f>
        <v>1</v>
      </c>
      <c r="AL44">
        <f ca="1">IF(Table1[[#This Row],[Column1]]="Technology",1,0)</f>
        <v>0</v>
      </c>
      <c r="AM44">
        <f ca="1">IF(Table1[[#This Row],[Column1]]="Education",1,0)</f>
        <v>0</v>
      </c>
      <c r="AN44">
        <f ca="1">IF(Table1[[#This Row],[Column1]]="Agriculture",1,0)</f>
        <v>0</v>
      </c>
      <c r="AO44">
        <f ca="1">IF(Table1[[#This Row],[Column1]]="Social Service", 1, 0)</f>
        <v>0</v>
      </c>
      <c r="AT44" s="5"/>
      <c r="AV44" s="17">
        <f t="shared" ca="1" si="0"/>
        <v>49035.883007233613</v>
      </c>
      <c r="AW44" s="5"/>
      <c r="AX44" s="6">
        <f ca="1">IF(Table1[[#This Row],[Value of Debts]]&gt;$AY$4,1,0)</f>
        <v>1</v>
      </c>
      <c r="AY44" s="20"/>
      <c r="AZ44" s="20"/>
      <c r="BA44" s="5"/>
      <c r="BB44" s="25">
        <f ca="1">Table1[[#This Row],[Mortage Left]]/Table1[[#This Row],[Value of House]]</f>
        <v>0.78463726432224679</v>
      </c>
      <c r="BC44" s="20">
        <f t="shared" ca="1" si="2"/>
        <v>0</v>
      </c>
      <c r="BD44" s="20"/>
      <c r="BE44" s="20"/>
      <c r="BF44" s="20"/>
      <c r="BG44" s="6">
        <f ca="1">IF(Table1[[#This Row],[County]]="Cumbria",Table1[[#This Row],[income]],0)</f>
        <v>0</v>
      </c>
      <c r="BH44" s="20">
        <f ca="1">IF(Table1[[#This Row],[County]]="Cheshire",Table1[[#This Row],[income]],0)</f>
        <v>0</v>
      </c>
      <c r="BI44" s="20">
        <f ca="1">IF(Table1[[#This Row],[County]]="Bristol",Table1[[#This Row],[income]],0)</f>
        <v>0</v>
      </c>
      <c r="BJ44" s="20">
        <f ca="1">IF(Table1[[#This Row],[County]]="Surrey",Table1[[#This Row],[income]],0)</f>
        <v>0</v>
      </c>
      <c r="BK44" s="20">
        <f ca="1">IF(Table1[[#This Row],[County]]="Norfolk",Table1[[#This Row],[income]],0)</f>
        <v>0</v>
      </c>
      <c r="BL44" s="20">
        <f ca="1">IF(Table1[[#This Row],[County]]="Lincolnshire",Table1[[#This Row],[income]],0)</f>
        <v>0</v>
      </c>
      <c r="BM44" s="20">
        <f ca="1">IF(Table1[[#This Row],[County]]="Somerset",Table1[[#This Row],[income]],0)</f>
        <v>0</v>
      </c>
      <c r="BN44" s="20">
        <f ca="1">IF(Table1[[#This Row],[County]]="Cambridgeshire",Table1[[#This Row],[income]],0)</f>
        <v>0</v>
      </c>
      <c r="BO44" s="20">
        <f ca="1">IF(Table1[[#This Row],[County]]="South Yorkshire",Table1[[#This Row],[income]],0)</f>
        <v>0</v>
      </c>
      <c r="BP44" s="20">
        <f ca="1">IF(Table1[[#This Row],[County]]="Greater London",Table1[[#This Row],[income]],0)</f>
        <v>0</v>
      </c>
      <c r="BQ44" s="20">
        <f ca="1">IF(Table1[[#This Row],[County]]="Hampshire",Table1[[#This Row],[income]],0)</f>
        <v>0</v>
      </c>
      <c r="BR44" s="20">
        <f ca="1">IF(Table1[[#This Row],[County]]="Gloucestershire",Table1[[#This Row],[income]],0)</f>
        <v>0</v>
      </c>
      <c r="BS44" s="20">
        <f ca="1">IF(Table1[[#This Row],[County]]="West Sussex",Table1[[#This Row],[income]],0)</f>
        <v>0</v>
      </c>
      <c r="BT44" s="20">
        <f ca="1">IF(Table1[[#This Row],[County]]="Devon",Table1[[#This Row],[income]],0)</f>
        <v>0</v>
      </c>
      <c r="BU44" s="20">
        <f ca="1">IF(Table1[[#This Row],[County]]="Berkshire",Table1[[#This Row],[income]],0)</f>
        <v>0</v>
      </c>
      <c r="BV44" s="20">
        <f ca="1">IF(Table1[[#This Row],[County]]="Staffordshire",Table1[[#This Row],[income]],0)</f>
        <v>0</v>
      </c>
      <c r="BW44" s="20">
        <f ca="1">IF(Table1[[#This Row],[County]]="Leicestershire",Table1[[#This Row],[income]],0)</f>
        <v>0</v>
      </c>
      <c r="BX44" s="20">
        <f ca="1">IF(Table1[[#This Row],[County]]="Cornwall",Table1[[#This Row],[income]],0)</f>
        <v>0</v>
      </c>
      <c r="BY44" s="20">
        <f ca="1">IF(Table1[[#This Row],[County]]="Isle of Wight",Table1[[#This Row],[income]],0)</f>
        <v>0</v>
      </c>
      <c r="BZ44" s="20">
        <f ca="1">IF(Table1[[#This Row],[County]]="Surrey",Table1[[#This Row],[income]],0)</f>
        <v>0</v>
      </c>
      <c r="CA44" s="20">
        <f ca="1">IF(Table1[[#This Row],[County]]="Derbyshire",Table1[[#This Row],[income]],0)</f>
        <v>0</v>
      </c>
      <c r="CB44" s="20">
        <f ca="1">IF(Table1[[#This Row],[County]]="City of London",Table1[[#This Row],[income]],0)</f>
        <v>0</v>
      </c>
      <c r="CC44" s="20">
        <f ca="1">IF(Table1[[#This Row],[County]]="Bedfordshire",Table1[[#This Row],[income]],0)</f>
        <v>0</v>
      </c>
      <c r="CD44" s="20">
        <f ca="1">IF(Table1[[#This Row],[County]]="County Durham",Table1[[#This Row],[income]],0)</f>
        <v>0</v>
      </c>
      <c r="CE44" s="20">
        <f ca="1">IF(Table1[[#This Row],[County]]="East Riding of Yorkshire",Table1[[#This Row],[income]],0)</f>
        <v>0</v>
      </c>
      <c r="CF44" s="20">
        <f ca="1">IF(Table1[[#This Row],[County]]="West Yorkshire",Table1[[#This Row],[income]],0)</f>
        <v>0</v>
      </c>
      <c r="CG44" s="20">
        <f ca="1">IF(Table1[[#This Row],[County]]="Essex",Table1[[#This Row],[income]],0)</f>
        <v>0</v>
      </c>
      <c r="CH44" s="20">
        <f ca="1">IF(Table1[[#This Row],[County]]="East Sussex",Table1[[#This Row],[income]],0)</f>
        <v>0</v>
      </c>
      <c r="CI44" s="20">
        <f ca="1">IF(Table1[[#This Row],[County]]="Greater Manchester",Table1[[#This Row],[income]],0)</f>
        <v>0</v>
      </c>
      <c r="CJ44" s="20">
        <f ca="1">IF(Table1[[#This Row],[County]]="Hertfordshire",Table1[[#This Row],[income]],0)</f>
        <v>0</v>
      </c>
      <c r="CK44" s="20">
        <f ca="1">IF(Table1[[#This Row],[County]]="Herefordshire",Table1[[#This Row],[income]],0)</f>
        <v>0</v>
      </c>
      <c r="CL44" s="20">
        <f ca="1">IF(Table1[[#This Row],[County]]="Lancashire",Table1[[#This Row],[income]],0)</f>
        <v>0</v>
      </c>
      <c r="CM44" s="20">
        <f ca="1">IF(Table1[[#This Row],[County]]="Merseyside",Table1[[#This Row],[income]],0)</f>
        <v>0</v>
      </c>
      <c r="CN44" s="20">
        <f ca="1">IF(Table1[[#This Row],[County]]="Northamptonshire",Table1[[#This Row],[income]],0)</f>
        <v>0</v>
      </c>
      <c r="CO44" s="20">
        <f ca="1">IF(Table1[[#This Row],[County]]="Northumberland",Table1[[#This Row],[income]],0)</f>
        <v>0</v>
      </c>
      <c r="CP44" s="20">
        <f ca="1">IF(Table1[[#This Row],[County]]="Wiltshire",Table1[[#This Row],[income]],0)</f>
        <v>0</v>
      </c>
      <c r="CQ44" s="20">
        <f ca="1">IF(Table1[[#This Row],[County]]="West Midlands",Table1[[#This Row],[income]],0)</f>
        <v>89832</v>
      </c>
      <c r="CR44" s="20">
        <f ca="1">IF(Table1[[#This Row],[County]]="Warwickshire",Table1[[#This Row],[income]],0)</f>
        <v>0</v>
      </c>
      <c r="CS44" s="20">
        <f ca="1">IF(Table1[[#This Row],[County]]="Tyne and Wear",Table1[[#This Row],[income]],0)</f>
        <v>0</v>
      </c>
      <c r="CT44" s="20">
        <f ca="1">IF(Table1[[#This Row],[County]]="Worcestershire",Table1[[#This Row],[income]],0)</f>
        <v>0</v>
      </c>
      <c r="CU44" s="20">
        <f ca="1">IF(Table1[[#This Row],[County]]="Rutland",Table1[[#This Row],[income]],0)</f>
        <v>0</v>
      </c>
      <c r="CV44" s="20">
        <f ca="1">IF(Table1[[#This Row],[County]]="Shropshire",Table1[[#This Row],[income]],0)</f>
        <v>0</v>
      </c>
      <c r="CW44" s="20">
        <f ca="1">IF(Table1[[#This Row],[County]]="Dorset",Table1[[#This Row],[income]],0)</f>
        <v>0</v>
      </c>
      <c r="CX44" s="20">
        <f ca="1">IF(Table1[[#This Row],[County]]="Buckinghamshire",Table1[[#This Row],[income]],0)</f>
        <v>0</v>
      </c>
      <c r="CY44" s="20">
        <f ca="1">IF(Table1[[#This Row],[County]]="Suffolk",Table1[[#This Row],[income]],0)</f>
        <v>0</v>
      </c>
      <c r="CZ44" s="20">
        <f ca="1">IF(Table1[[#This Row],[County]]="North Yorkshire",Table1[[#This Row],[income]],0)</f>
        <v>0</v>
      </c>
      <c r="DA44" s="20">
        <f ca="1">IF(Table1[[#This Row],[County]]="Kent",Table1[[#This Row],[income]],0)</f>
        <v>0</v>
      </c>
      <c r="DB44" s="5">
        <f ca="1">IF(Table1[[#This Row],[County]]="Derbyshire",Table1[[#This Row],[income]],0)</f>
        <v>0</v>
      </c>
      <c r="DD44" s="6">
        <f ca="1">IF(Table1[[#This Row],[Column1]]="Health",Table1[[#This Row],[income]],0)</f>
        <v>0</v>
      </c>
      <c r="DE44" s="20">
        <f ca="1">IF(Table1[[#This Row],[Column1]]="Agriculture",Table1[[#This Row],[income]],0)</f>
        <v>0</v>
      </c>
      <c r="DF44" s="20">
        <f ca="1">IF(Table1[[#This Row],[Column1]]="Technology",Table1[[#This Row],[income]],0)</f>
        <v>0</v>
      </c>
      <c r="DG44" s="20">
        <f ca="1">IF(Table1[[#This Row],[Column1]]="Social Service",Table1[[#This Row],[income]],0)</f>
        <v>0</v>
      </c>
      <c r="DH44" s="20">
        <f ca="1">IF(Table1[[#This Row],[Column1]]="Education",Table1[[#This Row],[income]],0)</f>
        <v>0</v>
      </c>
      <c r="DI44" s="5">
        <f ca="1">IF(Table1[[#This Row],[Column1]]="Construction",Table1[[#This Row],[income]],0)</f>
        <v>89832</v>
      </c>
      <c r="DK44" s="6">
        <f ca="1">IF(Table1[[#This Row],[Value of Debts]]&gt;Table1[[#This Row],[income]],1,0)</f>
        <v>1</v>
      </c>
      <c r="DL44" s="20"/>
      <c r="DM44" s="20"/>
      <c r="DN44" s="5"/>
      <c r="DP44" s="6">
        <f ca="1">IF(Table1[[#This Row],[Net Worth (£)]]&gt;$DS$5,C44,0)</f>
        <v>0</v>
      </c>
      <c r="DQ44" s="20"/>
      <c r="DR44" s="20"/>
      <c r="DS44" s="5"/>
    </row>
    <row r="45" spans="1:123" x14ac:dyDescent="0.2">
      <c r="A45">
        <f t="shared" ca="1" si="1"/>
        <v>1</v>
      </c>
      <c r="B45" s="1" t="str">
        <f ca="1">IF(A45=1, "men", "women")</f>
        <v>men</v>
      </c>
      <c r="C45" s="1">
        <f ca="1">RANDBETWEEN(25,50)</f>
        <v>35</v>
      </c>
      <c r="D45">
        <f ca="1">RANDBETWEEN(1,6)</f>
        <v>4</v>
      </c>
      <c r="E45" t="str">
        <f ca="1">VLOOKUP(D45,$W$5:$X$10,2)</f>
        <v>Technology</v>
      </c>
      <c r="F45">
        <f ca="1">RANDBETWEEN(1,5)</f>
        <v>4</v>
      </c>
      <c r="G45" t="str">
        <f ca="1">VLOOKUP(F45,$Y$5:$Z$9,2)</f>
        <v xml:space="preserve">Technical </v>
      </c>
      <c r="H45">
        <f ca="1">RANDBETWEEN(0,4)</f>
        <v>4</v>
      </c>
      <c r="I45">
        <f ca="1">RANDBETWEEN(1,3)</f>
        <v>3</v>
      </c>
      <c r="J45">
        <f ca="1">RANDBETWEEN(30000,100000)</f>
        <v>72721</v>
      </c>
      <c r="K45">
        <f ca="1">RANDBETWEEN(1,48)</f>
        <v>46</v>
      </c>
      <c r="L45" t="str">
        <f ca="1">VLOOKUP(K45,$AA$5:$AB$52,2)</f>
        <v>West Yorkshire</v>
      </c>
      <c r="M45">
        <f ca="1">J45*(RANDBETWEEN(2,5))</f>
        <v>290884</v>
      </c>
      <c r="N45">
        <f ca="1">RAND()*M45</f>
        <v>268876.52170903707</v>
      </c>
      <c r="O45">
        <f ca="1">I45*RAND()*J45</f>
        <v>147107.64902170084</v>
      </c>
      <c r="P45">
        <f ca="1">RANDBETWEEN(0,O45)</f>
        <v>81520</v>
      </c>
      <c r="Q45">
        <f ca="1">RAND()*J45*2</f>
        <v>120745.85881303</v>
      </c>
      <c r="R45">
        <f ca="1">RAND()*J45*1.5</f>
        <v>78175.491396465019</v>
      </c>
      <c r="S45">
        <f ca="1">J45+R45+O45</f>
        <v>298004.14041816583</v>
      </c>
      <c r="T45">
        <f ca="1">N45+P45+Q45</f>
        <v>471142.38052206708</v>
      </c>
      <c r="U45">
        <f ca="1">S45-T45</f>
        <v>-173138.24010390125</v>
      </c>
      <c r="AA45">
        <v>41</v>
      </c>
      <c r="AB45" t="s">
        <v>57</v>
      </c>
      <c r="AC45" s="6">
        <f ca="1">IF(Table1[[#This Row],[gender]]="men",1,0)</f>
        <v>1</v>
      </c>
      <c r="AD45">
        <f ca="1">IF(Table1[[#This Row],[gender]]="women",1,0)</f>
        <v>0</v>
      </c>
      <c r="AH45" s="5"/>
      <c r="AJ45" s="6">
        <f ca="1">IF(Table1[[#This Row],[Column1]]="Health",1,0)</f>
        <v>0</v>
      </c>
      <c r="AK45">
        <f ca="1">IF(Table1[[#This Row],[Column1]]="Construction",1,0)</f>
        <v>0</v>
      </c>
      <c r="AL45">
        <f ca="1">IF(Table1[[#This Row],[Column1]]="Technology",1,0)</f>
        <v>1</v>
      </c>
      <c r="AM45">
        <f ca="1">IF(Table1[[#This Row],[Column1]]="Education",1,0)</f>
        <v>0</v>
      </c>
      <c r="AN45">
        <f ca="1">IF(Table1[[#This Row],[Column1]]="Agriculture",1,0)</f>
        <v>0</v>
      </c>
      <c r="AO45">
        <f ca="1">IF(Table1[[#This Row],[Column1]]="Social Service", 1, 0)</f>
        <v>0</v>
      </c>
      <c r="AT45" s="5"/>
      <c r="AV45" s="17">
        <f t="shared" ca="1" si="0"/>
        <v>25131.955373184875</v>
      </c>
      <c r="AW45" s="5"/>
      <c r="AX45" s="6">
        <f ca="1">IF(Table1[[#This Row],[Value of Debts]]&gt;$AY$4,1,0)</f>
        <v>1</v>
      </c>
      <c r="AY45" s="20"/>
      <c r="AZ45" s="20"/>
      <c r="BA45" s="5"/>
      <c r="BB45" s="25">
        <f ca="1">Table1[[#This Row],[Mortage Left]]/Table1[[#This Row],[Value of House]]</f>
        <v>0.92434276793854964</v>
      </c>
      <c r="BC45" s="20">
        <f t="shared" ca="1" si="2"/>
        <v>0</v>
      </c>
      <c r="BD45" s="20"/>
      <c r="BE45" s="20"/>
      <c r="BF45" s="20"/>
      <c r="BG45" s="6">
        <f ca="1">IF(Table1[[#This Row],[County]]="Cumbria",Table1[[#This Row],[income]],0)</f>
        <v>0</v>
      </c>
      <c r="BH45" s="20">
        <f ca="1">IF(Table1[[#This Row],[County]]="Cheshire",Table1[[#This Row],[income]],0)</f>
        <v>0</v>
      </c>
      <c r="BI45" s="20">
        <f ca="1">IF(Table1[[#This Row],[County]]="Bristol",Table1[[#This Row],[income]],0)</f>
        <v>0</v>
      </c>
      <c r="BJ45" s="20">
        <f ca="1">IF(Table1[[#This Row],[County]]="Surrey",Table1[[#This Row],[income]],0)</f>
        <v>0</v>
      </c>
      <c r="BK45" s="20">
        <f ca="1">IF(Table1[[#This Row],[County]]="Norfolk",Table1[[#This Row],[income]],0)</f>
        <v>0</v>
      </c>
      <c r="BL45" s="20">
        <f ca="1">IF(Table1[[#This Row],[County]]="Lincolnshire",Table1[[#This Row],[income]],0)</f>
        <v>0</v>
      </c>
      <c r="BM45" s="20">
        <f ca="1">IF(Table1[[#This Row],[County]]="Somerset",Table1[[#This Row],[income]],0)</f>
        <v>0</v>
      </c>
      <c r="BN45" s="20">
        <f ca="1">IF(Table1[[#This Row],[County]]="Cambridgeshire",Table1[[#This Row],[income]],0)</f>
        <v>0</v>
      </c>
      <c r="BO45" s="20">
        <f ca="1">IF(Table1[[#This Row],[County]]="South Yorkshire",Table1[[#This Row],[income]],0)</f>
        <v>0</v>
      </c>
      <c r="BP45" s="20">
        <f ca="1">IF(Table1[[#This Row],[County]]="Greater London",Table1[[#This Row],[income]],0)</f>
        <v>0</v>
      </c>
      <c r="BQ45" s="20">
        <f ca="1">IF(Table1[[#This Row],[County]]="Hampshire",Table1[[#This Row],[income]],0)</f>
        <v>0</v>
      </c>
      <c r="BR45" s="20">
        <f ca="1">IF(Table1[[#This Row],[County]]="Gloucestershire",Table1[[#This Row],[income]],0)</f>
        <v>0</v>
      </c>
      <c r="BS45" s="20">
        <f ca="1">IF(Table1[[#This Row],[County]]="West Sussex",Table1[[#This Row],[income]],0)</f>
        <v>0</v>
      </c>
      <c r="BT45" s="20">
        <f ca="1">IF(Table1[[#This Row],[County]]="Devon",Table1[[#This Row],[income]],0)</f>
        <v>0</v>
      </c>
      <c r="BU45" s="20">
        <f ca="1">IF(Table1[[#This Row],[County]]="Berkshire",Table1[[#This Row],[income]],0)</f>
        <v>0</v>
      </c>
      <c r="BV45" s="20">
        <f ca="1">IF(Table1[[#This Row],[County]]="Staffordshire",Table1[[#This Row],[income]],0)</f>
        <v>0</v>
      </c>
      <c r="BW45" s="20">
        <f ca="1">IF(Table1[[#This Row],[County]]="Leicestershire",Table1[[#This Row],[income]],0)</f>
        <v>0</v>
      </c>
      <c r="BX45" s="20">
        <f ca="1">IF(Table1[[#This Row],[County]]="Cornwall",Table1[[#This Row],[income]],0)</f>
        <v>0</v>
      </c>
      <c r="BY45" s="20">
        <f ca="1">IF(Table1[[#This Row],[County]]="Isle of Wight",Table1[[#This Row],[income]],0)</f>
        <v>0</v>
      </c>
      <c r="BZ45" s="20">
        <f ca="1">IF(Table1[[#This Row],[County]]="Surrey",Table1[[#This Row],[income]],0)</f>
        <v>0</v>
      </c>
      <c r="CA45" s="20">
        <f ca="1">IF(Table1[[#This Row],[County]]="Derbyshire",Table1[[#This Row],[income]],0)</f>
        <v>0</v>
      </c>
      <c r="CB45" s="20">
        <f ca="1">IF(Table1[[#This Row],[County]]="City of London",Table1[[#This Row],[income]],0)</f>
        <v>0</v>
      </c>
      <c r="CC45" s="20">
        <f ca="1">IF(Table1[[#This Row],[County]]="Bedfordshire",Table1[[#This Row],[income]],0)</f>
        <v>0</v>
      </c>
      <c r="CD45" s="20">
        <f ca="1">IF(Table1[[#This Row],[County]]="County Durham",Table1[[#This Row],[income]],0)</f>
        <v>0</v>
      </c>
      <c r="CE45" s="20">
        <f ca="1">IF(Table1[[#This Row],[County]]="East Riding of Yorkshire",Table1[[#This Row],[income]],0)</f>
        <v>0</v>
      </c>
      <c r="CF45" s="20">
        <f ca="1">IF(Table1[[#This Row],[County]]="West Yorkshire",Table1[[#This Row],[income]],0)</f>
        <v>72721</v>
      </c>
      <c r="CG45" s="20">
        <f ca="1">IF(Table1[[#This Row],[County]]="Essex",Table1[[#This Row],[income]],0)</f>
        <v>0</v>
      </c>
      <c r="CH45" s="20">
        <f ca="1">IF(Table1[[#This Row],[County]]="East Sussex",Table1[[#This Row],[income]],0)</f>
        <v>0</v>
      </c>
      <c r="CI45" s="20">
        <f ca="1">IF(Table1[[#This Row],[County]]="Greater Manchester",Table1[[#This Row],[income]],0)</f>
        <v>0</v>
      </c>
      <c r="CJ45" s="20">
        <f ca="1">IF(Table1[[#This Row],[County]]="Hertfordshire",Table1[[#This Row],[income]],0)</f>
        <v>0</v>
      </c>
      <c r="CK45" s="20">
        <f ca="1">IF(Table1[[#This Row],[County]]="Herefordshire",Table1[[#This Row],[income]],0)</f>
        <v>0</v>
      </c>
      <c r="CL45" s="20">
        <f ca="1">IF(Table1[[#This Row],[County]]="Lancashire",Table1[[#This Row],[income]],0)</f>
        <v>0</v>
      </c>
      <c r="CM45" s="20">
        <f ca="1">IF(Table1[[#This Row],[County]]="Merseyside",Table1[[#This Row],[income]],0)</f>
        <v>0</v>
      </c>
      <c r="CN45" s="20">
        <f ca="1">IF(Table1[[#This Row],[County]]="Northamptonshire",Table1[[#This Row],[income]],0)</f>
        <v>0</v>
      </c>
      <c r="CO45" s="20">
        <f ca="1">IF(Table1[[#This Row],[County]]="Northumberland",Table1[[#This Row],[income]],0)</f>
        <v>0</v>
      </c>
      <c r="CP45" s="20">
        <f ca="1">IF(Table1[[#This Row],[County]]="Wiltshire",Table1[[#This Row],[income]],0)</f>
        <v>0</v>
      </c>
      <c r="CQ45" s="20">
        <f ca="1">IF(Table1[[#This Row],[County]]="West Midlands",Table1[[#This Row],[income]],0)</f>
        <v>0</v>
      </c>
      <c r="CR45" s="20">
        <f ca="1">IF(Table1[[#This Row],[County]]="Warwickshire",Table1[[#This Row],[income]],0)</f>
        <v>0</v>
      </c>
      <c r="CS45" s="20">
        <f ca="1">IF(Table1[[#This Row],[County]]="Tyne and Wear",Table1[[#This Row],[income]],0)</f>
        <v>0</v>
      </c>
      <c r="CT45" s="20">
        <f ca="1">IF(Table1[[#This Row],[County]]="Worcestershire",Table1[[#This Row],[income]],0)</f>
        <v>0</v>
      </c>
      <c r="CU45" s="20">
        <f ca="1">IF(Table1[[#This Row],[County]]="Rutland",Table1[[#This Row],[income]],0)</f>
        <v>0</v>
      </c>
      <c r="CV45" s="20">
        <f ca="1">IF(Table1[[#This Row],[County]]="Shropshire",Table1[[#This Row],[income]],0)</f>
        <v>0</v>
      </c>
      <c r="CW45" s="20">
        <f ca="1">IF(Table1[[#This Row],[County]]="Dorset",Table1[[#This Row],[income]],0)</f>
        <v>0</v>
      </c>
      <c r="CX45" s="20">
        <f ca="1">IF(Table1[[#This Row],[County]]="Buckinghamshire",Table1[[#This Row],[income]],0)</f>
        <v>0</v>
      </c>
      <c r="CY45" s="20">
        <f ca="1">IF(Table1[[#This Row],[County]]="Suffolk",Table1[[#This Row],[income]],0)</f>
        <v>0</v>
      </c>
      <c r="CZ45" s="20">
        <f ca="1">IF(Table1[[#This Row],[County]]="North Yorkshire",Table1[[#This Row],[income]],0)</f>
        <v>0</v>
      </c>
      <c r="DA45" s="20">
        <f ca="1">IF(Table1[[#This Row],[County]]="Kent",Table1[[#This Row],[income]],0)</f>
        <v>0</v>
      </c>
      <c r="DB45" s="5">
        <f ca="1">IF(Table1[[#This Row],[County]]="Derbyshire",Table1[[#This Row],[income]],0)</f>
        <v>0</v>
      </c>
      <c r="DD45" s="6">
        <f ca="1">IF(Table1[[#This Row],[Column1]]="Health",Table1[[#This Row],[income]],0)</f>
        <v>0</v>
      </c>
      <c r="DE45" s="20">
        <f ca="1">IF(Table1[[#This Row],[Column1]]="Agriculture",Table1[[#This Row],[income]],0)</f>
        <v>0</v>
      </c>
      <c r="DF45" s="20">
        <f ca="1">IF(Table1[[#This Row],[Column1]]="Technology",Table1[[#This Row],[income]],0)</f>
        <v>72721</v>
      </c>
      <c r="DG45" s="20">
        <f ca="1">IF(Table1[[#This Row],[Column1]]="Social Service",Table1[[#This Row],[income]],0)</f>
        <v>0</v>
      </c>
      <c r="DH45" s="20">
        <f ca="1">IF(Table1[[#This Row],[Column1]]="Education",Table1[[#This Row],[income]],0)</f>
        <v>0</v>
      </c>
      <c r="DI45" s="5">
        <f ca="1">IF(Table1[[#This Row],[Column1]]="Construction",Table1[[#This Row],[income]],0)</f>
        <v>0</v>
      </c>
      <c r="DK45" s="6">
        <f ca="1">IF(Table1[[#This Row],[Value of Debts]]&gt;Table1[[#This Row],[income]],1,0)</f>
        <v>1</v>
      </c>
      <c r="DL45" s="20"/>
      <c r="DM45" s="20"/>
      <c r="DN45" s="5"/>
      <c r="DP45" s="6">
        <f ca="1">IF(Table1[[#This Row],[Net Worth (£)]]&gt;$DS$5,C45,0)</f>
        <v>0</v>
      </c>
      <c r="DQ45" s="20"/>
      <c r="DR45" s="20"/>
      <c r="DS45" s="5"/>
    </row>
    <row r="46" spans="1:123" x14ac:dyDescent="0.2">
      <c r="A46">
        <f t="shared" ca="1" si="1"/>
        <v>1</v>
      </c>
      <c r="B46" s="1" t="str">
        <f ca="1">IF(A46=1, "men", "women")</f>
        <v>men</v>
      </c>
      <c r="C46" s="1">
        <f ca="1">RANDBETWEEN(25,50)</f>
        <v>31</v>
      </c>
      <c r="D46">
        <f ca="1">RANDBETWEEN(1,6)</f>
        <v>5</v>
      </c>
      <c r="E46" t="str">
        <f ca="1">VLOOKUP(D46,$W$5:$X$10,2)</f>
        <v>Social Service</v>
      </c>
      <c r="F46">
        <f ca="1">RANDBETWEEN(1,5)</f>
        <v>4</v>
      </c>
      <c r="G46" t="str">
        <f ca="1">VLOOKUP(F46,$Y$5:$Z$9,2)</f>
        <v xml:space="preserve">Technical </v>
      </c>
      <c r="H46">
        <f ca="1">RANDBETWEEN(0,4)</f>
        <v>0</v>
      </c>
      <c r="I46">
        <f ca="1">RANDBETWEEN(1,3)</f>
        <v>1</v>
      </c>
      <c r="J46">
        <f ca="1">RANDBETWEEN(30000,100000)</f>
        <v>37796</v>
      </c>
      <c r="K46">
        <f ca="1">RANDBETWEEN(1,48)</f>
        <v>38</v>
      </c>
      <c r="L46" t="str">
        <f ca="1">VLOOKUP(K46,$AA$5:$AB$52,2)</f>
        <v>South Yorkshire</v>
      </c>
      <c r="M46">
        <f ca="1">J46*(RANDBETWEEN(2,5))</f>
        <v>75592</v>
      </c>
      <c r="N46">
        <f ca="1">RAND()*M46</f>
        <v>18349.672991413205</v>
      </c>
      <c r="O46">
        <f ca="1">I46*RAND()*J46</f>
        <v>25131.955373184875</v>
      </c>
      <c r="P46">
        <f ca="1">RANDBETWEEN(0,O46)</f>
        <v>21091</v>
      </c>
      <c r="Q46">
        <f ca="1">RAND()*J46*2</f>
        <v>50772.358522481001</v>
      </c>
      <c r="R46">
        <f ca="1">RAND()*J46*1.5</f>
        <v>50929.34026108867</v>
      </c>
      <c r="S46">
        <f ca="1">J46+R46+O46</f>
        <v>113857.29563427354</v>
      </c>
      <c r="T46">
        <f ca="1">N46+P46+Q46</f>
        <v>90213.03151389421</v>
      </c>
      <c r="U46">
        <f ca="1">S46-T46</f>
        <v>23644.264120379332</v>
      </c>
      <c r="AA46">
        <v>42</v>
      </c>
      <c r="AB46" t="s">
        <v>58</v>
      </c>
      <c r="AC46" s="6">
        <f ca="1">IF(Table1[[#This Row],[gender]]="men",1,0)</f>
        <v>1</v>
      </c>
      <c r="AD46">
        <f ca="1">IF(Table1[[#This Row],[gender]]="women",1,0)</f>
        <v>0</v>
      </c>
      <c r="AH46" s="5"/>
      <c r="AJ46" s="6">
        <f ca="1">IF(Table1[[#This Row],[Column1]]="Health",1,0)</f>
        <v>0</v>
      </c>
      <c r="AK46">
        <f ca="1">IF(Table1[[#This Row],[Column1]]="Construction",1,0)</f>
        <v>0</v>
      </c>
      <c r="AL46">
        <f ca="1">IF(Table1[[#This Row],[Column1]]="Technology",1,0)</f>
        <v>0</v>
      </c>
      <c r="AM46">
        <f ca="1">IF(Table1[[#This Row],[Column1]]="Education",1,0)</f>
        <v>0</v>
      </c>
      <c r="AN46">
        <f ca="1">IF(Table1[[#This Row],[Column1]]="Agriculture",1,0)</f>
        <v>0</v>
      </c>
      <c r="AO46">
        <f ca="1">IF(Table1[[#This Row],[Column1]]="Social Service", 1, 0)</f>
        <v>1</v>
      </c>
      <c r="AT46" s="5"/>
      <c r="AV46" s="17">
        <f t="shared" ca="1" si="0"/>
        <v>57206.134687150101</v>
      </c>
      <c r="AW46" s="5"/>
      <c r="AX46" s="6">
        <f ca="1">IF(Table1[[#This Row],[Value of Debts]]&gt;$AY$4,1,0)</f>
        <v>0</v>
      </c>
      <c r="AY46" s="20"/>
      <c r="AZ46" s="20"/>
      <c r="BA46" s="5"/>
      <c r="BB46" s="25">
        <f ca="1">Table1[[#This Row],[Mortage Left]]/Table1[[#This Row],[Value of House]]</f>
        <v>0.24274622964616896</v>
      </c>
      <c r="BC46" s="20">
        <f t="shared" ca="1" si="2"/>
        <v>1</v>
      </c>
      <c r="BD46" s="20"/>
      <c r="BE46" s="20"/>
      <c r="BF46" s="20"/>
      <c r="BG46" s="6">
        <f ca="1">IF(Table1[[#This Row],[County]]="Cumbria",Table1[[#This Row],[income]],0)</f>
        <v>0</v>
      </c>
      <c r="BH46" s="20">
        <f ca="1">IF(Table1[[#This Row],[County]]="Cheshire",Table1[[#This Row],[income]],0)</f>
        <v>0</v>
      </c>
      <c r="BI46" s="20">
        <f ca="1">IF(Table1[[#This Row],[County]]="Bristol",Table1[[#This Row],[income]],0)</f>
        <v>0</v>
      </c>
      <c r="BJ46" s="20">
        <f ca="1">IF(Table1[[#This Row],[County]]="Surrey",Table1[[#This Row],[income]],0)</f>
        <v>0</v>
      </c>
      <c r="BK46" s="20">
        <f ca="1">IF(Table1[[#This Row],[County]]="Norfolk",Table1[[#This Row],[income]],0)</f>
        <v>0</v>
      </c>
      <c r="BL46" s="20">
        <f ca="1">IF(Table1[[#This Row],[County]]="Lincolnshire",Table1[[#This Row],[income]],0)</f>
        <v>0</v>
      </c>
      <c r="BM46" s="20">
        <f ca="1">IF(Table1[[#This Row],[County]]="Somerset",Table1[[#This Row],[income]],0)</f>
        <v>0</v>
      </c>
      <c r="BN46" s="20">
        <f ca="1">IF(Table1[[#This Row],[County]]="Cambridgeshire",Table1[[#This Row],[income]],0)</f>
        <v>0</v>
      </c>
      <c r="BO46" s="20">
        <f ca="1">IF(Table1[[#This Row],[County]]="South Yorkshire",Table1[[#This Row],[income]],0)</f>
        <v>37796</v>
      </c>
      <c r="BP46" s="20">
        <f ca="1">IF(Table1[[#This Row],[County]]="Greater London",Table1[[#This Row],[income]],0)</f>
        <v>0</v>
      </c>
      <c r="BQ46" s="20">
        <f ca="1">IF(Table1[[#This Row],[County]]="Hampshire",Table1[[#This Row],[income]],0)</f>
        <v>0</v>
      </c>
      <c r="BR46" s="20">
        <f ca="1">IF(Table1[[#This Row],[County]]="Gloucestershire",Table1[[#This Row],[income]],0)</f>
        <v>0</v>
      </c>
      <c r="BS46" s="20">
        <f ca="1">IF(Table1[[#This Row],[County]]="West Sussex",Table1[[#This Row],[income]],0)</f>
        <v>0</v>
      </c>
      <c r="BT46" s="20">
        <f ca="1">IF(Table1[[#This Row],[County]]="Devon",Table1[[#This Row],[income]],0)</f>
        <v>0</v>
      </c>
      <c r="BU46" s="20">
        <f ca="1">IF(Table1[[#This Row],[County]]="Berkshire",Table1[[#This Row],[income]],0)</f>
        <v>0</v>
      </c>
      <c r="BV46" s="20">
        <f ca="1">IF(Table1[[#This Row],[County]]="Staffordshire",Table1[[#This Row],[income]],0)</f>
        <v>0</v>
      </c>
      <c r="BW46" s="20">
        <f ca="1">IF(Table1[[#This Row],[County]]="Leicestershire",Table1[[#This Row],[income]],0)</f>
        <v>0</v>
      </c>
      <c r="BX46" s="20">
        <f ca="1">IF(Table1[[#This Row],[County]]="Cornwall",Table1[[#This Row],[income]],0)</f>
        <v>0</v>
      </c>
      <c r="BY46" s="20">
        <f ca="1">IF(Table1[[#This Row],[County]]="Isle of Wight",Table1[[#This Row],[income]],0)</f>
        <v>0</v>
      </c>
      <c r="BZ46" s="20">
        <f ca="1">IF(Table1[[#This Row],[County]]="Surrey",Table1[[#This Row],[income]],0)</f>
        <v>0</v>
      </c>
      <c r="CA46" s="20">
        <f ca="1">IF(Table1[[#This Row],[County]]="Derbyshire",Table1[[#This Row],[income]],0)</f>
        <v>0</v>
      </c>
      <c r="CB46" s="20">
        <f ca="1">IF(Table1[[#This Row],[County]]="City of London",Table1[[#This Row],[income]],0)</f>
        <v>0</v>
      </c>
      <c r="CC46" s="20">
        <f ca="1">IF(Table1[[#This Row],[County]]="Bedfordshire",Table1[[#This Row],[income]],0)</f>
        <v>0</v>
      </c>
      <c r="CD46" s="20">
        <f ca="1">IF(Table1[[#This Row],[County]]="County Durham",Table1[[#This Row],[income]],0)</f>
        <v>0</v>
      </c>
      <c r="CE46" s="20">
        <f ca="1">IF(Table1[[#This Row],[County]]="East Riding of Yorkshire",Table1[[#This Row],[income]],0)</f>
        <v>0</v>
      </c>
      <c r="CF46" s="20">
        <f ca="1">IF(Table1[[#This Row],[County]]="West Yorkshire",Table1[[#This Row],[income]],0)</f>
        <v>0</v>
      </c>
      <c r="CG46" s="20">
        <f ca="1">IF(Table1[[#This Row],[County]]="Essex",Table1[[#This Row],[income]],0)</f>
        <v>0</v>
      </c>
      <c r="CH46" s="20">
        <f ca="1">IF(Table1[[#This Row],[County]]="East Sussex",Table1[[#This Row],[income]],0)</f>
        <v>0</v>
      </c>
      <c r="CI46" s="20">
        <f ca="1">IF(Table1[[#This Row],[County]]="Greater Manchester",Table1[[#This Row],[income]],0)</f>
        <v>0</v>
      </c>
      <c r="CJ46" s="20">
        <f ca="1">IF(Table1[[#This Row],[County]]="Hertfordshire",Table1[[#This Row],[income]],0)</f>
        <v>0</v>
      </c>
      <c r="CK46" s="20">
        <f ca="1">IF(Table1[[#This Row],[County]]="Herefordshire",Table1[[#This Row],[income]],0)</f>
        <v>0</v>
      </c>
      <c r="CL46" s="20">
        <f ca="1">IF(Table1[[#This Row],[County]]="Lancashire",Table1[[#This Row],[income]],0)</f>
        <v>0</v>
      </c>
      <c r="CM46" s="20">
        <f ca="1">IF(Table1[[#This Row],[County]]="Merseyside",Table1[[#This Row],[income]],0)</f>
        <v>0</v>
      </c>
      <c r="CN46" s="20">
        <f ca="1">IF(Table1[[#This Row],[County]]="Northamptonshire",Table1[[#This Row],[income]],0)</f>
        <v>0</v>
      </c>
      <c r="CO46" s="20">
        <f ca="1">IF(Table1[[#This Row],[County]]="Northumberland",Table1[[#This Row],[income]],0)</f>
        <v>0</v>
      </c>
      <c r="CP46" s="20">
        <f ca="1">IF(Table1[[#This Row],[County]]="Wiltshire",Table1[[#This Row],[income]],0)</f>
        <v>0</v>
      </c>
      <c r="CQ46" s="20">
        <f ca="1">IF(Table1[[#This Row],[County]]="West Midlands",Table1[[#This Row],[income]],0)</f>
        <v>0</v>
      </c>
      <c r="CR46" s="20">
        <f ca="1">IF(Table1[[#This Row],[County]]="Warwickshire",Table1[[#This Row],[income]],0)</f>
        <v>0</v>
      </c>
      <c r="CS46" s="20">
        <f ca="1">IF(Table1[[#This Row],[County]]="Tyne and Wear",Table1[[#This Row],[income]],0)</f>
        <v>0</v>
      </c>
      <c r="CT46" s="20">
        <f ca="1">IF(Table1[[#This Row],[County]]="Worcestershire",Table1[[#This Row],[income]],0)</f>
        <v>0</v>
      </c>
      <c r="CU46" s="20">
        <f ca="1">IF(Table1[[#This Row],[County]]="Rutland",Table1[[#This Row],[income]],0)</f>
        <v>0</v>
      </c>
      <c r="CV46" s="20">
        <f ca="1">IF(Table1[[#This Row],[County]]="Shropshire",Table1[[#This Row],[income]],0)</f>
        <v>0</v>
      </c>
      <c r="CW46" s="20">
        <f ca="1">IF(Table1[[#This Row],[County]]="Dorset",Table1[[#This Row],[income]],0)</f>
        <v>0</v>
      </c>
      <c r="CX46" s="20">
        <f ca="1">IF(Table1[[#This Row],[County]]="Buckinghamshire",Table1[[#This Row],[income]],0)</f>
        <v>0</v>
      </c>
      <c r="CY46" s="20">
        <f ca="1">IF(Table1[[#This Row],[County]]="Suffolk",Table1[[#This Row],[income]],0)</f>
        <v>0</v>
      </c>
      <c r="CZ46" s="20">
        <f ca="1">IF(Table1[[#This Row],[County]]="North Yorkshire",Table1[[#This Row],[income]],0)</f>
        <v>0</v>
      </c>
      <c r="DA46" s="20">
        <f ca="1">IF(Table1[[#This Row],[County]]="Kent",Table1[[#This Row],[income]],0)</f>
        <v>0</v>
      </c>
      <c r="DB46" s="5">
        <f ca="1">IF(Table1[[#This Row],[County]]="Derbyshire",Table1[[#This Row],[income]],0)</f>
        <v>0</v>
      </c>
      <c r="DD46" s="6">
        <f ca="1">IF(Table1[[#This Row],[Column1]]="Health",Table1[[#This Row],[income]],0)</f>
        <v>0</v>
      </c>
      <c r="DE46" s="20">
        <f ca="1">IF(Table1[[#This Row],[Column1]]="Agriculture",Table1[[#This Row],[income]],0)</f>
        <v>0</v>
      </c>
      <c r="DF46" s="20">
        <f ca="1">IF(Table1[[#This Row],[Column1]]="Technology",Table1[[#This Row],[income]],0)</f>
        <v>0</v>
      </c>
      <c r="DG46" s="20">
        <f ca="1">IF(Table1[[#This Row],[Column1]]="Social Service",Table1[[#This Row],[income]],0)</f>
        <v>37796</v>
      </c>
      <c r="DH46" s="20">
        <f ca="1">IF(Table1[[#This Row],[Column1]]="Education",Table1[[#This Row],[income]],0)</f>
        <v>0</v>
      </c>
      <c r="DI46" s="5">
        <f ca="1">IF(Table1[[#This Row],[Column1]]="Construction",Table1[[#This Row],[income]],0)</f>
        <v>0</v>
      </c>
      <c r="DK46" s="6">
        <f ca="1">IF(Table1[[#This Row],[Value of Debts]]&gt;Table1[[#This Row],[income]],1,0)</f>
        <v>1</v>
      </c>
      <c r="DL46" s="20"/>
      <c r="DM46" s="20"/>
      <c r="DN46" s="5"/>
      <c r="DP46" s="6">
        <f ca="1">IF(Table1[[#This Row],[Net Worth (£)]]&gt;$DS$5,C46,0)</f>
        <v>0</v>
      </c>
      <c r="DQ46" s="20"/>
      <c r="DR46" s="20"/>
      <c r="DS46" s="5"/>
    </row>
    <row r="47" spans="1:123" x14ac:dyDescent="0.2">
      <c r="A47">
        <f t="shared" ca="1" si="1"/>
        <v>1</v>
      </c>
      <c r="B47" s="1" t="str">
        <f ca="1">IF(A47=1, "men", "women")</f>
        <v>men</v>
      </c>
      <c r="C47" s="1">
        <f ca="1">RANDBETWEEN(25,50)</f>
        <v>47</v>
      </c>
      <c r="D47">
        <f ca="1">RANDBETWEEN(1,6)</f>
        <v>4</v>
      </c>
      <c r="E47" t="str">
        <f ca="1">VLOOKUP(D47,$W$5:$X$10,2)</f>
        <v>Technology</v>
      </c>
      <c r="F47">
        <f ca="1">RANDBETWEEN(1,5)</f>
        <v>2</v>
      </c>
      <c r="G47" t="str">
        <f ca="1">VLOOKUP(F47,$Y$5:$Z$9,2)</f>
        <v>College</v>
      </c>
      <c r="H47">
        <f ca="1">RANDBETWEEN(0,4)</f>
        <v>1</v>
      </c>
      <c r="I47">
        <f ca="1">RANDBETWEEN(1,3)</f>
        <v>2</v>
      </c>
      <c r="J47">
        <f ca="1">RANDBETWEEN(30000,100000)</f>
        <v>97093</v>
      </c>
      <c r="K47">
        <f ca="1">RANDBETWEEN(1,48)</f>
        <v>32</v>
      </c>
      <c r="L47" t="str">
        <f ca="1">VLOOKUP(K47,$AA$5:$AB$52,2)</f>
        <v>Northumberland</v>
      </c>
      <c r="M47">
        <f ca="1">J47*(RANDBETWEEN(2,5))</f>
        <v>485465</v>
      </c>
      <c r="N47">
        <f ca="1">RAND()*M47</f>
        <v>82619.056422071764</v>
      </c>
      <c r="O47">
        <f ca="1">I47*RAND()*J47</f>
        <v>114412.2693743002</v>
      </c>
      <c r="P47">
        <f ca="1">RANDBETWEEN(0,O47)</f>
        <v>65092</v>
      </c>
      <c r="Q47">
        <f ca="1">RAND()*J47*2</f>
        <v>114642.97166329317</v>
      </c>
      <c r="R47">
        <f ca="1">RAND()*J47*1.5</f>
        <v>141657.85407432556</v>
      </c>
      <c r="S47">
        <f ca="1">J47+R47+O47</f>
        <v>353163.12344862579</v>
      </c>
      <c r="T47">
        <f ca="1">N47+P47+Q47</f>
        <v>262354.02808536496</v>
      </c>
      <c r="U47">
        <f ca="1">S47-T47</f>
        <v>90809.095363260829</v>
      </c>
      <c r="AA47">
        <v>43</v>
      </c>
      <c r="AB47" t="s">
        <v>59</v>
      </c>
      <c r="AC47" s="6">
        <f ca="1">IF(Table1[[#This Row],[gender]]="men",1,0)</f>
        <v>1</v>
      </c>
      <c r="AD47">
        <f ca="1">IF(Table1[[#This Row],[gender]]="women",1,0)</f>
        <v>0</v>
      </c>
      <c r="AH47" s="5"/>
      <c r="AJ47" s="6">
        <f ca="1">IF(Table1[[#This Row],[Column1]]="Health",1,0)</f>
        <v>0</v>
      </c>
      <c r="AK47">
        <f ca="1">IF(Table1[[#This Row],[Column1]]="Construction",1,0)</f>
        <v>0</v>
      </c>
      <c r="AL47">
        <f ca="1">IF(Table1[[#This Row],[Column1]]="Technology",1,0)</f>
        <v>1</v>
      </c>
      <c r="AM47">
        <f ca="1">IF(Table1[[#This Row],[Column1]]="Education",1,0)</f>
        <v>0</v>
      </c>
      <c r="AN47">
        <f ca="1">IF(Table1[[#This Row],[Column1]]="Agriculture",1,0)</f>
        <v>0</v>
      </c>
      <c r="AO47">
        <f ca="1">IF(Table1[[#This Row],[Column1]]="Social Service", 1, 0)</f>
        <v>0</v>
      </c>
      <c r="AT47" s="5"/>
      <c r="AV47" s="17">
        <f t="shared" ca="1" si="0"/>
        <v>50539.741539737122</v>
      </c>
      <c r="AW47" s="5"/>
      <c r="AX47" s="6">
        <f ca="1">IF(Table1[[#This Row],[Value of Debts]]&gt;$AY$4,1,0)</f>
        <v>1</v>
      </c>
      <c r="AY47" s="20"/>
      <c r="AZ47" s="20"/>
      <c r="BA47" s="5"/>
      <c r="BB47" s="25">
        <f ca="1">Table1[[#This Row],[Mortage Left]]/Table1[[#This Row],[Value of House]]</f>
        <v>0.17018540249466341</v>
      </c>
      <c r="BC47" s="20">
        <f t="shared" ca="1" si="2"/>
        <v>1</v>
      </c>
      <c r="BD47" s="20"/>
      <c r="BE47" s="20"/>
      <c r="BF47" s="20"/>
      <c r="BG47" s="6">
        <f ca="1">IF(Table1[[#This Row],[County]]="Cumbria",Table1[[#This Row],[income]],0)</f>
        <v>0</v>
      </c>
      <c r="BH47" s="20">
        <f ca="1">IF(Table1[[#This Row],[County]]="Cheshire",Table1[[#This Row],[income]],0)</f>
        <v>0</v>
      </c>
      <c r="BI47" s="20">
        <f ca="1">IF(Table1[[#This Row],[County]]="Bristol",Table1[[#This Row],[income]],0)</f>
        <v>0</v>
      </c>
      <c r="BJ47" s="20">
        <f ca="1">IF(Table1[[#This Row],[County]]="Surrey",Table1[[#This Row],[income]],0)</f>
        <v>0</v>
      </c>
      <c r="BK47" s="20">
        <f ca="1">IF(Table1[[#This Row],[County]]="Norfolk",Table1[[#This Row],[income]],0)</f>
        <v>0</v>
      </c>
      <c r="BL47" s="20">
        <f ca="1">IF(Table1[[#This Row],[County]]="Lincolnshire",Table1[[#This Row],[income]],0)</f>
        <v>0</v>
      </c>
      <c r="BM47" s="20">
        <f ca="1">IF(Table1[[#This Row],[County]]="Somerset",Table1[[#This Row],[income]],0)</f>
        <v>0</v>
      </c>
      <c r="BN47" s="20">
        <f ca="1">IF(Table1[[#This Row],[County]]="Cambridgeshire",Table1[[#This Row],[income]],0)</f>
        <v>0</v>
      </c>
      <c r="BO47" s="20">
        <f ca="1">IF(Table1[[#This Row],[County]]="South Yorkshire",Table1[[#This Row],[income]],0)</f>
        <v>0</v>
      </c>
      <c r="BP47" s="20">
        <f ca="1">IF(Table1[[#This Row],[County]]="Greater London",Table1[[#This Row],[income]],0)</f>
        <v>0</v>
      </c>
      <c r="BQ47" s="20">
        <f ca="1">IF(Table1[[#This Row],[County]]="Hampshire",Table1[[#This Row],[income]],0)</f>
        <v>0</v>
      </c>
      <c r="BR47" s="20">
        <f ca="1">IF(Table1[[#This Row],[County]]="Gloucestershire",Table1[[#This Row],[income]],0)</f>
        <v>0</v>
      </c>
      <c r="BS47" s="20">
        <f ca="1">IF(Table1[[#This Row],[County]]="West Sussex",Table1[[#This Row],[income]],0)</f>
        <v>0</v>
      </c>
      <c r="BT47" s="20">
        <f ca="1">IF(Table1[[#This Row],[County]]="Devon",Table1[[#This Row],[income]],0)</f>
        <v>0</v>
      </c>
      <c r="BU47" s="20">
        <f ca="1">IF(Table1[[#This Row],[County]]="Berkshire",Table1[[#This Row],[income]],0)</f>
        <v>0</v>
      </c>
      <c r="BV47" s="20">
        <f ca="1">IF(Table1[[#This Row],[County]]="Staffordshire",Table1[[#This Row],[income]],0)</f>
        <v>0</v>
      </c>
      <c r="BW47" s="20">
        <f ca="1">IF(Table1[[#This Row],[County]]="Leicestershire",Table1[[#This Row],[income]],0)</f>
        <v>0</v>
      </c>
      <c r="BX47" s="20">
        <f ca="1">IF(Table1[[#This Row],[County]]="Cornwall",Table1[[#This Row],[income]],0)</f>
        <v>0</v>
      </c>
      <c r="BY47" s="20">
        <f ca="1">IF(Table1[[#This Row],[County]]="Isle of Wight",Table1[[#This Row],[income]],0)</f>
        <v>0</v>
      </c>
      <c r="BZ47" s="20">
        <f ca="1">IF(Table1[[#This Row],[County]]="Surrey",Table1[[#This Row],[income]],0)</f>
        <v>0</v>
      </c>
      <c r="CA47" s="20">
        <f ca="1">IF(Table1[[#This Row],[County]]="Derbyshire",Table1[[#This Row],[income]],0)</f>
        <v>0</v>
      </c>
      <c r="CB47" s="20">
        <f ca="1">IF(Table1[[#This Row],[County]]="City of London",Table1[[#This Row],[income]],0)</f>
        <v>0</v>
      </c>
      <c r="CC47" s="20">
        <f ca="1">IF(Table1[[#This Row],[County]]="Bedfordshire",Table1[[#This Row],[income]],0)</f>
        <v>0</v>
      </c>
      <c r="CD47" s="20">
        <f ca="1">IF(Table1[[#This Row],[County]]="County Durham",Table1[[#This Row],[income]],0)</f>
        <v>0</v>
      </c>
      <c r="CE47" s="20">
        <f ca="1">IF(Table1[[#This Row],[County]]="East Riding of Yorkshire",Table1[[#This Row],[income]],0)</f>
        <v>0</v>
      </c>
      <c r="CF47" s="20">
        <f ca="1">IF(Table1[[#This Row],[County]]="West Yorkshire",Table1[[#This Row],[income]],0)</f>
        <v>0</v>
      </c>
      <c r="CG47" s="20">
        <f ca="1">IF(Table1[[#This Row],[County]]="Essex",Table1[[#This Row],[income]],0)</f>
        <v>0</v>
      </c>
      <c r="CH47" s="20">
        <f ca="1">IF(Table1[[#This Row],[County]]="East Sussex",Table1[[#This Row],[income]],0)</f>
        <v>0</v>
      </c>
      <c r="CI47" s="20">
        <f ca="1">IF(Table1[[#This Row],[County]]="Greater Manchester",Table1[[#This Row],[income]],0)</f>
        <v>0</v>
      </c>
      <c r="CJ47" s="20">
        <f ca="1">IF(Table1[[#This Row],[County]]="Hertfordshire",Table1[[#This Row],[income]],0)</f>
        <v>0</v>
      </c>
      <c r="CK47" s="20">
        <f ca="1">IF(Table1[[#This Row],[County]]="Herefordshire",Table1[[#This Row],[income]],0)</f>
        <v>0</v>
      </c>
      <c r="CL47" s="20">
        <f ca="1">IF(Table1[[#This Row],[County]]="Lancashire",Table1[[#This Row],[income]],0)</f>
        <v>0</v>
      </c>
      <c r="CM47" s="20">
        <f ca="1">IF(Table1[[#This Row],[County]]="Merseyside",Table1[[#This Row],[income]],0)</f>
        <v>0</v>
      </c>
      <c r="CN47" s="20">
        <f ca="1">IF(Table1[[#This Row],[County]]="Northamptonshire",Table1[[#This Row],[income]],0)</f>
        <v>0</v>
      </c>
      <c r="CO47" s="20">
        <f ca="1">IF(Table1[[#This Row],[County]]="Northumberland",Table1[[#This Row],[income]],0)</f>
        <v>97093</v>
      </c>
      <c r="CP47" s="20">
        <f ca="1">IF(Table1[[#This Row],[County]]="Wiltshire",Table1[[#This Row],[income]],0)</f>
        <v>0</v>
      </c>
      <c r="CQ47" s="20">
        <f ca="1">IF(Table1[[#This Row],[County]]="West Midlands",Table1[[#This Row],[income]],0)</f>
        <v>0</v>
      </c>
      <c r="CR47" s="20">
        <f ca="1">IF(Table1[[#This Row],[County]]="Warwickshire",Table1[[#This Row],[income]],0)</f>
        <v>0</v>
      </c>
      <c r="CS47" s="20">
        <f ca="1">IF(Table1[[#This Row],[County]]="Tyne and Wear",Table1[[#This Row],[income]],0)</f>
        <v>0</v>
      </c>
      <c r="CT47" s="20">
        <f ca="1">IF(Table1[[#This Row],[County]]="Worcestershire",Table1[[#This Row],[income]],0)</f>
        <v>0</v>
      </c>
      <c r="CU47" s="20">
        <f ca="1">IF(Table1[[#This Row],[County]]="Rutland",Table1[[#This Row],[income]],0)</f>
        <v>0</v>
      </c>
      <c r="CV47" s="20">
        <f ca="1">IF(Table1[[#This Row],[County]]="Shropshire",Table1[[#This Row],[income]],0)</f>
        <v>0</v>
      </c>
      <c r="CW47" s="20">
        <f ca="1">IF(Table1[[#This Row],[County]]="Dorset",Table1[[#This Row],[income]],0)</f>
        <v>0</v>
      </c>
      <c r="CX47" s="20">
        <f ca="1">IF(Table1[[#This Row],[County]]="Buckinghamshire",Table1[[#This Row],[income]],0)</f>
        <v>0</v>
      </c>
      <c r="CY47" s="20">
        <f ca="1">IF(Table1[[#This Row],[County]]="Suffolk",Table1[[#This Row],[income]],0)</f>
        <v>0</v>
      </c>
      <c r="CZ47" s="20">
        <f ca="1">IF(Table1[[#This Row],[County]]="North Yorkshire",Table1[[#This Row],[income]],0)</f>
        <v>0</v>
      </c>
      <c r="DA47" s="20">
        <f ca="1">IF(Table1[[#This Row],[County]]="Kent",Table1[[#This Row],[income]],0)</f>
        <v>0</v>
      </c>
      <c r="DB47" s="5">
        <f ca="1">IF(Table1[[#This Row],[County]]="Derbyshire",Table1[[#This Row],[income]],0)</f>
        <v>0</v>
      </c>
      <c r="DD47" s="6">
        <f ca="1">IF(Table1[[#This Row],[Column1]]="Health",Table1[[#This Row],[income]],0)</f>
        <v>0</v>
      </c>
      <c r="DE47" s="20">
        <f ca="1">IF(Table1[[#This Row],[Column1]]="Agriculture",Table1[[#This Row],[income]],0)</f>
        <v>0</v>
      </c>
      <c r="DF47" s="20">
        <f ca="1">IF(Table1[[#This Row],[Column1]]="Technology",Table1[[#This Row],[income]],0)</f>
        <v>97093</v>
      </c>
      <c r="DG47" s="20">
        <f ca="1">IF(Table1[[#This Row],[Column1]]="Social Service",Table1[[#This Row],[income]],0)</f>
        <v>0</v>
      </c>
      <c r="DH47" s="20">
        <f ca="1">IF(Table1[[#This Row],[Column1]]="Education",Table1[[#This Row],[income]],0)</f>
        <v>0</v>
      </c>
      <c r="DI47" s="5">
        <f ca="1">IF(Table1[[#This Row],[Column1]]="Construction",Table1[[#This Row],[income]],0)</f>
        <v>0</v>
      </c>
      <c r="DK47" s="6">
        <f ca="1">IF(Table1[[#This Row],[Value of Debts]]&gt;Table1[[#This Row],[income]],1,0)</f>
        <v>1</v>
      </c>
      <c r="DL47" s="20"/>
      <c r="DM47" s="20"/>
      <c r="DN47" s="5"/>
      <c r="DP47" s="6">
        <f ca="1">IF(Table1[[#This Row],[Net Worth (£)]]&gt;$DS$5,C47,0)</f>
        <v>47</v>
      </c>
      <c r="DQ47" s="20"/>
      <c r="DR47" s="20"/>
      <c r="DS47" s="5"/>
    </row>
    <row r="48" spans="1:123" x14ac:dyDescent="0.2">
      <c r="A48">
        <f t="shared" ca="1" si="1"/>
        <v>1</v>
      </c>
      <c r="B48" s="1" t="str">
        <f ca="1">IF(A48=1, "men", "women")</f>
        <v>men</v>
      </c>
      <c r="C48" s="1">
        <f ca="1">RANDBETWEEN(25,50)</f>
        <v>32</v>
      </c>
      <c r="D48">
        <f ca="1">RANDBETWEEN(1,6)</f>
        <v>1</v>
      </c>
      <c r="E48" t="str">
        <f ca="1">VLOOKUP(D48,$W$5:$X$10,2)</f>
        <v>Health</v>
      </c>
      <c r="F48">
        <f ca="1">RANDBETWEEN(1,5)</f>
        <v>4</v>
      </c>
      <c r="G48" t="str">
        <f ca="1">VLOOKUP(F48,$Y$5:$Z$9,2)</f>
        <v xml:space="preserve">Technical </v>
      </c>
      <c r="H48">
        <f ca="1">RANDBETWEEN(0,4)</f>
        <v>3</v>
      </c>
      <c r="I48">
        <f ca="1">RANDBETWEEN(1,3)</f>
        <v>2</v>
      </c>
      <c r="J48">
        <f ca="1">RANDBETWEEN(30000,100000)</f>
        <v>56834</v>
      </c>
      <c r="K48">
        <f ca="1">RANDBETWEEN(1,48)</f>
        <v>11</v>
      </c>
      <c r="L48" t="str">
        <f ca="1">VLOOKUP(K48,$AA$5:$AB$52,2)</f>
        <v>Devon</v>
      </c>
      <c r="M48">
        <f ca="1">J48*(RANDBETWEEN(2,5))</f>
        <v>227336</v>
      </c>
      <c r="N48">
        <f ca="1">RAND()*M48</f>
        <v>98172.182292720478</v>
      </c>
      <c r="O48">
        <f ca="1">I48*RAND()*J48</f>
        <v>101079.48307947424</v>
      </c>
      <c r="P48">
        <f ca="1">RANDBETWEEN(0,O48)</f>
        <v>24127</v>
      </c>
      <c r="Q48">
        <f ca="1">RAND()*J48*2</f>
        <v>110589.97733673129</v>
      </c>
      <c r="R48">
        <f ca="1">RAND()*J48*1.5</f>
        <v>47192.065987119808</v>
      </c>
      <c r="S48">
        <f ca="1">J48+R48+O48</f>
        <v>205105.54906659405</v>
      </c>
      <c r="T48">
        <f ca="1">N48+P48+Q48</f>
        <v>232889.15962945175</v>
      </c>
      <c r="U48">
        <f ca="1">S48-T48</f>
        <v>-27783.610562857706</v>
      </c>
      <c r="AA48">
        <v>44</v>
      </c>
      <c r="AB48" t="s">
        <v>60</v>
      </c>
      <c r="AC48" s="6">
        <f ca="1">IF(Table1[[#This Row],[gender]]="men",1,0)</f>
        <v>1</v>
      </c>
      <c r="AD48">
        <f ca="1">IF(Table1[[#This Row],[gender]]="women",1,0)</f>
        <v>0</v>
      </c>
      <c r="AH48" s="5"/>
      <c r="AJ48" s="6">
        <f ca="1">IF(Table1[[#This Row],[Column1]]="Health",1,0)</f>
        <v>1</v>
      </c>
      <c r="AK48">
        <f ca="1">IF(Table1[[#This Row],[Column1]]="Construction",1,0)</f>
        <v>0</v>
      </c>
      <c r="AL48">
        <f ca="1">IF(Table1[[#This Row],[Column1]]="Technology",1,0)</f>
        <v>0</v>
      </c>
      <c r="AM48">
        <f ca="1">IF(Table1[[#This Row],[Column1]]="Education",1,0)</f>
        <v>0</v>
      </c>
      <c r="AN48">
        <f ca="1">IF(Table1[[#This Row],[Column1]]="Agriculture",1,0)</f>
        <v>0</v>
      </c>
      <c r="AO48">
        <f ca="1">IF(Table1[[#This Row],[Column1]]="Social Service", 1, 0)</f>
        <v>0</v>
      </c>
      <c r="AT48" s="5"/>
      <c r="AV48" s="17">
        <f t="shared" ca="1" si="0"/>
        <v>25080.475477643136</v>
      </c>
      <c r="AW48" s="5"/>
      <c r="AX48" s="6">
        <f ca="1">IF(Table1[[#This Row],[Value of Debts]]&gt;$AY$4,1,0)</f>
        <v>1</v>
      </c>
      <c r="AY48" s="20"/>
      <c r="AZ48" s="20"/>
      <c r="BA48" s="5"/>
      <c r="BB48" s="25">
        <f ca="1">Table1[[#This Row],[Mortage Left]]/Table1[[#This Row],[Value of House]]</f>
        <v>0.43183737856177851</v>
      </c>
      <c r="BC48" s="20">
        <f t="shared" ca="1" si="2"/>
        <v>0</v>
      </c>
      <c r="BD48" s="20"/>
      <c r="BE48" s="20"/>
      <c r="BF48" s="20"/>
      <c r="BG48" s="6">
        <f ca="1">IF(Table1[[#This Row],[County]]="Cumbria",Table1[[#This Row],[income]],0)</f>
        <v>0</v>
      </c>
      <c r="BH48" s="20">
        <f ca="1">IF(Table1[[#This Row],[County]]="Cheshire",Table1[[#This Row],[income]],0)</f>
        <v>0</v>
      </c>
      <c r="BI48" s="20">
        <f ca="1">IF(Table1[[#This Row],[County]]="Bristol",Table1[[#This Row],[income]],0)</f>
        <v>0</v>
      </c>
      <c r="BJ48" s="20">
        <f ca="1">IF(Table1[[#This Row],[County]]="Surrey",Table1[[#This Row],[income]],0)</f>
        <v>0</v>
      </c>
      <c r="BK48" s="20">
        <f ca="1">IF(Table1[[#This Row],[County]]="Norfolk",Table1[[#This Row],[income]],0)</f>
        <v>0</v>
      </c>
      <c r="BL48" s="20">
        <f ca="1">IF(Table1[[#This Row],[County]]="Lincolnshire",Table1[[#This Row],[income]],0)</f>
        <v>0</v>
      </c>
      <c r="BM48" s="20">
        <f ca="1">IF(Table1[[#This Row],[County]]="Somerset",Table1[[#This Row],[income]],0)</f>
        <v>0</v>
      </c>
      <c r="BN48" s="20">
        <f ca="1">IF(Table1[[#This Row],[County]]="Cambridgeshire",Table1[[#This Row],[income]],0)</f>
        <v>0</v>
      </c>
      <c r="BO48" s="20">
        <f ca="1">IF(Table1[[#This Row],[County]]="South Yorkshire",Table1[[#This Row],[income]],0)</f>
        <v>0</v>
      </c>
      <c r="BP48" s="20">
        <f ca="1">IF(Table1[[#This Row],[County]]="Greater London",Table1[[#This Row],[income]],0)</f>
        <v>0</v>
      </c>
      <c r="BQ48" s="20">
        <f ca="1">IF(Table1[[#This Row],[County]]="Hampshire",Table1[[#This Row],[income]],0)</f>
        <v>0</v>
      </c>
      <c r="BR48" s="20">
        <f ca="1">IF(Table1[[#This Row],[County]]="Gloucestershire",Table1[[#This Row],[income]],0)</f>
        <v>0</v>
      </c>
      <c r="BS48" s="20">
        <f ca="1">IF(Table1[[#This Row],[County]]="West Sussex",Table1[[#This Row],[income]],0)</f>
        <v>0</v>
      </c>
      <c r="BT48" s="20">
        <f ca="1">IF(Table1[[#This Row],[County]]="Devon",Table1[[#This Row],[income]],0)</f>
        <v>56834</v>
      </c>
      <c r="BU48" s="20">
        <f ca="1">IF(Table1[[#This Row],[County]]="Berkshire",Table1[[#This Row],[income]],0)</f>
        <v>0</v>
      </c>
      <c r="BV48" s="20">
        <f ca="1">IF(Table1[[#This Row],[County]]="Staffordshire",Table1[[#This Row],[income]],0)</f>
        <v>0</v>
      </c>
      <c r="BW48" s="20">
        <f ca="1">IF(Table1[[#This Row],[County]]="Leicestershire",Table1[[#This Row],[income]],0)</f>
        <v>0</v>
      </c>
      <c r="BX48" s="20">
        <f ca="1">IF(Table1[[#This Row],[County]]="Cornwall",Table1[[#This Row],[income]],0)</f>
        <v>0</v>
      </c>
      <c r="BY48" s="20">
        <f ca="1">IF(Table1[[#This Row],[County]]="Isle of Wight",Table1[[#This Row],[income]],0)</f>
        <v>0</v>
      </c>
      <c r="BZ48" s="20">
        <f ca="1">IF(Table1[[#This Row],[County]]="Surrey",Table1[[#This Row],[income]],0)</f>
        <v>0</v>
      </c>
      <c r="CA48" s="20">
        <f ca="1">IF(Table1[[#This Row],[County]]="Derbyshire",Table1[[#This Row],[income]],0)</f>
        <v>0</v>
      </c>
      <c r="CB48" s="20">
        <f ca="1">IF(Table1[[#This Row],[County]]="City of London",Table1[[#This Row],[income]],0)</f>
        <v>0</v>
      </c>
      <c r="CC48" s="20">
        <f ca="1">IF(Table1[[#This Row],[County]]="Bedfordshire",Table1[[#This Row],[income]],0)</f>
        <v>0</v>
      </c>
      <c r="CD48" s="20">
        <f ca="1">IF(Table1[[#This Row],[County]]="County Durham",Table1[[#This Row],[income]],0)</f>
        <v>0</v>
      </c>
      <c r="CE48" s="20">
        <f ca="1">IF(Table1[[#This Row],[County]]="East Riding of Yorkshire",Table1[[#This Row],[income]],0)</f>
        <v>0</v>
      </c>
      <c r="CF48" s="20">
        <f ca="1">IF(Table1[[#This Row],[County]]="West Yorkshire",Table1[[#This Row],[income]],0)</f>
        <v>0</v>
      </c>
      <c r="CG48" s="20">
        <f ca="1">IF(Table1[[#This Row],[County]]="Essex",Table1[[#This Row],[income]],0)</f>
        <v>0</v>
      </c>
      <c r="CH48" s="20">
        <f ca="1">IF(Table1[[#This Row],[County]]="East Sussex",Table1[[#This Row],[income]],0)</f>
        <v>0</v>
      </c>
      <c r="CI48" s="20">
        <f ca="1">IF(Table1[[#This Row],[County]]="Greater Manchester",Table1[[#This Row],[income]],0)</f>
        <v>0</v>
      </c>
      <c r="CJ48" s="20">
        <f ca="1">IF(Table1[[#This Row],[County]]="Hertfordshire",Table1[[#This Row],[income]],0)</f>
        <v>0</v>
      </c>
      <c r="CK48" s="20">
        <f ca="1">IF(Table1[[#This Row],[County]]="Herefordshire",Table1[[#This Row],[income]],0)</f>
        <v>0</v>
      </c>
      <c r="CL48" s="20">
        <f ca="1">IF(Table1[[#This Row],[County]]="Lancashire",Table1[[#This Row],[income]],0)</f>
        <v>0</v>
      </c>
      <c r="CM48" s="20">
        <f ca="1">IF(Table1[[#This Row],[County]]="Merseyside",Table1[[#This Row],[income]],0)</f>
        <v>0</v>
      </c>
      <c r="CN48" s="20">
        <f ca="1">IF(Table1[[#This Row],[County]]="Northamptonshire",Table1[[#This Row],[income]],0)</f>
        <v>0</v>
      </c>
      <c r="CO48" s="20">
        <f ca="1">IF(Table1[[#This Row],[County]]="Northumberland",Table1[[#This Row],[income]],0)</f>
        <v>0</v>
      </c>
      <c r="CP48" s="20">
        <f ca="1">IF(Table1[[#This Row],[County]]="Wiltshire",Table1[[#This Row],[income]],0)</f>
        <v>0</v>
      </c>
      <c r="CQ48" s="20">
        <f ca="1">IF(Table1[[#This Row],[County]]="West Midlands",Table1[[#This Row],[income]],0)</f>
        <v>0</v>
      </c>
      <c r="CR48" s="20">
        <f ca="1">IF(Table1[[#This Row],[County]]="Warwickshire",Table1[[#This Row],[income]],0)</f>
        <v>0</v>
      </c>
      <c r="CS48" s="20">
        <f ca="1">IF(Table1[[#This Row],[County]]="Tyne and Wear",Table1[[#This Row],[income]],0)</f>
        <v>0</v>
      </c>
      <c r="CT48" s="20">
        <f ca="1">IF(Table1[[#This Row],[County]]="Worcestershire",Table1[[#This Row],[income]],0)</f>
        <v>0</v>
      </c>
      <c r="CU48" s="20">
        <f ca="1">IF(Table1[[#This Row],[County]]="Rutland",Table1[[#This Row],[income]],0)</f>
        <v>0</v>
      </c>
      <c r="CV48" s="20">
        <f ca="1">IF(Table1[[#This Row],[County]]="Shropshire",Table1[[#This Row],[income]],0)</f>
        <v>0</v>
      </c>
      <c r="CW48" s="20">
        <f ca="1">IF(Table1[[#This Row],[County]]="Dorset",Table1[[#This Row],[income]],0)</f>
        <v>0</v>
      </c>
      <c r="CX48" s="20">
        <f ca="1">IF(Table1[[#This Row],[County]]="Buckinghamshire",Table1[[#This Row],[income]],0)</f>
        <v>0</v>
      </c>
      <c r="CY48" s="20">
        <f ca="1">IF(Table1[[#This Row],[County]]="Suffolk",Table1[[#This Row],[income]],0)</f>
        <v>0</v>
      </c>
      <c r="CZ48" s="20">
        <f ca="1">IF(Table1[[#This Row],[County]]="North Yorkshire",Table1[[#This Row],[income]],0)</f>
        <v>0</v>
      </c>
      <c r="DA48" s="20">
        <f ca="1">IF(Table1[[#This Row],[County]]="Kent",Table1[[#This Row],[income]],0)</f>
        <v>0</v>
      </c>
      <c r="DB48" s="5">
        <f ca="1">IF(Table1[[#This Row],[County]]="Derbyshire",Table1[[#This Row],[income]],0)</f>
        <v>0</v>
      </c>
      <c r="DD48" s="6">
        <f ca="1">IF(Table1[[#This Row],[Column1]]="Health",Table1[[#This Row],[income]],0)</f>
        <v>56834</v>
      </c>
      <c r="DE48" s="20">
        <f ca="1">IF(Table1[[#This Row],[Column1]]="Agriculture",Table1[[#This Row],[income]],0)</f>
        <v>0</v>
      </c>
      <c r="DF48" s="20">
        <f ca="1">IF(Table1[[#This Row],[Column1]]="Technology",Table1[[#This Row],[income]],0)</f>
        <v>0</v>
      </c>
      <c r="DG48" s="20">
        <f ca="1">IF(Table1[[#This Row],[Column1]]="Social Service",Table1[[#This Row],[income]],0)</f>
        <v>0</v>
      </c>
      <c r="DH48" s="20">
        <f ca="1">IF(Table1[[#This Row],[Column1]]="Education",Table1[[#This Row],[income]],0)</f>
        <v>0</v>
      </c>
      <c r="DI48" s="5">
        <f ca="1">IF(Table1[[#This Row],[Column1]]="Construction",Table1[[#This Row],[income]],0)</f>
        <v>0</v>
      </c>
      <c r="DK48" s="6">
        <f ca="1">IF(Table1[[#This Row],[Value of Debts]]&gt;Table1[[#This Row],[income]],1,0)</f>
        <v>1</v>
      </c>
      <c r="DL48" s="20"/>
      <c r="DM48" s="20"/>
      <c r="DN48" s="5"/>
      <c r="DP48" s="6">
        <f ca="1">IF(Table1[[#This Row],[Net Worth (£)]]&gt;$DS$5,C48,0)</f>
        <v>0</v>
      </c>
      <c r="DQ48" s="20"/>
      <c r="DR48" s="20"/>
      <c r="DS48" s="5"/>
    </row>
    <row r="49" spans="1:123" x14ac:dyDescent="0.2">
      <c r="A49">
        <f t="shared" ca="1" si="1"/>
        <v>2</v>
      </c>
      <c r="B49" s="1" t="str">
        <f ca="1">IF(A49=1, "men", "women")</f>
        <v>women</v>
      </c>
      <c r="C49" s="1">
        <f ca="1">RANDBETWEEN(25,50)</f>
        <v>45</v>
      </c>
      <c r="D49">
        <f ca="1">RANDBETWEEN(1,6)</f>
        <v>5</v>
      </c>
      <c r="E49" t="str">
        <f ca="1">VLOOKUP(D49,$W$5:$X$10,2)</f>
        <v>Social Service</v>
      </c>
      <c r="F49">
        <f ca="1">RANDBETWEEN(1,5)</f>
        <v>4</v>
      </c>
      <c r="G49" t="str">
        <f ca="1">VLOOKUP(F49,$Y$5:$Z$9,2)</f>
        <v xml:space="preserve">Technical </v>
      </c>
      <c r="H49">
        <f ca="1">RANDBETWEEN(0,4)</f>
        <v>2</v>
      </c>
      <c r="I49">
        <f ca="1">RANDBETWEEN(1,3)</f>
        <v>3</v>
      </c>
      <c r="J49">
        <f ca="1">RANDBETWEEN(30000,100000)</f>
        <v>80909</v>
      </c>
      <c r="K49">
        <f ca="1">RANDBETWEEN(1,48)</f>
        <v>38</v>
      </c>
      <c r="L49" t="str">
        <f ca="1">VLOOKUP(K49,$AA$5:$AB$52,2)</f>
        <v>South Yorkshire</v>
      </c>
      <c r="M49">
        <f ca="1">J49*(RANDBETWEEN(2,5))</f>
        <v>161818</v>
      </c>
      <c r="N49">
        <f ca="1">RAND()*M49</f>
        <v>61451.308576791169</v>
      </c>
      <c r="O49">
        <f ca="1">I49*RAND()*J49</f>
        <v>75241.426432929409</v>
      </c>
      <c r="P49">
        <f ca="1">RANDBETWEEN(0,O49)</f>
        <v>38817</v>
      </c>
      <c r="Q49">
        <f ca="1">RAND()*J49*2</f>
        <v>27273.286996321774</v>
      </c>
      <c r="R49">
        <f ca="1">RAND()*J49*1.5</f>
        <v>80036.851865891687</v>
      </c>
      <c r="S49">
        <f ca="1">J49+R49+O49</f>
        <v>236187.2782988211</v>
      </c>
      <c r="T49">
        <f ca="1">N49+P49+Q49</f>
        <v>127541.59557311295</v>
      </c>
      <c r="U49">
        <f ca="1">S49-T49</f>
        <v>108645.68272570815</v>
      </c>
      <c r="AA49">
        <v>45</v>
      </c>
      <c r="AB49" t="s">
        <v>61</v>
      </c>
      <c r="AC49" s="6">
        <f ca="1">IF(Table1[[#This Row],[gender]]="men",1,0)</f>
        <v>0</v>
      </c>
      <c r="AD49">
        <f ca="1">IF(Table1[[#This Row],[gender]]="women",1,0)</f>
        <v>1</v>
      </c>
      <c r="AH49" s="5"/>
      <c r="AJ49" s="6">
        <f ca="1">IF(Table1[[#This Row],[Column1]]="Health",1,0)</f>
        <v>0</v>
      </c>
      <c r="AK49">
        <f ca="1">IF(Table1[[#This Row],[Column1]]="Construction",1,0)</f>
        <v>0</v>
      </c>
      <c r="AL49">
        <f ca="1">IF(Table1[[#This Row],[Column1]]="Technology",1,0)</f>
        <v>0</v>
      </c>
      <c r="AM49">
        <f ca="1">IF(Table1[[#This Row],[Column1]]="Education",1,0)</f>
        <v>0</v>
      </c>
      <c r="AN49">
        <f ca="1">IF(Table1[[#This Row],[Column1]]="Agriculture",1,0)</f>
        <v>0</v>
      </c>
      <c r="AO49">
        <f ca="1">IF(Table1[[#This Row],[Column1]]="Social Service", 1, 0)</f>
        <v>1</v>
      </c>
      <c r="AT49" s="5"/>
      <c r="AV49" s="17">
        <f t="shared" ca="1" si="0"/>
        <v>39052.952511615404</v>
      </c>
      <c r="AW49" s="5"/>
      <c r="AX49" s="6">
        <f ca="1">IF(Table1[[#This Row],[Value of Debts]]&gt;$AY$4,1,0)</f>
        <v>1</v>
      </c>
      <c r="AY49" s="20"/>
      <c r="AZ49" s="20"/>
      <c r="BA49" s="5"/>
      <c r="BB49" s="25">
        <f ca="1">Table1[[#This Row],[Mortage Left]]/Table1[[#This Row],[Value of House]]</f>
        <v>0.37975570441354589</v>
      </c>
      <c r="BC49" s="20">
        <f t="shared" ca="1" si="2"/>
        <v>0</v>
      </c>
      <c r="BD49" s="20"/>
      <c r="BE49" s="20"/>
      <c r="BF49" s="20"/>
      <c r="BG49" s="6">
        <f ca="1">IF(Table1[[#This Row],[County]]="Cumbria",Table1[[#This Row],[income]],0)</f>
        <v>0</v>
      </c>
      <c r="BH49" s="20">
        <f ca="1">IF(Table1[[#This Row],[County]]="Cheshire",Table1[[#This Row],[income]],0)</f>
        <v>0</v>
      </c>
      <c r="BI49" s="20">
        <f ca="1">IF(Table1[[#This Row],[County]]="Bristol",Table1[[#This Row],[income]],0)</f>
        <v>0</v>
      </c>
      <c r="BJ49" s="20">
        <f ca="1">IF(Table1[[#This Row],[County]]="Surrey",Table1[[#This Row],[income]],0)</f>
        <v>0</v>
      </c>
      <c r="BK49" s="20">
        <f ca="1">IF(Table1[[#This Row],[County]]="Norfolk",Table1[[#This Row],[income]],0)</f>
        <v>0</v>
      </c>
      <c r="BL49" s="20">
        <f ca="1">IF(Table1[[#This Row],[County]]="Lincolnshire",Table1[[#This Row],[income]],0)</f>
        <v>0</v>
      </c>
      <c r="BM49" s="20">
        <f ca="1">IF(Table1[[#This Row],[County]]="Somerset",Table1[[#This Row],[income]],0)</f>
        <v>0</v>
      </c>
      <c r="BN49" s="20">
        <f ca="1">IF(Table1[[#This Row],[County]]="Cambridgeshire",Table1[[#This Row],[income]],0)</f>
        <v>0</v>
      </c>
      <c r="BO49" s="20">
        <f ca="1">IF(Table1[[#This Row],[County]]="South Yorkshire",Table1[[#This Row],[income]],0)</f>
        <v>80909</v>
      </c>
      <c r="BP49" s="20">
        <f ca="1">IF(Table1[[#This Row],[County]]="Greater London",Table1[[#This Row],[income]],0)</f>
        <v>0</v>
      </c>
      <c r="BQ49" s="20">
        <f ca="1">IF(Table1[[#This Row],[County]]="Hampshire",Table1[[#This Row],[income]],0)</f>
        <v>0</v>
      </c>
      <c r="BR49" s="20">
        <f ca="1">IF(Table1[[#This Row],[County]]="Gloucestershire",Table1[[#This Row],[income]],0)</f>
        <v>0</v>
      </c>
      <c r="BS49" s="20">
        <f ca="1">IF(Table1[[#This Row],[County]]="West Sussex",Table1[[#This Row],[income]],0)</f>
        <v>0</v>
      </c>
      <c r="BT49" s="20">
        <f ca="1">IF(Table1[[#This Row],[County]]="Devon",Table1[[#This Row],[income]],0)</f>
        <v>0</v>
      </c>
      <c r="BU49" s="20">
        <f ca="1">IF(Table1[[#This Row],[County]]="Berkshire",Table1[[#This Row],[income]],0)</f>
        <v>0</v>
      </c>
      <c r="BV49" s="20">
        <f ca="1">IF(Table1[[#This Row],[County]]="Staffordshire",Table1[[#This Row],[income]],0)</f>
        <v>0</v>
      </c>
      <c r="BW49" s="20">
        <f ca="1">IF(Table1[[#This Row],[County]]="Leicestershire",Table1[[#This Row],[income]],0)</f>
        <v>0</v>
      </c>
      <c r="BX49" s="20">
        <f ca="1">IF(Table1[[#This Row],[County]]="Cornwall",Table1[[#This Row],[income]],0)</f>
        <v>0</v>
      </c>
      <c r="BY49" s="20">
        <f ca="1">IF(Table1[[#This Row],[County]]="Isle of Wight",Table1[[#This Row],[income]],0)</f>
        <v>0</v>
      </c>
      <c r="BZ49" s="20">
        <f ca="1">IF(Table1[[#This Row],[County]]="Surrey",Table1[[#This Row],[income]],0)</f>
        <v>0</v>
      </c>
      <c r="CA49" s="20">
        <f ca="1">IF(Table1[[#This Row],[County]]="Derbyshire",Table1[[#This Row],[income]],0)</f>
        <v>0</v>
      </c>
      <c r="CB49" s="20">
        <f ca="1">IF(Table1[[#This Row],[County]]="City of London",Table1[[#This Row],[income]],0)</f>
        <v>0</v>
      </c>
      <c r="CC49" s="20">
        <f ca="1">IF(Table1[[#This Row],[County]]="Bedfordshire",Table1[[#This Row],[income]],0)</f>
        <v>0</v>
      </c>
      <c r="CD49" s="20">
        <f ca="1">IF(Table1[[#This Row],[County]]="County Durham",Table1[[#This Row],[income]],0)</f>
        <v>0</v>
      </c>
      <c r="CE49" s="20">
        <f ca="1">IF(Table1[[#This Row],[County]]="East Riding of Yorkshire",Table1[[#This Row],[income]],0)</f>
        <v>0</v>
      </c>
      <c r="CF49" s="20">
        <f ca="1">IF(Table1[[#This Row],[County]]="West Yorkshire",Table1[[#This Row],[income]],0)</f>
        <v>0</v>
      </c>
      <c r="CG49" s="20">
        <f ca="1">IF(Table1[[#This Row],[County]]="Essex",Table1[[#This Row],[income]],0)</f>
        <v>0</v>
      </c>
      <c r="CH49" s="20">
        <f ca="1">IF(Table1[[#This Row],[County]]="East Sussex",Table1[[#This Row],[income]],0)</f>
        <v>0</v>
      </c>
      <c r="CI49" s="20">
        <f ca="1">IF(Table1[[#This Row],[County]]="Greater Manchester",Table1[[#This Row],[income]],0)</f>
        <v>0</v>
      </c>
      <c r="CJ49" s="20">
        <f ca="1">IF(Table1[[#This Row],[County]]="Hertfordshire",Table1[[#This Row],[income]],0)</f>
        <v>0</v>
      </c>
      <c r="CK49" s="20">
        <f ca="1">IF(Table1[[#This Row],[County]]="Herefordshire",Table1[[#This Row],[income]],0)</f>
        <v>0</v>
      </c>
      <c r="CL49" s="20">
        <f ca="1">IF(Table1[[#This Row],[County]]="Lancashire",Table1[[#This Row],[income]],0)</f>
        <v>0</v>
      </c>
      <c r="CM49" s="20">
        <f ca="1">IF(Table1[[#This Row],[County]]="Merseyside",Table1[[#This Row],[income]],0)</f>
        <v>0</v>
      </c>
      <c r="CN49" s="20">
        <f ca="1">IF(Table1[[#This Row],[County]]="Northamptonshire",Table1[[#This Row],[income]],0)</f>
        <v>0</v>
      </c>
      <c r="CO49" s="20">
        <f ca="1">IF(Table1[[#This Row],[County]]="Northumberland",Table1[[#This Row],[income]],0)</f>
        <v>0</v>
      </c>
      <c r="CP49" s="20">
        <f ca="1">IF(Table1[[#This Row],[County]]="Wiltshire",Table1[[#This Row],[income]],0)</f>
        <v>0</v>
      </c>
      <c r="CQ49" s="20">
        <f ca="1">IF(Table1[[#This Row],[County]]="West Midlands",Table1[[#This Row],[income]],0)</f>
        <v>0</v>
      </c>
      <c r="CR49" s="20">
        <f ca="1">IF(Table1[[#This Row],[County]]="Warwickshire",Table1[[#This Row],[income]],0)</f>
        <v>0</v>
      </c>
      <c r="CS49" s="20">
        <f ca="1">IF(Table1[[#This Row],[County]]="Tyne and Wear",Table1[[#This Row],[income]],0)</f>
        <v>0</v>
      </c>
      <c r="CT49" s="20">
        <f ca="1">IF(Table1[[#This Row],[County]]="Worcestershire",Table1[[#This Row],[income]],0)</f>
        <v>0</v>
      </c>
      <c r="CU49" s="20">
        <f ca="1">IF(Table1[[#This Row],[County]]="Rutland",Table1[[#This Row],[income]],0)</f>
        <v>0</v>
      </c>
      <c r="CV49" s="20">
        <f ca="1">IF(Table1[[#This Row],[County]]="Shropshire",Table1[[#This Row],[income]],0)</f>
        <v>0</v>
      </c>
      <c r="CW49" s="20">
        <f ca="1">IF(Table1[[#This Row],[County]]="Dorset",Table1[[#This Row],[income]],0)</f>
        <v>0</v>
      </c>
      <c r="CX49" s="20">
        <f ca="1">IF(Table1[[#This Row],[County]]="Buckinghamshire",Table1[[#This Row],[income]],0)</f>
        <v>0</v>
      </c>
      <c r="CY49" s="20">
        <f ca="1">IF(Table1[[#This Row],[County]]="Suffolk",Table1[[#This Row],[income]],0)</f>
        <v>0</v>
      </c>
      <c r="CZ49" s="20">
        <f ca="1">IF(Table1[[#This Row],[County]]="North Yorkshire",Table1[[#This Row],[income]],0)</f>
        <v>0</v>
      </c>
      <c r="DA49" s="20">
        <f ca="1">IF(Table1[[#This Row],[County]]="Kent",Table1[[#This Row],[income]],0)</f>
        <v>0</v>
      </c>
      <c r="DB49" s="5">
        <f ca="1">IF(Table1[[#This Row],[County]]="Derbyshire",Table1[[#This Row],[income]],0)</f>
        <v>0</v>
      </c>
      <c r="DD49" s="6">
        <f ca="1">IF(Table1[[#This Row],[Column1]]="Health",Table1[[#This Row],[income]],0)</f>
        <v>0</v>
      </c>
      <c r="DE49" s="20">
        <f ca="1">IF(Table1[[#This Row],[Column1]]="Agriculture",Table1[[#This Row],[income]],0)</f>
        <v>0</v>
      </c>
      <c r="DF49" s="20">
        <f ca="1">IF(Table1[[#This Row],[Column1]]="Technology",Table1[[#This Row],[income]],0)</f>
        <v>0</v>
      </c>
      <c r="DG49" s="20">
        <f ca="1">IF(Table1[[#This Row],[Column1]]="Social Service",Table1[[#This Row],[income]],0)</f>
        <v>80909</v>
      </c>
      <c r="DH49" s="20">
        <f ca="1">IF(Table1[[#This Row],[Column1]]="Education",Table1[[#This Row],[income]],0)</f>
        <v>0</v>
      </c>
      <c r="DI49" s="5">
        <f ca="1">IF(Table1[[#This Row],[Column1]]="Construction",Table1[[#This Row],[income]],0)</f>
        <v>0</v>
      </c>
      <c r="DK49" s="6">
        <f ca="1">IF(Table1[[#This Row],[Value of Debts]]&gt;Table1[[#This Row],[income]],1,0)</f>
        <v>1</v>
      </c>
      <c r="DL49" s="20"/>
      <c r="DM49" s="20"/>
      <c r="DN49" s="5"/>
      <c r="DP49" s="6">
        <f ca="1">IF(Table1[[#This Row],[Net Worth (£)]]&gt;$DS$5,C49,0)</f>
        <v>45</v>
      </c>
      <c r="DQ49" s="20"/>
      <c r="DR49" s="20"/>
      <c r="DS49" s="5"/>
    </row>
    <row r="50" spans="1:123" x14ac:dyDescent="0.2">
      <c r="A50">
        <f t="shared" ca="1" si="1"/>
        <v>2</v>
      </c>
      <c r="B50" s="1" t="str">
        <f ca="1">IF(A50=1, "men", "women")</f>
        <v>women</v>
      </c>
      <c r="C50" s="1">
        <f ca="1">RANDBETWEEN(25,50)</f>
        <v>25</v>
      </c>
      <c r="D50">
        <f ca="1">RANDBETWEEN(1,6)</f>
        <v>6</v>
      </c>
      <c r="E50" t="str">
        <f ca="1">VLOOKUP(D50,$W$5:$X$10,2)</f>
        <v>Agriculture</v>
      </c>
      <c r="F50">
        <f ca="1">RANDBETWEEN(1,5)</f>
        <v>4</v>
      </c>
      <c r="G50" t="str">
        <f ca="1">VLOOKUP(F50,$Y$5:$Z$9,2)</f>
        <v xml:space="preserve">Technical </v>
      </c>
      <c r="H50">
        <f ca="1">RANDBETWEEN(0,4)</f>
        <v>1</v>
      </c>
      <c r="I50">
        <f ca="1">RANDBETWEEN(1,3)</f>
        <v>3</v>
      </c>
      <c r="J50">
        <f ca="1">RANDBETWEEN(30000,100000)</f>
        <v>63187</v>
      </c>
      <c r="K50">
        <f ca="1">RANDBETWEEN(1,48)</f>
        <v>48</v>
      </c>
      <c r="L50" t="str">
        <f ca="1">VLOOKUP(K50,$AA$5:$AB$52,2)</f>
        <v>Worcestershire</v>
      </c>
      <c r="M50">
        <f ca="1">J50*(RANDBETWEEN(2,5))</f>
        <v>315935</v>
      </c>
      <c r="N50">
        <f ca="1">RAND()*M50</f>
        <v>277124.77755307651</v>
      </c>
      <c r="O50">
        <f ca="1">I50*RAND()*J50</f>
        <v>117158.8575348462</v>
      </c>
      <c r="P50">
        <f ca="1">RANDBETWEEN(0,O50)</f>
        <v>73758</v>
      </c>
      <c r="Q50">
        <f ca="1">RAND()*J50*2</f>
        <v>43130.049805255323</v>
      </c>
      <c r="R50">
        <f ca="1">RAND()*J50*1.5</f>
        <v>2467.235272614219</v>
      </c>
      <c r="S50">
        <f ca="1">J50+R50+O50</f>
        <v>182813.0928074604</v>
      </c>
      <c r="T50">
        <f ca="1">N50+P50+Q50</f>
        <v>394012.82735833182</v>
      </c>
      <c r="U50">
        <f ca="1">S50-T50</f>
        <v>-211199.73455087142</v>
      </c>
      <c r="AA50">
        <v>46</v>
      </c>
      <c r="AB50" t="s">
        <v>62</v>
      </c>
      <c r="AC50" s="6">
        <f ca="1">IF(Table1[[#This Row],[gender]]="men",1,0)</f>
        <v>0</v>
      </c>
      <c r="AD50">
        <f ca="1">IF(Table1[[#This Row],[gender]]="women",1,0)</f>
        <v>1</v>
      </c>
      <c r="AH50" s="5"/>
      <c r="AJ50" s="6">
        <f ca="1">IF(Table1[[#This Row],[Column1]]="Health",1,0)</f>
        <v>0</v>
      </c>
      <c r="AK50">
        <f ca="1">IF(Table1[[#This Row],[Column1]]="Construction",1,0)</f>
        <v>0</v>
      </c>
      <c r="AL50">
        <f ca="1">IF(Table1[[#This Row],[Column1]]="Technology",1,0)</f>
        <v>0</v>
      </c>
      <c r="AM50">
        <f ca="1">IF(Table1[[#This Row],[Column1]]="Education",1,0)</f>
        <v>0</v>
      </c>
      <c r="AN50">
        <f ca="1">IF(Table1[[#This Row],[Column1]]="Agriculture",1,0)</f>
        <v>1</v>
      </c>
      <c r="AO50">
        <f ca="1">IF(Table1[[#This Row],[Column1]]="Social Service", 1, 0)</f>
        <v>0</v>
      </c>
      <c r="AT50" s="5"/>
      <c r="AV50" s="17">
        <f t="shared" ca="1" si="0"/>
        <v>30459.296772060115</v>
      </c>
      <c r="AW50" s="5"/>
      <c r="AX50" s="6">
        <f ca="1">IF(Table1[[#This Row],[Value of Debts]]&gt;$AY$4,1,0)</f>
        <v>1</v>
      </c>
      <c r="AY50" s="20"/>
      <c r="AZ50" s="20"/>
      <c r="BA50" s="5"/>
      <c r="BB50" s="25">
        <f ca="1">Table1[[#This Row],[Mortage Left]]/Table1[[#This Row],[Value of House]]</f>
        <v>0.87715757213691581</v>
      </c>
      <c r="BC50" s="20">
        <f t="shared" ca="1" si="2"/>
        <v>0</v>
      </c>
      <c r="BD50" s="20"/>
      <c r="BE50" s="20"/>
      <c r="BF50" s="20"/>
      <c r="BG50" s="6">
        <f ca="1">IF(Table1[[#This Row],[County]]="Cumbria",Table1[[#This Row],[income]],0)</f>
        <v>0</v>
      </c>
      <c r="BH50" s="20">
        <f ca="1">IF(Table1[[#This Row],[County]]="Cheshire",Table1[[#This Row],[income]],0)</f>
        <v>0</v>
      </c>
      <c r="BI50" s="20">
        <f ca="1">IF(Table1[[#This Row],[County]]="Bristol",Table1[[#This Row],[income]],0)</f>
        <v>0</v>
      </c>
      <c r="BJ50" s="20">
        <f ca="1">IF(Table1[[#This Row],[County]]="Surrey",Table1[[#This Row],[income]],0)</f>
        <v>0</v>
      </c>
      <c r="BK50" s="20">
        <f ca="1">IF(Table1[[#This Row],[County]]="Norfolk",Table1[[#This Row],[income]],0)</f>
        <v>0</v>
      </c>
      <c r="BL50" s="20">
        <f ca="1">IF(Table1[[#This Row],[County]]="Lincolnshire",Table1[[#This Row],[income]],0)</f>
        <v>0</v>
      </c>
      <c r="BM50" s="20">
        <f ca="1">IF(Table1[[#This Row],[County]]="Somerset",Table1[[#This Row],[income]],0)</f>
        <v>0</v>
      </c>
      <c r="BN50" s="20">
        <f ca="1">IF(Table1[[#This Row],[County]]="Cambridgeshire",Table1[[#This Row],[income]],0)</f>
        <v>0</v>
      </c>
      <c r="BO50" s="20">
        <f ca="1">IF(Table1[[#This Row],[County]]="South Yorkshire",Table1[[#This Row],[income]],0)</f>
        <v>0</v>
      </c>
      <c r="BP50" s="20">
        <f ca="1">IF(Table1[[#This Row],[County]]="Greater London",Table1[[#This Row],[income]],0)</f>
        <v>0</v>
      </c>
      <c r="BQ50" s="20">
        <f ca="1">IF(Table1[[#This Row],[County]]="Hampshire",Table1[[#This Row],[income]],0)</f>
        <v>0</v>
      </c>
      <c r="BR50" s="20">
        <f ca="1">IF(Table1[[#This Row],[County]]="Gloucestershire",Table1[[#This Row],[income]],0)</f>
        <v>0</v>
      </c>
      <c r="BS50" s="20">
        <f ca="1">IF(Table1[[#This Row],[County]]="West Sussex",Table1[[#This Row],[income]],0)</f>
        <v>0</v>
      </c>
      <c r="BT50" s="20">
        <f ca="1">IF(Table1[[#This Row],[County]]="Devon",Table1[[#This Row],[income]],0)</f>
        <v>0</v>
      </c>
      <c r="BU50" s="20">
        <f ca="1">IF(Table1[[#This Row],[County]]="Berkshire",Table1[[#This Row],[income]],0)</f>
        <v>0</v>
      </c>
      <c r="BV50" s="20">
        <f ca="1">IF(Table1[[#This Row],[County]]="Staffordshire",Table1[[#This Row],[income]],0)</f>
        <v>0</v>
      </c>
      <c r="BW50" s="20">
        <f ca="1">IF(Table1[[#This Row],[County]]="Leicestershire",Table1[[#This Row],[income]],0)</f>
        <v>0</v>
      </c>
      <c r="BX50" s="20">
        <f ca="1">IF(Table1[[#This Row],[County]]="Cornwall",Table1[[#This Row],[income]],0)</f>
        <v>0</v>
      </c>
      <c r="BY50" s="20">
        <f ca="1">IF(Table1[[#This Row],[County]]="Isle of Wight",Table1[[#This Row],[income]],0)</f>
        <v>0</v>
      </c>
      <c r="BZ50" s="20">
        <f ca="1">IF(Table1[[#This Row],[County]]="Surrey",Table1[[#This Row],[income]],0)</f>
        <v>0</v>
      </c>
      <c r="CA50" s="20">
        <f ca="1">IF(Table1[[#This Row],[County]]="Derbyshire",Table1[[#This Row],[income]],0)</f>
        <v>0</v>
      </c>
      <c r="CB50" s="20">
        <f ca="1">IF(Table1[[#This Row],[County]]="City of London",Table1[[#This Row],[income]],0)</f>
        <v>0</v>
      </c>
      <c r="CC50" s="20">
        <f ca="1">IF(Table1[[#This Row],[County]]="Bedfordshire",Table1[[#This Row],[income]],0)</f>
        <v>0</v>
      </c>
      <c r="CD50" s="20">
        <f ca="1">IF(Table1[[#This Row],[County]]="County Durham",Table1[[#This Row],[income]],0)</f>
        <v>0</v>
      </c>
      <c r="CE50" s="20">
        <f ca="1">IF(Table1[[#This Row],[County]]="East Riding of Yorkshire",Table1[[#This Row],[income]],0)</f>
        <v>0</v>
      </c>
      <c r="CF50" s="20">
        <f ca="1">IF(Table1[[#This Row],[County]]="West Yorkshire",Table1[[#This Row],[income]],0)</f>
        <v>0</v>
      </c>
      <c r="CG50" s="20">
        <f ca="1">IF(Table1[[#This Row],[County]]="Essex",Table1[[#This Row],[income]],0)</f>
        <v>0</v>
      </c>
      <c r="CH50" s="20">
        <f ca="1">IF(Table1[[#This Row],[County]]="East Sussex",Table1[[#This Row],[income]],0)</f>
        <v>0</v>
      </c>
      <c r="CI50" s="20">
        <f ca="1">IF(Table1[[#This Row],[County]]="Greater Manchester",Table1[[#This Row],[income]],0)</f>
        <v>0</v>
      </c>
      <c r="CJ50" s="20">
        <f ca="1">IF(Table1[[#This Row],[County]]="Hertfordshire",Table1[[#This Row],[income]],0)</f>
        <v>0</v>
      </c>
      <c r="CK50" s="20">
        <f ca="1">IF(Table1[[#This Row],[County]]="Herefordshire",Table1[[#This Row],[income]],0)</f>
        <v>0</v>
      </c>
      <c r="CL50" s="20">
        <f ca="1">IF(Table1[[#This Row],[County]]="Lancashire",Table1[[#This Row],[income]],0)</f>
        <v>0</v>
      </c>
      <c r="CM50" s="20">
        <f ca="1">IF(Table1[[#This Row],[County]]="Merseyside",Table1[[#This Row],[income]],0)</f>
        <v>0</v>
      </c>
      <c r="CN50" s="20">
        <f ca="1">IF(Table1[[#This Row],[County]]="Northamptonshire",Table1[[#This Row],[income]],0)</f>
        <v>0</v>
      </c>
      <c r="CO50" s="20">
        <f ca="1">IF(Table1[[#This Row],[County]]="Northumberland",Table1[[#This Row],[income]],0)</f>
        <v>0</v>
      </c>
      <c r="CP50" s="20">
        <f ca="1">IF(Table1[[#This Row],[County]]="Wiltshire",Table1[[#This Row],[income]],0)</f>
        <v>0</v>
      </c>
      <c r="CQ50" s="20">
        <f ca="1">IF(Table1[[#This Row],[County]]="West Midlands",Table1[[#This Row],[income]],0)</f>
        <v>0</v>
      </c>
      <c r="CR50" s="20">
        <f ca="1">IF(Table1[[#This Row],[County]]="Warwickshire",Table1[[#This Row],[income]],0)</f>
        <v>0</v>
      </c>
      <c r="CS50" s="20">
        <f ca="1">IF(Table1[[#This Row],[County]]="Tyne and Wear",Table1[[#This Row],[income]],0)</f>
        <v>0</v>
      </c>
      <c r="CT50" s="20">
        <f ca="1">IF(Table1[[#This Row],[County]]="Worcestershire",Table1[[#This Row],[income]],0)</f>
        <v>63187</v>
      </c>
      <c r="CU50" s="20">
        <f ca="1">IF(Table1[[#This Row],[County]]="Rutland",Table1[[#This Row],[income]],0)</f>
        <v>0</v>
      </c>
      <c r="CV50" s="20">
        <f ca="1">IF(Table1[[#This Row],[County]]="Shropshire",Table1[[#This Row],[income]],0)</f>
        <v>0</v>
      </c>
      <c r="CW50" s="20">
        <f ca="1">IF(Table1[[#This Row],[County]]="Dorset",Table1[[#This Row],[income]],0)</f>
        <v>0</v>
      </c>
      <c r="CX50" s="20">
        <f ca="1">IF(Table1[[#This Row],[County]]="Buckinghamshire",Table1[[#This Row],[income]],0)</f>
        <v>0</v>
      </c>
      <c r="CY50" s="20">
        <f ca="1">IF(Table1[[#This Row],[County]]="Suffolk",Table1[[#This Row],[income]],0)</f>
        <v>0</v>
      </c>
      <c r="CZ50" s="20">
        <f ca="1">IF(Table1[[#This Row],[County]]="North Yorkshire",Table1[[#This Row],[income]],0)</f>
        <v>0</v>
      </c>
      <c r="DA50" s="20">
        <f ca="1">IF(Table1[[#This Row],[County]]="Kent",Table1[[#This Row],[income]],0)</f>
        <v>0</v>
      </c>
      <c r="DB50" s="5">
        <f ca="1">IF(Table1[[#This Row],[County]]="Derbyshire",Table1[[#This Row],[income]],0)</f>
        <v>0</v>
      </c>
      <c r="DD50" s="6">
        <f ca="1">IF(Table1[[#This Row],[Column1]]="Health",Table1[[#This Row],[income]],0)</f>
        <v>0</v>
      </c>
      <c r="DE50" s="20">
        <f ca="1">IF(Table1[[#This Row],[Column1]]="Agriculture",Table1[[#This Row],[income]],0)</f>
        <v>63187</v>
      </c>
      <c r="DF50" s="20">
        <f ca="1">IF(Table1[[#This Row],[Column1]]="Technology",Table1[[#This Row],[income]],0)</f>
        <v>0</v>
      </c>
      <c r="DG50" s="20">
        <f ca="1">IF(Table1[[#This Row],[Column1]]="Social Service",Table1[[#This Row],[income]],0)</f>
        <v>0</v>
      </c>
      <c r="DH50" s="20">
        <f ca="1">IF(Table1[[#This Row],[Column1]]="Education",Table1[[#This Row],[income]],0)</f>
        <v>0</v>
      </c>
      <c r="DI50" s="5">
        <f ca="1">IF(Table1[[#This Row],[Column1]]="Construction",Table1[[#This Row],[income]],0)</f>
        <v>0</v>
      </c>
      <c r="DK50" s="6">
        <f ca="1">IF(Table1[[#This Row],[Value of Debts]]&gt;Table1[[#This Row],[income]],1,0)</f>
        <v>1</v>
      </c>
      <c r="DL50" s="20"/>
      <c r="DM50" s="20"/>
      <c r="DN50" s="5"/>
      <c r="DP50" s="6">
        <f ca="1">IF(Table1[[#This Row],[Net Worth (£)]]&gt;$DS$5,C50,0)</f>
        <v>0</v>
      </c>
      <c r="DQ50" s="20"/>
      <c r="DR50" s="20"/>
      <c r="DS50" s="5"/>
    </row>
    <row r="51" spans="1:123" x14ac:dyDescent="0.2">
      <c r="A51">
        <f t="shared" ca="1" si="1"/>
        <v>1</v>
      </c>
      <c r="B51" s="1" t="str">
        <f ca="1">IF(A51=1, "men", "women")</f>
        <v>men</v>
      </c>
      <c r="C51" s="1">
        <f ca="1">RANDBETWEEN(25,50)</f>
        <v>49</v>
      </c>
      <c r="D51">
        <f ca="1">RANDBETWEEN(1,6)</f>
        <v>3</v>
      </c>
      <c r="E51" t="str">
        <f ca="1">VLOOKUP(D51,$W$5:$X$10,2)</f>
        <v>Education</v>
      </c>
      <c r="F51">
        <f ca="1">RANDBETWEEN(1,5)</f>
        <v>1</v>
      </c>
      <c r="G51" t="str">
        <f ca="1">VLOOKUP(F51,$Y$5:$Z$9,2)</f>
        <v>High School</v>
      </c>
      <c r="H51">
        <f ca="1">RANDBETWEEN(0,4)</f>
        <v>3</v>
      </c>
      <c r="I51">
        <f ca="1">RANDBETWEEN(1,3)</f>
        <v>1</v>
      </c>
      <c r="J51">
        <f ca="1">RANDBETWEEN(30000,100000)</f>
        <v>34623</v>
      </c>
      <c r="K51">
        <f ca="1">RANDBETWEEN(1,48)</f>
        <v>1</v>
      </c>
      <c r="L51" t="str">
        <f ca="1">VLOOKUP(K51,$AA$5:$AB$52,2)</f>
        <v>Bedfordshire</v>
      </c>
      <c r="M51">
        <f ca="1">J51*(RANDBETWEEN(2,5))</f>
        <v>138492</v>
      </c>
      <c r="N51">
        <f ca="1">RAND()*M51</f>
        <v>26558.020927902569</v>
      </c>
      <c r="O51">
        <f ca="1">I51*RAND()*J51</f>
        <v>30459.296772060115</v>
      </c>
      <c r="P51">
        <f ca="1">RANDBETWEEN(0,O51)</f>
        <v>26194</v>
      </c>
      <c r="Q51">
        <f ca="1">RAND()*J51*2</f>
        <v>34505.013575031968</v>
      </c>
      <c r="R51">
        <f ca="1">RAND()*J51*1.5</f>
        <v>3813.241575890419</v>
      </c>
      <c r="S51">
        <f ca="1">J51+R51+O51</f>
        <v>68895.538347950525</v>
      </c>
      <c r="T51">
        <f ca="1">N51+P51+Q51</f>
        <v>87257.034502934548</v>
      </c>
      <c r="U51">
        <f ca="1">S51-T51</f>
        <v>-18361.496154984023</v>
      </c>
      <c r="AA51">
        <v>47</v>
      </c>
      <c r="AB51" t="s">
        <v>63</v>
      </c>
      <c r="AC51" s="6">
        <f ca="1">IF(Table1[[#This Row],[gender]]="men",1,0)</f>
        <v>1</v>
      </c>
      <c r="AD51">
        <f ca="1">IF(Table1[[#This Row],[gender]]="women",1,0)</f>
        <v>0</v>
      </c>
      <c r="AH51" s="5"/>
      <c r="AJ51" s="6">
        <f ca="1">IF(Table1[[#This Row],[Column1]]="Health",1,0)</f>
        <v>0</v>
      </c>
      <c r="AK51">
        <f ca="1">IF(Table1[[#This Row],[Column1]]="Construction",1,0)</f>
        <v>0</v>
      </c>
      <c r="AL51">
        <f ca="1">IF(Table1[[#This Row],[Column1]]="Technology",1,0)</f>
        <v>0</v>
      </c>
      <c r="AM51">
        <f ca="1">IF(Table1[[#This Row],[Column1]]="Education",1,0)</f>
        <v>1</v>
      </c>
      <c r="AN51">
        <f ca="1">IF(Table1[[#This Row],[Column1]]="Agriculture",1,0)</f>
        <v>0</v>
      </c>
      <c r="AO51">
        <f ca="1">IF(Table1[[#This Row],[Column1]]="Social Service", 1, 0)</f>
        <v>0</v>
      </c>
      <c r="AT51" s="5"/>
      <c r="AV51" s="17">
        <f t="shared" ca="1" si="0"/>
        <v>16191.426587047028</v>
      </c>
      <c r="AW51" s="5"/>
      <c r="AX51" s="6">
        <f ca="1">IF(Table1[[#This Row],[Value of Debts]]&gt;$AY$4,1,0)</f>
        <v>0</v>
      </c>
      <c r="AY51" s="20"/>
      <c r="AZ51" s="20"/>
      <c r="BA51" s="5"/>
      <c r="BB51" s="25">
        <f ca="1">Table1[[#This Row],[Mortage Left]]/Table1[[#This Row],[Value of House]]</f>
        <v>0.19176574046083938</v>
      </c>
      <c r="BC51" s="20">
        <f t="shared" ca="1" si="2"/>
        <v>1</v>
      </c>
      <c r="BD51" s="20"/>
      <c r="BE51" s="20"/>
      <c r="BF51" s="20"/>
      <c r="BG51" s="6">
        <f ca="1">IF(Table1[[#This Row],[County]]="Cumbria",Table1[[#This Row],[income]],0)</f>
        <v>0</v>
      </c>
      <c r="BH51" s="20">
        <f ca="1">IF(Table1[[#This Row],[County]]="Cheshire",Table1[[#This Row],[income]],0)</f>
        <v>0</v>
      </c>
      <c r="BI51" s="20">
        <f ca="1">IF(Table1[[#This Row],[County]]="Bristol",Table1[[#This Row],[income]],0)</f>
        <v>0</v>
      </c>
      <c r="BJ51" s="20">
        <f ca="1">IF(Table1[[#This Row],[County]]="Surrey",Table1[[#This Row],[income]],0)</f>
        <v>0</v>
      </c>
      <c r="BK51" s="20">
        <f ca="1">IF(Table1[[#This Row],[County]]="Norfolk",Table1[[#This Row],[income]],0)</f>
        <v>0</v>
      </c>
      <c r="BL51" s="20">
        <f ca="1">IF(Table1[[#This Row],[County]]="Lincolnshire",Table1[[#This Row],[income]],0)</f>
        <v>0</v>
      </c>
      <c r="BM51" s="20">
        <f ca="1">IF(Table1[[#This Row],[County]]="Somerset",Table1[[#This Row],[income]],0)</f>
        <v>0</v>
      </c>
      <c r="BN51" s="20">
        <f ca="1">IF(Table1[[#This Row],[County]]="Cambridgeshire",Table1[[#This Row],[income]],0)</f>
        <v>0</v>
      </c>
      <c r="BO51" s="20">
        <f ca="1">IF(Table1[[#This Row],[County]]="South Yorkshire",Table1[[#This Row],[income]],0)</f>
        <v>0</v>
      </c>
      <c r="BP51" s="20">
        <f ca="1">IF(Table1[[#This Row],[County]]="Greater London",Table1[[#This Row],[income]],0)</f>
        <v>0</v>
      </c>
      <c r="BQ51" s="20">
        <f ca="1">IF(Table1[[#This Row],[County]]="Hampshire",Table1[[#This Row],[income]],0)</f>
        <v>0</v>
      </c>
      <c r="BR51" s="20">
        <f ca="1">IF(Table1[[#This Row],[County]]="Gloucestershire",Table1[[#This Row],[income]],0)</f>
        <v>0</v>
      </c>
      <c r="BS51" s="20">
        <f ca="1">IF(Table1[[#This Row],[County]]="West Sussex",Table1[[#This Row],[income]],0)</f>
        <v>0</v>
      </c>
      <c r="BT51" s="20">
        <f ca="1">IF(Table1[[#This Row],[County]]="Devon",Table1[[#This Row],[income]],0)</f>
        <v>0</v>
      </c>
      <c r="BU51" s="20">
        <f ca="1">IF(Table1[[#This Row],[County]]="Berkshire",Table1[[#This Row],[income]],0)</f>
        <v>0</v>
      </c>
      <c r="BV51" s="20">
        <f ca="1">IF(Table1[[#This Row],[County]]="Staffordshire",Table1[[#This Row],[income]],0)</f>
        <v>0</v>
      </c>
      <c r="BW51" s="20">
        <f ca="1">IF(Table1[[#This Row],[County]]="Leicestershire",Table1[[#This Row],[income]],0)</f>
        <v>0</v>
      </c>
      <c r="BX51" s="20">
        <f ca="1">IF(Table1[[#This Row],[County]]="Cornwall",Table1[[#This Row],[income]],0)</f>
        <v>0</v>
      </c>
      <c r="BY51" s="20">
        <f ca="1">IF(Table1[[#This Row],[County]]="Isle of Wight",Table1[[#This Row],[income]],0)</f>
        <v>0</v>
      </c>
      <c r="BZ51" s="20">
        <f ca="1">IF(Table1[[#This Row],[County]]="Surrey",Table1[[#This Row],[income]],0)</f>
        <v>0</v>
      </c>
      <c r="CA51" s="20">
        <f ca="1">IF(Table1[[#This Row],[County]]="Derbyshire",Table1[[#This Row],[income]],0)</f>
        <v>0</v>
      </c>
      <c r="CB51" s="20">
        <f ca="1">IF(Table1[[#This Row],[County]]="City of London",Table1[[#This Row],[income]],0)</f>
        <v>0</v>
      </c>
      <c r="CC51" s="20">
        <f ca="1">IF(Table1[[#This Row],[County]]="Bedfordshire",Table1[[#This Row],[income]],0)</f>
        <v>34623</v>
      </c>
      <c r="CD51" s="20">
        <f ca="1">IF(Table1[[#This Row],[County]]="County Durham",Table1[[#This Row],[income]],0)</f>
        <v>0</v>
      </c>
      <c r="CE51" s="20">
        <f ca="1">IF(Table1[[#This Row],[County]]="East Riding of Yorkshire",Table1[[#This Row],[income]],0)</f>
        <v>0</v>
      </c>
      <c r="CF51" s="20">
        <f ca="1">IF(Table1[[#This Row],[County]]="West Yorkshire",Table1[[#This Row],[income]],0)</f>
        <v>0</v>
      </c>
      <c r="CG51" s="20">
        <f ca="1">IF(Table1[[#This Row],[County]]="Essex",Table1[[#This Row],[income]],0)</f>
        <v>0</v>
      </c>
      <c r="CH51" s="20">
        <f ca="1">IF(Table1[[#This Row],[County]]="East Sussex",Table1[[#This Row],[income]],0)</f>
        <v>0</v>
      </c>
      <c r="CI51" s="20">
        <f ca="1">IF(Table1[[#This Row],[County]]="Greater Manchester",Table1[[#This Row],[income]],0)</f>
        <v>0</v>
      </c>
      <c r="CJ51" s="20">
        <f ca="1">IF(Table1[[#This Row],[County]]="Hertfordshire",Table1[[#This Row],[income]],0)</f>
        <v>0</v>
      </c>
      <c r="CK51" s="20">
        <f ca="1">IF(Table1[[#This Row],[County]]="Herefordshire",Table1[[#This Row],[income]],0)</f>
        <v>0</v>
      </c>
      <c r="CL51" s="20">
        <f ca="1">IF(Table1[[#This Row],[County]]="Lancashire",Table1[[#This Row],[income]],0)</f>
        <v>0</v>
      </c>
      <c r="CM51" s="20">
        <f ca="1">IF(Table1[[#This Row],[County]]="Merseyside",Table1[[#This Row],[income]],0)</f>
        <v>0</v>
      </c>
      <c r="CN51" s="20">
        <f ca="1">IF(Table1[[#This Row],[County]]="Northamptonshire",Table1[[#This Row],[income]],0)</f>
        <v>0</v>
      </c>
      <c r="CO51" s="20">
        <f ca="1">IF(Table1[[#This Row],[County]]="Northumberland",Table1[[#This Row],[income]],0)</f>
        <v>0</v>
      </c>
      <c r="CP51" s="20">
        <f ca="1">IF(Table1[[#This Row],[County]]="Wiltshire",Table1[[#This Row],[income]],0)</f>
        <v>0</v>
      </c>
      <c r="CQ51" s="20">
        <f ca="1">IF(Table1[[#This Row],[County]]="West Midlands",Table1[[#This Row],[income]],0)</f>
        <v>0</v>
      </c>
      <c r="CR51" s="20">
        <f ca="1">IF(Table1[[#This Row],[County]]="Warwickshire",Table1[[#This Row],[income]],0)</f>
        <v>0</v>
      </c>
      <c r="CS51" s="20">
        <f ca="1">IF(Table1[[#This Row],[County]]="Tyne and Wear",Table1[[#This Row],[income]],0)</f>
        <v>0</v>
      </c>
      <c r="CT51" s="20">
        <f ca="1">IF(Table1[[#This Row],[County]]="Worcestershire",Table1[[#This Row],[income]],0)</f>
        <v>0</v>
      </c>
      <c r="CU51" s="20">
        <f ca="1">IF(Table1[[#This Row],[County]]="Rutland",Table1[[#This Row],[income]],0)</f>
        <v>0</v>
      </c>
      <c r="CV51" s="20">
        <f ca="1">IF(Table1[[#This Row],[County]]="Shropshire",Table1[[#This Row],[income]],0)</f>
        <v>0</v>
      </c>
      <c r="CW51" s="20">
        <f ca="1">IF(Table1[[#This Row],[County]]="Dorset",Table1[[#This Row],[income]],0)</f>
        <v>0</v>
      </c>
      <c r="CX51" s="20">
        <f ca="1">IF(Table1[[#This Row],[County]]="Buckinghamshire",Table1[[#This Row],[income]],0)</f>
        <v>0</v>
      </c>
      <c r="CY51" s="20">
        <f ca="1">IF(Table1[[#This Row],[County]]="Suffolk",Table1[[#This Row],[income]],0)</f>
        <v>0</v>
      </c>
      <c r="CZ51" s="20">
        <f ca="1">IF(Table1[[#This Row],[County]]="North Yorkshire",Table1[[#This Row],[income]],0)</f>
        <v>0</v>
      </c>
      <c r="DA51" s="20">
        <f ca="1">IF(Table1[[#This Row],[County]]="Kent",Table1[[#This Row],[income]],0)</f>
        <v>0</v>
      </c>
      <c r="DB51" s="5">
        <f ca="1">IF(Table1[[#This Row],[County]]="Derbyshire",Table1[[#This Row],[income]],0)</f>
        <v>0</v>
      </c>
      <c r="DD51" s="6">
        <f ca="1">IF(Table1[[#This Row],[Column1]]="Health",Table1[[#This Row],[income]],0)</f>
        <v>0</v>
      </c>
      <c r="DE51" s="20">
        <f ca="1">IF(Table1[[#This Row],[Column1]]="Agriculture",Table1[[#This Row],[income]],0)</f>
        <v>0</v>
      </c>
      <c r="DF51" s="20">
        <f ca="1">IF(Table1[[#This Row],[Column1]]="Technology",Table1[[#This Row],[income]],0)</f>
        <v>0</v>
      </c>
      <c r="DG51" s="20">
        <f ca="1">IF(Table1[[#This Row],[Column1]]="Social Service",Table1[[#This Row],[income]],0)</f>
        <v>0</v>
      </c>
      <c r="DH51" s="20">
        <f ca="1">IF(Table1[[#This Row],[Column1]]="Education",Table1[[#This Row],[income]],0)</f>
        <v>34623</v>
      </c>
      <c r="DI51" s="5">
        <f ca="1">IF(Table1[[#This Row],[Column1]]="Construction",Table1[[#This Row],[income]],0)</f>
        <v>0</v>
      </c>
      <c r="DK51" s="6">
        <f ca="1">IF(Table1[[#This Row],[Value of Debts]]&gt;Table1[[#This Row],[income]],1,0)</f>
        <v>1</v>
      </c>
      <c r="DL51" s="20"/>
      <c r="DM51" s="20"/>
      <c r="DN51" s="5"/>
      <c r="DP51" s="6">
        <f ca="1">IF(Table1[[#This Row],[Net Worth (£)]]&gt;$DS$5,C51,0)</f>
        <v>0</v>
      </c>
      <c r="DQ51" s="20"/>
      <c r="DR51" s="20"/>
      <c r="DS51" s="5"/>
    </row>
    <row r="52" spans="1:123" x14ac:dyDescent="0.2">
      <c r="A52">
        <f t="shared" ca="1" si="1"/>
        <v>1</v>
      </c>
      <c r="B52" s="1" t="str">
        <f ca="1">IF(A52=1, "men", "women")</f>
        <v>men</v>
      </c>
      <c r="C52" s="1">
        <f ca="1">RANDBETWEEN(25,50)</f>
        <v>28</v>
      </c>
      <c r="D52">
        <f ca="1">RANDBETWEEN(1,6)</f>
        <v>2</v>
      </c>
      <c r="E52" t="str">
        <f ca="1">VLOOKUP(D52,$W$5:$X$10,2)</f>
        <v>Construction</v>
      </c>
      <c r="F52">
        <f ca="1">RANDBETWEEN(1,5)</f>
        <v>1</v>
      </c>
      <c r="G52" t="str">
        <f ca="1">VLOOKUP(F52,$Y$5:$Z$9,2)</f>
        <v>High School</v>
      </c>
      <c r="H52">
        <f ca="1">RANDBETWEEN(0,4)</f>
        <v>0</v>
      </c>
      <c r="I52">
        <f ca="1">RANDBETWEEN(1,3)</f>
        <v>2</v>
      </c>
      <c r="J52">
        <f ca="1">RANDBETWEEN(30000,100000)</f>
        <v>39203</v>
      </c>
      <c r="K52">
        <f ca="1">RANDBETWEEN(1,48)</f>
        <v>23</v>
      </c>
      <c r="L52" t="str">
        <f ca="1">VLOOKUP(K52,$AA$5:$AB$52,2)</f>
        <v>Isle of Wight</v>
      </c>
      <c r="M52">
        <f ca="1">J52*(RANDBETWEEN(2,5))</f>
        <v>78406</v>
      </c>
      <c r="N52">
        <f ca="1">RAND()*M52</f>
        <v>14906.558174302361</v>
      </c>
      <c r="O52">
        <f ca="1">I52*RAND()*J52</f>
        <v>32382.853174094056</v>
      </c>
      <c r="P52">
        <f ca="1">RANDBETWEEN(0,O52)</f>
        <v>20319</v>
      </c>
      <c r="Q52">
        <f ca="1">RAND()*J52*2</f>
        <v>68770.294045936913</v>
      </c>
      <c r="R52">
        <f ca="1">RAND()*J52*1.5</f>
        <v>4952.7460631308695</v>
      </c>
      <c r="S52">
        <f ca="1">J52+R52+O52</f>
        <v>76538.599237224931</v>
      </c>
      <c r="T52">
        <f ca="1">N52+P52+Q52</f>
        <v>103995.85222023928</v>
      </c>
      <c r="U52">
        <f ca="1">S52-T52</f>
        <v>-27457.252983014347</v>
      </c>
      <c r="AA52">
        <v>48</v>
      </c>
      <c r="AB52" t="s">
        <v>64</v>
      </c>
      <c r="AC52" s="6">
        <f ca="1">IF(Table1[[#This Row],[gender]]="men",1,0)</f>
        <v>1</v>
      </c>
      <c r="AD52">
        <f ca="1">IF(Table1[[#This Row],[gender]]="women",1,0)</f>
        <v>0</v>
      </c>
      <c r="AH52" s="5"/>
      <c r="AJ52" s="6">
        <f ca="1">IF(Table1[[#This Row],[Column1]]="Health",1,0)</f>
        <v>0</v>
      </c>
      <c r="AK52">
        <f ca="1">IF(Table1[[#This Row],[Column1]]="Construction",1,0)</f>
        <v>1</v>
      </c>
      <c r="AL52">
        <f ca="1">IF(Table1[[#This Row],[Column1]]="Technology",1,0)</f>
        <v>0</v>
      </c>
      <c r="AM52">
        <f ca="1">IF(Table1[[#This Row],[Column1]]="Education",1,0)</f>
        <v>0</v>
      </c>
      <c r="AN52">
        <f ca="1">IF(Table1[[#This Row],[Column1]]="Agriculture",1,0)</f>
        <v>0</v>
      </c>
      <c r="AO52">
        <f ca="1">IF(Table1[[#This Row],[Column1]]="Social Service", 1, 0)</f>
        <v>0</v>
      </c>
      <c r="AT52" s="5"/>
      <c r="AV52" s="17">
        <f t="shared" ca="1" si="0"/>
        <v>83441.292327143252</v>
      </c>
      <c r="AW52" s="5"/>
      <c r="AX52" s="6">
        <f ca="1">IF(Table1[[#This Row],[Value of Debts]]&gt;$AY$4,1,0)</f>
        <v>1</v>
      </c>
      <c r="AY52" s="20"/>
      <c r="AZ52" s="20"/>
      <c r="BA52" s="5"/>
      <c r="BB52" s="25">
        <f ca="1">Table1[[#This Row],[Mortage Left]]/Table1[[#This Row],[Value of House]]</f>
        <v>0.19012012058136318</v>
      </c>
      <c r="BC52" s="20">
        <f t="shared" ca="1" si="2"/>
        <v>1</v>
      </c>
      <c r="BD52" s="20"/>
      <c r="BE52" s="20"/>
      <c r="BF52" s="20"/>
      <c r="BG52" s="6">
        <f ca="1">IF(Table1[[#This Row],[County]]="Cumbria",Table1[[#This Row],[income]],0)</f>
        <v>0</v>
      </c>
      <c r="BH52" s="20">
        <f ca="1">IF(Table1[[#This Row],[County]]="Cheshire",Table1[[#This Row],[income]],0)</f>
        <v>0</v>
      </c>
      <c r="BI52" s="20">
        <f ca="1">IF(Table1[[#This Row],[County]]="Bristol",Table1[[#This Row],[income]],0)</f>
        <v>0</v>
      </c>
      <c r="BJ52" s="20">
        <f ca="1">IF(Table1[[#This Row],[County]]="Surrey",Table1[[#This Row],[income]],0)</f>
        <v>0</v>
      </c>
      <c r="BK52" s="20">
        <f ca="1">IF(Table1[[#This Row],[County]]="Norfolk",Table1[[#This Row],[income]],0)</f>
        <v>0</v>
      </c>
      <c r="BL52" s="20">
        <f ca="1">IF(Table1[[#This Row],[County]]="Lincolnshire",Table1[[#This Row],[income]],0)</f>
        <v>0</v>
      </c>
      <c r="BM52" s="20">
        <f ca="1">IF(Table1[[#This Row],[County]]="Somerset",Table1[[#This Row],[income]],0)</f>
        <v>0</v>
      </c>
      <c r="BN52" s="20">
        <f ca="1">IF(Table1[[#This Row],[County]]="Cambridgeshire",Table1[[#This Row],[income]],0)</f>
        <v>0</v>
      </c>
      <c r="BO52" s="20">
        <f ca="1">IF(Table1[[#This Row],[County]]="South Yorkshire",Table1[[#This Row],[income]],0)</f>
        <v>0</v>
      </c>
      <c r="BP52" s="20">
        <f ca="1">IF(Table1[[#This Row],[County]]="Greater London",Table1[[#This Row],[income]],0)</f>
        <v>0</v>
      </c>
      <c r="BQ52" s="20">
        <f ca="1">IF(Table1[[#This Row],[County]]="Hampshire",Table1[[#This Row],[income]],0)</f>
        <v>0</v>
      </c>
      <c r="BR52" s="20">
        <f ca="1">IF(Table1[[#This Row],[County]]="Gloucestershire",Table1[[#This Row],[income]],0)</f>
        <v>0</v>
      </c>
      <c r="BS52" s="20">
        <f ca="1">IF(Table1[[#This Row],[County]]="West Sussex",Table1[[#This Row],[income]],0)</f>
        <v>0</v>
      </c>
      <c r="BT52" s="20">
        <f ca="1">IF(Table1[[#This Row],[County]]="Devon",Table1[[#This Row],[income]],0)</f>
        <v>0</v>
      </c>
      <c r="BU52" s="20">
        <f ca="1">IF(Table1[[#This Row],[County]]="Berkshire",Table1[[#This Row],[income]],0)</f>
        <v>0</v>
      </c>
      <c r="BV52" s="20">
        <f ca="1">IF(Table1[[#This Row],[County]]="Staffordshire",Table1[[#This Row],[income]],0)</f>
        <v>0</v>
      </c>
      <c r="BW52" s="20">
        <f ca="1">IF(Table1[[#This Row],[County]]="Leicestershire",Table1[[#This Row],[income]],0)</f>
        <v>0</v>
      </c>
      <c r="BX52" s="20">
        <f ca="1">IF(Table1[[#This Row],[County]]="Cornwall",Table1[[#This Row],[income]],0)</f>
        <v>0</v>
      </c>
      <c r="BY52" s="20">
        <f ca="1">IF(Table1[[#This Row],[County]]="Isle of Wight",Table1[[#This Row],[income]],0)</f>
        <v>39203</v>
      </c>
      <c r="BZ52" s="20">
        <f ca="1">IF(Table1[[#This Row],[County]]="Surrey",Table1[[#This Row],[income]],0)</f>
        <v>0</v>
      </c>
      <c r="CA52" s="20">
        <f ca="1">IF(Table1[[#This Row],[County]]="Derbyshire",Table1[[#This Row],[income]],0)</f>
        <v>0</v>
      </c>
      <c r="CB52" s="20">
        <f ca="1">IF(Table1[[#This Row],[County]]="City of London",Table1[[#This Row],[income]],0)</f>
        <v>0</v>
      </c>
      <c r="CC52" s="20">
        <f ca="1">IF(Table1[[#This Row],[County]]="Bedfordshire",Table1[[#This Row],[income]],0)</f>
        <v>0</v>
      </c>
      <c r="CD52" s="20">
        <f ca="1">IF(Table1[[#This Row],[County]]="County Durham",Table1[[#This Row],[income]],0)</f>
        <v>0</v>
      </c>
      <c r="CE52" s="20">
        <f ca="1">IF(Table1[[#This Row],[County]]="East Riding of Yorkshire",Table1[[#This Row],[income]],0)</f>
        <v>0</v>
      </c>
      <c r="CF52" s="20">
        <f ca="1">IF(Table1[[#This Row],[County]]="West Yorkshire",Table1[[#This Row],[income]],0)</f>
        <v>0</v>
      </c>
      <c r="CG52" s="20">
        <f ca="1">IF(Table1[[#This Row],[County]]="Essex",Table1[[#This Row],[income]],0)</f>
        <v>0</v>
      </c>
      <c r="CH52" s="20">
        <f ca="1">IF(Table1[[#This Row],[County]]="East Sussex",Table1[[#This Row],[income]],0)</f>
        <v>0</v>
      </c>
      <c r="CI52" s="20">
        <f ca="1">IF(Table1[[#This Row],[County]]="Greater Manchester",Table1[[#This Row],[income]],0)</f>
        <v>0</v>
      </c>
      <c r="CJ52" s="20">
        <f ca="1">IF(Table1[[#This Row],[County]]="Hertfordshire",Table1[[#This Row],[income]],0)</f>
        <v>0</v>
      </c>
      <c r="CK52" s="20">
        <f ca="1">IF(Table1[[#This Row],[County]]="Herefordshire",Table1[[#This Row],[income]],0)</f>
        <v>0</v>
      </c>
      <c r="CL52" s="20">
        <f ca="1">IF(Table1[[#This Row],[County]]="Lancashire",Table1[[#This Row],[income]],0)</f>
        <v>0</v>
      </c>
      <c r="CM52" s="20">
        <f ca="1">IF(Table1[[#This Row],[County]]="Merseyside",Table1[[#This Row],[income]],0)</f>
        <v>0</v>
      </c>
      <c r="CN52" s="20">
        <f ca="1">IF(Table1[[#This Row],[County]]="Northamptonshire",Table1[[#This Row],[income]],0)</f>
        <v>0</v>
      </c>
      <c r="CO52" s="20">
        <f ca="1">IF(Table1[[#This Row],[County]]="Northumberland",Table1[[#This Row],[income]],0)</f>
        <v>0</v>
      </c>
      <c r="CP52" s="20">
        <f ca="1">IF(Table1[[#This Row],[County]]="Wiltshire",Table1[[#This Row],[income]],0)</f>
        <v>0</v>
      </c>
      <c r="CQ52" s="20">
        <f ca="1">IF(Table1[[#This Row],[County]]="West Midlands",Table1[[#This Row],[income]],0)</f>
        <v>0</v>
      </c>
      <c r="CR52" s="20">
        <f ca="1">IF(Table1[[#This Row],[County]]="Warwickshire",Table1[[#This Row],[income]],0)</f>
        <v>0</v>
      </c>
      <c r="CS52" s="20">
        <f ca="1">IF(Table1[[#This Row],[County]]="Tyne and Wear",Table1[[#This Row],[income]],0)</f>
        <v>0</v>
      </c>
      <c r="CT52" s="20">
        <f ca="1">IF(Table1[[#This Row],[County]]="Worcestershire",Table1[[#This Row],[income]],0)</f>
        <v>0</v>
      </c>
      <c r="CU52" s="20">
        <f ca="1">IF(Table1[[#This Row],[County]]="Rutland",Table1[[#This Row],[income]],0)</f>
        <v>0</v>
      </c>
      <c r="CV52" s="20">
        <f ca="1">IF(Table1[[#This Row],[County]]="Shropshire",Table1[[#This Row],[income]],0)</f>
        <v>0</v>
      </c>
      <c r="CW52" s="20">
        <f ca="1">IF(Table1[[#This Row],[County]]="Dorset",Table1[[#This Row],[income]],0)</f>
        <v>0</v>
      </c>
      <c r="CX52" s="20">
        <f ca="1">IF(Table1[[#This Row],[County]]="Buckinghamshire",Table1[[#This Row],[income]],0)</f>
        <v>0</v>
      </c>
      <c r="CY52" s="20">
        <f ca="1">IF(Table1[[#This Row],[County]]="Suffolk",Table1[[#This Row],[income]],0)</f>
        <v>0</v>
      </c>
      <c r="CZ52" s="20">
        <f ca="1">IF(Table1[[#This Row],[County]]="North Yorkshire",Table1[[#This Row],[income]],0)</f>
        <v>0</v>
      </c>
      <c r="DA52" s="20">
        <f ca="1">IF(Table1[[#This Row],[County]]="Kent",Table1[[#This Row],[income]],0)</f>
        <v>0</v>
      </c>
      <c r="DB52" s="5">
        <f ca="1">IF(Table1[[#This Row],[County]]="Derbyshire",Table1[[#This Row],[income]],0)</f>
        <v>0</v>
      </c>
      <c r="DD52" s="6">
        <f ca="1">IF(Table1[[#This Row],[Column1]]="Health",Table1[[#This Row],[income]],0)</f>
        <v>0</v>
      </c>
      <c r="DE52" s="20">
        <f ca="1">IF(Table1[[#This Row],[Column1]]="Agriculture",Table1[[#This Row],[income]],0)</f>
        <v>0</v>
      </c>
      <c r="DF52" s="20">
        <f ca="1">IF(Table1[[#This Row],[Column1]]="Technology",Table1[[#This Row],[income]],0)</f>
        <v>0</v>
      </c>
      <c r="DG52" s="20">
        <f ca="1">IF(Table1[[#This Row],[Column1]]="Social Service",Table1[[#This Row],[income]],0)</f>
        <v>0</v>
      </c>
      <c r="DH52" s="20">
        <f ca="1">IF(Table1[[#This Row],[Column1]]="Education",Table1[[#This Row],[income]],0)</f>
        <v>0</v>
      </c>
      <c r="DI52" s="5">
        <f ca="1">IF(Table1[[#This Row],[Column1]]="Construction",Table1[[#This Row],[income]],0)</f>
        <v>39203</v>
      </c>
      <c r="DK52" s="6">
        <f ca="1">IF(Table1[[#This Row],[Value of Debts]]&gt;Table1[[#This Row],[income]],1,0)</f>
        <v>1</v>
      </c>
      <c r="DL52" s="20"/>
      <c r="DM52" s="20"/>
      <c r="DN52" s="5"/>
      <c r="DP52" s="6">
        <f ca="1">IF(Table1[[#This Row],[Net Worth (£)]]&gt;$DS$5,C52,0)</f>
        <v>0</v>
      </c>
      <c r="DQ52" s="20"/>
      <c r="DR52" s="20"/>
      <c r="DS52" s="5"/>
    </row>
    <row r="53" spans="1:123" x14ac:dyDescent="0.2">
      <c r="A53">
        <f t="shared" ca="1" si="1"/>
        <v>1</v>
      </c>
      <c r="B53" s="1" t="str">
        <f ca="1">IF(A53=1, "men", "women")</f>
        <v>men</v>
      </c>
      <c r="C53" s="1">
        <f ca="1">RANDBETWEEN(25,50)</f>
        <v>32</v>
      </c>
      <c r="D53">
        <f ca="1">RANDBETWEEN(1,6)</f>
        <v>1</v>
      </c>
      <c r="E53" t="str">
        <f ca="1">VLOOKUP(D53,$W$5:$X$10,2)</f>
        <v>Health</v>
      </c>
      <c r="F53">
        <f ca="1">RANDBETWEEN(1,5)</f>
        <v>1</v>
      </c>
      <c r="G53" t="str">
        <f ca="1">VLOOKUP(F53,$Y$5:$Z$9,2)</f>
        <v>High School</v>
      </c>
      <c r="H53">
        <f ca="1">RANDBETWEEN(0,4)</f>
        <v>0</v>
      </c>
      <c r="I53">
        <f ca="1">RANDBETWEEN(1,3)</f>
        <v>2</v>
      </c>
      <c r="J53">
        <f ca="1">RANDBETWEEN(30000,100000)</f>
        <v>83966</v>
      </c>
      <c r="K53">
        <f ca="1">RANDBETWEEN(1,48)</f>
        <v>45</v>
      </c>
      <c r="L53" t="str">
        <f ca="1">VLOOKUP(K53,$AA$5:$AB$52,2)</f>
        <v>West Sussex</v>
      </c>
      <c r="M53">
        <f ca="1">J53*(RANDBETWEEN(2,5))</f>
        <v>335864</v>
      </c>
      <c r="N53">
        <f ca="1">RAND()*M53</f>
        <v>180096.26979165492</v>
      </c>
      <c r="O53">
        <f ca="1">I53*RAND()*J53</f>
        <v>166882.5846542865</v>
      </c>
      <c r="P53">
        <f ca="1">RANDBETWEEN(0,O53)</f>
        <v>38023</v>
      </c>
      <c r="Q53">
        <f ca="1">RAND()*J53*2</f>
        <v>154968.70240660125</v>
      </c>
      <c r="R53">
        <f ca="1">RAND()*J53*1.5</f>
        <v>19895.069234656345</v>
      </c>
      <c r="S53">
        <f ca="1">J53+R53+O53</f>
        <v>270743.65388894285</v>
      </c>
      <c r="T53">
        <f ca="1">N53+P53+Q53</f>
        <v>373087.97219825618</v>
      </c>
      <c r="U53">
        <f ca="1">S53-T53</f>
        <v>-102344.31830931333</v>
      </c>
      <c r="AC53" s="6">
        <f ca="1">IF(Table1[[#This Row],[gender]]="men",1,0)</f>
        <v>1</v>
      </c>
      <c r="AD53">
        <f ca="1">IF(Table1[[#This Row],[gender]]="women",1,0)</f>
        <v>0</v>
      </c>
      <c r="AH53" s="5"/>
      <c r="AJ53" s="6">
        <f ca="1">IF(Table1[[#This Row],[Column1]]="Health",1,0)</f>
        <v>1</v>
      </c>
      <c r="AK53">
        <f ca="1">IF(Table1[[#This Row],[Column1]]="Construction",1,0)</f>
        <v>0</v>
      </c>
      <c r="AL53">
        <f ca="1">IF(Table1[[#This Row],[Column1]]="Technology",1,0)</f>
        <v>0</v>
      </c>
      <c r="AM53">
        <f ca="1">IF(Table1[[#This Row],[Column1]]="Education",1,0)</f>
        <v>0</v>
      </c>
      <c r="AN53">
        <f ca="1">IF(Table1[[#This Row],[Column1]]="Agriculture",1,0)</f>
        <v>0</v>
      </c>
      <c r="AO53">
        <f ca="1">IF(Table1[[#This Row],[Column1]]="Social Service", 1, 0)</f>
        <v>0</v>
      </c>
      <c r="AT53" s="5"/>
      <c r="AV53" s="17">
        <f t="shared" ca="1" si="0"/>
        <v>13744.467359048549</v>
      </c>
      <c r="AW53" s="5"/>
      <c r="AX53" s="6">
        <f ca="1">IF(Table1[[#This Row],[Value of Debts]]&gt;$AY$4,1,0)</f>
        <v>1</v>
      </c>
      <c r="AY53" s="20"/>
      <c r="AZ53" s="20"/>
      <c r="BA53" s="5"/>
      <c r="BB53" s="25">
        <f ca="1">Table1[[#This Row],[Mortage Left]]/Table1[[#This Row],[Value of House]]</f>
        <v>0.53621784350705914</v>
      </c>
      <c r="BC53" s="20">
        <f t="shared" ca="1" si="2"/>
        <v>0</v>
      </c>
      <c r="BD53" s="20"/>
      <c r="BE53" s="20"/>
      <c r="BF53" s="20"/>
      <c r="BG53" s="6">
        <f ca="1">IF(Table1[[#This Row],[County]]="Cumbria",Table1[[#This Row],[income]],0)</f>
        <v>0</v>
      </c>
      <c r="BH53" s="20">
        <f ca="1">IF(Table1[[#This Row],[County]]="Cheshire",Table1[[#This Row],[income]],0)</f>
        <v>0</v>
      </c>
      <c r="BI53" s="20">
        <f ca="1">IF(Table1[[#This Row],[County]]="Bristol",Table1[[#This Row],[income]],0)</f>
        <v>0</v>
      </c>
      <c r="BJ53" s="20">
        <f ca="1">IF(Table1[[#This Row],[County]]="Surrey",Table1[[#This Row],[income]],0)</f>
        <v>0</v>
      </c>
      <c r="BK53" s="20">
        <f ca="1">IF(Table1[[#This Row],[County]]="Norfolk",Table1[[#This Row],[income]],0)</f>
        <v>0</v>
      </c>
      <c r="BL53" s="20">
        <f ca="1">IF(Table1[[#This Row],[County]]="Lincolnshire",Table1[[#This Row],[income]],0)</f>
        <v>0</v>
      </c>
      <c r="BM53" s="20">
        <f ca="1">IF(Table1[[#This Row],[County]]="Somerset",Table1[[#This Row],[income]],0)</f>
        <v>0</v>
      </c>
      <c r="BN53" s="20">
        <f ca="1">IF(Table1[[#This Row],[County]]="Cambridgeshire",Table1[[#This Row],[income]],0)</f>
        <v>0</v>
      </c>
      <c r="BO53" s="20">
        <f ca="1">IF(Table1[[#This Row],[County]]="South Yorkshire",Table1[[#This Row],[income]],0)</f>
        <v>0</v>
      </c>
      <c r="BP53" s="20">
        <f ca="1">IF(Table1[[#This Row],[County]]="Greater London",Table1[[#This Row],[income]],0)</f>
        <v>0</v>
      </c>
      <c r="BQ53" s="20">
        <f ca="1">IF(Table1[[#This Row],[County]]="Hampshire",Table1[[#This Row],[income]],0)</f>
        <v>0</v>
      </c>
      <c r="BR53" s="20">
        <f ca="1">IF(Table1[[#This Row],[County]]="Gloucestershire",Table1[[#This Row],[income]],0)</f>
        <v>0</v>
      </c>
      <c r="BS53" s="20">
        <f ca="1">IF(Table1[[#This Row],[County]]="West Sussex",Table1[[#This Row],[income]],0)</f>
        <v>83966</v>
      </c>
      <c r="BT53" s="20">
        <f ca="1">IF(Table1[[#This Row],[County]]="Devon",Table1[[#This Row],[income]],0)</f>
        <v>0</v>
      </c>
      <c r="BU53" s="20">
        <f ca="1">IF(Table1[[#This Row],[County]]="Berkshire",Table1[[#This Row],[income]],0)</f>
        <v>0</v>
      </c>
      <c r="BV53" s="20">
        <f ca="1">IF(Table1[[#This Row],[County]]="Staffordshire",Table1[[#This Row],[income]],0)</f>
        <v>0</v>
      </c>
      <c r="BW53" s="20">
        <f ca="1">IF(Table1[[#This Row],[County]]="Leicestershire",Table1[[#This Row],[income]],0)</f>
        <v>0</v>
      </c>
      <c r="BX53" s="20">
        <f ca="1">IF(Table1[[#This Row],[County]]="Cornwall",Table1[[#This Row],[income]],0)</f>
        <v>0</v>
      </c>
      <c r="BY53" s="20">
        <f ca="1">IF(Table1[[#This Row],[County]]="Isle of Wight",Table1[[#This Row],[income]],0)</f>
        <v>0</v>
      </c>
      <c r="BZ53" s="20">
        <f ca="1">IF(Table1[[#This Row],[County]]="Surrey",Table1[[#This Row],[income]],0)</f>
        <v>0</v>
      </c>
      <c r="CA53" s="20">
        <f ca="1">IF(Table1[[#This Row],[County]]="Derbyshire",Table1[[#This Row],[income]],0)</f>
        <v>0</v>
      </c>
      <c r="CB53" s="20">
        <f ca="1">IF(Table1[[#This Row],[County]]="City of London",Table1[[#This Row],[income]],0)</f>
        <v>0</v>
      </c>
      <c r="CC53" s="20">
        <f ca="1">IF(Table1[[#This Row],[County]]="Bedfordshire",Table1[[#This Row],[income]],0)</f>
        <v>0</v>
      </c>
      <c r="CD53" s="20">
        <f ca="1">IF(Table1[[#This Row],[County]]="County Durham",Table1[[#This Row],[income]],0)</f>
        <v>0</v>
      </c>
      <c r="CE53" s="20">
        <f ca="1">IF(Table1[[#This Row],[County]]="East Riding of Yorkshire",Table1[[#This Row],[income]],0)</f>
        <v>0</v>
      </c>
      <c r="CF53" s="20">
        <f ca="1">IF(Table1[[#This Row],[County]]="West Yorkshire",Table1[[#This Row],[income]],0)</f>
        <v>0</v>
      </c>
      <c r="CG53" s="20">
        <f ca="1">IF(Table1[[#This Row],[County]]="Essex",Table1[[#This Row],[income]],0)</f>
        <v>0</v>
      </c>
      <c r="CH53" s="20">
        <f ca="1">IF(Table1[[#This Row],[County]]="East Sussex",Table1[[#This Row],[income]],0)</f>
        <v>0</v>
      </c>
      <c r="CI53" s="20">
        <f ca="1">IF(Table1[[#This Row],[County]]="Greater Manchester",Table1[[#This Row],[income]],0)</f>
        <v>0</v>
      </c>
      <c r="CJ53" s="20">
        <f ca="1">IF(Table1[[#This Row],[County]]="Hertfordshire",Table1[[#This Row],[income]],0)</f>
        <v>0</v>
      </c>
      <c r="CK53" s="20">
        <f ca="1">IF(Table1[[#This Row],[County]]="Herefordshire",Table1[[#This Row],[income]],0)</f>
        <v>0</v>
      </c>
      <c r="CL53" s="20">
        <f ca="1">IF(Table1[[#This Row],[County]]="Lancashire",Table1[[#This Row],[income]],0)</f>
        <v>0</v>
      </c>
      <c r="CM53" s="20">
        <f ca="1">IF(Table1[[#This Row],[County]]="Merseyside",Table1[[#This Row],[income]],0)</f>
        <v>0</v>
      </c>
      <c r="CN53" s="20">
        <f ca="1">IF(Table1[[#This Row],[County]]="Northamptonshire",Table1[[#This Row],[income]],0)</f>
        <v>0</v>
      </c>
      <c r="CO53" s="20">
        <f ca="1">IF(Table1[[#This Row],[County]]="Northumberland",Table1[[#This Row],[income]],0)</f>
        <v>0</v>
      </c>
      <c r="CP53" s="20">
        <f ca="1">IF(Table1[[#This Row],[County]]="Wiltshire",Table1[[#This Row],[income]],0)</f>
        <v>0</v>
      </c>
      <c r="CQ53" s="20">
        <f ca="1">IF(Table1[[#This Row],[County]]="West Midlands",Table1[[#This Row],[income]],0)</f>
        <v>0</v>
      </c>
      <c r="CR53" s="20">
        <f ca="1">IF(Table1[[#This Row],[County]]="Warwickshire",Table1[[#This Row],[income]],0)</f>
        <v>0</v>
      </c>
      <c r="CS53" s="20">
        <f ca="1">IF(Table1[[#This Row],[County]]="Tyne and Wear",Table1[[#This Row],[income]],0)</f>
        <v>0</v>
      </c>
      <c r="CT53" s="20">
        <f ca="1">IF(Table1[[#This Row],[County]]="Worcestershire",Table1[[#This Row],[income]],0)</f>
        <v>0</v>
      </c>
      <c r="CU53" s="20">
        <f ca="1">IF(Table1[[#This Row],[County]]="Rutland",Table1[[#This Row],[income]],0)</f>
        <v>0</v>
      </c>
      <c r="CV53" s="20">
        <f ca="1">IF(Table1[[#This Row],[County]]="Shropshire",Table1[[#This Row],[income]],0)</f>
        <v>0</v>
      </c>
      <c r="CW53" s="20">
        <f ca="1">IF(Table1[[#This Row],[County]]="Dorset",Table1[[#This Row],[income]],0)</f>
        <v>0</v>
      </c>
      <c r="CX53" s="20">
        <f ca="1">IF(Table1[[#This Row],[County]]="Buckinghamshire",Table1[[#This Row],[income]],0)</f>
        <v>0</v>
      </c>
      <c r="CY53" s="20">
        <f ca="1">IF(Table1[[#This Row],[County]]="Suffolk",Table1[[#This Row],[income]],0)</f>
        <v>0</v>
      </c>
      <c r="CZ53" s="20">
        <f ca="1">IF(Table1[[#This Row],[County]]="North Yorkshire",Table1[[#This Row],[income]],0)</f>
        <v>0</v>
      </c>
      <c r="DA53" s="20">
        <f ca="1">IF(Table1[[#This Row],[County]]="Kent",Table1[[#This Row],[income]],0)</f>
        <v>0</v>
      </c>
      <c r="DB53" s="5">
        <f ca="1">IF(Table1[[#This Row],[County]]="Derbyshire",Table1[[#This Row],[income]],0)</f>
        <v>0</v>
      </c>
      <c r="DD53" s="6">
        <f ca="1">IF(Table1[[#This Row],[Column1]]="Health",Table1[[#This Row],[income]],0)</f>
        <v>83966</v>
      </c>
      <c r="DE53" s="20">
        <f ca="1">IF(Table1[[#This Row],[Column1]]="Agriculture",Table1[[#This Row],[income]],0)</f>
        <v>0</v>
      </c>
      <c r="DF53" s="20">
        <f ca="1">IF(Table1[[#This Row],[Column1]]="Technology",Table1[[#This Row],[income]],0)</f>
        <v>0</v>
      </c>
      <c r="DG53" s="20">
        <f ca="1">IF(Table1[[#This Row],[Column1]]="Social Service",Table1[[#This Row],[income]],0)</f>
        <v>0</v>
      </c>
      <c r="DH53" s="20">
        <f ca="1">IF(Table1[[#This Row],[Column1]]="Education",Table1[[#This Row],[income]],0)</f>
        <v>0</v>
      </c>
      <c r="DI53" s="5">
        <f ca="1">IF(Table1[[#This Row],[Column1]]="Construction",Table1[[#This Row],[income]],0)</f>
        <v>0</v>
      </c>
      <c r="DK53" s="6">
        <f ca="1">IF(Table1[[#This Row],[Value of Debts]]&gt;Table1[[#This Row],[income]],1,0)</f>
        <v>1</v>
      </c>
      <c r="DL53" s="20"/>
      <c r="DM53" s="20"/>
      <c r="DN53" s="5"/>
      <c r="DP53" s="6">
        <f ca="1">IF(Table1[[#This Row],[Net Worth (£)]]&gt;$DS$5,C53,0)</f>
        <v>0</v>
      </c>
      <c r="DQ53" s="20"/>
      <c r="DR53" s="20"/>
      <c r="DS53" s="5"/>
    </row>
    <row r="54" spans="1:123" x14ac:dyDescent="0.2">
      <c r="A54">
        <f t="shared" ca="1" si="1"/>
        <v>1</v>
      </c>
      <c r="B54" s="1" t="str">
        <f ca="1">IF(A54=1, "men", "women")</f>
        <v>men</v>
      </c>
      <c r="C54" s="1">
        <f ca="1">RANDBETWEEN(25,50)</f>
        <v>29</v>
      </c>
      <c r="D54">
        <f ca="1">RANDBETWEEN(1,6)</f>
        <v>1</v>
      </c>
      <c r="E54" t="str">
        <f ca="1">VLOOKUP(D54,$W$5:$X$10,2)</f>
        <v>Health</v>
      </c>
      <c r="F54">
        <f ca="1">RANDBETWEEN(1,5)</f>
        <v>3</v>
      </c>
      <c r="G54" t="str">
        <f ca="1">VLOOKUP(F54,$Y$5:$Z$9,2)</f>
        <v>University</v>
      </c>
      <c r="H54">
        <f ca="1">RANDBETWEEN(0,4)</f>
        <v>2</v>
      </c>
      <c r="I54">
        <f ca="1">RANDBETWEEN(1,3)</f>
        <v>1</v>
      </c>
      <c r="J54">
        <f ca="1">RANDBETWEEN(30000,100000)</f>
        <v>31304</v>
      </c>
      <c r="K54">
        <f ca="1">RANDBETWEEN(1,48)</f>
        <v>10</v>
      </c>
      <c r="L54" t="str">
        <f ca="1">VLOOKUP(K54,$AA$5:$AB$52,2)</f>
        <v>Derbyshire</v>
      </c>
      <c r="M54">
        <f ca="1">J54*(RANDBETWEEN(2,5))</f>
        <v>93912</v>
      </c>
      <c r="N54">
        <f ca="1">RAND()*M54</f>
        <v>55453.842250252907</v>
      </c>
      <c r="O54">
        <f ca="1">I54*RAND()*J54</f>
        <v>13744.467359048549</v>
      </c>
      <c r="P54">
        <f ca="1">RANDBETWEEN(0,O54)</f>
        <v>13318</v>
      </c>
      <c r="Q54">
        <f ca="1">RAND()*J54*2</f>
        <v>15976.958897340155</v>
      </c>
      <c r="R54">
        <f ca="1">RAND()*J54*1.5</f>
        <v>19359.94588466021</v>
      </c>
      <c r="S54">
        <f ca="1">J54+R54+O54</f>
        <v>64408.413243708754</v>
      </c>
      <c r="T54">
        <f ca="1">N54+P54+Q54</f>
        <v>84748.801147593054</v>
      </c>
      <c r="U54">
        <f ca="1">S54-T54</f>
        <v>-20340.387903884301</v>
      </c>
      <c r="AC54" s="6">
        <f ca="1">IF(Table1[[#This Row],[gender]]="men",1,0)</f>
        <v>1</v>
      </c>
      <c r="AD54">
        <f ca="1">IF(Table1[[#This Row],[gender]]="women",1,0)</f>
        <v>0</v>
      </c>
      <c r="AH54" s="5"/>
      <c r="AJ54" s="6">
        <f ca="1">IF(Table1[[#This Row],[Column1]]="Health",1,0)</f>
        <v>1</v>
      </c>
      <c r="AK54">
        <f ca="1">IF(Table1[[#This Row],[Column1]]="Construction",1,0)</f>
        <v>0</v>
      </c>
      <c r="AL54">
        <f ca="1">IF(Table1[[#This Row],[Column1]]="Technology",1,0)</f>
        <v>0</v>
      </c>
      <c r="AM54">
        <f ca="1">IF(Table1[[#This Row],[Column1]]="Education",1,0)</f>
        <v>0</v>
      </c>
      <c r="AN54">
        <f ca="1">IF(Table1[[#This Row],[Column1]]="Agriculture",1,0)</f>
        <v>0</v>
      </c>
      <c r="AO54">
        <f ca="1">IF(Table1[[#This Row],[Column1]]="Social Service", 1, 0)</f>
        <v>0</v>
      </c>
      <c r="AT54" s="5"/>
      <c r="AV54" s="17">
        <f t="shared" ca="1" si="0"/>
        <v>44981.070092160691</v>
      </c>
      <c r="AW54" s="5"/>
      <c r="AX54" s="6">
        <f ca="1">IF(Table1[[#This Row],[Value of Debts]]&gt;$AY$4,1,0)</f>
        <v>0</v>
      </c>
      <c r="AY54" s="20"/>
      <c r="AZ54" s="20"/>
      <c r="BA54" s="5"/>
      <c r="BB54" s="25">
        <f ca="1">Table1[[#This Row],[Mortage Left]]/Table1[[#This Row],[Value of House]]</f>
        <v>0.59048728863460376</v>
      </c>
      <c r="BC54" s="20">
        <f t="shared" ca="1" si="2"/>
        <v>0</v>
      </c>
      <c r="BD54" s="20"/>
      <c r="BE54" s="20"/>
      <c r="BF54" s="20"/>
      <c r="BG54" s="6">
        <f ca="1">IF(Table1[[#This Row],[County]]="Cumbria",Table1[[#This Row],[income]],0)</f>
        <v>0</v>
      </c>
      <c r="BH54" s="20">
        <f ca="1">IF(Table1[[#This Row],[County]]="Cheshire",Table1[[#This Row],[income]],0)</f>
        <v>0</v>
      </c>
      <c r="BI54" s="20">
        <f ca="1">IF(Table1[[#This Row],[County]]="Bristol",Table1[[#This Row],[income]],0)</f>
        <v>0</v>
      </c>
      <c r="BJ54" s="20">
        <f ca="1">IF(Table1[[#This Row],[County]]="Surrey",Table1[[#This Row],[income]],0)</f>
        <v>0</v>
      </c>
      <c r="BK54" s="20">
        <f ca="1">IF(Table1[[#This Row],[County]]="Norfolk",Table1[[#This Row],[income]],0)</f>
        <v>0</v>
      </c>
      <c r="BL54" s="20">
        <f ca="1">IF(Table1[[#This Row],[County]]="Lincolnshire",Table1[[#This Row],[income]],0)</f>
        <v>0</v>
      </c>
      <c r="BM54" s="20">
        <f ca="1">IF(Table1[[#This Row],[County]]="Somerset",Table1[[#This Row],[income]],0)</f>
        <v>0</v>
      </c>
      <c r="BN54" s="20">
        <f ca="1">IF(Table1[[#This Row],[County]]="Cambridgeshire",Table1[[#This Row],[income]],0)</f>
        <v>0</v>
      </c>
      <c r="BO54" s="20">
        <f ca="1">IF(Table1[[#This Row],[County]]="South Yorkshire",Table1[[#This Row],[income]],0)</f>
        <v>0</v>
      </c>
      <c r="BP54" s="20">
        <f ca="1">IF(Table1[[#This Row],[County]]="Greater London",Table1[[#This Row],[income]],0)</f>
        <v>0</v>
      </c>
      <c r="BQ54" s="20">
        <f ca="1">IF(Table1[[#This Row],[County]]="Hampshire",Table1[[#This Row],[income]],0)</f>
        <v>0</v>
      </c>
      <c r="BR54" s="20">
        <f ca="1">IF(Table1[[#This Row],[County]]="Gloucestershire",Table1[[#This Row],[income]],0)</f>
        <v>0</v>
      </c>
      <c r="BS54" s="20">
        <f ca="1">IF(Table1[[#This Row],[County]]="West Sussex",Table1[[#This Row],[income]],0)</f>
        <v>0</v>
      </c>
      <c r="BT54" s="20">
        <f ca="1">IF(Table1[[#This Row],[County]]="Devon",Table1[[#This Row],[income]],0)</f>
        <v>0</v>
      </c>
      <c r="BU54" s="20">
        <f ca="1">IF(Table1[[#This Row],[County]]="Berkshire",Table1[[#This Row],[income]],0)</f>
        <v>0</v>
      </c>
      <c r="BV54" s="20">
        <f ca="1">IF(Table1[[#This Row],[County]]="Staffordshire",Table1[[#This Row],[income]],0)</f>
        <v>0</v>
      </c>
      <c r="BW54" s="20">
        <f ca="1">IF(Table1[[#This Row],[County]]="Leicestershire",Table1[[#This Row],[income]],0)</f>
        <v>0</v>
      </c>
      <c r="BX54" s="20">
        <f ca="1">IF(Table1[[#This Row],[County]]="Cornwall",Table1[[#This Row],[income]],0)</f>
        <v>0</v>
      </c>
      <c r="BY54" s="20">
        <f ca="1">IF(Table1[[#This Row],[County]]="Isle of Wight",Table1[[#This Row],[income]],0)</f>
        <v>0</v>
      </c>
      <c r="BZ54" s="20">
        <f ca="1">IF(Table1[[#This Row],[County]]="Surrey",Table1[[#This Row],[income]],0)</f>
        <v>0</v>
      </c>
      <c r="CA54" s="20">
        <f ca="1">IF(Table1[[#This Row],[County]]="Derbyshire",Table1[[#This Row],[income]],0)</f>
        <v>31304</v>
      </c>
      <c r="CB54" s="20">
        <f ca="1">IF(Table1[[#This Row],[County]]="City of London",Table1[[#This Row],[income]],0)</f>
        <v>0</v>
      </c>
      <c r="CC54" s="20">
        <f ca="1">IF(Table1[[#This Row],[County]]="Bedfordshire",Table1[[#This Row],[income]],0)</f>
        <v>0</v>
      </c>
      <c r="CD54" s="20">
        <f ca="1">IF(Table1[[#This Row],[County]]="County Durham",Table1[[#This Row],[income]],0)</f>
        <v>0</v>
      </c>
      <c r="CE54" s="20">
        <f ca="1">IF(Table1[[#This Row],[County]]="East Riding of Yorkshire",Table1[[#This Row],[income]],0)</f>
        <v>0</v>
      </c>
      <c r="CF54" s="20">
        <f ca="1">IF(Table1[[#This Row],[County]]="West Yorkshire",Table1[[#This Row],[income]],0)</f>
        <v>0</v>
      </c>
      <c r="CG54" s="20">
        <f ca="1">IF(Table1[[#This Row],[County]]="Essex",Table1[[#This Row],[income]],0)</f>
        <v>0</v>
      </c>
      <c r="CH54" s="20">
        <f ca="1">IF(Table1[[#This Row],[County]]="East Sussex",Table1[[#This Row],[income]],0)</f>
        <v>0</v>
      </c>
      <c r="CI54" s="20">
        <f ca="1">IF(Table1[[#This Row],[County]]="Greater Manchester",Table1[[#This Row],[income]],0)</f>
        <v>0</v>
      </c>
      <c r="CJ54" s="20">
        <f ca="1">IF(Table1[[#This Row],[County]]="Hertfordshire",Table1[[#This Row],[income]],0)</f>
        <v>0</v>
      </c>
      <c r="CK54" s="20">
        <f ca="1">IF(Table1[[#This Row],[County]]="Herefordshire",Table1[[#This Row],[income]],0)</f>
        <v>0</v>
      </c>
      <c r="CL54" s="20">
        <f ca="1">IF(Table1[[#This Row],[County]]="Lancashire",Table1[[#This Row],[income]],0)</f>
        <v>0</v>
      </c>
      <c r="CM54" s="20">
        <f ca="1">IF(Table1[[#This Row],[County]]="Merseyside",Table1[[#This Row],[income]],0)</f>
        <v>0</v>
      </c>
      <c r="CN54" s="20">
        <f ca="1">IF(Table1[[#This Row],[County]]="Northamptonshire",Table1[[#This Row],[income]],0)</f>
        <v>0</v>
      </c>
      <c r="CO54" s="20">
        <f ca="1">IF(Table1[[#This Row],[County]]="Northumberland",Table1[[#This Row],[income]],0)</f>
        <v>0</v>
      </c>
      <c r="CP54" s="20">
        <f ca="1">IF(Table1[[#This Row],[County]]="Wiltshire",Table1[[#This Row],[income]],0)</f>
        <v>0</v>
      </c>
      <c r="CQ54" s="20">
        <f ca="1">IF(Table1[[#This Row],[County]]="West Midlands",Table1[[#This Row],[income]],0)</f>
        <v>0</v>
      </c>
      <c r="CR54" s="20">
        <f ca="1">IF(Table1[[#This Row],[County]]="Warwickshire",Table1[[#This Row],[income]],0)</f>
        <v>0</v>
      </c>
      <c r="CS54" s="20">
        <f ca="1">IF(Table1[[#This Row],[County]]="Tyne and Wear",Table1[[#This Row],[income]],0)</f>
        <v>0</v>
      </c>
      <c r="CT54" s="20">
        <f ca="1">IF(Table1[[#This Row],[County]]="Worcestershire",Table1[[#This Row],[income]],0)</f>
        <v>0</v>
      </c>
      <c r="CU54" s="20">
        <f ca="1">IF(Table1[[#This Row],[County]]="Rutland",Table1[[#This Row],[income]],0)</f>
        <v>0</v>
      </c>
      <c r="CV54" s="20">
        <f ca="1">IF(Table1[[#This Row],[County]]="Shropshire",Table1[[#This Row],[income]],0)</f>
        <v>0</v>
      </c>
      <c r="CW54" s="20">
        <f ca="1">IF(Table1[[#This Row],[County]]="Dorset",Table1[[#This Row],[income]],0)</f>
        <v>0</v>
      </c>
      <c r="CX54" s="20">
        <f ca="1">IF(Table1[[#This Row],[County]]="Buckinghamshire",Table1[[#This Row],[income]],0)</f>
        <v>0</v>
      </c>
      <c r="CY54" s="20">
        <f ca="1">IF(Table1[[#This Row],[County]]="Suffolk",Table1[[#This Row],[income]],0)</f>
        <v>0</v>
      </c>
      <c r="CZ54" s="20">
        <f ca="1">IF(Table1[[#This Row],[County]]="North Yorkshire",Table1[[#This Row],[income]],0)</f>
        <v>0</v>
      </c>
      <c r="DA54" s="20">
        <f ca="1">IF(Table1[[#This Row],[County]]="Kent",Table1[[#This Row],[income]],0)</f>
        <v>0</v>
      </c>
      <c r="DB54" s="5">
        <f ca="1">IF(Table1[[#This Row],[County]]="Derbyshire",Table1[[#This Row],[income]],0)</f>
        <v>31304</v>
      </c>
      <c r="DD54" s="6">
        <f ca="1">IF(Table1[[#This Row],[Column1]]="Health",Table1[[#This Row],[income]],0)</f>
        <v>31304</v>
      </c>
      <c r="DE54" s="20">
        <f ca="1">IF(Table1[[#This Row],[Column1]]="Agriculture",Table1[[#This Row],[income]],0)</f>
        <v>0</v>
      </c>
      <c r="DF54" s="20">
        <f ca="1">IF(Table1[[#This Row],[Column1]]="Technology",Table1[[#This Row],[income]],0)</f>
        <v>0</v>
      </c>
      <c r="DG54" s="20">
        <f ca="1">IF(Table1[[#This Row],[Column1]]="Social Service",Table1[[#This Row],[income]],0)</f>
        <v>0</v>
      </c>
      <c r="DH54" s="20">
        <f ca="1">IF(Table1[[#This Row],[Column1]]="Education",Table1[[#This Row],[income]],0)</f>
        <v>0</v>
      </c>
      <c r="DI54" s="5">
        <f ca="1">IF(Table1[[#This Row],[Column1]]="Construction",Table1[[#This Row],[income]],0)</f>
        <v>0</v>
      </c>
      <c r="DK54" s="6">
        <f ca="1">IF(Table1[[#This Row],[Value of Debts]]&gt;Table1[[#This Row],[income]],1,0)</f>
        <v>1</v>
      </c>
      <c r="DL54" s="20"/>
      <c r="DM54" s="20"/>
      <c r="DN54" s="5"/>
      <c r="DP54" s="6">
        <f ca="1">IF(Table1[[#This Row],[Net Worth (£)]]&gt;$DS$5,C54,0)</f>
        <v>0</v>
      </c>
      <c r="DQ54" s="20"/>
      <c r="DR54" s="20"/>
      <c r="DS54" s="5"/>
    </row>
    <row r="55" spans="1:123" x14ac:dyDescent="0.2">
      <c r="A55">
        <f t="shared" ca="1" si="1"/>
        <v>1</v>
      </c>
      <c r="B55" s="1" t="str">
        <f ca="1">IF(A55=1, "men", "women")</f>
        <v>men</v>
      </c>
      <c r="C55" s="1">
        <f ca="1">RANDBETWEEN(25,50)</f>
        <v>48</v>
      </c>
      <c r="D55">
        <f ca="1">RANDBETWEEN(1,6)</f>
        <v>2</v>
      </c>
      <c r="E55" t="str">
        <f ca="1">VLOOKUP(D55,$W$5:$X$10,2)</f>
        <v>Construction</v>
      </c>
      <c r="F55">
        <f ca="1">RANDBETWEEN(1,5)</f>
        <v>5</v>
      </c>
      <c r="G55" t="str">
        <f ca="1">VLOOKUP(F55,$Y$5:$Z$9,2)</f>
        <v>Other</v>
      </c>
      <c r="H55">
        <f ca="1">RANDBETWEEN(0,4)</f>
        <v>2</v>
      </c>
      <c r="I55">
        <f ca="1">RANDBETWEEN(1,3)</f>
        <v>1</v>
      </c>
      <c r="J55">
        <f ca="1">RANDBETWEEN(30000,100000)</f>
        <v>64894</v>
      </c>
      <c r="K55">
        <f ca="1">RANDBETWEEN(1,48)</f>
        <v>39</v>
      </c>
      <c r="L55" t="str">
        <f ca="1">VLOOKUP(K55,$AA$5:$AB$52,2)</f>
        <v>Staffordshire</v>
      </c>
      <c r="M55">
        <f ca="1">J55*(RANDBETWEEN(2,5))</f>
        <v>194682</v>
      </c>
      <c r="N55">
        <f ca="1">RAND()*M55</f>
        <v>134396.47745996714</v>
      </c>
      <c r="O55">
        <f ca="1">I55*RAND()*J55</f>
        <v>44981.070092160691</v>
      </c>
      <c r="P55">
        <f ca="1">RANDBETWEEN(0,O55)</f>
        <v>35849</v>
      </c>
      <c r="Q55">
        <f ca="1">RAND()*J55*2</f>
        <v>24821.166445166036</v>
      </c>
      <c r="R55">
        <f ca="1">RAND()*J55*1.5</f>
        <v>44043.2858035912</v>
      </c>
      <c r="S55">
        <f ca="1">J55+R55+O55</f>
        <v>153918.35589575188</v>
      </c>
      <c r="T55">
        <f ca="1">N55+P55+Q55</f>
        <v>195066.64390513318</v>
      </c>
      <c r="U55">
        <f ca="1">S55-T55</f>
        <v>-41148.2880093813</v>
      </c>
      <c r="AC55" s="6">
        <f ca="1">IF(Table1[[#This Row],[gender]]="men",1,0)</f>
        <v>1</v>
      </c>
      <c r="AD55">
        <f ca="1">IF(Table1[[#This Row],[gender]]="women",1,0)</f>
        <v>0</v>
      </c>
      <c r="AH55" s="5"/>
      <c r="AJ55" s="6">
        <f ca="1">IF(Table1[[#This Row],[Column1]]="Health",1,0)</f>
        <v>0</v>
      </c>
      <c r="AK55">
        <f ca="1">IF(Table1[[#This Row],[Column1]]="Construction",1,0)</f>
        <v>1</v>
      </c>
      <c r="AL55">
        <f ca="1">IF(Table1[[#This Row],[Column1]]="Technology",1,0)</f>
        <v>0</v>
      </c>
      <c r="AM55">
        <f ca="1">IF(Table1[[#This Row],[Column1]]="Education",1,0)</f>
        <v>0</v>
      </c>
      <c r="AN55">
        <f ca="1">IF(Table1[[#This Row],[Column1]]="Agriculture",1,0)</f>
        <v>0</v>
      </c>
      <c r="AO55">
        <f ca="1">IF(Table1[[#This Row],[Column1]]="Social Service", 1, 0)</f>
        <v>0</v>
      </c>
      <c r="AT55" s="5"/>
      <c r="AV55" s="17">
        <f t="shared" ca="1" si="0"/>
        <v>42836.71417297062</v>
      </c>
      <c r="AW55" s="5"/>
      <c r="AX55" s="6">
        <f ca="1">IF(Table1[[#This Row],[Value of Debts]]&gt;$AY$4,1,0)</f>
        <v>1</v>
      </c>
      <c r="AY55" s="20"/>
      <c r="AZ55" s="20"/>
      <c r="BA55" s="5"/>
      <c r="BB55" s="25">
        <f ca="1">Table1[[#This Row],[Mortage Left]]/Table1[[#This Row],[Value of House]]</f>
        <v>0.69033848768744488</v>
      </c>
      <c r="BC55" s="20">
        <f t="shared" ca="1" si="2"/>
        <v>0</v>
      </c>
      <c r="BD55" s="20"/>
      <c r="BE55" s="20"/>
      <c r="BF55" s="20"/>
      <c r="BG55" s="6">
        <f ca="1">IF(Table1[[#This Row],[County]]="Cumbria",Table1[[#This Row],[income]],0)</f>
        <v>0</v>
      </c>
      <c r="BH55" s="20">
        <f ca="1">IF(Table1[[#This Row],[County]]="Cheshire",Table1[[#This Row],[income]],0)</f>
        <v>0</v>
      </c>
      <c r="BI55" s="20">
        <f ca="1">IF(Table1[[#This Row],[County]]="Bristol",Table1[[#This Row],[income]],0)</f>
        <v>0</v>
      </c>
      <c r="BJ55" s="20">
        <f ca="1">IF(Table1[[#This Row],[County]]="Surrey",Table1[[#This Row],[income]],0)</f>
        <v>0</v>
      </c>
      <c r="BK55" s="20">
        <f ca="1">IF(Table1[[#This Row],[County]]="Norfolk",Table1[[#This Row],[income]],0)</f>
        <v>0</v>
      </c>
      <c r="BL55" s="20">
        <f ca="1">IF(Table1[[#This Row],[County]]="Lincolnshire",Table1[[#This Row],[income]],0)</f>
        <v>0</v>
      </c>
      <c r="BM55" s="20">
        <f ca="1">IF(Table1[[#This Row],[County]]="Somerset",Table1[[#This Row],[income]],0)</f>
        <v>0</v>
      </c>
      <c r="BN55" s="20">
        <f ca="1">IF(Table1[[#This Row],[County]]="Cambridgeshire",Table1[[#This Row],[income]],0)</f>
        <v>0</v>
      </c>
      <c r="BO55" s="20">
        <f ca="1">IF(Table1[[#This Row],[County]]="South Yorkshire",Table1[[#This Row],[income]],0)</f>
        <v>0</v>
      </c>
      <c r="BP55" s="20">
        <f ca="1">IF(Table1[[#This Row],[County]]="Greater London",Table1[[#This Row],[income]],0)</f>
        <v>0</v>
      </c>
      <c r="BQ55" s="20">
        <f ca="1">IF(Table1[[#This Row],[County]]="Hampshire",Table1[[#This Row],[income]],0)</f>
        <v>0</v>
      </c>
      <c r="BR55" s="20">
        <f ca="1">IF(Table1[[#This Row],[County]]="Gloucestershire",Table1[[#This Row],[income]],0)</f>
        <v>0</v>
      </c>
      <c r="BS55" s="20">
        <f ca="1">IF(Table1[[#This Row],[County]]="West Sussex",Table1[[#This Row],[income]],0)</f>
        <v>0</v>
      </c>
      <c r="BT55" s="20">
        <f ca="1">IF(Table1[[#This Row],[County]]="Devon",Table1[[#This Row],[income]],0)</f>
        <v>0</v>
      </c>
      <c r="BU55" s="20">
        <f ca="1">IF(Table1[[#This Row],[County]]="Berkshire",Table1[[#This Row],[income]],0)</f>
        <v>0</v>
      </c>
      <c r="BV55" s="20">
        <f ca="1">IF(Table1[[#This Row],[County]]="Staffordshire",Table1[[#This Row],[income]],0)</f>
        <v>64894</v>
      </c>
      <c r="BW55" s="20">
        <f ca="1">IF(Table1[[#This Row],[County]]="Leicestershire",Table1[[#This Row],[income]],0)</f>
        <v>0</v>
      </c>
      <c r="BX55" s="20">
        <f ca="1">IF(Table1[[#This Row],[County]]="Cornwall",Table1[[#This Row],[income]],0)</f>
        <v>0</v>
      </c>
      <c r="BY55" s="20">
        <f ca="1">IF(Table1[[#This Row],[County]]="Isle of Wight",Table1[[#This Row],[income]],0)</f>
        <v>0</v>
      </c>
      <c r="BZ55" s="20">
        <f ca="1">IF(Table1[[#This Row],[County]]="Surrey",Table1[[#This Row],[income]],0)</f>
        <v>0</v>
      </c>
      <c r="CA55" s="20">
        <f ca="1">IF(Table1[[#This Row],[County]]="Derbyshire",Table1[[#This Row],[income]],0)</f>
        <v>0</v>
      </c>
      <c r="CB55" s="20">
        <f ca="1">IF(Table1[[#This Row],[County]]="City of London",Table1[[#This Row],[income]],0)</f>
        <v>0</v>
      </c>
      <c r="CC55" s="20">
        <f ca="1">IF(Table1[[#This Row],[County]]="Bedfordshire",Table1[[#This Row],[income]],0)</f>
        <v>0</v>
      </c>
      <c r="CD55" s="20">
        <f ca="1">IF(Table1[[#This Row],[County]]="County Durham",Table1[[#This Row],[income]],0)</f>
        <v>0</v>
      </c>
      <c r="CE55" s="20">
        <f ca="1">IF(Table1[[#This Row],[County]]="East Riding of Yorkshire",Table1[[#This Row],[income]],0)</f>
        <v>0</v>
      </c>
      <c r="CF55" s="20">
        <f ca="1">IF(Table1[[#This Row],[County]]="West Yorkshire",Table1[[#This Row],[income]],0)</f>
        <v>0</v>
      </c>
      <c r="CG55" s="20">
        <f ca="1">IF(Table1[[#This Row],[County]]="Essex",Table1[[#This Row],[income]],0)</f>
        <v>0</v>
      </c>
      <c r="CH55" s="20">
        <f ca="1">IF(Table1[[#This Row],[County]]="East Sussex",Table1[[#This Row],[income]],0)</f>
        <v>0</v>
      </c>
      <c r="CI55" s="20">
        <f ca="1">IF(Table1[[#This Row],[County]]="Greater Manchester",Table1[[#This Row],[income]],0)</f>
        <v>0</v>
      </c>
      <c r="CJ55" s="20">
        <f ca="1">IF(Table1[[#This Row],[County]]="Hertfordshire",Table1[[#This Row],[income]],0)</f>
        <v>0</v>
      </c>
      <c r="CK55" s="20">
        <f ca="1">IF(Table1[[#This Row],[County]]="Herefordshire",Table1[[#This Row],[income]],0)</f>
        <v>0</v>
      </c>
      <c r="CL55" s="20">
        <f ca="1">IF(Table1[[#This Row],[County]]="Lancashire",Table1[[#This Row],[income]],0)</f>
        <v>0</v>
      </c>
      <c r="CM55" s="20">
        <f ca="1">IF(Table1[[#This Row],[County]]="Merseyside",Table1[[#This Row],[income]],0)</f>
        <v>0</v>
      </c>
      <c r="CN55" s="20">
        <f ca="1">IF(Table1[[#This Row],[County]]="Northamptonshire",Table1[[#This Row],[income]],0)</f>
        <v>0</v>
      </c>
      <c r="CO55" s="20">
        <f ca="1">IF(Table1[[#This Row],[County]]="Northumberland",Table1[[#This Row],[income]],0)</f>
        <v>0</v>
      </c>
      <c r="CP55" s="20">
        <f ca="1">IF(Table1[[#This Row],[County]]="Wiltshire",Table1[[#This Row],[income]],0)</f>
        <v>0</v>
      </c>
      <c r="CQ55" s="20">
        <f ca="1">IF(Table1[[#This Row],[County]]="West Midlands",Table1[[#This Row],[income]],0)</f>
        <v>0</v>
      </c>
      <c r="CR55" s="20">
        <f ca="1">IF(Table1[[#This Row],[County]]="Warwickshire",Table1[[#This Row],[income]],0)</f>
        <v>0</v>
      </c>
      <c r="CS55" s="20">
        <f ca="1">IF(Table1[[#This Row],[County]]="Tyne and Wear",Table1[[#This Row],[income]],0)</f>
        <v>0</v>
      </c>
      <c r="CT55" s="20">
        <f ca="1">IF(Table1[[#This Row],[County]]="Worcestershire",Table1[[#This Row],[income]],0)</f>
        <v>0</v>
      </c>
      <c r="CU55" s="20">
        <f ca="1">IF(Table1[[#This Row],[County]]="Rutland",Table1[[#This Row],[income]],0)</f>
        <v>0</v>
      </c>
      <c r="CV55" s="20">
        <f ca="1">IF(Table1[[#This Row],[County]]="Shropshire",Table1[[#This Row],[income]],0)</f>
        <v>0</v>
      </c>
      <c r="CW55" s="20">
        <f ca="1">IF(Table1[[#This Row],[County]]="Dorset",Table1[[#This Row],[income]],0)</f>
        <v>0</v>
      </c>
      <c r="CX55" s="20">
        <f ca="1">IF(Table1[[#This Row],[County]]="Buckinghamshire",Table1[[#This Row],[income]],0)</f>
        <v>0</v>
      </c>
      <c r="CY55" s="20">
        <f ca="1">IF(Table1[[#This Row],[County]]="Suffolk",Table1[[#This Row],[income]],0)</f>
        <v>0</v>
      </c>
      <c r="CZ55" s="20">
        <f ca="1">IF(Table1[[#This Row],[County]]="North Yorkshire",Table1[[#This Row],[income]],0)</f>
        <v>0</v>
      </c>
      <c r="DA55" s="20">
        <f ca="1">IF(Table1[[#This Row],[County]]="Kent",Table1[[#This Row],[income]],0)</f>
        <v>0</v>
      </c>
      <c r="DB55" s="5">
        <f ca="1">IF(Table1[[#This Row],[County]]="Derbyshire",Table1[[#This Row],[income]],0)</f>
        <v>0</v>
      </c>
      <c r="DD55" s="6">
        <f ca="1">IF(Table1[[#This Row],[Column1]]="Health",Table1[[#This Row],[income]],0)</f>
        <v>0</v>
      </c>
      <c r="DE55" s="20">
        <f ca="1">IF(Table1[[#This Row],[Column1]]="Agriculture",Table1[[#This Row],[income]],0)</f>
        <v>0</v>
      </c>
      <c r="DF55" s="20">
        <f ca="1">IF(Table1[[#This Row],[Column1]]="Technology",Table1[[#This Row],[income]],0)</f>
        <v>0</v>
      </c>
      <c r="DG55" s="20">
        <f ca="1">IF(Table1[[#This Row],[Column1]]="Social Service",Table1[[#This Row],[income]],0)</f>
        <v>0</v>
      </c>
      <c r="DH55" s="20">
        <f ca="1">IF(Table1[[#This Row],[Column1]]="Education",Table1[[#This Row],[income]],0)</f>
        <v>0</v>
      </c>
      <c r="DI55" s="5">
        <f ca="1">IF(Table1[[#This Row],[Column1]]="Construction",Table1[[#This Row],[income]],0)</f>
        <v>64894</v>
      </c>
      <c r="DK55" s="6">
        <f ca="1">IF(Table1[[#This Row],[Value of Debts]]&gt;Table1[[#This Row],[income]],1,0)</f>
        <v>1</v>
      </c>
      <c r="DL55" s="20"/>
      <c r="DM55" s="20"/>
      <c r="DN55" s="5"/>
      <c r="DP55" s="6">
        <f ca="1">IF(Table1[[#This Row],[Net Worth (£)]]&gt;$DS$5,C55,0)</f>
        <v>0</v>
      </c>
      <c r="DQ55" s="20"/>
      <c r="DR55" s="20"/>
      <c r="DS55" s="5"/>
    </row>
    <row r="56" spans="1:123" x14ac:dyDescent="0.2">
      <c r="A56">
        <f t="shared" ca="1" si="1"/>
        <v>1</v>
      </c>
      <c r="B56" s="1" t="str">
        <f ca="1">IF(A56=1, "men", "women")</f>
        <v>men</v>
      </c>
      <c r="C56" s="1">
        <f ca="1">RANDBETWEEN(25,50)</f>
        <v>39</v>
      </c>
      <c r="D56">
        <f ca="1">RANDBETWEEN(1,6)</f>
        <v>3</v>
      </c>
      <c r="E56" t="str">
        <f ca="1">VLOOKUP(D56,$W$5:$X$10,2)</f>
        <v>Education</v>
      </c>
      <c r="F56">
        <f ca="1">RANDBETWEEN(1,5)</f>
        <v>5</v>
      </c>
      <c r="G56" t="str">
        <f ca="1">VLOOKUP(F56,$Y$5:$Z$9,2)</f>
        <v>Other</v>
      </c>
      <c r="H56">
        <f ca="1">RANDBETWEEN(0,4)</f>
        <v>2</v>
      </c>
      <c r="I56">
        <f ca="1">RANDBETWEEN(1,3)</f>
        <v>1</v>
      </c>
      <c r="J56">
        <f ca="1">RANDBETWEEN(30000,100000)</f>
        <v>84680</v>
      </c>
      <c r="K56">
        <f ca="1">RANDBETWEEN(1,48)</f>
        <v>34</v>
      </c>
      <c r="L56" t="str">
        <f ca="1">VLOOKUP(K56,$AA$5:$AB$52,2)</f>
        <v>Oxfordshire</v>
      </c>
      <c r="M56">
        <f ca="1">J56*(RANDBETWEEN(2,5))</f>
        <v>338720</v>
      </c>
      <c r="N56">
        <f ca="1">RAND()*M56</f>
        <v>38872.056990579455</v>
      </c>
      <c r="O56">
        <f ca="1">I56*RAND()*J56</f>
        <v>42836.71417297062</v>
      </c>
      <c r="P56">
        <f ca="1">RANDBETWEEN(0,O56)</f>
        <v>36008</v>
      </c>
      <c r="Q56">
        <f ca="1">RAND()*J56*2</f>
        <v>415.66273072309951</v>
      </c>
      <c r="R56">
        <f ca="1">RAND()*J56*1.5</f>
        <v>103834.17736402396</v>
      </c>
      <c r="S56">
        <f ca="1">J56+R56+O56</f>
        <v>231350.89153699458</v>
      </c>
      <c r="T56">
        <f ca="1">N56+P56+Q56</f>
        <v>75295.71972130255</v>
      </c>
      <c r="U56">
        <f ca="1">S56-T56</f>
        <v>156055.17181569204</v>
      </c>
      <c r="AC56" s="6">
        <f ca="1">IF(Table1[[#This Row],[gender]]="men",1,0)</f>
        <v>1</v>
      </c>
      <c r="AD56">
        <f ca="1">IF(Table1[[#This Row],[gender]]="women",1,0)</f>
        <v>0</v>
      </c>
      <c r="AH56" s="5"/>
      <c r="AJ56" s="6">
        <f ca="1">IF(Table1[[#This Row],[Column1]]="Health",1,0)</f>
        <v>0</v>
      </c>
      <c r="AK56">
        <f ca="1">IF(Table1[[#This Row],[Column1]]="Construction",1,0)</f>
        <v>0</v>
      </c>
      <c r="AL56">
        <f ca="1">IF(Table1[[#This Row],[Column1]]="Technology",1,0)</f>
        <v>0</v>
      </c>
      <c r="AM56">
        <f ca="1">IF(Table1[[#This Row],[Column1]]="Education",1,0)</f>
        <v>1</v>
      </c>
      <c r="AN56">
        <f ca="1">IF(Table1[[#This Row],[Column1]]="Agriculture",1,0)</f>
        <v>0</v>
      </c>
      <c r="AO56">
        <f ca="1">IF(Table1[[#This Row],[Column1]]="Social Service", 1, 0)</f>
        <v>0</v>
      </c>
      <c r="AT56" s="5"/>
      <c r="AV56" s="17">
        <f t="shared" ca="1" si="0"/>
        <v>8874.5246652030291</v>
      </c>
      <c r="AW56" s="5"/>
      <c r="AX56" s="6">
        <f ca="1">IF(Table1[[#This Row],[Value of Debts]]&gt;$AY$4,1,0)</f>
        <v>0</v>
      </c>
      <c r="AY56" s="20"/>
      <c r="AZ56" s="20"/>
      <c r="BA56" s="5"/>
      <c r="BB56" s="25">
        <f ca="1">Table1[[#This Row],[Mortage Left]]/Table1[[#This Row],[Value of House]]</f>
        <v>0.1147616231417674</v>
      </c>
      <c r="BC56" s="20">
        <f t="shared" ca="1" si="2"/>
        <v>1</v>
      </c>
      <c r="BD56" s="20"/>
      <c r="BE56" s="20"/>
      <c r="BF56" s="20"/>
      <c r="BG56" s="6">
        <f ca="1">IF(Table1[[#This Row],[County]]="Cumbria",Table1[[#This Row],[income]],0)</f>
        <v>0</v>
      </c>
      <c r="BH56" s="20">
        <f ca="1">IF(Table1[[#This Row],[County]]="Cheshire",Table1[[#This Row],[income]],0)</f>
        <v>0</v>
      </c>
      <c r="BI56" s="20">
        <f ca="1">IF(Table1[[#This Row],[County]]="Bristol",Table1[[#This Row],[income]],0)</f>
        <v>0</v>
      </c>
      <c r="BJ56" s="20">
        <f ca="1">IF(Table1[[#This Row],[County]]="Surrey",Table1[[#This Row],[income]],0)</f>
        <v>0</v>
      </c>
      <c r="BK56" s="20">
        <f ca="1">IF(Table1[[#This Row],[County]]="Norfolk",Table1[[#This Row],[income]],0)</f>
        <v>0</v>
      </c>
      <c r="BL56" s="20">
        <f ca="1">IF(Table1[[#This Row],[County]]="Lincolnshire",Table1[[#This Row],[income]],0)</f>
        <v>0</v>
      </c>
      <c r="BM56" s="20">
        <f ca="1">IF(Table1[[#This Row],[County]]="Somerset",Table1[[#This Row],[income]],0)</f>
        <v>0</v>
      </c>
      <c r="BN56" s="20">
        <f ca="1">IF(Table1[[#This Row],[County]]="Cambridgeshire",Table1[[#This Row],[income]],0)</f>
        <v>0</v>
      </c>
      <c r="BO56" s="20">
        <f ca="1">IF(Table1[[#This Row],[County]]="South Yorkshire",Table1[[#This Row],[income]],0)</f>
        <v>0</v>
      </c>
      <c r="BP56" s="20">
        <f ca="1">IF(Table1[[#This Row],[County]]="Greater London",Table1[[#This Row],[income]],0)</f>
        <v>0</v>
      </c>
      <c r="BQ56" s="20">
        <f ca="1">IF(Table1[[#This Row],[County]]="Hampshire",Table1[[#This Row],[income]],0)</f>
        <v>0</v>
      </c>
      <c r="BR56" s="20">
        <f ca="1">IF(Table1[[#This Row],[County]]="Gloucestershire",Table1[[#This Row],[income]],0)</f>
        <v>0</v>
      </c>
      <c r="BS56" s="20">
        <f ca="1">IF(Table1[[#This Row],[County]]="West Sussex",Table1[[#This Row],[income]],0)</f>
        <v>0</v>
      </c>
      <c r="BT56" s="20">
        <f ca="1">IF(Table1[[#This Row],[County]]="Devon",Table1[[#This Row],[income]],0)</f>
        <v>0</v>
      </c>
      <c r="BU56" s="20">
        <f ca="1">IF(Table1[[#This Row],[County]]="Berkshire",Table1[[#This Row],[income]],0)</f>
        <v>0</v>
      </c>
      <c r="BV56" s="20">
        <f ca="1">IF(Table1[[#This Row],[County]]="Staffordshire",Table1[[#This Row],[income]],0)</f>
        <v>0</v>
      </c>
      <c r="BW56" s="20">
        <f ca="1">IF(Table1[[#This Row],[County]]="Leicestershire",Table1[[#This Row],[income]],0)</f>
        <v>0</v>
      </c>
      <c r="BX56" s="20">
        <f ca="1">IF(Table1[[#This Row],[County]]="Cornwall",Table1[[#This Row],[income]],0)</f>
        <v>0</v>
      </c>
      <c r="BY56" s="20">
        <f ca="1">IF(Table1[[#This Row],[County]]="Isle of Wight",Table1[[#This Row],[income]],0)</f>
        <v>0</v>
      </c>
      <c r="BZ56" s="20">
        <f ca="1">IF(Table1[[#This Row],[County]]="Surrey",Table1[[#This Row],[income]],0)</f>
        <v>0</v>
      </c>
      <c r="CA56" s="20">
        <f ca="1">IF(Table1[[#This Row],[County]]="Derbyshire",Table1[[#This Row],[income]],0)</f>
        <v>0</v>
      </c>
      <c r="CB56" s="20">
        <f ca="1">IF(Table1[[#This Row],[County]]="City of London",Table1[[#This Row],[income]],0)</f>
        <v>0</v>
      </c>
      <c r="CC56" s="20">
        <f ca="1">IF(Table1[[#This Row],[County]]="Bedfordshire",Table1[[#This Row],[income]],0)</f>
        <v>0</v>
      </c>
      <c r="CD56" s="20">
        <f ca="1">IF(Table1[[#This Row],[County]]="County Durham",Table1[[#This Row],[income]],0)</f>
        <v>0</v>
      </c>
      <c r="CE56" s="20">
        <f ca="1">IF(Table1[[#This Row],[County]]="East Riding of Yorkshire",Table1[[#This Row],[income]],0)</f>
        <v>0</v>
      </c>
      <c r="CF56" s="20">
        <f ca="1">IF(Table1[[#This Row],[County]]="West Yorkshire",Table1[[#This Row],[income]],0)</f>
        <v>0</v>
      </c>
      <c r="CG56" s="20">
        <f ca="1">IF(Table1[[#This Row],[County]]="Essex",Table1[[#This Row],[income]],0)</f>
        <v>0</v>
      </c>
      <c r="CH56" s="20">
        <f ca="1">IF(Table1[[#This Row],[County]]="East Sussex",Table1[[#This Row],[income]],0)</f>
        <v>0</v>
      </c>
      <c r="CI56" s="20">
        <f ca="1">IF(Table1[[#This Row],[County]]="Greater Manchester",Table1[[#This Row],[income]],0)</f>
        <v>0</v>
      </c>
      <c r="CJ56" s="20">
        <f ca="1">IF(Table1[[#This Row],[County]]="Hertfordshire",Table1[[#This Row],[income]],0)</f>
        <v>0</v>
      </c>
      <c r="CK56" s="20">
        <f ca="1">IF(Table1[[#This Row],[County]]="Herefordshire",Table1[[#This Row],[income]],0)</f>
        <v>0</v>
      </c>
      <c r="CL56" s="20">
        <f ca="1">IF(Table1[[#This Row],[County]]="Lancashire",Table1[[#This Row],[income]],0)</f>
        <v>0</v>
      </c>
      <c r="CM56" s="20">
        <f ca="1">IF(Table1[[#This Row],[County]]="Merseyside",Table1[[#This Row],[income]],0)</f>
        <v>0</v>
      </c>
      <c r="CN56" s="20">
        <f ca="1">IF(Table1[[#This Row],[County]]="Northamptonshire",Table1[[#This Row],[income]],0)</f>
        <v>0</v>
      </c>
      <c r="CO56" s="20">
        <f ca="1">IF(Table1[[#This Row],[County]]="Northumberland",Table1[[#This Row],[income]],0)</f>
        <v>0</v>
      </c>
      <c r="CP56" s="20">
        <f ca="1">IF(Table1[[#This Row],[County]]="Wiltshire",Table1[[#This Row],[income]],0)</f>
        <v>0</v>
      </c>
      <c r="CQ56" s="20">
        <f ca="1">IF(Table1[[#This Row],[County]]="West Midlands",Table1[[#This Row],[income]],0)</f>
        <v>0</v>
      </c>
      <c r="CR56" s="20">
        <f ca="1">IF(Table1[[#This Row],[County]]="Warwickshire",Table1[[#This Row],[income]],0)</f>
        <v>0</v>
      </c>
      <c r="CS56" s="20">
        <f ca="1">IF(Table1[[#This Row],[County]]="Tyne and Wear",Table1[[#This Row],[income]],0)</f>
        <v>0</v>
      </c>
      <c r="CT56" s="20">
        <f ca="1">IF(Table1[[#This Row],[County]]="Worcestershire",Table1[[#This Row],[income]],0)</f>
        <v>0</v>
      </c>
      <c r="CU56" s="20">
        <f ca="1">IF(Table1[[#This Row],[County]]="Rutland",Table1[[#This Row],[income]],0)</f>
        <v>0</v>
      </c>
      <c r="CV56" s="20">
        <f ca="1">IF(Table1[[#This Row],[County]]="Shropshire",Table1[[#This Row],[income]],0)</f>
        <v>0</v>
      </c>
      <c r="CW56" s="20">
        <f ca="1">IF(Table1[[#This Row],[County]]="Dorset",Table1[[#This Row],[income]],0)</f>
        <v>0</v>
      </c>
      <c r="CX56" s="20">
        <f ca="1">IF(Table1[[#This Row],[County]]="Buckinghamshire",Table1[[#This Row],[income]],0)</f>
        <v>0</v>
      </c>
      <c r="CY56" s="20">
        <f ca="1">IF(Table1[[#This Row],[County]]="Suffolk",Table1[[#This Row],[income]],0)</f>
        <v>0</v>
      </c>
      <c r="CZ56" s="20">
        <f ca="1">IF(Table1[[#This Row],[County]]="North Yorkshire",Table1[[#This Row],[income]],0)</f>
        <v>0</v>
      </c>
      <c r="DA56" s="20">
        <f ca="1">IF(Table1[[#This Row],[County]]="Kent",Table1[[#This Row],[income]],0)</f>
        <v>0</v>
      </c>
      <c r="DB56" s="5">
        <f ca="1">IF(Table1[[#This Row],[County]]="Derbyshire",Table1[[#This Row],[income]],0)</f>
        <v>0</v>
      </c>
      <c r="DD56" s="6">
        <f ca="1">IF(Table1[[#This Row],[Column1]]="Health",Table1[[#This Row],[income]],0)</f>
        <v>0</v>
      </c>
      <c r="DE56" s="20">
        <f ca="1">IF(Table1[[#This Row],[Column1]]="Agriculture",Table1[[#This Row],[income]],0)</f>
        <v>0</v>
      </c>
      <c r="DF56" s="20">
        <f ca="1">IF(Table1[[#This Row],[Column1]]="Technology",Table1[[#This Row],[income]],0)</f>
        <v>0</v>
      </c>
      <c r="DG56" s="20">
        <f ca="1">IF(Table1[[#This Row],[Column1]]="Social Service",Table1[[#This Row],[income]],0)</f>
        <v>0</v>
      </c>
      <c r="DH56" s="20">
        <f ca="1">IF(Table1[[#This Row],[Column1]]="Education",Table1[[#This Row],[income]],0)</f>
        <v>84680</v>
      </c>
      <c r="DI56" s="5">
        <f ca="1">IF(Table1[[#This Row],[Column1]]="Construction",Table1[[#This Row],[income]],0)</f>
        <v>0</v>
      </c>
      <c r="DK56" s="6">
        <f ca="1">IF(Table1[[#This Row],[Value of Debts]]&gt;Table1[[#This Row],[income]],1,0)</f>
        <v>0</v>
      </c>
      <c r="DL56" s="20"/>
      <c r="DM56" s="20"/>
      <c r="DN56" s="5"/>
      <c r="DP56" s="6">
        <f ca="1">IF(Table1[[#This Row],[Net Worth (£)]]&gt;$DS$5,C56,0)</f>
        <v>39</v>
      </c>
      <c r="DQ56" s="20"/>
      <c r="DR56" s="20"/>
      <c r="DS56" s="5"/>
    </row>
    <row r="57" spans="1:123" x14ac:dyDescent="0.2">
      <c r="A57">
        <f t="shared" ca="1" si="1"/>
        <v>2</v>
      </c>
      <c r="B57" s="1" t="str">
        <f ca="1">IF(A57=1, "men", "women")</f>
        <v>women</v>
      </c>
      <c r="C57" s="1">
        <f ca="1">RANDBETWEEN(25,50)</f>
        <v>33</v>
      </c>
      <c r="D57">
        <f ca="1">RANDBETWEEN(1,6)</f>
        <v>5</v>
      </c>
      <c r="E57" t="str">
        <f ca="1">VLOOKUP(D57,$W$5:$X$10,2)</f>
        <v>Social Service</v>
      </c>
      <c r="F57">
        <f ca="1">RANDBETWEEN(1,5)</f>
        <v>3</v>
      </c>
      <c r="G57" t="str">
        <f ca="1">VLOOKUP(F57,$Y$5:$Z$9,2)</f>
        <v>University</v>
      </c>
      <c r="H57">
        <f ca="1">RANDBETWEEN(0,4)</f>
        <v>3</v>
      </c>
      <c r="I57">
        <f ca="1">RANDBETWEEN(1,3)</f>
        <v>3</v>
      </c>
      <c r="J57">
        <f ca="1">RANDBETWEEN(30000,100000)</f>
        <v>50885</v>
      </c>
      <c r="K57">
        <f ca="1">RANDBETWEEN(1,48)</f>
        <v>26</v>
      </c>
      <c r="L57" t="str">
        <f ca="1">VLOOKUP(K57,$AA$5:$AB$52,2)</f>
        <v>Leicestershire</v>
      </c>
      <c r="M57">
        <f ca="1">J57*(RANDBETWEEN(2,5))</f>
        <v>254425</v>
      </c>
      <c r="N57">
        <f ca="1">RAND()*M57</f>
        <v>113414.65932162691</v>
      </c>
      <c r="O57">
        <f ca="1">I57*RAND()*J57</f>
        <v>26623.573995609087</v>
      </c>
      <c r="P57">
        <f ca="1">RANDBETWEEN(0,O57)</f>
        <v>20170</v>
      </c>
      <c r="Q57">
        <f ca="1">RAND()*J57*2</f>
        <v>21803.777564896307</v>
      </c>
      <c r="R57">
        <f ca="1">RAND()*J57*1.5</f>
        <v>16783.588675071464</v>
      </c>
      <c r="S57">
        <f ca="1">J57+R57+O57</f>
        <v>94292.16267068054</v>
      </c>
      <c r="T57">
        <f ca="1">N57+P57+Q57</f>
        <v>155388.43688652321</v>
      </c>
      <c r="U57">
        <f ca="1">S57-T57</f>
        <v>-61096.27421584267</v>
      </c>
      <c r="AC57" s="6">
        <f ca="1">IF(Table1[[#This Row],[gender]]="men",1,0)</f>
        <v>0</v>
      </c>
      <c r="AD57">
        <f ca="1">IF(Table1[[#This Row],[gender]]="women",1,0)</f>
        <v>1</v>
      </c>
      <c r="AH57" s="5"/>
      <c r="AJ57" s="6">
        <f ca="1">IF(Table1[[#This Row],[Column1]]="Health",1,0)</f>
        <v>0</v>
      </c>
      <c r="AK57">
        <f ca="1">IF(Table1[[#This Row],[Column1]]="Construction",1,0)</f>
        <v>0</v>
      </c>
      <c r="AL57">
        <f ca="1">IF(Table1[[#This Row],[Column1]]="Technology",1,0)</f>
        <v>0</v>
      </c>
      <c r="AM57">
        <f ca="1">IF(Table1[[#This Row],[Column1]]="Education",1,0)</f>
        <v>0</v>
      </c>
      <c r="AN57">
        <f ca="1">IF(Table1[[#This Row],[Column1]]="Agriculture",1,0)</f>
        <v>0</v>
      </c>
      <c r="AO57">
        <f ca="1">IF(Table1[[#This Row],[Column1]]="Social Service", 1, 0)</f>
        <v>1</v>
      </c>
      <c r="AT57" s="5"/>
      <c r="AV57" s="17">
        <f t="shared" ca="1" si="0"/>
        <v>42971.384339176344</v>
      </c>
      <c r="AW57" s="5"/>
      <c r="AX57" s="6">
        <f ca="1">IF(Table1[[#This Row],[Value of Debts]]&gt;$AY$4,1,0)</f>
        <v>1</v>
      </c>
      <c r="AY57" s="20"/>
      <c r="AZ57" s="20"/>
      <c r="BA57" s="5"/>
      <c r="BB57" s="25">
        <f ca="1">Table1[[#This Row],[Mortage Left]]/Table1[[#This Row],[Value of House]]</f>
        <v>0.44576853423062557</v>
      </c>
      <c r="BC57" s="20">
        <f t="shared" ca="1" si="2"/>
        <v>0</v>
      </c>
      <c r="BD57" s="20"/>
      <c r="BE57" s="20"/>
      <c r="BF57" s="20"/>
      <c r="BG57" s="6">
        <f ca="1">IF(Table1[[#This Row],[County]]="Cumbria",Table1[[#This Row],[income]],0)</f>
        <v>0</v>
      </c>
      <c r="BH57" s="20">
        <f ca="1">IF(Table1[[#This Row],[County]]="Cheshire",Table1[[#This Row],[income]],0)</f>
        <v>0</v>
      </c>
      <c r="BI57" s="20">
        <f ca="1">IF(Table1[[#This Row],[County]]="Bristol",Table1[[#This Row],[income]],0)</f>
        <v>0</v>
      </c>
      <c r="BJ57" s="20">
        <f ca="1">IF(Table1[[#This Row],[County]]="Surrey",Table1[[#This Row],[income]],0)</f>
        <v>0</v>
      </c>
      <c r="BK57" s="20">
        <f ca="1">IF(Table1[[#This Row],[County]]="Norfolk",Table1[[#This Row],[income]],0)</f>
        <v>0</v>
      </c>
      <c r="BL57" s="20">
        <f ca="1">IF(Table1[[#This Row],[County]]="Lincolnshire",Table1[[#This Row],[income]],0)</f>
        <v>0</v>
      </c>
      <c r="BM57" s="20">
        <f ca="1">IF(Table1[[#This Row],[County]]="Somerset",Table1[[#This Row],[income]],0)</f>
        <v>0</v>
      </c>
      <c r="BN57" s="20">
        <f ca="1">IF(Table1[[#This Row],[County]]="Cambridgeshire",Table1[[#This Row],[income]],0)</f>
        <v>0</v>
      </c>
      <c r="BO57" s="20">
        <f ca="1">IF(Table1[[#This Row],[County]]="South Yorkshire",Table1[[#This Row],[income]],0)</f>
        <v>0</v>
      </c>
      <c r="BP57" s="20">
        <f ca="1">IF(Table1[[#This Row],[County]]="Greater London",Table1[[#This Row],[income]],0)</f>
        <v>0</v>
      </c>
      <c r="BQ57" s="20">
        <f ca="1">IF(Table1[[#This Row],[County]]="Hampshire",Table1[[#This Row],[income]],0)</f>
        <v>0</v>
      </c>
      <c r="BR57" s="20">
        <f ca="1">IF(Table1[[#This Row],[County]]="Gloucestershire",Table1[[#This Row],[income]],0)</f>
        <v>0</v>
      </c>
      <c r="BS57" s="20">
        <f ca="1">IF(Table1[[#This Row],[County]]="West Sussex",Table1[[#This Row],[income]],0)</f>
        <v>0</v>
      </c>
      <c r="BT57" s="20">
        <f ca="1">IF(Table1[[#This Row],[County]]="Devon",Table1[[#This Row],[income]],0)</f>
        <v>0</v>
      </c>
      <c r="BU57" s="20">
        <f ca="1">IF(Table1[[#This Row],[County]]="Berkshire",Table1[[#This Row],[income]],0)</f>
        <v>0</v>
      </c>
      <c r="BV57" s="20">
        <f ca="1">IF(Table1[[#This Row],[County]]="Staffordshire",Table1[[#This Row],[income]],0)</f>
        <v>0</v>
      </c>
      <c r="BW57" s="20">
        <f ca="1">IF(Table1[[#This Row],[County]]="Leicestershire",Table1[[#This Row],[income]],0)</f>
        <v>50885</v>
      </c>
      <c r="BX57" s="20">
        <f ca="1">IF(Table1[[#This Row],[County]]="Cornwall",Table1[[#This Row],[income]],0)</f>
        <v>0</v>
      </c>
      <c r="BY57" s="20">
        <f ca="1">IF(Table1[[#This Row],[County]]="Isle of Wight",Table1[[#This Row],[income]],0)</f>
        <v>0</v>
      </c>
      <c r="BZ57" s="20">
        <f ca="1">IF(Table1[[#This Row],[County]]="Surrey",Table1[[#This Row],[income]],0)</f>
        <v>0</v>
      </c>
      <c r="CA57" s="20">
        <f ca="1">IF(Table1[[#This Row],[County]]="Derbyshire",Table1[[#This Row],[income]],0)</f>
        <v>0</v>
      </c>
      <c r="CB57" s="20">
        <f ca="1">IF(Table1[[#This Row],[County]]="City of London",Table1[[#This Row],[income]],0)</f>
        <v>0</v>
      </c>
      <c r="CC57" s="20">
        <f ca="1">IF(Table1[[#This Row],[County]]="Bedfordshire",Table1[[#This Row],[income]],0)</f>
        <v>0</v>
      </c>
      <c r="CD57" s="20">
        <f ca="1">IF(Table1[[#This Row],[County]]="County Durham",Table1[[#This Row],[income]],0)</f>
        <v>0</v>
      </c>
      <c r="CE57" s="20">
        <f ca="1">IF(Table1[[#This Row],[County]]="East Riding of Yorkshire",Table1[[#This Row],[income]],0)</f>
        <v>0</v>
      </c>
      <c r="CF57" s="20">
        <f ca="1">IF(Table1[[#This Row],[County]]="West Yorkshire",Table1[[#This Row],[income]],0)</f>
        <v>0</v>
      </c>
      <c r="CG57" s="20">
        <f ca="1">IF(Table1[[#This Row],[County]]="Essex",Table1[[#This Row],[income]],0)</f>
        <v>0</v>
      </c>
      <c r="CH57" s="20">
        <f ca="1">IF(Table1[[#This Row],[County]]="East Sussex",Table1[[#This Row],[income]],0)</f>
        <v>0</v>
      </c>
      <c r="CI57" s="20">
        <f ca="1">IF(Table1[[#This Row],[County]]="Greater Manchester",Table1[[#This Row],[income]],0)</f>
        <v>0</v>
      </c>
      <c r="CJ57" s="20">
        <f ca="1">IF(Table1[[#This Row],[County]]="Hertfordshire",Table1[[#This Row],[income]],0)</f>
        <v>0</v>
      </c>
      <c r="CK57" s="20">
        <f ca="1">IF(Table1[[#This Row],[County]]="Herefordshire",Table1[[#This Row],[income]],0)</f>
        <v>0</v>
      </c>
      <c r="CL57" s="20">
        <f ca="1">IF(Table1[[#This Row],[County]]="Lancashire",Table1[[#This Row],[income]],0)</f>
        <v>0</v>
      </c>
      <c r="CM57" s="20">
        <f ca="1">IF(Table1[[#This Row],[County]]="Merseyside",Table1[[#This Row],[income]],0)</f>
        <v>0</v>
      </c>
      <c r="CN57" s="20">
        <f ca="1">IF(Table1[[#This Row],[County]]="Northamptonshire",Table1[[#This Row],[income]],0)</f>
        <v>0</v>
      </c>
      <c r="CO57" s="20">
        <f ca="1">IF(Table1[[#This Row],[County]]="Northumberland",Table1[[#This Row],[income]],0)</f>
        <v>0</v>
      </c>
      <c r="CP57" s="20">
        <f ca="1">IF(Table1[[#This Row],[County]]="Wiltshire",Table1[[#This Row],[income]],0)</f>
        <v>0</v>
      </c>
      <c r="CQ57" s="20">
        <f ca="1">IF(Table1[[#This Row],[County]]="West Midlands",Table1[[#This Row],[income]],0)</f>
        <v>0</v>
      </c>
      <c r="CR57" s="20">
        <f ca="1">IF(Table1[[#This Row],[County]]="Warwickshire",Table1[[#This Row],[income]],0)</f>
        <v>0</v>
      </c>
      <c r="CS57" s="20">
        <f ca="1">IF(Table1[[#This Row],[County]]="Tyne and Wear",Table1[[#This Row],[income]],0)</f>
        <v>0</v>
      </c>
      <c r="CT57" s="20">
        <f ca="1">IF(Table1[[#This Row],[County]]="Worcestershire",Table1[[#This Row],[income]],0)</f>
        <v>0</v>
      </c>
      <c r="CU57" s="20">
        <f ca="1">IF(Table1[[#This Row],[County]]="Rutland",Table1[[#This Row],[income]],0)</f>
        <v>0</v>
      </c>
      <c r="CV57" s="20">
        <f ca="1">IF(Table1[[#This Row],[County]]="Shropshire",Table1[[#This Row],[income]],0)</f>
        <v>0</v>
      </c>
      <c r="CW57" s="20">
        <f ca="1">IF(Table1[[#This Row],[County]]="Dorset",Table1[[#This Row],[income]],0)</f>
        <v>0</v>
      </c>
      <c r="CX57" s="20">
        <f ca="1">IF(Table1[[#This Row],[County]]="Buckinghamshire",Table1[[#This Row],[income]],0)</f>
        <v>0</v>
      </c>
      <c r="CY57" s="20">
        <f ca="1">IF(Table1[[#This Row],[County]]="Suffolk",Table1[[#This Row],[income]],0)</f>
        <v>0</v>
      </c>
      <c r="CZ57" s="20">
        <f ca="1">IF(Table1[[#This Row],[County]]="North Yorkshire",Table1[[#This Row],[income]],0)</f>
        <v>0</v>
      </c>
      <c r="DA57" s="20">
        <f ca="1">IF(Table1[[#This Row],[County]]="Kent",Table1[[#This Row],[income]],0)</f>
        <v>0</v>
      </c>
      <c r="DB57" s="5">
        <f ca="1">IF(Table1[[#This Row],[County]]="Derbyshire",Table1[[#This Row],[income]],0)</f>
        <v>0</v>
      </c>
      <c r="DD57" s="6">
        <f ca="1">IF(Table1[[#This Row],[Column1]]="Health",Table1[[#This Row],[income]],0)</f>
        <v>0</v>
      </c>
      <c r="DE57" s="20">
        <f ca="1">IF(Table1[[#This Row],[Column1]]="Agriculture",Table1[[#This Row],[income]],0)</f>
        <v>0</v>
      </c>
      <c r="DF57" s="20">
        <f ca="1">IF(Table1[[#This Row],[Column1]]="Technology",Table1[[#This Row],[income]],0)</f>
        <v>0</v>
      </c>
      <c r="DG57" s="20">
        <f ca="1">IF(Table1[[#This Row],[Column1]]="Social Service",Table1[[#This Row],[income]],0)</f>
        <v>50885</v>
      </c>
      <c r="DH57" s="20">
        <f ca="1">IF(Table1[[#This Row],[Column1]]="Education",Table1[[#This Row],[income]],0)</f>
        <v>0</v>
      </c>
      <c r="DI57" s="5">
        <f ca="1">IF(Table1[[#This Row],[Column1]]="Construction",Table1[[#This Row],[income]],0)</f>
        <v>0</v>
      </c>
      <c r="DK57" s="6">
        <f ca="1">IF(Table1[[#This Row],[Value of Debts]]&gt;Table1[[#This Row],[income]],1,0)</f>
        <v>1</v>
      </c>
      <c r="DL57" s="20"/>
      <c r="DM57" s="20"/>
      <c r="DN57" s="5"/>
      <c r="DP57" s="6">
        <f ca="1">IF(Table1[[#This Row],[Net Worth (£)]]&gt;$DS$5,C57,0)</f>
        <v>0</v>
      </c>
      <c r="DQ57" s="20"/>
      <c r="DR57" s="20"/>
      <c r="DS57" s="5"/>
    </row>
    <row r="58" spans="1:123" x14ac:dyDescent="0.2">
      <c r="A58">
        <f t="shared" ca="1" si="1"/>
        <v>1</v>
      </c>
      <c r="B58" s="1" t="str">
        <f ca="1">IF(A58=1, "men", "women")</f>
        <v>men</v>
      </c>
      <c r="C58" s="1">
        <f ca="1">RANDBETWEEN(25,50)</f>
        <v>30</v>
      </c>
      <c r="D58">
        <f ca="1">RANDBETWEEN(1,6)</f>
        <v>3</v>
      </c>
      <c r="E58" t="str">
        <f ca="1">VLOOKUP(D58,$W$5:$X$10,2)</f>
        <v>Education</v>
      </c>
      <c r="F58">
        <f ca="1">RANDBETWEEN(1,5)</f>
        <v>4</v>
      </c>
      <c r="G58" t="str">
        <f ca="1">VLOOKUP(F58,$Y$5:$Z$9,2)</f>
        <v xml:space="preserve">Technical </v>
      </c>
      <c r="H58">
        <f ca="1">RANDBETWEEN(0,4)</f>
        <v>4</v>
      </c>
      <c r="I58">
        <f ca="1">RANDBETWEEN(1,3)</f>
        <v>3</v>
      </c>
      <c r="J58">
        <f ca="1">RANDBETWEEN(30000,100000)</f>
        <v>44069</v>
      </c>
      <c r="K58">
        <f ca="1">RANDBETWEEN(1,48)</f>
        <v>42</v>
      </c>
      <c r="L58" t="str">
        <f ca="1">VLOOKUP(K58,$AA$5:$AB$52,2)</f>
        <v>Tyne and Wear</v>
      </c>
      <c r="M58">
        <f ca="1">J58*(RANDBETWEEN(2,5))</f>
        <v>176276</v>
      </c>
      <c r="N58">
        <f ca="1">RAND()*M58</f>
        <v>94533.596034535658</v>
      </c>
      <c r="O58">
        <f ca="1">I58*RAND()*J58</f>
        <v>128914.15301752904</v>
      </c>
      <c r="P58">
        <f ca="1">RANDBETWEEN(0,O58)</f>
        <v>76103</v>
      </c>
      <c r="Q58">
        <f ca="1">RAND()*J58*2</f>
        <v>65795.050403160305</v>
      </c>
      <c r="R58">
        <f ca="1">RAND()*J58*1.5</f>
        <v>1608.6055249288397</v>
      </c>
      <c r="S58">
        <f ca="1">J58+R58+O58</f>
        <v>174591.75854245789</v>
      </c>
      <c r="T58">
        <f ca="1">N58+P58+Q58</f>
        <v>236431.64643769598</v>
      </c>
      <c r="U58">
        <f ca="1">S58-T58</f>
        <v>-61839.887895238091</v>
      </c>
      <c r="AC58" s="6">
        <f ca="1">IF(Table1[[#This Row],[gender]]="men",1,0)</f>
        <v>1</v>
      </c>
      <c r="AD58">
        <f ca="1">IF(Table1[[#This Row],[gender]]="women",1,0)</f>
        <v>0</v>
      </c>
      <c r="AH58" s="5"/>
      <c r="AJ58" s="6">
        <f ca="1">IF(Table1[[#This Row],[Column1]]="Health",1,0)</f>
        <v>0</v>
      </c>
      <c r="AK58">
        <f ca="1">IF(Table1[[#This Row],[Column1]]="Construction",1,0)</f>
        <v>0</v>
      </c>
      <c r="AL58">
        <f ca="1">IF(Table1[[#This Row],[Column1]]="Technology",1,0)</f>
        <v>0</v>
      </c>
      <c r="AM58">
        <f ca="1">IF(Table1[[#This Row],[Column1]]="Education",1,0)</f>
        <v>1</v>
      </c>
      <c r="AN58">
        <f ca="1">IF(Table1[[#This Row],[Column1]]="Agriculture",1,0)</f>
        <v>0</v>
      </c>
      <c r="AO58">
        <f ca="1">IF(Table1[[#This Row],[Column1]]="Social Service", 1, 0)</f>
        <v>0</v>
      </c>
      <c r="AT58" s="5"/>
      <c r="AV58" s="17">
        <f t="shared" ca="1" si="0"/>
        <v>14821.825504168008</v>
      </c>
      <c r="AW58" s="5"/>
      <c r="AX58" s="6">
        <f ca="1">IF(Table1[[#This Row],[Value of Debts]]&gt;$AY$4,1,0)</f>
        <v>1</v>
      </c>
      <c r="AY58" s="20"/>
      <c r="AZ58" s="20"/>
      <c r="BA58" s="5"/>
      <c r="BB58" s="25">
        <f ca="1">Table1[[#This Row],[Mortage Left]]/Table1[[#This Row],[Value of House]]</f>
        <v>0.53628171750286857</v>
      </c>
      <c r="BC58" s="20">
        <f t="shared" ca="1" si="2"/>
        <v>0</v>
      </c>
      <c r="BD58" s="20"/>
      <c r="BE58" s="20"/>
      <c r="BF58" s="20"/>
      <c r="BG58" s="6">
        <f ca="1">IF(Table1[[#This Row],[County]]="Cumbria",Table1[[#This Row],[income]],0)</f>
        <v>0</v>
      </c>
      <c r="BH58" s="20">
        <f ca="1">IF(Table1[[#This Row],[County]]="Cheshire",Table1[[#This Row],[income]],0)</f>
        <v>0</v>
      </c>
      <c r="BI58" s="20">
        <f ca="1">IF(Table1[[#This Row],[County]]="Bristol",Table1[[#This Row],[income]],0)</f>
        <v>0</v>
      </c>
      <c r="BJ58" s="20">
        <f ca="1">IF(Table1[[#This Row],[County]]="Surrey",Table1[[#This Row],[income]],0)</f>
        <v>0</v>
      </c>
      <c r="BK58" s="20">
        <f ca="1">IF(Table1[[#This Row],[County]]="Norfolk",Table1[[#This Row],[income]],0)</f>
        <v>0</v>
      </c>
      <c r="BL58" s="20">
        <f ca="1">IF(Table1[[#This Row],[County]]="Lincolnshire",Table1[[#This Row],[income]],0)</f>
        <v>0</v>
      </c>
      <c r="BM58" s="20">
        <f ca="1">IF(Table1[[#This Row],[County]]="Somerset",Table1[[#This Row],[income]],0)</f>
        <v>0</v>
      </c>
      <c r="BN58" s="20">
        <f ca="1">IF(Table1[[#This Row],[County]]="Cambridgeshire",Table1[[#This Row],[income]],0)</f>
        <v>0</v>
      </c>
      <c r="BO58" s="20">
        <f ca="1">IF(Table1[[#This Row],[County]]="South Yorkshire",Table1[[#This Row],[income]],0)</f>
        <v>0</v>
      </c>
      <c r="BP58" s="20">
        <f ca="1">IF(Table1[[#This Row],[County]]="Greater London",Table1[[#This Row],[income]],0)</f>
        <v>0</v>
      </c>
      <c r="BQ58" s="20">
        <f ca="1">IF(Table1[[#This Row],[County]]="Hampshire",Table1[[#This Row],[income]],0)</f>
        <v>0</v>
      </c>
      <c r="BR58" s="20">
        <f ca="1">IF(Table1[[#This Row],[County]]="Gloucestershire",Table1[[#This Row],[income]],0)</f>
        <v>0</v>
      </c>
      <c r="BS58" s="20">
        <f ca="1">IF(Table1[[#This Row],[County]]="West Sussex",Table1[[#This Row],[income]],0)</f>
        <v>0</v>
      </c>
      <c r="BT58" s="20">
        <f ca="1">IF(Table1[[#This Row],[County]]="Devon",Table1[[#This Row],[income]],0)</f>
        <v>0</v>
      </c>
      <c r="BU58" s="20">
        <f ca="1">IF(Table1[[#This Row],[County]]="Berkshire",Table1[[#This Row],[income]],0)</f>
        <v>0</v>
      </c>
      <c r="BV58" s="20">
        <f ca="1">IF(Table1[[#This Row],[County]]="Staffordshire",Table1[[#This Row],[income]],0)</f>
        <v>0</v>
      </c>
      <c r="BW58" s="20">
        <f ca="1">IF(Table1[[#This Row],[County]]="Leicestershire",Table1[[#This Row],[income]],0)</f>
        <v>0</v>
      </c>
      <c r="BX58" s="20">
        <f ca="1">IF(Table1[[#This Row],[County]]="Cornwall",Table1[[#This Row],[income]],0)</f>
        <v>0</v>
      </c>
      <c r="BY58" s="20">
        <f ca="1">IF(Table1[[#This Row],[County]]="Isle of Wight",Table1[[#This Row],[income]],0)</f>
        <v>0</v>
      </c>
      <c r="BZ58" s="20">
        <f ca="1">IF(Table1[[#This Row],[County]]="Surrey",Table1[[#This Row],[income]],0)</f>
        <v>0</v>
      </c>
      <c r="CA58" s="20">
        <f ca="1">IF(Table1[[#This Row],[County]]="Derbyshire",Table1[[#This Row],[income]],0)</f>
        <v>0</v>
      </c>
      <c r="CB58" s="20">
        <f ca="1">IF(Table1[[#This Row],[County]]="City of London",Table1[[#This Row],[income]],0)</f>
        <v>0</v>
      </c>
      <c r="CC58" s="20">
        <f ca="1">IF(Table1[[#This Row],[County]]="Bedfordshire",Table1[[#This Row],[income]],0)</f>
        <v>0</v>
      </c>
      <c r="CD58" s="20">
        <f ca="1">IF(Table1[[#This Row],[County]]="County Durham",Table1[[#This Row],[income]],0)</f>
        <v>0</v>
      </c>
      <c r="CE58" s="20">
        <f ca="1">IF(Table1[[#This Row],[County]]="East Riding of Yorkshire",Table1[[#This Row],[income]],0)</f>
        <v>0</v>
      </c>
      <c r="CF58" s="20">
        <f ca="1">IF(Table1[[#This Row],[County]]="West Yorkshire",Table1[[#This Row],[income]],0)</f>
        <v>0</v>
      </c>
      <c r="CG58" s="20">
        <f ca="1">IF(Table1[[#This Row],[County]]="Essex",Table1[[#This Row],[income]],0)</f>
        <v>0</v>
      </c>
      <c r="CH58" s="20">
        <f ca="1">IF(Table1[[#This Row],[County]]="East Sussex",Table1[[#This Row],[income]],0)</f>
        <v>0</v>
      </c>
      <c r="CI58" s="20">
        <f ca="1">IF(Table1[[#This Row],[County]]="Greater Manchester",Table1[[#This Row],[income]],0)</f>
        <v>0</v>
      </c>
      <c r="CJ58" s="20">
        <f ca="1">IF(Table1[[#This Row],[County]]="Hertfordshire",Table1[[#This Row],[income]],0)</f>
        <v>0</v>
      </c>
      <c r="CK58" s="20">
        <f ca="1">IF(Table1[[#This Row],[County]]="Herefordshire",Table1[[#This Row],[income]],0)</f>
        <v>0</v>
      </c>
      <c r="CL58" s="20">
        <f ca="1">IF(Table1[[#This Row],[County]]="Lancashire",Table1[[#This Row],[income]],0)</f>
        <v>0</v>
      </c>
      <c r="CM58" s="20">
        <f ca="1">IF(Table1[[#This Row],[County]]="Merseyside",Table1[[#This Row],[income]],0)</f>
        <v>0</v>
      </c>
      <c r="CN58" s="20">
        <f ca="1">IF(Table1[[#This Row],[County]]="Northamptonshire",Table1[[#This Row],[income]],0)</f>
        <v>0</v>
      </c>
      <c r="CO58" s="20">
        <f ca="1">IF(Table1[[#This Row],[County]]="Northumberland",Table1[[#This Row],[income]],0)</f>
        <v>0</v>
      </c>
      <c r="CP58" s="20">
        <f ca="1">IF(Table1[[#This Row],[County]]="Wiltshire",Table1[[#This Row],[income]],0)</f>
        <v>0</v>
      </c>
      <c r="CQ58" s="20">
        <f ca="1">IF(Table1[[#This Row],[County]]="West Midlands",Table1[[#This Row],[income]],0)</f>
        <v>0</v>
      </c>
      <c r="CR58" s="20">
        <f ca="1">IF(Table1[[#This Row],[County]]="Warwickshire",Table1[[#This Row],[income]],0)</f>
        <v>0</v>
      </c>
      <c r="CS58" s="20">
        <f ca="1">IF(Table1[[#This Row],[County]]="Tyne and Wear",Table1[[#This Row],[income]],0)</f>
        <v>44069</v>
      </c>
      <c r="CT58" s="20">
        <f ca="1">IF(Table1[[#This Row],[County]]="Worcestershire",Table1[[#This Row],[income]],0)</f>
        <v>0</v>
      </c>
      <c r="CU58" s="20">
        <f ca="1">IF(Table1[[#This Row],[County]]="Rutland",Table1[[#This Row],[income]],0)</f>
        <v>0</v>
      </c>
      <c r="CV58" s="20">
        <f ca="1">IF(Table1[[#This Row],[County]]="Shropshire",Table1[[#This Row],[income]],0)</f>
        <v>0</v>
      </c>
      <c r="CW58" s="20">
        <f ca="1">IF(Table1[[#This Row],[County]]="Dorset",Table1[[#This Row],[income]],0)</f>
        <v>0</v>
      </c>
      <c r="CX58" s="20">
        <f ca="1">IF(Table1[[#This Row],[County]]="Buckinghamshire",Table1[[#This Row],[income]],0)</f>
        <v>0</v>
      </c>
      <c r="CY58" s="20">
        <f ca="1">IF(Table1[[#This Row],[County]]="Suffolk",Table1[[#This Row],[income]],0)</f>
        <v>0</v>
      </c>
      <c r="CZ58" s="20">
        <f ca="1">IF(Table1[[#This Row],[County]]="North Yorkshire",Table1[[#This Row],[income]],0)</f>
        <v>0</v>
      </c>
      <c r="DA58" s="20">
        <f ca="1">IF(Table1[[#This Row],[County]]="Kent",Table1[[#This Row],[income]],0)</f>
        <v>0</v>
      </c>
      <c r="DB58" s="5">
        <f ca="1">IF(Table1[[#This Row],[County]]="Derbyshire",Table1[[#This Row],[income]],0)</f>
        <v>0</v>
      </c>
      <c r="DD58" s="6">
        <f ca="1">IF(Table1[[#This Row],[Column1]]="Health",Table1[[#This Row],[income]],0)</f>
        <v>0</v>
      </c>
      <c r="DE58" s="20">
        <f ca="1">IF(Table1[[#This Row],[Column1]]="Agriculture",Table1[[#This Row],[income]],0)</f>
        <v>0</v>
      </c>
      <c r="DF58" s="20">
        <f ca="1">IF(Table1[[#This Row],[Column1]]="Technology",Table1[[#This Row],[income]],0)</f>
        <v>0</v>
      </c>
      <c r="DG58" s="20">
        <f ca="1">IF(Table1[[#This Row],[Column1]]="Social Service",Table1[[#This Row],[income]],0)</f>
        <v>0</v>
      </c>
      <c r="DH58" s="20">
        <f ca="1">IF(Table1[[#This Row],[Column1]]="Education",Table1[[#This Row],[income]],0)</f>
        <v>44069</v>
      </c>
      <c r="DI58" s="5">
        <f ca="1">IF(Table1[[#This Row],[Column1]]="Construction",Table1[[#This Row],[income]],0)</f>
        <v>0</v>
      </c>
      <c r="DK58" s="6">
        <f ca="1">IF(Table1[[#This Row],[Value of Debts]]&gt;Table1[[#This Row],[income]],1,0)</f>
        <v>1</v>
      </c>
      <c r="DL58" s="20"/>
      <c r="DM58" s="20"/>
      <c r="DN58" s="5"/>
      <c r="DP58" s="6">
        <f ca="1">IF(Table1[[#This Row],[Net Worth (£)]]&gt;$DS$5,C58,0)</f>
        <v>0</v>
      </c>
      <c r="DQ58" s="20"/>
      <c r="DR58" s="20"/>
      <c r="DS58" s="5"/>
    </row>
    <row r="59" spans="1:123" x14ac:dyDescent="0.2">
      <c r="A59">
        <f t="shared" ca="1" si="1"/>
        <v>2</v>
      </c>
      <c r="B59" s="1" t="str">
        <f ca="1">IF(A59=1, "men", "women")</f>
        <v>women</v>
      </c>
      <c r="C59" s="1">
        <f ca="1">RANDBETWEEN(25,50)</f>
        <v>26</v>
      </c>
      <c r="D59">
        <f ca="1">RANDBETWEEN(1,6)</f>
        <v>4</v>
      </c>
      <c r="E59" t="str">
        <f ca="1">VLOOKUP(D59,$W$5:$X$10,2)</f>
        <v>Technology</v>
      </c>
      <c r="F59">
        <f ca="1">RANDBETWEEN(1,5)</f>
        <v>2</v>
      </c>
      <c r="G59" t="str">
        <f ca="1">VLOOKUP(F59,$Y$5:$Z$9,2)</f>
        <v>College</v>
      </c>
      <c r="H59">
        <f ca="1">RANDBETWEEN(0,4)</f>
        <v>2</v>
      </c>
      <c r="I59">
        <f ca="1">RANDBETWEEN(1,3)</f>
        <v>2</v>
      </c>
      <c r="J59">
        <f ca="1">RANDBETWEEN(30000,100000)</f>
        <v>57589</v>
      </c>
      <c r="K59">
        <f ca="1">RANDBETWEEN(1,48)</f>
        <v>10</v>
      </c>
      <c r="L59" t="str">
        <f ca="1">VLOOKUP(K59,$AA$5:$AB$52,2)</f>
        <v>Derbyshire</v>
      </c>
      <c r="M59">
        <f ca="1">J59*(RANDBETWEEN(2,5))</f>
        <v>172767</v>
      </c>
      <c r="N59">
        <f ca="1">RAND()*M59</f>
        <v>52279.924389954147</v>
      </c>
      <c r="O59">
        <f ca="1">I59*RAND()*J59</f>
        <v>29643.651008336015</v>
      </c>
      <c r="P59">
        <f ca="1">RANDBETWEEN(0,O59)</f>
        <v>15857</v>
      </c>
      <c r="Q59">
        <f ca="1">RAND()*J59*2</f>
        <v>85165.768786467932</v>
      </c>
      <c r="R59">
        <f ca="1">RAND()*J59*1.5</f>
        <v>25597.171369784082</v>
      </c>
      <c r="S59">
        <f ca="1">J59+R59+O59</f>
        <v>112829.82237812009</v>
      </c>
      <c r="T59">
        <f ca="1">N59+P59+Q59</f>
        <v>153302.69317642209</v>
      </c>
      <c r="U59">
        <f ca="1">S59-T59</f>
        <v>-40472.870798301999</v>
      </c>
      <c r="AC59" s="6">
        <f ca="1">IF(Table1[[#This Row],[gender]]="men",1,0)</f>
        <v>0</v>
      </c>
      <c r="AD59">
        <f ca="1">IF(Table1[[#This Row],[gender]]="women",1,0)</f>
        <v>1</v>
      </c>
      <c r="AH59" s="5"/>
      <c r="AJ59" s="6">
        <f ca="1">IF(Table1[[#This Row],[Column1]]="Health",1,0)</f>
        <v>0</v>
      </c>
      <c r="AK59">
        <f ca="1">IF(Table1[[#This Row],[Column1]]="Construction",1,0)</f>
        <v>0</v>
      </c>
      <c r="AL59">
        <f ca="1">IF(Table1[[#This Row],[Column1]]="Technology",1,0)</f>
        <v>1</v>
      </c>
      <c r="AM59">
        <f ca="1">IF(Table1[[#This Row],[Column1]]="Education",1,0)</f>
        <v>0</v>
      </c>
      <c r="AN59">
        <f ca="1">IF(Table1[[#This Row],[Column1]]="Agriculture",1,0)</f>
        <v>0</v>
      </c>
      <c r="AO59">
        <f ca="1">IF(Table1[[#This Row],[Column1]]="Social Service", 1, 0)</f>
        <v>0</v>
      </c>
      <c r="AT59" s="5"/>
      <c r="AV59" s="17">
        <f t="shared" ca="1" si="0"/>
        <v>5160.2057941269532</v>
      </c>
      <c r="AW59" s="5"/>
      <c r="AX59" s="6">
        <f ca="1">IF(Table1[[#This Row],[Value of Debts]]&gt;$AY$4,1,0)</f>
        <v>1</v>
      </c>
      <c r="AY59" s="20"/>
      <c r="AZ59" s="20"/>
      <c r="BA59" s="5"/>
      <c r="BB59" s="25">
        <f ca="1">Table1[[#This Row],[Mortage Left]]/Table1[[#This Row],[Value of House]]</f>
        <v>0.30260364762920089</v>
      </c>
      <c r="BC59" s="20">
        <f t="shared" ca="1" si="2"/>
        <v>0</v>
      </c>
      <c r="BD59" s="20"/>
      <c r="BE59" s="20"/>
      <c r="BF59" s="20"/>
      <c r="BG59" s="6">
        <f ca="1">IF(Table1[[#This Row],[County]]="Cumbria",Table1[[#This Row],[income]],0)</f>
        <v>0</v>
      </c>
      <c r="BH59" s="20">
        <f ca="1">IF(Table1[[#This Row],[County]]="Cheshire",Table1[[#This Row],[income]],0)</f>
        <v>0</v>
      </c>
      <c r="BI59" s="20">
        <f ca="1">IF(Table1[[#This Row],[County]]="Bristol",Table1[[#This Row],[income]],0)</f>
        <v>0</v>
      </c>
      <c r="BJ59" s="20">
        <f ca="1">IF(Table1[[#This Row],[County]]="Surrey",Table1[[#This Row],[income]],0)</f>
        <v>0</v>
      </c>
      <c r="BK59" s="20">
        <f ca="1">IF(Table1[[#This Row],[County]]="Norfolk",Table1[[#This Row],[income]],0)</f>
        <v>0</v>
      </c>
      <c r="BL59" s="20">
        <f ca="1">IF(Table1[[#This Row],[County]]="Lincolnshire",Table1[[#This Row],[income]],0)</f>
        <v>0</v>
      </c>
      <c r="BM59" s="20">
        <f ca="1">IF(Table1[[#This Row],[County]]="Somerset",Table1[[#This Row],[income]],0)</f>
        <v>0</v>
      </c>
      <c r="BN59" s="20">
        <f ca="1">IF(Table1[[#This Row],[County]]="Cambridgeshire",Table1[[#This Row],[income]],0)</f>
        <v>0</v>
      </c>
      <c r="BO59" s="20">
        <f ca="1">IF(Table1[[#This Row],[County]]="South Yorkshire",Table1[[#This Row],[income]],0)</f>
        <v>0</v>
      </c>
      <c r="BP59" s="20">
        <f ca="1">IF(Table1[[#This Row],[County]]="Greater London",Table1[[#This Row],[income]],0)</f>
        <v>0</v>
      </c>
      <c r="BQ59" s="20">
        <f ca="1">IF(Table1[[#This Row],[County]]="Hampshire",Table1[[#This Row],[income]],0)</f>
        <v>0</v>
      </c>
      <c r="BR59" s="20">
        <f ca="1">IF(Table1[[#This Row],[County]]="Gloucestershire",Table1[[#This Row],[income]],0)</f>
        <v>0</v>
      </c>
      <c r="BS59" s="20">
        <f ca="1">IF(Table1[[#This Row],[County]]="West Sussex",Table1[[#This Row],[income]],0)</f>
        <v>0</v>
      </c>
      <c r="BT59" s="20">
        <f ca="1">IF(Table1[[#This Row],[County]]="Devon",Table1[[#This Row],[income]],0)</f>
        <v>0</v>
      </c>
      <c r="BU59" s="20">
        <f ca="1">IF(Table1[[#This Row],[County]]="Berkshire",Table1[[#This Row],[income]],0)</f>
        <v>0</v>
      </c>
      <c r="BV59" s="20">
        <f ca="1">IF(Table1[[#This Row],[County]]="Staffordshire",Table1[[#This Row],[income]],0)</f>
        <v>0</v>
      </c>
      <c r="BW59" s="20">
        <f ca="1">IF(Table1[[#This Row],[County]]="Leicestershire",Table1[[#This Row],[income]],0)</f>
        <v>0</v>
      </c>
      <c r="BX59" s="20">
        <f ca="1">IF(Table1[[#This Row],[County]]="Cornwall",Table1[[#This Row],[income]],0)</f>
        <v>0</v>
      </c>
      <c r="BY59" s="20">
        <f ca="1">IF(Table1[[#This Row],[County]]="Isle of Wight",Table1[[#This Row],[income]],0)</f>
        <v>0</v>
      </c>
      <c r="BZ59" s="20">
        <f ca="1">IF(Table1[[#This Row],[County]]="Surrey",Table1[[#This Row],[income]],0)</f>
        <v>0</v>
      </c>
      <c r="CA59" s="20">
        <f ca="1">IF(Table1[[#This Row],[County]]="Derbyshire",Table1[[#This Row],[income]],0)</f>
        <v>57589</v>
      </c>
      <c r="CB59" s="20">
        <f ca="1">IF(Table1[[#This Row],[County]]="City of London",Table1[[#This Row],[income]],0)</f>
        <v>0</v>
      </c>
      <c r="CC59" s="20">
        <f ca="1">IF(Table1[[#This Row],[County]]="Bedfordshire",Table1[[#This Row],[income]],0)</f>
        <v>0</v>
      </c>
      <c r="CD59" s="20">
        <f ca="1">IF(Table1[[#This Row],[County]]="County Durham",Table1[[#This Row],[income]],0)</f>
        <v>0</v>
      </c>
      <c r="CE59" s="20">
        <f ca="1">IF(Table1[[#This Row],[County]]="East Riding of Yorkshire",Table1[[#This Row],[income]],0)</f>
        <v>0</v>
      </c>
      <c r="CF59" s="20">
        <f ca="1">IF(Table1[[#This Row],[County]]="West Yorkshire",Table1[[#This Row],[income]],0)</f>
        <v>0</v>
      </c>
      <c r="CG59" s="20">
        <f ca="1">IF(Table1[[#This Row],[County]]="Essex",Table1[[#This Row],[income]],0)</f>
        <v>0</v>
      </c>
      <c r="CH59" s="20">
        <f ca="1">IF(Table1[[#This Row],[County]]="East Sussex",Table1[[#This Row],[income]],0)</f>
        <v>0</v>
      </c>
      <c r="CI59" s="20">
        <f ca="1">IF(Table1[[#This Row],[County]]="Greater Manchester",Table1[[#This Row],[income]],0)</f>
        <v>0</v>
      </c>
      <c r="CJ59" s="20">
        <f ca="1">IF(Table1[[#This Row],[County]]="Hertfordshire",Table1[[#This Row],[income]],0)</f>
        <v>0</v>
      </c>
      <c r="CK59" s="20">
        <f ca="1">IF(Table1[[#This Row],[County]]="Herefordshire",Table1[[#This Row],[income]],0)</f>
        <v>0</v>
      </c>
      <c r="CL59" s="20">
        <f ca="1">IF(Table1[[#This Row],[County]]="Lancashire",Table1[[#This Row],[income]],0)</f>
        <v>0</v>
      </c>
      <c r="CM59" s="20">
        <f ca="1">IF(Table1[[#This Row],[County]]="Merseyside",Table1[[#This Row],[income]],0)</f>
        <v>0</v>
      </c>
      <c r="CN59" s="20">
        <f ca="1">IF(Table1[[#This Row],[County]]="Northamptonshire",Table1[[#This Row],[income]],0)</f>
        <v>0</v>
      </c>
      <c r="CO59" s="20">
        <f ca="1">IF(Table1[[#This Row],[County]]="Northumberland",Table1[[#This Row],[income]],0)</f>
        <v>0</v>
      </c>
      <c r="CP59" s="20">
        <f ca="1">IF(Table1[[#This Row],[County]]="Wiltshire",Table1[[#This Row],[income]],0)</f>
        <v>0</v>
      </c>
      <c r="CQ59" s="20">
        <f ca="1">IF(Table1[[#This Row],[County]]="West Midlands",Table1[[#This Row],[income]],0)</f>
        <v>0</v>
      </c>
      <c r="CR59" s="20">
        <f ca="1">IF(Table1[[#This Row],[County]]="Warwickshire",Table1[[#This Row],[income]],0)</f>
        <v>0</v>
      </c>
      <c r="CS59" s="20">
        <f ca="1">IF(Table1[[#This Row],[County]]="Tyne and Wear",Table1[[#This Row],[income]],0)</f>
        <v>0</v>
      </c>
      <c r="CT59" s="20">
        <f ca="1">IF(Table1[[#This Row],[County]]="Worcestershire",Table1[[#This Row],[income]],0)</f>
        <v>0</v>
      </c>
      <c r="CU59" s="20">
        <f ca="1">IF(Table1[[#This Row],[County]]="Rutland",Table1[[#This Row],[income]],0)</f>
        <v>0</v>
      </c>
      <c r="CV59" s="20">
        <f ca="1">IF(Table1[[#This Row],[County]]="Shropshire",Table1[[#This Row],[income]],0)</f>
        <v>0</v>
      </c>
      <c r="CW59" s="20">
        <f ca="1">IF(Table1[[#This Row],[County]]="Dorset",Table1[[#This Row],[income]],0)</f>
        <v>0</v>
      </c>
      <c r="CX59" s="20">
        <f ca="1">IF(Table1[[#This Row],[County]]="Buckinghamshire",Table1[[#This Row],[income]],0)</f>
        <v>0</v>
      </c>
      <c r="CY59" s="20">
        <f ca="1">IF(Table1[[#This Row],[County]]="Suffolk",Table1[[#This Row],[income]],0)</f>
        <v>0</v>
      </c>
      <c r="CZ59" s="20">
        <f ca="1">IF(Table1[[#This Row],[County]]="North Yorkshire",Table1[[#This Row],[income]],0)</f>
        <v>0</v>
      </c>
      <c r="DA59" s="20">
        <f ca="1">IF(Table1[[#This Row],[County]]="Kent",Table1[[#This Row],[income]],0)</f>
        <v>0</v>
      </c>
      <c r="DB59" s="5">
        <f ca="1">IF(Table1[[#This Row],[County]]="Derbyshire",Table1[[#This Row],[income]],0)</f>
        <v>57589</v>
      </c>
      <c r="DD59" s="6">
        <f ca="1">IF(Table1[[#This Row],[Column1]]="Health",Table1[[#This Row],[income]],0)</f>
        <v>0</v>
      </c>
      <c r="DE59" s="20">
        <f ca="1">IF(Table1[[#This Row],[Column1]]="Agriculture",Table1[[#This Row],[income]],0)</f>
        <v>0</v>
      </c>
      <c r="DF59" s="20">
        <f ca="1">IF(Table1[[#This Row],[Column1]]="Technology",Table1[[#This Row],[income]],0)</f>
        <v>57589</v>
      </c>
      <c r="DG59" s="20">
        <f ca="1">IF(Table1[[#This Row],[Column1]]="Social Service",Table1[[#This Row],[income]],0)</f>
        <v>0</v>
      </c>
      <c r="DH59" s="20">
        <f ca="1">IF(Table1[[#This Row],[Column1]]="Education",Table1[[#This Row],[income]],0)</f>
        <v>0</v>
      </c>
      <c r="DI59" s="5">
        <f ca="1">IF(Table1[[#This Row],[Column1]]="Construction",Table1[[#This Row],[income]],0)</f>
        <v>0</v>
      </c>
      <c r="DK59" s="6">
        <f ca="1">IF(Table1[[#This Row],[Value of Debts]]&gt;Table1[[#This Row],[income]],1,0)</f>
        <v>1</v>
      </c>
      <c r="DL59" s="20"/>
      <c r="DM59" s="20"/>
      <c r="DN59" s="5"/>
      <c r="DP59" s="6">
        <f ca="1">IF(Table1[[#This Row],[Net Worth (£)]]&gt;$DS$5,C59,0)</f>
        <v>0</v>
      </c>
      <c r="DQ59" s="20"/>
      <c r="DR59" s="20"/>
      <c r="DS59" s="5"/>
    </row>
    <row r="60" spans="1:123" x14ac:dyDescent="0.2">
      <c r="A60">
        <f t="shared" ca="1" si="1"/>
        <v>1</v>
      </c>
      <c r="B60" s="1" t="str">
        <f ca="1">IF(A60=1, "men", "women")</f>
        <v>men</v>
      </c>
      <c r="C60" s="1">
        <f ca="1">RANDBETWEEN(25,50)</f>
        <v>43</v>
      </c>
      <c r="D60">
        <f ca="1">RANDBETWEEN(1,6)</f>
        <v>4</v>
      </c>
      <c r="E60" t="str">
        <f ca="1">VLOOKUP(D60,$W$5:$X$10,2)</f>
        <v>Technology</v>
      </c>
      <c r="F60">
        <f ca="1">RANDBETWEEN(1,5)</f>
        <v>2</v>
      </c>
      <c r="G60" t="str">
        <f ca="1">VLOOKUP(F60,$Y$5:$Z$9,2)</f>
        <v>College</v>
      </c>
      <c r="H60">
        <f ca="1">RANDBETWEEN(0,4)</f>
        <v>4</v>
      </c>
      <c r="I60">
        <f ca="1">RANDBETWEEN(1,3)</f>
        <v>3</v>
      </c>
      <c r="J60">
        <f ca="1">RANDBETWEEN(30000,100000)</f>
        <v>72340</v>
      </c>
      <c r="K60">
        <f ca="1">RANDBETWEEN(1,48)</f>
        <v>23</v>
      </c>
      <c r="L60" t="str">
        <f ca="1">VLOOKUP(K60,$AA$5:$AB$52,2)</f>
        <v>Isle of Wight</v>
      </c>
      <c r="M60">
        <f ca="1">J60*(RANDBETWEEN(2,5))</f>
        <v>217020</v>
      </c>
      <c r="N60">
        <f ca="1">RAND()*M60</f>
        <v>45212.554548000313</v>
      </c>
      <c r="O60">
        <f ca="1">I60*RAND()*J60</f>
        <v>15480.61738238086</v>
      </c>
      <c r="P60">
        <f ca="1">RANDBETWEEN(0,O60)</f>
        <v>4610</v>
      </c>
      <c r="Q60">
        <f ca="1">RAND()*J60*2</f>
        <v>103882.57541243295</v>
      </c>
      <c r="R60">
        <f ca="1">RAND()*J60*1.5</f>
        <v>76682.214152397806</v>
      </c>
      <c r="S60">
        <f ca="1">J60+R60+O60</f>
        <v>164502.83153477867</v>
      </c>
      <c r="T60">
        <f ca="1">N60+P60+Q60</f>
        <v>153705.12996043326</v>
      </c>
      <c r="U60">
        <f ca="1">S60-T60</f>
        <v>10797.70157434541</v>
      </c>
      <c r="AC60" s="6">
        <f ca="1">IF(Table1[[#This Row],[gender]]="men",1,0)</f>
        <v>1</v>
      </c>
      <c r="AD60">
        <f ca="1">IF(Table1[[#This Row],[gender]]="women",1,0)</f>
        <v>0</v>
      </c>
      <c r="AH60" s="5"/>
      <c r="AJ60" s="6">
        <f ca="1">IF(Table1[[#This Row],[Column1]]="Health",1,0)</f>
        <v>0</v>
      </c>
      <c r="AK60">
        <f ca="1">IF(Table1[[#This Row],[Column1]]="Construction",1,0)</f>
        <v>0</v>
      </c>
      <c r="AL60">
        <f ca="1">IF(Table1[[#This Row],[Column1]]="Technology",1,0)</f>
        <v>1</v>
      </c>
      <c r="AM60">
        <f ca="1">IF(Table1[[#This Row],[Column1]]="Education",1,0)</f>
        <v>0</v>
      </c>
      <c r="AN60">
        <f ca="1">IF(Table1[[#This Row],[Column1]]="Agriculture",1,0)</f>
        <v>0</v>
      </c>
      <c r="AO60">
        <f ca="1">IF(Table1[[#This Row],[Column1]]="Social Service", 1, 0)</f>
        <v>0</v>
      </c>
      <c r="AT60" s="5"/>
      <c r="AV60" s="17">
        <f t="shared" ca="1" si="0"/>
        <v>13524.874160802843</v>
      </c>
      <c r="AW60" s="5"/>
      <c r="AX60" s="6">
        <f ca="1">IF(Table1[[#This Row],[Value of Debts]]&gt;$AY$4,1,0)</f>
        <v>1</v>
      </c>
      <c r="AY60" s="20"/>
      <c r="AZ60" s="20"/>
      <c r="BA60" s="5"/>
      <c r="BB60" s="25">
        <f ca="1">Table1[[#This Row],[Mortage Left]]/Table1[[#This Row],[Value of House]]</f>
        <v>0.20833358468344076</v>
      </c>
      <c r="BC60" s="20">
        <f t="shared" ca="1" si="2"/>
        <v>1</v>
      </c>
      <c r="BD60" s="20"/>
      <c r="BE60" s="20"/>
      <c r="BF60" s="20"/>
      <c r="BG60" s="6">
        <f ca="1">IF(Table1[[#This Row],[County]]="Cumbria",Table1[[#This Row],[income]],0)</f>
        <v>0</v>
      </c>
      <c r="BH60" s="20">
        <f ca="1">IF(Table1[[#This Row],[County]]="Cheshire",Table1[[#This Row],[income]],0)</f>
        <v>0</v>
      </c>
      <c r="BI60" s="20">
        <f ca="1">IF(Table1[[#This Row],[County]]="Bristol",Table1[[#This Row],[income]],0)</f>
        <v>0</v>
      </c>
      <c r="BJ60" s="20">
        <f ca="1">IF(Table1[[#This Row],[County]]="Surrey",Table1[[#This Row],[income]],0)</f>
        <v>0</v>
      </c>
      <c r="BK60" s="20">
        <f ca="1">IF(Table1[[#This Row],[County]]="Norfolk",Table1[[#This Row],[income]],0)</f>
        <v>0</v>
      </c>
      <c r="BL60" s="20">
        <f ca="1">IF(Table1[[#This Row],[County]]="Lincolnshire",Table1[[#This Row],[income]],0)</f>
        <v>0</v>
      </c>
      <c r="BM60" s="20">
        <f ca="1">IF(Table1[[#This Row],[County]]="Somerset",Table1[[#This Row],[income]],0)</f>
        <v>0</v>
      </c>
      <c r="BN60" s="20">
        <f ca="1">IF(Table1[[#This Row],[County]]="Cambridgeshire",Table1[[#This Row],[income]],0)</f>
        <v>0</v>
      </c>
      <c r="BO60" s="20">
        <f ca="1">IF(Table1[[#This Row],[County]]="South Yorkshire",Table1[[#This Row],[income]],0)</f>
        <v>0</v>
      </c>
      <c r="BP60" s="20">
        <f ca="1">IF(Table1[[#This Row],[County]]="Greater London",Table1[[#This Row],[income]],0)</f>
        <v>0</v>
      </c>
      <c r="BQ60" s="20">
        <f ca="1">IF(Table1[[#This Row],[County]]="Hampshire",Table1[[#This Row],[income]],0)</f>
        <v>0</v>
      </c>
      <c r="BR60" s="20">
        <f ca="1">IF(Table1[[#This Row],[County]]="Gloucestershire",Table1[[#This Row],[income]],0)</f>
        <v>0</v>
      </c>
      <c r="BS60" s="20">
        <f ca="1">IF(Table1[[#This Row],[County]]="West Sussex",Table1[[#This Row],[income]],0)</f>
        <v>0</v>
      </c>
      <c r="BT60" s="20">
        <f ca="1">IF(Table1[[#This Row],[County]]="Devon",Table1[[#This Row],[income]],0)</f>
        <v>0</v>
      </c>
      <c r="BU60" s="20">
        <f ca="1">IF(Table1[[#This Row],[County]]="Berkshire",Table1[[#This Row],[income]],0)</f>
        <v>0</v>
      </c>
      <c r="BV60" s="20">
        <f ca="1">IF(Table1[[#This Row],[County]]="Staffordshire",Table1[[#This Row],[income]],0)</f>
        <v>0</v>
      </c>
      <c r="BW60" s="20">
        <f ca="1">IF(Table1[[#This Row],[County]]="Leicestershire",Table1[[#This Row],[income]],0)</f>
        <v>0</v>
      </c>
      <c r="BX60" s="20">
        <f ca="1">IF(Table1[[#This Row],[County]]="Cornwall",Table1[[#This Row],[income]],0)</f>
        <v>0</v>
      </c>
      <c r="BY60" s="20">
        <f ca="1">IF(Table1[[#This Row],[County]]="Isle of Wight",Table1[[#This Row],[income]],0)</f>
        <v>72340</v>
      </c>
      <c r="BZ60" s="20">
        <f ca="1">IF(Table1[[#This Row],[County]]="Surrey",Table1[[#This Row],[income]],0)</f>
        <v>0</v>
      </c>
      <c r="CA60" s="20">
        <f ca="1">IF(Table1[[#This Row],[County]]="Derbyshire",Table1[[#This Row],[income]],0)</f>
        <v>0</v>
      </c>
      <c r="CB60" s="20">
        <f ca="1">IF(Table1[[#This Row],[County]]="City of London",Table1[[#This Row],[income]],0)</f>
        <v>0</v>
      </c>
      <c r="CC60" s="20">
        <f ca="1">IF(Table1[[#This Row],[County]]="Bedfordshire",Table1[[#This Row],[income]],0)</f>
        <v>0</v>
      </c>
      <c r="CD60" s="20">
        <f ca="1">IF(Table1[[#This Row],[County]]="County Durham",Table1[[#This Row],[income]],0)</f>
        <v>0</v>
      </c>
      <c r="CE60" s="20">
        <f ca="1">IF(Table1[[#This Row],[County]]="East Riding of Yorkshire",Table1[[#This Row],[income]],0)</f>
        <v>0</v>
      </c>
      <c r="CF60" s="20">
        <f ca="1">IF(Table1[[#This Row],[County]]="West Yorkshire",Table1[[#This Row],[income]],0)</f>
        <v>0</v>
      </c>
      <c r="CG60" s="20">
        <f ca="1">IF(Table1[[#This Row],[County]]="Essex",Table1[[#This Row],[income]],0)</f>
        <v>0</v>
      </c>
      <c r="CH60" s="20">
        <f ca="1">IF(Table1[[#This Row],[County]]="East Sussex",Table1[[#This Row],[income]],0)</f>
        <v>0</v>
      </c>
      <c r="CI60" s="20">
        <f ca="1">IF(Table1[[#This Row],[County]]="Greater Manchester",Table1[[#This Row],[income]],0)</f>
        <v>0</v>
      </c>
      <c r="CJ60" s="20">
        <f ca="1">IF(Table1[[#This Row],[County]]="Hertfordshire",Table1[[#This Row],[income]],0)</f>
        <v>0</v>
      </c>
      <c r="CK60" s="20">
        <f ca="1">IF(Table1[[#This Row],[County]]="Herefordshire",Table1[[#This Row],[income]],0)</f>
        <v>0</v>
      </c>
      <c r="CL60" s="20">
        <f ca="1">IF(Table1[[#This Row],[County]]="Lancashire",Table1[[#This Row],[income]],0)</f>
        <v>0</v>
      </c>
      <c r="CM60" s="20">
        <f ca="1">IF(Table1[[#This Row],[County]]="Merseyside",Table1[[#This Row],[income]],0)</f>
        <v>0</v>
      </c>
      <c r="CN60" s="20">
        <f ca="1">IF(Table1[[#This Row],[County]]="Northamptonshire",Table1[[#This Row],[income]],0)</f>
        <v>0</v>
      </c>
      <c r="CO60" s="20">
        <f ca="1">IF(Table1[[#This Row],[County]]="Northumberland",Table1[[#This Row],[income]],0)</f>
        <v>0</v>
      </c>
      <c r="CP60" s="20">
        <f ca="1">IF(Table1[[#This Row],[County]]="Wiltshire",Table1[[#This Row],[income]],0)</f>
        <v>0</v>
      </c>
      <c r="CQ60" s="20">
        <f ca="1">IF(Table1[[#This Row],[County]]="West Midlands",Table1[[#This Row],[income]],0)</f>
        <v>0</v>
      </c>
      <c r="CR60" s="20">
        <f ca="1">IF(Table1[[#This Row],[County]]="Warwickshire",Table1[[#This Row],[income]],0)</f>
        <v>0</v>
      </c>
      <c r="CS60" s="20">
        <f ca="1">IF(Table1[[#This Row],[County]]="Tyne and Wear",Table1[[#This Row],[income]],0)</f>
        <v>0</v>
      </c>
      <c r="CT60" s="20">
        <f ca="1">IF(Table1[[#This Row],[County]]="Worcestershire",Table1[[#This Row],[income]],0)</f>
        <v>0</v>
      </c>
      <c r="CU60" s="20">
        <f ca="1">IF(Table1[[#This Row],[County]]="Rutland",Table1[[#This Row],[income]],0)</f>
        <v>0</v>
      </c>
      <c r="CV60" s="20">
        <f ca="1">IF(Table1[[#This Row],[County]]="Shropshire",Table1[[#This Row],[income]],0)</f>
        <v>0</v>
      </c>
      <c r="CW60" s="20">
        <f ca="1">IF(Table1[[#This Row],[County]]="Dorset",Table1[[#This Row],[income]],0)</f>
        <v>0</v>
      </c>
      <c r="CX60" s="20">
        <f ca="1">IF(Table1[[#This Row],[County]]="Buckinghamshire",Table1[[#This Row],[income]],0)</f>
        <v>0</v>
      </c>
      <c r="CY60" s="20">
        <f ca="1">IF(Table1[[#This Row],[County]]="Suffolk",Table1[[#This Row],[income]],0)</f>
        <v>0</v>
      </c>
      <c r="CZ60" s="20">
        <f ca="1">IF(Table1[[#This Row],[County]]="North Yorkshire",Table1[[#This Row],[income]],0)</f>
        <v>0</v>
      </c>
      <c r="DA60" s="20">
        <f ca="1">IF(Table1[[#This Row],[County]]="Kent",Table1[[#This Row],[income]],0)</f>
        <v>0</v>
      </c>
      <c r="DB60" s="5">
        <f ca="1">IF(Table1[[#This Row],[County]]="Derbyshire",Table1[[#This Row],[income]],0)</f>
        <v>0</v>
      </c>
      <c r="DD60" s="6">
        <f ca="1">IF(Table1[[#This Row],[Column1]]="Health",Table1[[#This Row],[income]],0)</f>
        <v>0</v>
      </c>
      <c r="DE60" s="20">
        <f ca="1">IF(Table1[[#This Row],[Column1]]="Agriculture",Table1[[#This Row],[income]],0)</f>
        <v>0</v>
      </c>
      <c r="DF60" s="20">
        <f ca="1">IF(Table1[[#This Row],[Column1]]="Technology",Table1[[#This Row],[income]],0)</f>
        <v>72340</v>
      </c>
      <c r="DG60" s="20">
        <f ca="1">IF(Table1[[#This Row],[Column1]]="Social Service",Table1[[#This Row],[income]],0)</f>
        <v>0</v>
      </c>
      <c r="DH60" s="20">
        <f ca="1">IF(Table1[[#This Row],[Column1]]="Education",Table1[[#This Row],[income]],0)</f>
        <v>0</v>
      </c>
      <c r="DI60" s="5">
        <f ca="1">IF(Table1[[#This Row],[Column1]]="Construction",Table1[[#This Row],[income]],0)</f>
        <v>0</v>
      </c>
      <c r="DK60" s="6">
        <f ca="1">IF(Table1[[#This Row],[Value of Debts]]&gt;Table1[[#This Row],[income]],1,0)</f>
        <v>1</v>
      </c>
      <c r="DL60" s="20"/>
      <c r="DM60" s="20"/>
      <c r="DN60" s="5"/>
      <c r="DP60" s="6">
        <f ca="1">IF(Table1[[#This Row],[Net Worth (£)]]&gt;$DS$5,C60,0)</f>
        <v>0</v>
      </c>
      <c r="DQ60" s="20"/>
      <c r="DR60" s="20"/>
      <c r="DS60" s="5"/>
    </row>
    <row r="61" spans="1:123" x14ac:dyDescent="0.2">
      <c r="A61">
        <f t="shared" ca="1" si="1"/>
        <v>1</v>
      </c>
      <c r="B61" s="1" t="str">
        <f ca="1">IF(A61=1, "men", "women")</f>
        <v>men</v>
      </c>
      <c r="C61" s="1">
        <f ca="1">RANDBETWEEN(25,50)</f>
        <v>42</v>
      </c>
      <c r="D61">
        <f ca="1">RANDBETWEEN(1,6)</f>
        <v>4</v>
      </c>
      <c r="E61" t="str">
        <f ca="1">VLOOKUP(D61,$W$5:$X$10,2)</f>
        <v>Technology</v>
      </c>
      <c r="F61">
        <f ca="1">RANDBETWEEN(1,5)</f>
        <v>2</v>
      </c>
      <c r="G61" t="str">
        <f ca="1">VLOOKUP(F61,$Y$5:$Z$9,2)</f>
        <v>College</v>
      </c>
      <c r="H61">
        <f ca="1">RANDBETWEEN(0,4)</f>
        <v>0</v>
      </c>
      <c r="I61">
        <f ca="1">RANDBETWEEN(1,3)</f>
        <v>1</v>
      </c>
      <c r="J61">
        <f ca="1">RANDBETWEEN(30000,100000)</f>
        <v>59234</v>
      </c>
      <c r="K61">
        <f ca="1">RANDBETWEEN(1,48)</f>
        <v>11</v>
      </c>
      <c r="L61" t="str">
        <f ca="1">VLOOKUP(K61,$AA$5:$AB$52,2)</f>
        <v>Devon</v>
      </c>
      <c r="M61">
        <f ca="1">J61*(RANDBETWEEN(2,5))</f>
        <v>177702</v>
      </c>
      <c r="N61">
        <f ca="1">RAND()*M61</f>
        <v>15928.755895621889</v>
      </c>
      <c r="O61">
        <f ca="1">I61*RAND()*J61</f>
        <v>13524.874160802843</v>
      </c>
      <c r="P61">
        <f ca="1">RANDBETWEEN(0,O61)</f>
        <v>6511</v>
      </c>
      <c r="Q61">
        <f ca="1">RAND()*J61*2</f>
        <v>76457.453729029337</v>
      </c>
      <c r="R61">
        <f ca="1">RAND()*J61*1.5</f>
        <v>32558.979347246441</v>
      </c>
      <c r="S61">
        <f ca="1">J61+R61+O61</f>
        <v>105317.85350804927</v>
      </c>
      <c r="T61">
        <f ca="1">N61+P61+Q61</f>
        <v>98897.209624651223</v>
      </c>
      <c r="U61">
        <f ca="1">S61-T61</f>
        <v>6420.6438833980501</v>
      </c>
      <c r="AC61" s="6">
        <f ca="1">IF(Table1[[#This Row],[gender]]="men",1,0)</f>
        <v>1</v>
      </c>
      <c r="AD61">
        <f ca="1">IF(Table1[[#This Row],[gender]]="women",1,0)</f>
        <v>0</v>
      </c>
      <c r="AH61" s="5"/>
      <c r="AJ61" s="6">
        <f ca="1">IF(Table1[[#This Row],[Column1]]="Health",1,0)</f>
        <v>0</v>
      </c>
      <c r="AK61">
        <f ca="1">IF(Table1[[#This Row],[Column1]]="Construction",1,0)</f>
        <v>0</v>
      </c>
      <c r="AL61">
        <f ca="1">IF(Table1[[#This Row],[Column1]]="Technology",1,0)</f>
        <v>1</v>
      </c>
      <c r="AM61">
        <f ca="1">IF(Table1[[#This Row],[Column1]]="Education",1,0)</f>
        <v>0</v>
      </c>
      <c r="AN61">
        <f ca="1">IF(Table1[[#This Row],[Column1]]="Agriculture",1,0)</f>
        <v>0</v>
      </c>
      <c r="AO61">
        <f ca="1">IF(Table1[[#This Row],[Column1]]="Social Service", 1, 0)</f>
        <v>0</v>
      </c>
      <c r="AT61" s="5"/>
      <c r="AV61" s="17">
        <f t="shared" ca="1" si="0"/>
        <v>5811.9699230968508</v>
      </c>
      <c r="AW61" s="5"/>
      <c r="AX61" s="6">
        <f ca="1">IF(Table1[[#This Row],[Value of Debts]]&gt;$AY$4,1,0)</f>
        <v>0</v>
      </c>
      <c r="AY61" s="20"/>
      <c r="AZ61" s="20"/>
      <c r="BA61" s="5"/>
      <c r="BB61" s="25">
        <f ca="1">Table1[[#This Row],[Mortage Left]]/Table1[[#This Row],[Value of House]]</f>
        <v>8.9637459880147041E-2</v>
      </c>
      <c r="BC61" s="20">
        <f t="shared" ca="1" si="2"/>
        <v>1</v>
      </c>
      <c r="BD61" s="20"/>
      <c r="BE61" s="20"/>
      <c r="BF61" s="20"/>
      <c r="BG61" s="6">
        <f ca="1">IF(Table1[[#This Row],[County]]="Cumbria",Table1[[#This Row],[income]],0)</f>
        <v>0</v>
      </c>
      <c r="BH61" s="20">
        <f ca="1">IF(Table1[[#This Row],[County]]="Cheshire",Table1[[#This Row],[income]],0)</f>
        <v>0</v>
      </c>
      <c r="BI61" s="20">
        <f ca="1">IF(Table1[[#This Row],[County]]="Bristol",Table1[[#This Row],[income]],0)</f>
        <v>0</v>
      </c>
      <c r="BJ61" s="20">
        <f ca="1">IF(Table1[[#This Row],[County]]="Surrey",Table1[[#This Row],[income]],0)</f>
        <v>0</v>
      </c>
      <c r="BK61" s="20">
        <f ca="1">IF(Table1[[#This Row],[County]]="Norfolk",Table1[[#This Row],[income]],0)</f>
        <v>0</v>
      </c>
      <c r="BL61" s="20">
        <f ca="1">IF(Table1[[#This Row],[County]]="Lincolnshire",Table1[[#This Row],[income]],0)</f>
        <v>0</v>
      </c>
      <c r="BM61" s="20">
        <f ca="1">IF(Table1[[#This Row],[County]]="Somerset",Table1[[#This Row],[income]],0)</f>
        <v>0</v>
      </c>
      <c r="BN61" s="20">
        <f ca="1">IF(Table1[[#This Row],[County]]="Cambridgeshire",Table1[[#This Row],[income]],0)</f>
        <v>0</v>
      </c>
      <c r="BO61" s="20">
        <f ca="1">IF(Table1[[#This Row],[County]]="South Yorkshire",Table1[[#This Row],[income]],0)</f>
        <v>0</v>
      </c>
      <c r="BP61" s="20">
        <f ca="1">IF(Table1[[#This Row],[County]]="Greater London",Table1[[#This Row],[income]],0)</f>
        <v>0</v>
      </c>
      <c r="BQ61" s="20">
        <f ca="1">IF(Table1[[#This Row],[County]]="Hampshire",Table1[[#This Row],[income]],0)</f>
        <v>0</v>
      </c>
      <c r="BR61" s="20">
        <f ca="1">IF(Table1[[#This Row],[County]]="Gloucestershire",Table1[[#This Row],[income]],0)</f>
        <v>0</v>
      </c>
      <c r="BS61" s="20">
        <f ca="1">IF(Table1[[#This Row],[County]]="West Sussex",Table1[[#This Row],[income]],0)</f>
        <v>0</v>
      </c>
      <c r="BT61" s="20">
        <f ca="1">IF(Table1[[#This Row],[County]]="Devon",Table1[[#This Row],[income]],0)</f>
        <v>59234</v>
      </c>
      <c r="BU61" s="20">
        <f ca="1">IF(Table1[[#This Row],[County]]="Berkshire",Table1[[#This Row],[income]],0)</f>
        <v>0</v>
      </c>
      <c r="BV61" s="20">
        <f ca="1">IF(Table1[[#This Row],[County]]="Staffordshire",Table1[[#This Row],[income]],0)</f>
        <v>0</v>
      </c>
      <c r="BW61" s="20">
        <f ca="1">IF(Table1[[#This Row],[County]]="Leicestershire",Table1[[#This Row],[income]],0)</f>
        <v>0</v>
      </c>
      <c r="BX61" s="20">
        <f ca="1">IF(Table1[[#This Row],[County]]="Cornwall",Table1[[#This Row],[income]],0)</f>
        <v>0</v>
      </c>
      <c r="BY61" s="20">
        <f ca="1">IF(Table1[[#This Row],[County]]="Isle of Wight",Table1[[#This Row],[income]],0)</f>
        <v>0</v>
      </c>
      <c r="BZ61" s="20">
        <f ca="1">IF(Table1[[#This Row],[County]]="Surrey",Table1[[#This Row],[income]],0)</f>
        <v>0</v>
      </c>
      <c r="CA61" s="20">
        <f ca="1">IF(Table1[[#This Row],[County]]="Derbyshire",Table1[[#This Row],[income]],0)</f>
        <v>0</v>
      </c>
      <c r="CB61" s="20">
        <f ca="1">IF(Table1[[#This Row],[County]]="City of London",Table1[[#This Row],[income]],0)</f>
        <v>0</v>
      </c>
      <c r="CC61" s="20">
        <f ca="1">IF(Table1[[#This Row],[County]]="Bedfordshire",Table1[[#This Row],[income]],0)</f>
        <v>0</v>
      </c>
      <c r="CD61" s="20">
        <f ca="1">IF(Table1[[#This Row],[County]]="County Durham",Table1[[#This Row],[income]],0)</f>
        <v>0</v>
      </c>
      <c r="CE61" s="20">
        <f ca="1">IF(Table1[[#This Row],[County]]="East Riding of Yorkshire",Table1[[#This Row],[income]],0)</f>
        <v>0</v>
      </c>
      <c r="CF61" s="20">
        <f ca="1">IF(Table1[[#This Row],[County]]="West Yorkshire",Table1[[#This Row],[income]],0)</f>
        <v>0</v>
      </c>
      <c r="CG61" s="20">
        <f ca="1">IF(Table1[[#This Row],[County]]="Essex",Table1[[#This Row],[income]],0)</f>
        <v>0</v>
      </c>
      <c r="CH61" s="20">
        <f ca="1">IF(Table1[[#This Row],[County]]="East Sussex",Table1[[#This Row],[income]],0)</f>
        <v>0</v>
      </c>
      <c r="CI61" s="20">
        <f ca="1">IF(Table1[[#This Row],[County]]="Greater Manchester",Table1[[#This Row],[income]],0)</f>
        <v>0</v>
      </c>
      <c r="CJ61" s="20">
        <f ca="1">IF(Table1[[#This Row],[County]]="Hertfordshire",Table1[[#This Row],[income]],0)</f>
        <v>0</v>
      </c>
      <c r="CK61" s="20">
        <f ca="1">IF(Table1[[#This Row],[County]]="Herefordshire",Table1[[#This Row],[income]],0)</f>
        <v>0</v>
      </c>
      <c r="CL61" s="20">
        <f ca="1">IF(Table1[[#This Row],[County]]="Lancashire",Table1[[#This Row],[income]],0)</f>
        <v>0</v>
      </c>
      <c r="CM61" s="20">
        <f ca="1">IF(Table1[[#This Row],[County]]="Merseyside",Table1[[#This Row],[income]],0)</f>
        <v>0</v>
      </c>
      <c r="CN61" s="20">
        <f ca="1">IF(Table1[[#This Row],[County]]="Northamptonshire",Table1[[#This Row],[income]],0)</f>
        <v>0</v>
      </c>
      <c r="CO61" s="20">
        <f ca="1">IF(Table1[[#This Row],[County]]="Northumberland",Table1[[#This Row],[income]],0)</f>
        <v>0</v>
      </c>
      <c r="CP61" s="20">
        <f ca="1">IF(Table1[[#This Row],[County]]="Wiltshire",Table1[[#This Row],[income]],0)</f>
        <v>0</v>
      </c>
      <c r="CQ61" s="20">
        <f ca="1">IF(Table1[[#This Row],[County]]="West Midlands",Table1[[#This Row],[income]],0)</f>
        <v>0</v>
      </c>
      <c r="CR61" s="20">
        <f ca="1">IF(Table1[[#This Row],[County]]="Warwickshire",Table1[[#This Row],[income]],0)</f>
        <v>0</v>
      </c>
      <c r="CS61" s="20">
        <f ca="1">IF(Table1[[#This Row],[County]]="Tyne and Wear",Table1[[#This Row],[income]],0)</f>
        <v>0</v>
      </c>
      <c r="CT61" s="20">
        <f ca="1">IF(Table1[[#This Row],[County]]="Worcestershire",Table1[[#This Row],[income]],0)</f>
        <v>0</v>
      </c>
      <c r="CU61" s="20">
        <f ca="1">IF(Table1[[#This Row],[County]]="Rutland",Table1[[#This Row],[income]],0)</f>
        <v>0</v>
      </c>
      <c r="CV61" s="20">
        <f ca="1">IF(Table1[[#This Row],[County]]="Shropshire",Table1[[#This Row],[income]],0)</f>
        <v>0</v>
      </c>
      <c r="CW61" s="20">
        <f ca="1">IF(Table1[[#This Row],[County]]="Dorset",Table1[[#This Row],[income]],0)</f>
        <v>0</v>
      </c>
      <c r="CX61" s="20">
        <f ca="1">IF(Table1[[#This Row],[County]]="Buckinghamshire",Table1[[#This Row],[income]],0)</f>
        <v>0</v>
      </c>
      <c r="CY61" s="20">
        <f ca="1">IF(Table1[[#This Row],[County]]="Suffolk",Table1[[#This Row],[income]],0)</f>
        <v>0</v>
      </c>
      <c r="CZ61" s="20">
        <f ca="1">IF(Table1[[#This Row],[County]]="North Yorkshire",Table1[[#This Row],[income]],0)</f>
        <v>0</v>
      </c>
      <c r="DA61" s="20">
        <f ca="1">IF(Table1[[#This Row],[County]]="Kent",Table1[[#This Row],[income]],0)</f>
        <v>0</v>
      </c>
      <c r="DB61" s="5">
        <f ca="1">IF(Table1[[#This Row],[County]]="Derbyshire",Table1[[#This Row],[income]],0)</f>
        <v>0</v>
      </c>
      <c r="DD61" s="6">
        <f ca="1">IF(Table1[[#This Row],[Column1]]="Health",Table1[[#This Row],[income]],0)</f>
        <v>0</v>
      </c>
      <c r="DE61" s="20">
        <f ca="1">IF(Table1[[#This Row],[Column1]]="Agriculture",Table1[[#This Row],[income]],0)</f>
        <v>0</v>
      </c>
      <c r="DF61" s="20">
        <f ca="1">IF(Table1[[#This Row],[Column1]]="Technology",Table1[[#This Row],[income]],0)</f>
        <v>59234</v>
      </c>
      <c r="DG61" s="20">
        <f ca="1">IF(Table1[[#This Row],[Column1]]="Social Service",Table1[[#This Row],[income]],0)</f>
        <v>0</v>
      </c>
      <c r="DH61" s="20">
        <f ca="1">IF(Table1[[#This Row],[Column1]]="Education",Table1[[#This Row],[income]],0)</f>
        <v>0</v>
      </c>
      <c r="DI61" s="5">
        <f ca="1">IF(Table1[[#This Row],[Column1]]="Construction",Table1[[#This Row],[income]],0)</f>
        <v>0</v>
      </c>
      <c r="DK61" s="6">
        <f ca="1">IF(Table1[[#This Row],[Value of Debts]]&gt;Table1[[#This Row],[income]],1,0)</f>
        <v>1</v>
      </c>
      <c r="DL61" s="20"/>
      <c r="DM61" s="20"/>
      <c r="DN61" s="5"/>
      <c r="DP61" s="6">
        <f ca="1">IF(Table1[[#This Row],[Net Worth (£)]]&gt;$DS$5,C61,0)</f>
        <v>0</v>
      </c>
      <c r="DQ61" s="20"/>
      <c r="DR61" s="20"/>
      <c r="DS61" s="5"/>
    </row>
    <row r="62" spans="1:123" x14ac:dyDescent="0.2">
      <c r="A62">
        <f t="shared" ca="1" si="1"/>
        <v>1</v>
      </c>
      <c r="B62" s="1" t="str">
        <f ca="1">IF(A62=1, "men", "women")</f>
        <v>men</v>
      </c>
      <c r="C62" s="1">
        <f ca="1">RANDBETWEEN(25,50)</f>
        <v>32</v>
      </c>
      <c r="D62">
        <f ca="1">RANDBETWEEN(1,6)</f>
        <v>2</v>
      </c>
      <c r="E62" t="str">
        <f ca="1">VLOOKUP(D62,$W$5:$X$10,2)</f>
        <v>Construction</v>
      </c>
      <c r="F62">
        <f ca="1">RANDBETWEEN(1,5)</f>
        <v>2</v>
      </c>
      <c r="G62" t="str">
        <f ca="1">VLOOKUP(F62,$Y$5:$Z$9,2)</f>
        <v>College</v>
      </c>
      <c r="H62">
        <f ca="1">RANDBETWEEN(0,4)</f>
        <v>4</v>
      </c>
      <c r="I62">
        <f ca="1">RANDBETWEEN(1,3)</f>
        <v>2</v>
      </c>
      <c r="J62">
        <f ca="1">RANDBETWEEN(30000,100000)</f>
        <v>92652</v>
      </c>
      <c r="K62">
        <f ca="1">RANDBETWEEN(1,48)</f>
        <v>27</v>
      </c>
      <c r="L62" t="str">
        <f ca="1">VLOOKUP(K62,$AA$5:$AB$52,2)</f>
        <v>Merseyside</v>
      </c>
      <c r="M62">
        <f ca="1">J62*(RANDBETWEEN(2,5))</f>
        <v>463260</v>
      </c>
      <c r="N62">
        <f ca="1">RAND()*M62</f>
        <v>322570.75022937846</v>
      </c>
      <c r="O62">
        <f ca="1">I62*RAND()*J62</f>
        <v>11623.939846193702</v>
      </c>
      <c r="P62">
        <f ca="1">RANDBETWEEN(0,O62)</f>
        <v>7981</v>
      </c>
      <c r="Q62">
        <f ca="1">RAND()*J62*2</f>
        <v>113014.83108828969</v>
      </c>
      <c r="R62">
        <f ca="1">RAND()*J62*1.5</f>
        <v>85663.327293135953</v>
      </c>
      <c r="S62">
        <f ca="1">J62+R62+O62</f>
        <v>189939.26713932966</v>
      </c>
      <c r="T62">
        <f ca="1">N62+P62+Q62</f>
        <v>443566.58131766814</v>
      </c>
      <c r="U62">
        <f ca="1">S62-T62</f>
        <v>-253627.31417833848</v>
      </c>
      <c r="AC62" s="6">
        <f ca="1">IF(Table1[[#This Row],[gender]]="men",1,0)</f>
        <v>1</v>
      </c>
      <c r="AD62">
        <f ca="1">IF(Table1[[#This Row],[gender]]="women",1,0)</f>
        <v>0</v>
      </c>
      <c r="AH62" s="5"/>
      <c r="AJ62" s="6">
        <f ca="1">IF(Table1[[#This Row],[Column1]]="Health",1,0)</f>
        <v>0</v>
      </c>
      <c r="AK62">
        <f ca="1">IF(Table1[[#This Row],[Column1]]="Construction",1,0)</f>
        <v>1</v>
      </c>
      <c r="AL62">
        <f ca="1">IF(Table1[[#This Row],[Column1]]="Technology",1,0)</f>
        <v>0</v>
      </c>
      <c r="AM62">
        <f ca="1">IF(Table1[[#This Row],[Column1]]="Education",1,0)</f>
        <v>0</v>
      </c>
      <c r="AN62">
        <f ca="1">IF(Table1[[#This Row],[Column1]]="Agriculture",1,0)</f>
        <v>0</v>
      </c>
      <c r="AO62">
        <f ca="1">IF(Table1[[#This Row],[Column1]]="Social Service", 1, 0)</f>
        <v>0</v>
      </c>
      <c r="AT62" s="5"/>
      <c r="AV62" s="17">
        <f t="shared" ca="1" si="0"/>
        <v>10353.166149447647</v>
      </c>
      <c r="AW62" s="5"/>
      <c r="AX62" s="6">
        <f ca="1">IF(Table1[[#This Row],[Value of Debts]]&gt;$AY$4,1,0)</f>
        <v>1</v>
      </c>
      <c r="AY62" s="20"/>
      <c r="AZ62" s="20"/>
      <c r="BA62" s="5"/>
      <c r="BB62" s="25">
        <f ca="1">Table1[[#This Row],[Mortage Left]]/Table1[[#This Row],[Value of House]]</f>
        <v>0.69630607052061144</v>
      </c>
      <c r="BC62" s="20">
        <f t="shared" ca="1" si="2"/>
        <v>0</v>
      </c>
      <c r="BD62" s="20"/>
      <c r="BE62" s="20"/>
      <c r="BF62" s="20"/>
      <c r="BG62" s="6">
        <f ca="1">IF(Table1[[#This Row],[County]]="Cumbria",Table1[[#This Row],[income]],0)</f>
        <v>0</v>
      </c>
      <c r="BH62" s="20">
        <f ca="1">IF(Table1[[#This Row],[County]]="Cheshire",Table1[[#This Row],[income]],0)</f>
        <v>0</v>
      </c>
      <c r="BI62" s="20">
        <f ca="1">IF(Table1[[#This Row],[County]]="Bristol",Table1[[#This Row],[income]],0)</f>
        <v>0</v>
      </c>
      <c r="BJ62" s="20">
        <f ca="1">IF(Table1[[#This Row],[County]]="Surrey",Table1[[#This Row],[income]],0)</f>
        <v>0</v>
      </c>
      <c r="BK62" s="20">
        <f ca="1">IF(Table1[[#This Row],[County]]="Norfolk",Table1[[#This Row],[income]],0)</f>
        <v>0</v>
      </c>
      <c r="BL62" s="20">
        <f ca="1">IF(Table1[[#This Row],[County]]="Lincolnshire",Table1[[#This Row],[income]],0)</f>
        <v>0</v>
      </c>
      <c r="BM62" s="20">
        <f ca="1">IF(Table1[[#This Row],[County]]="Somerset",Table1[[#This Row],[income]],0)</f>
        <v>0</v>
      </c>
      <c r="BN62" s="20">
        <f ca="1">IF(Table1[[#This Row],[County]]="Cambridgeshire",Table1[[#This Row],[income]],0)</f>
        <v>0</v>
      </c>
      <c r="BO62" s="20">
        <f ca="1">IF(Table1[[#This Row],[County]]="South Yorkshire",Table1[[#This Row],[income]],0)</f>
        <v>0</v>
      </c>
      <c r="BP62" s="20">
        <f ca="1">IF(Table1[[#This Row],[County]]="Greater London",Table1[[#This Row],[income]],0)</f>
        <v>0</v>
      </c>
      <c r="BQ62" s="20">
        <f ca="1">IF(Table1[[#This Row],[County]]="Hampshire",Table1[[#This Row],[income]],0)</f>
        <v>0</v>
      </c>
      <c r="BR62" s="20">
        <f ca="1">IF(Table1[[#This Row],[County]]="Gloucestershire",Table1[[#This Row],[income]],0)</f>
        <v>0</v>
      </c>
      <c r="BS62" s="20">
        <f ca="1">IF(Table1[[#This Row],[County]]="West Sussex",Table1[[#This Row],[income]],0)</f>
        <v>0</v>
      </c>
      <c r="BT62" s="20">
        <f ca="1">IF(Table1[[#This Row],[County]]="Devon",Table1[[#This Row],[income]],0)</f>
        <v>0</v>
      </c>
      <c r="BU62" s="20">
        <f ca="1">IF(Table1[[#This Row],[County]]="Berkshire",Table1[[#This Row],[income]],0)</f>
        <v>0</v>
      </c>
      <c r="BV62" s="20">
        <f ca="1">IF(Table1[[#This Row],[County]]="Staffordshire",Table1[[#This Row],[income]],0)</f>
        <v>0</v>
      </c>
      <c r="BW62" s="20">
        <f ca="1">IF(Table1[[#This Row],[County]]="Leicestershire",Table1[[#This Row],[income]],0)</f>
        <v>0</v>
      </c>
      <c r="BX62" s="20">
        <f ca="1">IF(Table1[[#This Row],[County]]="Cornwall",Table1[[#This Row],[income]],0)</f>
        <v>0</v>
      </c>
      <c r="BY62" s="20">
        <f ca="1">IF(Table1[[#This Row],[County]]="Isle of Wight",Table1[[#This Row],[income]],0)</f>
        <v>0</v>
      </c>
      <c r="BZ62" s="20">
        <f ca="1">IF(Table1[[#This Row],[County]]="Surrey",Table1[[#This Row],[income]],0)</f>
        <v>0</v>
      </c>
      <c r="CA62" s="20">
        <f ca="1">IF(Table1[[#This Row],[County]]="Derbyshire",Table1[[#This Row],[income]],0)</f>
        <v>0</v>
      </c>
      <c r="CB62" s="20">
        <f ca="1">IF(Table1[[#This Row],[County]]="City of London",Table1[[#This Row],[income]],0)</f>
        <v>0</v>
      </c>
      <c r="CC62" s="20">
        <f ca="1">IF(Table1[[#This Row],[County]]="Bedfordshire",Table1[[#This Row],[income]],0)</f>
        <v>0</v>
      </c>
      <c r="CD62" s="20">
        <f ca="1">IF(Table1[[#This Row],[County]]="County Durham",Table1[[#This Row],[income]],0)</f>
        <v>0</v>
      </c>
      <c r="CE62" s="20">
        <f ca="1">IF(Table1[[#This Row],[County]]="East Riding of Yorkshire",Table1[[#This Row],[income]],0)</f>
        <v>0</v>
      </c>
      <c r="CF62" s="20">
        <f ca="1">IF(Table1[[#This Row],[County]]="West Yorkshire",Table1[[#This Row],[income]],0)</f>
        <v>0</v>
      </c>
      <c r="CG62" s="20">
        <f ca="1">IF(Table1[[#This Row],[County]]="Essex",Table1[[#This Row],[income]],0)</f>
        <v>0</v>
      </c>
      <c r="CH62" s="20">
        <f ca="1">IF(Table1[[#This Row],[County]]="East Sussex",Table1[[#This Row],[income]],0)</f>
        <v>0</v>
      </c>
      <c r="CI62" s="20">
        <f ca="1">IF(Table1[[#This Row],[County]]="Greater Manchester",Table1[[#This Row],[income]],0)</f>
        <v>0</v>
      </c>
      <c r="CJ62" s="20">
        <f ca="1">IF(Table1[[#This Row],[County]]="Hertfordshire",Table1[[#This Row],[income]],0)</f>
        <v>0</v>
      </c>
      <c r="CK62" s="20">
        <f ca="1">IF(Table1[[#This Row],[County]]="Herefordshire",Table1[[#This Row],[income]],0)</f>
        <v>0</v>
      </c>
      <c r="CL62" s="20">
        <f ca="1">IF(Table1[[#This Row],[County]]="Lancashire",Table1[[#This Row],[income]],0)</f>
        <v>0</v>
      </c>
      <c r="CM62" s="20">
        <f ca="1">IF(Table1[[#This Row],[County]]="Merseyside",Table1[[#This Row],[income]],0)</f>
        <v>92652</v>
      </c>
      <c r="CN62" s="20">
        <f ca="1">IF(Table1[[#This Row],[County]]="Northamptonshire",Table1[[#This Row],[income]],0)</f>
        <v>0</v>
      </c>
      <c r="CO62" s="20">
        <f ca="1">IF(Table1[[#This Row],[County]]="Northumberland",Table1[[#This Row],[income]],0)</f>
        <v>0</v>
      </c>
      <c r="CP62" s="20">
        <f ca="1">IF(Table1[[#This Row],[County]]="Wiltshire",Table1[[#This Row],[income]],0)</f>
        <v>0</v>
      </c>
      <c r="CQ62" s="20">
        <f ca="1">IF(Table1[[#This Row],[County]]="West Midlands",Table1[[#This Row],[income]],0)</f>
        <v>0</v>
      </c>
      <c r="CR62" s="20">
        <f ca="1">IF(Table1[[#This Row],[County]]="Warwickshire",Table1[[#This Row],[income]],0)</f>
        <v>0</v>
      </c>
      <c r="CS62" s="20">
        <f ca="1">IF(Table1[[#This Row],[County]]="Tyne and Wear",Table1[[#This Row],[income]],0)</f>
        <v>0</v>
      </c>
      <c r="CT62" s="20">
        <f ca="1">IF(Table1[[#This Row],[County]]="Worcestershire",Table1[[#This Row],[income]],0)</f>
        <v>0</v>
      </c>
      <c r="CU62" s="20">
        <f ca="1">IF(Table1[[#This Row],[County]]="Rutland",Table1[[#This Row],[income]],0)</f>
        <v>0</v>
      </c>
      <c r="CV62" s="20">
        <f ca="1">IF(Table1[[#This Row],[County]]="Shropshire",Table1[[#This Row],[income]],0)</f>
        <v>0</v>
      </c>
      <c r="CW62" s="20">
        <f ca="1">IF(Table1[[#This Row],[County]]="Dorset",Table1[[#This Row],[income]],0)</f>
        <v>0</v>
      </c>
      <c r="CX62" s="20">
        <f ca="1">IF(Table1[[#This Row],[County]]="Buckinghamshire",Table1[[#This Row],[income]],0)</f>
        <v>0</v>
      </c>
      <c r="CY62" s="20">
        <f ca="1">IF(Table1[[#This Row],[County]]="Suffolk",Table1[[#This Row],[income]],0)</f>
        <v>0</v>
      </c>
      <c r="CZ62" s="20">
        <f ca="1">IF(Table1[[#This Row],[County]]="North Yorkshire",Table1[[#This Row],[income]],0)</f>
        <v>0</v>
      </c>
      <c r="DA62" s="20">
        <f ca="1">IF(Table1[[#This Row],[County]]="Kent",Table1[[#This Row],[income]],0)</f>
        <v>0</v>
      </c>
      <c r="DB62" s="5">
        <f ca="1">IF(Table1[[#This Row],[County]]="Derbyshire",Table1[[#This Row],[income]],0)</f>
        <v>0</v>
      </c>
      <c r="DD62" s="6">
        <f ca="1">IF(Table1[[#This Row],[Column1]]="Health",Table1[[#This Row],[income]],0)</f>
        <v>0</v>
      </c>
      <c r="DE62" s="20">
        <f ca="1">IF(Table1[[#This Row],[Column1]]="Agriculture",Table1[[#This Row],[income]],0)</f>
        <v>0</v>
      </c>
      <c r="DF62" s="20">
        <f ca="1">IF(Table1[[#This Row],[Column1]]="Technology",Table1[[#This Row],[income]],0)</f>
        <v>0</v>
      </c>
      <c r="DG62" s="20">
        <f ca="1">IF(Table1[[#This Row],[Column1]]="Social Service",Table1[[#This Row],[income]],0)</f>
        <v>0</v>
      </c>
      <c r="DH62" s="20">
        <f ca="1">IF(Table1[[#This Row],[Column1]]="Education",Table1[[#This Row],[income]],0)</f>
        <v>0</v>
      </c>
      <c r="DI62" s="5">
        <f ca="1">IF(Table1[[#This Row],[Column1]]="Construction",Table1[[#This Row],[income]],0)</f>
        <v>92652</v>
      </c>
      <c r="DK62" s="6">
        <f ca="1">IF(Table1[[#This Row],[Value of Debts]]&gt;Table1[[#This Row],[income]],1,0)</f>
        <v>1</v>
      </c>
      <c r="DL62" s="20"/>
      <c r="DM62" s="20"/>
      <c r="DN62" s="5"/>
      <c r="DP62" s="6">
        <f ca="1">IF(Table1[[#This Row],[Net Worth (£)]]&gt;$DS$5,C62,0)</f>
        <v>0</v>
      </c>
      <c r="DQ62" s="20"/>
      <c r="DR62" s="20"/>
      <c r="DS62" s="5"/>
    </row>
    <row r="63" spans="1:123" x14ac:dyDescent="0.2">
      <c r="A63">
        <f t="shared" ca="1" si="1"/>
        <v>1</v>
      </c>
      <c r="B63" s="1" t="str">
        <f ca="1">IF(A63=1, "men", "women")</f>
        <v>men</v>
      </c>
      <c r="C63" s="1">
        <f ca="1">RANDBETWEEN(25,50)</f>
        <v>26</v>
      </c>
      <c r="D63">
        <f ca="1">RANDBETWEEN(1,6)</f>
        <v>2</v>
      </c>
      <c r="E63" t="str">
        <f ca="1">VLOOKUP(D63,$W$5:$X$10,2)</f>
        <v>Construction</v>
      </c>
      <c r="F63">
        <f ca="1">RANDBETWEEN(1,5)</f>
        <v>3</v>
      </c>
      <c r="G63" t="str">
        <f ca="1">VLOOKUP(F63,$Y$5:$Z$9,2)</f>
        <v>University</v>
      </c>
      <c r="H63">
        <f ca="1">RANDBETWEEN(0,4)</f>
        <v>0</v>
      </c>
      <c r="I63">
        <f ca="1">RANDBETWEEN(1,3)</f>
        <v>1</v>
      </c>
      <c r="J63">
        <f ca="1">RANDBETWEEN(30000,100000)</f>
        <v>43400</v>
      </c>
      <c r="K63">
        <f ca="1">RANDBETWEEN(1,48)</f>
        <v>41</v>
      </c>
      <c r="L63" t="str">
        <f ca="1">VLOOKUP(K63,$AA$5:$AB$52,2)</f>
        <v>Surrey</v>
      </c>
      <c r="M63">
        <f ca="1">J63*(RANDBETWEEN(2,5))</f>
        <v>86800</v>
      </c>
      <c r="N63">
        <f ca="1">RAND()*M63</f>
        <v>68758.541786213143</v>
      </c>
      <c r="O63">
        <f ca="1">I63*RAND()*J63</f>
        <v>10353.166149447647</v>
      </c>
      <c r="P63">
        <f ca="1">RANDBETWEEN(0,O63)</f>
        <v>3605</v>
      </c>
      <c r="Q63">
        <f ca="1">RAND()*J63*2</f>
        <v>17547.613807919985</v>
      </c>
      <c r="R63">
        <f ca="1">RAND()*J63*1.5</f>
        <v>3884.8437142758148</v>
      </c>
      <c r="S63">
        <f ca="1">J63+R63+O63</f>
        <v>57638.009863723462</v>
      </c>
      <c r="T63">
        <f ca="1">N63+P63+Q63</f>
        <v>89911.155594133132</v>
      </c>
      <c r="U63">
        <f ca="1">S63-T63</f>
        <v>-32273.145730409669</v>
      </c>
      <c r="AC63" s="6">
        <f ca="1">IF(Table1[[#This Row],[gender]]="men",1,0)</f>
        <v>1</v>
      </c>
      <c r="AD63">
        <f ca="1">IF(Table1[[#This Row],[gender]]="women",1,0)</f>
        <v>0</v>
      </c>
      <c r="AH63" s="5"/>
      <c r="AJ63" s="6">
        <f ca="1">IF(Table1[[#This Row],[Column1]]="Health",1,0)</f>
        <v>0</v>
      </c>
      <c r="AK63">
        <f ca="1">IF(Table1[[#This Row],[Column1]]="Construction",1,0)</f>
        <v>1</v>
      </c>
      <c r="AL63">
        <f ca="1">IF(Table1[[#This Row],[Column1]]="Technology",1,0)</f>
        <v>0</v>
      </c>
      <c r="AM63">
        <f ca="1">IF(Table1[[#This Row],[Column1]]="Education",1,0)</f>
        <v>0</v>
      </c>
      <c r="AN63">
        <f ca="1">IF(Table1[[#This Row],[Column1]]="Agriculture",1,0)</f>
        <v>0</v>
      </c>
      <c r="AO63">
        <f ca="1">IF(Table1[[#This Row],[Column1]]="Social Service", 1, 0)</f>
        <v>0</v>
      </c>
      <c r="AT63" s="5"/>
      <c r="AV63" s="17">
        <f t="shared" ca="1" si="0"/>
        <v>37800.300942820715</v>
      </c>
      <c r="AW63" s="5"/>
      <c r="AX63" s="6">
        <f ca="1">IF(Table1[[#This Row],[Value of Debts]]&gt;$AY$4,1,0)</f>
        <v>0</v>
      </c>
      <c r="AY63" s="20"/>
      <c r="AZ63" s="20"/>
      <c r="BA63" s="5"/>
      <c r="BB63" s="25">
        <f ca="1">Table1[[#This Row],[Mortage Left]]/Table1[[#This Row],[Value of House]]</f>
        <v>0.79214909891950624</v>
      </c>
      <c r="BC63" s="20">
        <f t="shared" ca="1" si="2"/>
        <v>0</v>
      </c>
      <c r="BD63" s="20"/>
      <c r="BE63" s="20"/>
      <c r="BF63" s="20"/>
      <c r="BG63" s="6">
        <f ca="1">IF(Table1[[#This Row],[County]]="Cumbria",Table1[[#This Row],[income]],0)</f>
        <v>0</v>
      </c>
      <c r="BH63" s="20">
        <f ca="1">IF(Table1[[#This Row],[County]]="Cheshire",Table1[[#This Row],[income]],0)</f>
        <v>0</v>
      </c>
      <c r="BI63" s="20">
        <f ca="1">IF(Table1[[#This Row],[County]]="Bristol",Table1[[#This Row],[income]],0)</f>
        <v>0</v>
      </c>
      <c r="BJ63" s="20">
        <f ca="1">IF(Table1[[#This Row],[County]]="Surrey",Table1[[#This Row],[income]],0)</f>
        <v>43400</v>
      </c>
      <c r="BK63" s="20">
        <f ca="1">IF(Table1[[#This Row],[County]]="Norfolk",Table1[[#This Row],[income]],0)</f>
        <v>0</v>
      </c>
      <c r="BL63" s="20">
        <f ca="1">IF(Table1[[#This Row],[County]]="Lincolnshire",Table1[[#This Row],[income]],0)</f>
        <v>0</v>
      </c>
      <c r="BM63" s="20">
        <f ca="1">IF(Table1[[#This Row],[County]]="Somerset",Table1[[#This Row],[income]],0)</f>
        <v>0</v>
      </c>
      <c r="BN63" s="20">
        <f ca="1">IF(Table1[[#This Row],[County]]="Cambridgeshire",Table1[[#This Row],[income]],0)</f>
        <v>0</v>
      </c>
      <c r="BO63" s="20">
        <f ca="1">IF(Table1[[#This Row],[County]]="South Yorkshire",Table1[[#This Row],[income]],0)</f>
        <v>0</v>
      </c>
      <c r="BP63" s="20">
        <f ca="1">IF(Table1[[#This Row],[County]]="Greater London",Table1[[#This Row],[income]],0)</f>
        <v>0</v>
      </c>
      <c r="BQ63" s="20">
        <f ca="1">IF(Table1[[#This Row],[County]]="Hampshire",Table1[[#This Row],[income]],0)</f>
        <v>0</v>
      </c>
      <c r="BR63" s="20">
        <f ca="1">IF(Table1[[#This Row],[County]]="Gloucestershire",Table1[[#This Row],[income]],0)</f>
        <v>0</v>
      </c>
      <c r="BS63" s="20">
        <f ca="1">IF(Table1[[#This Row],[County]]="West Sussex",Table1[[#This Row],[income]],0)</f>
        <v>0</v>
      </c>
      <c r="BT63" s="20">
        <f ca="1">IF(Table1[[#This Row],[County]]="Devon",Table1[[#This Row],[income]],0)</f>
        <v>0</v>
      </c>
      <c r="BU63" s="20">
        <f ca="1">IF(Table1[[#This Row],[County]]="Berkshire",Table1[[#This Row],[income]],0)</f>
        <v>0</v>
      </c>
      <c r="BV63" s="20">
        <f ca="1">IF(Table1[[#This Row],[County]]="Staffordshire",Table1[[#This Row],[income]],0)</f>
        <v>0</v>
      </c>
      <c r="BW63" s="20">
        <f ca="1">IF(Table1[[#This Row],[County]]="Leicestershire",Table1[[#This Row],[income]],0)</f>
        <v>0</v>
      </c>
      <c r="BX63" s="20">
        <f ca="1">IF(Table1[[#This Row],[County]]="Cornwall",Table1[[#This Row],[income]],0)</f>
        <v>0</v>
      </c>
      <c r="BY63" s="20">
        <f ca="1">IF(Table1[[#This Row],[County]]="Isle of Wight",Table1[[#This Row],[income]],0)</f>
        <v>0</v>
      </c>
      <c r="BZ63" s="20">
        <f ca="1">IF(Table1[[#This Row],[County]]="Surrey",Table1[[#This Row],[income]],0)</f>
        <v>43400</v>
      </c>
      <c r="CA63" s="20">
        <f ca="1">IF(Table1[[#This Row],[County]]="Derbyshire",Table1[[#This Row],[income]],0)</f>
        <v>0</v>
      </c>
      <c r="CB63" s="20">
        <f ca="1">IF(Table1[[#This Row],[County]]="City of London",Table1[[#This Row],[income]],0)</f>
        <v>0</v>
      </c>
      <c r="CC63" s="20">
        <f ca="1">IF(Table1[[#This Row],[County]]="Bedfordshire",Table1[[#This Row],[income]],0)</f>
        <v>0</v>
      </c>
      <c r="CD63" s="20">
        <f ca="1">IF(Table1[[#This Row],[County]]="County Durham",Table1[[#This Row],[income]],0)</f>
        <v>0</v>
      </c>
      <c r="CE63" s="20">
        <f ca="1">IF(Table1[[#This Row],[County]]="East Riding of Yorkshire",Table1[[#This Row],[income]],0)</f>
        <v>0</v>
      </c>
      <c r="CF63" s="20">
        <f ca="1">IF(Table1[[#This Row],[County]]="West Yorkshire",Table1[[#This Row],[income]],0)</f>
        <v>0</v>
      </c>
      <c r="CG63" s="20">
        <f ca="1">IF(Table1[[#This Row],[County]]="Essex",Table1[[#This Row],[income]],0)</f>
        <v>0</v>
      </c>
      <c r="CH63" s="20">
        <f ca="1">IF(Table1[[#This Row],[County]]="East Sussex",Table1[[#This Row],[income]],0)</f>
        <v>0</v>
      </c>
      <c r="CI63" s="20">
        <f ca="1">IF(Table1[[#This Row],[County]]="Greater Manchester",Table1[[#This Row],[income]],0)</f>
        <v>0</v>
      </c>
      <c r="CJ63" s="20">
        <f ca="1">IF(Table1[[#This Row],[County]]="Hertfordshire",Table1[[#This Row],[income]],0)</f>
        <v>0</v>
      </c>
      <c r="CK63" s="20">
        <f ca="1">IF(Table1[[#This Row],[County]]="Herefordshire",Table1[[#This Row],[income]],0)</f>
        <v>0</v>
      </c>
      <c r="CL63" s="20">
        <f ca="1">IF(Table1[[#This Row],[County]]="Lancashire",Table1[[#This Row],[income]],0)</f>
        <v>0</v>
      </c>
      <c r="CM63" s="20">
        <f ca="1">IF(Table1[[#This Row],[County]]="Merseyside",Table1[[#This Row],[income]],0)</f>
        <v>0</v>
      </c>
      <c r="CN63" s="20">
        <f ca="1">IF(Table1[[#This Row],[County]]="Northamptonshire",Table1[[#This Row],[income]],0)</f>
        <v>0</v>
      </c>
      <c r="CO63" s="20">
        <f ca="1">IF(Table1[[#This Row],[County]]="Northumberland",Table1[[#This Row],[income]],0)</f>
        <v>0</v>
      </c>
      <c r="CP63" s="20">
        <f ca="1">IF(Table1[[#This Row],[County]]="Wiltshire",Table1[[#This Row],[income]],0)</f>
        <v>0</v>
      </c>
      <c r="CQ63" s="20">
        <f ca="1">IF(Table1[[#This Row],[County]]="West Midlands",Table1[[#This Row],[income]],0)</f>
        <v>0</v>
      </c>
      <c r="CR63" s="20">
        <f ca="1">IF(Table1[[#This Row],[County]]="Warwickshire",Table1[[#This Row],[income]],0)</f>
        <v>0</v>
      </c>
      <c r="CS63" s="20">
        <f ca="1">IF(Table1[[#This Row],[County]]="Tyne and Wear",Table1[[#This Row],[income]],0)</f>
        <v>0</v>
      </c>
      <c r="CT63" s="20">
        <f ca="1">IF(Table1[[#This Row],[County]]="Worcestershire",Table1[[#This Row],[income]],0)</f>
        <v>0</v>
      </c>
      <c r="CU63" s="20">
        <f ca="1">IF(Table1[[#This Row],[County]]="Rutland",Table1[[#This Row],[income]],0)</f>
        <v>0</v>
      </c>
      <c r="CV63" s="20">
        <f ca="1">IF(Table1[[#This Row],[County]]="Shropshire",Table1[[#This Row],[income]],0)</f>
        <v>0</v>
      </c>
      <c r="CW63" s="20">
        <f ca="1">IF(Table1[[#This Row],[County]]="Dorset",Table1[[#This Row],[income]],0)</f>
        <v>0</v>
      </c>
      <c r="CX63" s="20">
        <f ca="1">IF(Table1[[#This Row],[County]]="Buckinghamshire",Table1[[#This Row],[income]],0)</f>
        <v>0</v>
      </c>
      <c r="CY63" s="20">
        <f ca="1">IF(Table1[[#This Row],[County]]="Suffolk",Table1[[#This Row],[income]],0)</f>
        <v>0</v>
      </c>
      <c r="CZ63" s="20">
        <f ca="1">IF(Table1[[#This Row],[County]]="North Yorkshire",Table1[[#This Row],[income]],0)</f>
        <v>0</v>
      </c>
      <c r="DA63" s="20">
        <f ca="1">IF(Table1[[#This Row],[County]]="Kent",Table1[[#This Row],[income]],0)</f>
        <v>0</v>
      </c>
      <c r="DB63" s="5">
        <f ca="1">IF(Table1[[#This Row],[County]]="Derbyshire",Table1[[#This Row],[income]],0)</f>
        <v>0</v>
      </c>
      <c r="DD63" s="6">
        <f ca="1">IF(Table1[[#This Row],[Column1]]="Health",Table1[[#This Row],[income]],0)</f>
        <v>0</v>
      </c>
      <c r="DE63" s="20">
        <f ca="1">IF(Table1[[#This Row],[Column1]]="Agriculture",Table1[[#This Row],[income]],0)</f>
        <v>0</v>
      </c>
      <c r="DF63" s="20">
        <f ca="1">IF(Table1[[#This Row],[Column1]]="Technology",Table1[[#This Row],[income]],0)</f>
        <v>0</v>
      </c>
      <c r="DG63" s="20">
        <f ca="1">IF(Table1[[#This Row],[Column1]]="Social Service",Table1[[#This Row],[income]],0)</f>
        <v>0</v>
      </c>
      <c r="DH63" s="20">
        <f ca="1">IF(Table1[[#This Row],[Column1]]="Education",Table1[[#This Row],[income]],0)</f>
        <v>0</v>
      </c>
      <c r="DI63" s="5">
        <f ca="1">IF(Table1[[#This Row],[Column1]]="Construction",Table1[[#This Row],[income]],0)</f>
        <v>43400</v>
      </c>
      <c r="DK63" s="6">
        <f ca="1">IF(Table1[[#This Row],[Value of Debts]]&gt;Table1[[#This Row],[income]],1,0)</f>
        <v>1</v>
      </c>
      <c r="DL63" s="20"/>
      <c r="DM63" s="20"/>
      <c r="DN63" s="5"/>
      <c r="DP63" s="6">
        <f ca="1">IF(Table1[[#This Row],[Net Worth (£)]]&gt;$DS$5,C63,0)</f>
        <v>0</v>
      </c>
      <c r="DQ63" s="20"/>
      <c r="DR63" s="20"/>
      <c r="DS63" s="5"/>
    </row>
    <row r="64" spans="1:123" x14ac:dyDescent="0.2">
      <c r="A64">
        <f t="shared" ca="1" si="1"/>
        <v>1</v>
      </c>
      <c r="B64" s="1" t="str">
        <f ca="1">IF(A64=1, "men", "women")</f>
        <v>men</v>
      </c>
      <c r="C64" s="1">
        <f ca="1">RANDBETWEEN(25,50)</f>
        <v>43</v>
      </c>
      <c r="D64">
        <f ca="1">RANDBETWEEN(1,6)</f>
        <v>1</v>
      </c>
      <c r="E64" t="str">
        <f ca="1">VLOOKUP(D64,$W$5:$X$10,2)</f>
        <v>Health</v>
      </c>
      <c r="F64">
        <f ca="1">RANDBETWEEN(1,5)</f>
        <v>5</v>
      </c>
      <c r="G64" t="str">
        <f ca="1">VLOOKUP(F64,$Y$5:$Z$9,2)</f>
        <v>Other</v>
      </c>
      <c r="H64">
        <f ca="1">RANDBETWEEN(0,4)</f>
        <v>2</v>
      </c>
      <c r="I64">
        <f ca="1">RANDBETWEEN(1,3)</f>
        <v>1</v>
      </c>
      <c r="J64">
        <f ca="1">RANDBETWEEN(30000,100000)</f>
        <v>56223</v>
      </c>
      <c r="K64">
        <f ca="1">RANDBETWEEN(1,48)</f>
        <v>1</v>
      </c>
      <c r="L64" t="str">
        <f ca="1">VLOOKUP(K64,$AA$5:$AB$52,2)</f>
        <v>Bedfordshire</v>
      </c>
      <c r="M64">
        <f ca="1">J64*(RANDBETWEEN(2,5))</f>
        <v>112446</v>
      </c>
      <c r="N64">
        <f ca="1">RAND()*M64</f>
        <v>10726.218258188062</v>
      </c>
      <c r="O64">
        <f ca="1">I64*RAND()*J64</f>
        <v>37800.300942820715</v>
      </c>
      <c r="P64">
        <f ca="1">RANDBETWEEN(0,O64)</f>
        <v>28108</v>
      </c>
      <c r="Q64">
        <f ca="1">RAND()*J64*2</f>
        <v>88820.738627281229</v>
      </c>
      <c r="R64">
        <f ca="1">RAND()*J64*1.5</f>
        <v>34634.944644838877</v>
      </c>
      <c r="S64">
        <f ca="1">J64+R64+O64</f>
        <v>128658.24558765959</v>
      </c>
      <c r="T64">
        <f ca="1">N64+P64+Q64</f>
        <v>127654.95688546929</v>
      </c>
      <c r="U64">
        <f ca="1">S64-T64</f>
        <v>1003.2887021903007</v>
      </c>
      <c r="AC64" s="6">
        <f ca="1">IF(Table1[[#This Row],[gender]]="men",1,0)</f>
        <v>1</v>
      </c>
      <c r="AD64">
        <f ca="1">IF(Table1[[#This Row],[gender]]="women",1,0)</f>
        <v>0</v>
      </c>
      <c r="AH64" s="5"/>
      <c r="AJ64" s="6">
        <f ca="1">IF(Table1[[#This Row],[Column1]]="Health",1,0)</f>
        <v>1</v>
      </c>
      <c r="AK64">
        <f ca="1">IF(Table1[[#This Row],[Column1]]="Construction",1,0)</f>
        <v>0</v>
      </c>
      <c r="AL64">
        <f ca="1">IF(Table1[[#This Row],[Column1]]="Technology",1,0)</f>
        <v>0</v>
      </c>
      <c r="AM64">
        <f ca="1">IF(Table1[[#This Row],[Column1]]="Education",1,0)</f>
        <v>0</v>
      </c>
      <c r="AN64">
        <f ca="1">IF(Table1[[#This Row],[Column1]]="Agriculture",1,0)</f>
        <v>0</v>
      </c>
      <c r="AO64">
        <f ca="1">IF(Table1[[#This Row],[Column1]]="Social Service", 1, 0)</f>
        <v>0</v>
      </c>
      <c r="AT64" s="5"/>
      <c r="AV64" s="17">
        <f t="shared" ca="1" si="0"/>
        <v>46606.062892935886</v>
      </c>
      <c r="AW64" s="5"/>
      <c r="AX64" s="6">
        <f ca="1">IF(Table1[[#This Row],[Value of Debts]]&gt;$AY$4,1,0)</f>
        <v>1</v>
      </c>
      <c r="AY64" s="20"/>
      <c r="AZ64" s="20"/>
      <c r="BA64" s="5"/>
      <c r="BB64" s="25">
        <f ca="1">Table1[[#This Row],[Mortage Left]]/Table1[[#This Row],[Value of House]]</f>
        <v>9.5389949470750954E-2</v>
      </c>
      <c r="BC64" s="20">
        <f t="shared" ca="1" si="2"/>
        <v>1</v>
      </c>
      <c r="BD64" s="20"/>
      <c r="BE64" s="20"/>
      <c r="BF64" s="20"/>
      <c r="BG64" s="6">
        <f ca="1">IF(Table1[[#This Row],[County]]="Cumbria",Table1[[#This Row],[income]],0)</f>
        <v>0</v>
      </c>
      <c r="BH64" s="20">
        <f ca="1">IF(Table1[[#This Row],[County]]="Cheshire",Table1[[#This Row],[income]],0)</f>
        <v>0</v>
      </c>
      <c r="BI64" s="20">
        <f ca="1">IF(Table1[[#This Row],[County]]="Bristol",Table1[[#This Row],[income]],0)</f>
        <v>0</v>
      </c>
      <c r="BJ64" s="20">
        <f ca="1">IF(Table1[[#This Row],[County]]="Surrey",Table1[[#This Row],[income]],0)</f>
        <v>0</v>
      </c>
      <c r="BK64" s="20">
        <f ca="1">IF(Table1[[#This Row],[County]]="Norfolk",Table1[[#This Row],[income]],0)</f>
        <v>0</v>
      </c>
      <c r="BL64" s="20">
        <f ca="1">IF(Table1[[#This Row],[County]]="Lincolnshire",Table1[[#This Row],[income]],0)</f>
        <v>0</v>
      </c>
      <c r="BM64" s="20">
        <f ca="1">IF(Table1[[#This Row],[County]]="Somerset",Table1[[#This Row],[income]],0)</f>
        <v>0</v>
      </c>
      <c r="BN64" s="20">
        <f ca="1">IF(Table1[[#This Row],[County]]="Cambridgeshire",Table1[[#This Row],[income]],0)</f>
        <v>0</v>
      </c>
      <c r="BO64" s="20">
        <f ca="1">IF(Table1[[#This Row],[County]]="South Yorkshire",Table1[[#This Row],[income]],0)</f>
        <v>0</v>
      </c>
      <c r="BP64" s="20">
        <f ca="1">IF(Table1[[#This Row],[County]]="Greater London",Table1[[#This Row],[income]],0)</f>
        <v>0</v>
      </c>
      <c r="BQ64" s="20">
        <f ca="1">IF(Table1[[#This Row],[County]]="Hampshire",Table1[[#This Row],[income]],0)</f>
        <v>0</v>
      </c>
      <c r="BR64" s="20">
        <f ca="1">IF(Table1[[#This Row],[County]]="Gloucestershire",Table1[[#This Row],[income]],0)</f>
        <v>0</v>
      </c>
      <c r="BS64" s="20">
        <f ca="1">IF(Table1[[#This Row],[County]]="West Sussex",Table1[[#This Row],[income]],0)</f>
        <v>0</v>
      </c>
      <c r="BT64" s="20">
        <f ca="1">IF(Table1[[#This Row],[County]]="Devon",Table1[[#This Row],[income]],0)</f>
        <v>0</v>
      </c>
      <c r="BU64" s="20">
        <f ca="1">IF(Table1[[#This Row],[County]]="Berkshire",Table1[[#This Row],[income]],0)</f>
        <v>0</v>
      </c>
      <c r="BV64" s="20">
        <f ca="1">IF(Table1[[#This Row],[County]]="Staffordshire",Table1[[#This Row],[income]],0)</f>
        <v>0</v>
      </c>
      <c r="BW64" s="20">
        <f ca="1">IF(Table1[[#This Row],[County]]="Leicestershire",Table1[[#This Row],[income]],0)</f>
        <v>0</v>
      </c>
      <c r="BX64" s="20">
        <f ca="1">IF(Table1[[#This Row],[County]]="Cornwall",Table1[[#This Row],[income]],0)</f>
        <v>0</v>
      </c>
      <c r="BY64" s="20">
        <f ca="1">IF(Table1[[#This Row],[County]]="Isle of Wight",Table1[[#This Row],[income]],0)</f>
        <v>0</v>
      </c>
      <c r="BZ64" s="20">
        <f ca="1">IF(Table1[[#This Row],[County]]="Surrey",Table1[[#This Row],[income]],0)</f>
        <v>0</v>
      </c>
      <c r="CA64" s="20">
        <f ca="1">IF(Table1[[#This Row],[County]]="Derbyshire",Table1[[#This Row],[income]],0)</f>
        <v>0</v>
      </c>
      <c r="CB64" s="20">
        <f ca="1">IF(Table1[[#This Row],[County]]="City of London",Table1[[#This Row],[income]],0)</f>
        <v>0</v>
      </c>
      <c r="CC64" s="20">
        <f ca="1">IF(Table1[[#This Row],[County]]="Bedfordshire",Table1[[#This Row],[income]],0)</f>
        <v>56223</v>
      </c>
      <c r="CD64" s="20">
        <f ca="1">IF(Table1[[#This Row],[County]]="County Durham",Table1[[#This Row],[income]],0)</f>
        <v>0</v>
      </c>
      <c r="CE64" s="20">
        <f ca="1">IF(Table1[[#This Row],[County]]="East Riding of Yorkshire",Table1[[#This Row],[income]],0)</f>
        <v>0</v>
      </c>
      <c r="CF64" s="20">
        <f ca="1">IF(Table1[[#This Row],[County]]="West Yorkshire",Table1[[#This Row],[income]],0)</f>
        <v>0</v>
      </c>
      <c r="CG64" s="20">
        <f ca="1">IF(Table1[[#This Row],[County]]="Essex",Table1[[#This Row],[income]],0)</f>
        <v>0</v>
      </c>
      <c r="CH64" s="20">
        <f ca="1">IF(Table1[[#This Row],[County]]="East Sussex",Table1[[#This Row],[income]],0)</f>
        <v>0</v>
      </c>
      <c r="CI64" s="20">
        <f ca="1">IF(Table1[[#This Row],[County]]="Greater Manchester",Table1[[#This Row],[income]],0)</f>
        <v>0</v>
      </c>
      <c r="CJ64" s="20">
        <f ca="1">IF(Table1[[#This Row],[County]]="Hertfordshire",Table1[[#This Row],[income]],0)</f>
        <v>0</v>
      </c>
      <c r="CK64" s="20">
        <f ca="1">IF(Table1[[#This Row],[County]]="Herefordshire",Table1[[#This Row],[income]],0)</f>
        <v>0</v>
      </c>
      <c r="CL64" s="20">
        <f ca="1">IF(Table1[[#This Row],[County]]="Lancashire",Table1[[#This Row],[income]],0)</f>
        <v>0</v>
      </c>
      <c r="CM64" s="20">
        <f ca="1">IF(Table1[[#This Row],[County]]="Merseyside",Table1[[#This Row],[income]],0)</f>
        <v>0</v>
      </c>
      <c r="CN64" s="20">
        <f ca="1">IF(Table1[[#This Row],[County]]="Northamptonshire",Table1[[#This Row],[income]],0)</f>
        <v>0</v>
      </c>
      <c r="CO64" s="20">
        <f ca="1">IF(Table1[[#This Row],[County]]="Northumberland",Table1[[#This Row],[income]],0)</f>
        <v>0</v>
      </c>
      <c r="CP64" s="20">
        <f ca="1">IF(Table1[[#This Row],[County]]="Wiltshire",Table1[[#This Row],[income]],0)</f>
        <v>0</v>
      </c>
      <c r="CQ64" s="20">
        <f ca="1">IF(Table1[[#This Row],[County]]="West Midlands",Table1[[#This Row],[income]],0)</f>
        <v>0</v>
      </c>
      <c r="CR64" s="20">
        <f ca="1">IF(Table1[[#This Row],[County]]="Warwickshire",Table1[[#This Row],[income]],0)</f>
        <v>0</v>
      </c>
      <c r="CS64" s="20">
        <f ca="1">IF(Table1[[#This Row],[County]]="Tyne and Wear",Table1[[#This Row],[income]],0)</f>
        <v>0</v>
      </c>
      <c r="CT64" s="20">
        <f ca="1">IF(Table1[[#This Row],[County]]="Worcestershire",Table1[[#This Row],[income]],0)</f>
        <v>0</v>
      </c>
      <c r="CU64" s="20">
        <f ca="1">IF(Table1[[#This Row],[County]]="Rutland",Table1[[#This Row],[income]],0)</f>
        <v>0</v>
      </c>
      <c r="CV64" s="20">
        <f ca="1">IF(Table1[[#This Row],[County]]="Shropshire",Table1[[#This Row],[income]],0)</f>
        <v>0</v>
      </c>
      <c r="CW64" s="20">
        <f ca="1">IF(Table1[[#This Row],[County]]="Dorset",Table1[[#This Row],[income]],0)</f>
        <v>0</v>
      </c>
      <c r="CX64" s="20">
        <f ca="1">IF(Table1[[#This Row],[County]]="Buckinghamshire",Table1[[#This Row],[income]],0)</f>
        <v>0</v>
      </c>
      <c r="CY64" s="20">
        <f ca="1">IF(Table1[[#This Row],[County]]="Suffolk",Table1[[#This Row],[income]],0)</f>
        <v>0</v>
      </c>
      <c r="CZ64" s="20">
        <f ca="1">IF(Table1[[#This Row],[County]]="North Yorkshire",Table1[[#This Row],[income]],0)</f>
        <v>0</v>
      </c>
      <c r="DA64" s="20">
        <f ca="1">IF(Table1[[#This Row],[County]]="Kent",Table1[[#This Row],[income]],0)</f>
        <v>0</v>
      </c>
      <c r="DB64" s="5">
        <f ca="1">IF(Table1[[#This Row],[County]]="Derbyshire",Table1[[#This Row],[income]],0)</f>
        <v>0</v>
      </c>
      <c r="DD64" s="6">
        <f ca="1">IF(Table1[[#This Row],[Column1]]="Health",Table1[[#This Row],[income]],0)</f>
        <v>56223</v>
      </c>
      <c r="DE64" s="20">
        <f ca="1">IF(Table1[[#This Row],[Column1]]="Agriculture",Table1[[#This Row],[income]],0)</f>
        <v>0</v>
      </c>
      <c r="DF64" s="20">
        <f ca="1">IF(Table1[[#This Row],[Column1]]="Technology",Table1[[#This Row],[income]],0)</f>
        <v>0</v>
      </c>
      <c r="DG64" s="20">
        <f ca="1">IF(Table1[[#This Row],[Column1]]="Social Service",Table1[[#This Row],[income]],0)</f>
        <v>0</v>
      </c>
      <c r="DH64" s="20">
        <f ca="1">IF(Table1[[#This Row],[Column1]]="Education",Table1[[#This Row],[income]],0)</f>
        <v>0</v>
      </c>
      <c r="DI64" s="5">
        <f ca="1">IF(Table1[[#This Row],[Column1]]="Construction",Table1[[#This Row],[income]],0)</f>
        <v>0</v>
      </c>
      <c r="DK64" s="6">
        <f ca="1">IF(Table1[[#This Row],[Value of Debts]]&gt;Table1[[#This Row],[income]],1,0)</f>
        <v>1</v>
      </c>
      <c r="DL64" s="20"/>
      <c r="DM64" s="20"/>
      <c r="DN64" s="5"/>
      <c r="DP64" s="6">
        <f ca="1">IF(Table1[[#This Row],[Net Worth (£)]]&gt;$DS$5,C64,0)</f>
        <v>0</v>
      </c>
      <c r="DQ64" s="20"/>
      <c r="DR64" s="20"/>
      <c r="DS64" s="5"/>
    </row>
    <row r="65" spans="1:123" x14ac:dyDescent="0.2">
      <c r="A65">
        <f t="shared" ca="1" si="1"/>
        <v>2</v>
      </c>
      <c r="B65" s="1" t="str">
        <f ca="1">IF(A65=1, "men", "women")</f>
        <v>women</v>
      </c>
      <c r="C65" s="1">
        <f ca="1">RANDBETWEEN(25,50)</f>
        <v>29</v>
      </c>
      <c r="D65">
        <f ca="1">RANDBETWEEN(1,6)</f>
        <v>5</v>
      </c>
      <c r="E65" t="str">
        <f ca="1">VLOOKUP(D65,$W$5:$X$10,2)</f>
        <v>Social Service</v>
      </c>
      <c r="F65">
        <f ca="1">RANDBETWEEN(1,5)</f>
        <v>3</v>
      </c>
      <c r="G65" t="str">
        <f ca="1">VLOOKUP(F65,$Y$5:$Z$9,2)</f>
        <v>University</v>
      </c>
      <c r="H65">
        <f ca="1">RANDBETWEEN(0,4)</f>
        <v>3</v>
      </c>
      <c r="I65">
        <f ca="1">RANDBETWEEN(1,3)</f>
        <v>3</v>
      </c>
      <c r="J65">
        <f ca="1">RANDBETWEEN(30000,100000)</f>
        <v>61440</v>
      </c>
      <c r="K65">
        <f ca="1">RANDBETWEEN(1,48)</f>
        <v>41</v>
      </c>
      <c r="L65" t="str">
        <f ca="1">VLOOKUP(K65,$AA$5:$AB$52,2)</f>
        <v>Surrey</v>
      </c>
      <c r="M65">
        <f ca="1">J65*(RANDBETWEEN(2,5))</f>
        <v>184320</v>
      </c>
      <c r="N65">
        <f ca="1">RAND()*M65</f>
        <v>19014.531434550692</v>
      </c>
      <c r="O65">
        <f ca="1">I65*RAND()*J65</f>
        <v>139818.18867880767</v>
      </c>
      <c r="P65">
        <f ca="1">RANDBETWEEN(0,O65)</f>
        <v>35381</v>
      </c>
      <c r="Q65">
        <f ca="1">RAND()*J65*2</f>
        <v>103380.70668576266</v>
      </c>
      <c r="R65">
        <f ca="1">RAND()*J65*1.5</f>
        <v>65352.816765186799</v>
      </c>
      <c r="S65">
        <f ca="1">J65+R65+O65</f>
        <v>266611.00544399448</v>
      </c>
      <c r="T65">
        <f ca="1">N65+P65+Q65</f>
        <v>157776.23812031336</v>
      </c>
      <c r="U65">
        <f ca="1">S65-T65</f>
        <v>108834.76732368112</v>
      </c>
      <c r="AC65" s="6">
        <f ca="1">IF(Table1[[#This Row],[gender]]="men",1,0)</f>
        <v>0</v>
      </c>
      <c r="AD65">
        <f ca="1">IF(Table1[[#This Row],[gender]]="women",1,0)</f>
        <v>1</v>
      </c>
      <c r="AH65" s="5"/>
      <c r="AJ65" s="6">
        <f ca="1">IF(Table1[[#This Row],[Column1]]="Health",1,0)</f>
        <v>0</v>
      </c>
      <c r="AK65">
        <f ca="1">IF(Table1[[#This Row],[Column1]]="Construction",1,0)</f>
        <v>0</v>
      </c>
      <c r="AL65">
        <f ca="1">IF(Table1[[#This Row],[Column1]]="Technology",1,0)</f>
        <v>0</v>
      </c>
      <c r="AM65">
        <f ca="1">IF(Table1[[#This Row],[Column1]]="Education",1,0)</f>
        <v>0</v>
      </c>
      <c r="AN65">
        <f ca="1">IF(Table1[[#This Row],[Column1]]="Agriculture",1,0)</f>
        <v>0</v>
      </c>
      <c r="AO65">
        <f ca="1">IF(Table1[[#This Row],[Column1]]="Social Service", 1, 0)</f>
        <v>1</v>
      </c>
      <c r="AT65" s="5"/>
      <c r="AV65" s="17">
        <f t="shared" ca="1" si="0"/>
        <v>17053.300648779747</v>
      </c>
      <c r="AW65" s="5"/>
      <c r="AX65" s="6">
        <f ca="1">IF(Table1[[#This Row],[Value of Debts]]&gt;$AY$4,1,0)</f>
        <v>1</v>
      </c>
      <c r="AY65" s="20"/>
      <c r="AZ65" s="20"/>
      <c r="BA65" s="5"/>
      <c r="BB65" s="25">
        <f ca="1">Table1[[#This Row],[Mortage Left]]/Table1[[#This Row],[Value of House]]</f>
        <v>0.10316043530029673</v>
      </c>
      <c r="BC65" s="20">
        <f t="shared" ca="1" si="2"/>
        <v>1</v>
      </c>
      <c r="BD65" s="20"/>
      <c r="BE65" s="20"/>
      <c r="BF65" s="20"/>
      <c r="BG65" s="6">
        <f ca="1">IF(Table1[[#This Row],[County]]="Cumbria",Table1[[#This Row],[income]],0)</f>
        <v>0</v>
      </c>
      <c r="BH65" s="20">
        <f ca="1">IF(Table1[[#This Row],[County]]="Cheshire",Table1[[#This Row],[income]],0)</f>
        <v>0</v>
      </c>
      <c r="BI65" s="20">
        <f ca="1">IF(Table1[[#This Row],[County]]="Bristol",Table1[[#This Row],[income]],0)</f>
        <v>0</v>
      </c>
      <c r="BJ65" s="20">
        <f ca="1">IF(Table1[[#This Row],[County]]="Surrey",Table1[[#This Row],[income]],0)</f>
        <v>61440</v>
      </c>
      <c r="BK65" s="20">
        <f ca="1">IF(Table1[[#This Row],[County]]="Norfolk",Table1[[#This Row],[income]],0)</f>
        <v>0</v>
      </c>
      <c r="BL65" s="20">
        <f ca="1">IF(Table1[[#This Row],[County]]="Lincolnshire",Table1[[#This Row],[income]],0)</f>
        <v>0</v>
      </c>
      <c r="BM65" s="20">
        <f ca="1">IF(Table1[[#This Row],[County]]="Somerset",Table1[[#This Row],[income]],0)</f>
        <v>0</v>
      </c>
      <c r="BN65" s="20">
        <f ca="1">IF(Table1[[#This Row],[County]]="Cambridgeshire",Table1[[#This Row],[income]],0)</f>
        <v>0</v>
      </c>
      <c r="BO65" s="20">
        <f ca="1">IF(Table1[[#This Row],[County]]="South Yorkshire",Table1[[#This Row],[income]],0)</f>
        <v>0</v>
      </c>
      <c r="BP65" s="20">
        <f ca="1">IF(Table1[[#This Row],[County]]="Greater London",Table1[[#This Row],[income]],0)</f>
        <v>0</v>
      </c>
      <c r="BQ65" s="20">
        <f ca="1">IF(Table1[[#This Row],[County]]="Hampshire",Table1[[#This Row],[income]],0)</f>
        <v>0</v>
      </c>
      <c r="BR65" s="20">
        <f ca="1">IF(Table1[[#This Row],[County]]="Gloucestershire",Table1[[#This Row],[income]],0)</f>
        <v>0</v>
      </c>
      <c r="BS65" s="20">
        <f ca="1">IF(Table1[[#This Row],[County]]="West Sussex",Table1[[#This Row],[income]],0)</f>
        <v>0</v>
      </c>
      <c r="BT65" s="20">
        <f ca="1">IF(Table1[[#This Row],[County]]="Devon",Table1[[#This Row],[income]],0)</f>
        <v>0</v>
      </c>
      <c r="BU65" s="20">
        <f ca="1">IF(Table1[[#This Row],[County]]="Berkshire",Table1[[#This Row],[income]],0)</f>
        <v>0</v>
      </c>
      <c r="BV65" s="20">
        <f ca="1">IF(Table1[[#This Row],[County]]="Staffordshire",Table1[[#This Row],[income]],0)</f>
        <v>0</v>
      </c>
      <c r="BW65" s="20">
        <f ca="1">IF(Table1[[#This Row],[County]]="Leicestershire",Table1[[#This Row],[income]],0)</f>
        <v>0</v>
      </c>
      <c r="BX65" s="20">
        <f ca="1">IF(Table1[[#This Row],[County]]="Cornwall",Table1[[#This Row],[income]],0)</f>
        <v>0</v>
      </c>
      <c r="BY65" s="20">
        <f ca="1">IF(Table1[[#This Row],[County]]="Isle of Wight",Table1[[#This Row],[income]],0)</f>
        <v>0</v>
      </c>
      <c r="BZ65" s="20">
        <f ca="1">IF(Table1[[#This Row],[County]]="Surrey",Table1[[#This Row],[income]],0)</f>
        <v>61440</v>
      </c>
      <c r="CA65" s="20">
        <f ca="1">IF(Table1[[#This Row],[County]]="Derbyshire",Table1[[#This Row],[income]],0)</f>
        <v>0</v>
      </c>
      <c r="CB65" s="20">
        <f ca="1">IF(Table1[[#This Row],[County]]="City of London",Table1[[#This Row],[income]],0)</f>
        <v>0</v>
      </c>
      <c r="CC65" s="20">
        <f ca="1">IF(Table1[[#This Row],[County]]="Bedfordshire",Table1[[#This Row],[income]],0)</f>
        <v>0</v>
      </c>
      <c r="CD65" s="20">
        <f ca="1">IF(Table1[[#This Row],[County]]="County Durham",Table1[[#This Row],[income]],0)</f>
        <v>0</v>
      </c>
      <c r="CE65" s="20">
        <f ca="1">IF(Table1[[#This Row],[County]]="East Riding of Yorkshire",Table1[[#This Row],[income]],0)</f>
        <v>0</v>
      </c>
      <c r="CF65" s="20">
        <f ca="1">IF(Table1[[#This Row],[County]]="West Yorkshire",Table1[[#This Row],[income]],0)</f>
        <v>0</v>
      </c>
      <c r="CG65" s="20">
        <f ca="1">IF(Table1[[#This Row],[County]]="Essex",Table1[[#This Row],[income]],0)</f>
        <v>0</v>
      </c>
      <c r="CH65" s="20">
        <f ca="1">IF(Table1[[#This Row],[County]]="East Sussex",Table1[[#This Row],[income]],0)</f>
        <v>0</v>
      </c>
      <c r="CI65" s="20">
        <f ca="1">IF(Table1[[#This Row],[County]]="Greater Manchester",Table1[[#This Row],[income]],0)</f>
        <v>0</v>
      </c>
      <c r="CJ65" s="20">
        <f ca="1">IF(Table1[[#This Row],[County]]="Hertfordshire",Table1[[#This Row],[income]],0)</f>
        <v>0</v>
      </c>
      <c r="CK65" s="20">
        <f ca="1">IF(Table1[[#This Row],[County]]="Herefordshire",Table1[[#This Row],[income]],0)</f>
        <v>0</v>
      </c>
      <c r="CL65" s="20">
        <f ca="1">IF(Table1[[#This Row],[County]]="Lancashire",Table1[[#This Row],[income]],0)</f>
        <v>0</v>
      </c>
      <c r="CM65" s="20">
        <f ca="1">IF(Table1[[#This Row],[County]]="Merseyside",Table1[[#This Row],[income]],0)</f>
        <v>0</v>
      </c>
      <c r="CN65" s="20">
        <f ca="1">IF(Table1[[#This Row],[County]]="Northamptonshire",Table1[[#This Row],[income]],0)</f>
        <v>0</v>
      </c>
      <c r="CO65" s="20">
        <f ca="1">IF(Table1[[#This Row],[County]]="Northumberland",Table1[[#This Row],[income]],0)</f>
        <v>0</v>
      </c>
      <c r="CP65" s="20">
        <f ca="1">IF(Table1[[#This Row],[County]]="Wiltshire",Table1[[#This Row],[income]],0)</f>
        <v>0</v>
      </c>
      <c r="CQ65" s="20">
        <f ca="1">IF(Table1[[#This Row],[County]]="West Midlands",Table1[[#This Row],[income]],0)</f>
        <v>0</v>
      </c>
      <c r="CR65" s="20">
        <f ca="1">IF(Table1[[#This Row],[County]]="Warwickshire",Table1[[#This Row],[income]],0)</f>
        <v>0</v>
      </c>
      <c r="CS65" s="20">
        <f ca="1">IF(Table1[[#This Row],[County]]="Tyne and Wear",Table1[[#This Row],[income]],0)</f>
        <v>0</v>
      </c>
      <c r="CT65" s="20">
        <f ca="1">IF(Table1[[#This Row],[County]]="Worcestershire",Table1[[#This Row],[income]],0)</f>
        <v>0</v>
      </c>
      <c r="CU65" s="20">
        <f ca="1">IF(Table1[[#This Row],[County]]="Rutland",Table1[[#This Row],[income]],0)</f>
        <v>0</v>
      </c>
      <c r="CV65" s="20">
        <f ca="1">IF(Table1[[#This Row],[County]]="Shropshire",Table1[[#This Row],[income]],0)</f>
        <v>0</v>
      </c>
      <c r="CW65" s="20">
        <f ca="1">IF(Table1[[#This Row],[County]]="Dorset",Table1[[#This Row],[income]],0)</f>
        <v>0</v>
      </c>
      <c r="CX65" s="20">
        <f ca="1">IF(Table1[[#This Row],[County]]="Buckinghamshire",Table1[[#This Row],[income]],0)</f>
        <v>0</v>
      </c>
      <c r="CY65" s="20">
        <f ca="1">IF(Table1[[#This Row],[County]]="Suffolk",Table1[[#This Row],[income]],0)</f>
        <v>0</v>
      </c>
      <c r="CZ65" s="20">
        <f ca="1">IF(Table1[[#This Row],[County]]="North Yorkshire",Table1[[#This Row],[income]],0)</f>
        <v>0</v>
      </c>
      <c r="DA65" s="20">
        <f ca="1">IF(Table1[[#This Row],[County]]="Kent",Table1[[#This Row],[income]],0)</f>
        <v>0</v>
      </c>
      <c r="DB65" s="5">
        <f ca="1">IF(Table1[[#This Row],[County]]="Derbyshire",Table1[[#This Row],[income]],0)</f>
        <v>0</v>
      </c>
      <c r="DD65" s="6">
        <f ca="1">IF(Table1[[#This Row],[Column1]]="Health",Table1[[#This Row],[income]],0)</f>
        <v>0</v>
      </c>
      <c r="DE65" s="20">
        <f ca="1">IF(Table1[[#This Row],[Column1]]="Agriculture",Table1[[#This Row],[income]],0)</f>
        <v>0</v>
      </c>
      <c r="DF65" s="20">
        <f ca="1">IF(Table1[[#This Row],[Column1]]="Technology",Table1[[#This Row],[income]],0)</f>
        <v>0</v>
      </c>
      <c r="DG65" s="20">
        <f ca="1">IF(Table1[[#This Row],[Column1]]="Social Service",Table1[[#This Row],[income]],0)</f>
        <v>61440</v>
      </c>
      <c r="DH65" s="20">
        <f ca="1">IF(Table1[[#This Row],[Column1]]="Education",Table1[[#This Row],[income]],0)</f>
        <v>0</v>
      </c>
      <c r="DI65" s="5">
        <f ca="1">IF(Table1[[#This Row],[Column1]]="Construction",Table1[[#This Row],[income]],0)</f>
        <v>0</v>
      </c>
      <c r="DK65" s="6">
        <f ca="1">IF(Table1[[#This Row],[Value of Debts]]&gt;Table1[[#This Row],[income]],1,0)</f>
        <v>1</v>
      </c>
      <c r="DL65" s="20"/>
      <c r="DM65" s="20"/>
      <c r="DN65" s="5"/>
      <c r="DP65" s="6">
        <f ca="1">IF(Table1[[#This Row],[Net Worth (£)]]&gt;$DS$5,C65,0)</f>
        <v>29</v>
      </c>
      <c r="DQ65" s="20"/>
      <c r="DR65" s="20"/>
      <c r="DS65" s="5"/>
    </row>
    <row r="66" spans="1:123" x14ac:dyDescent="0.2">
      <c r="A66">
        <f t="shared" ca="1" si="1"/>
        <v>2</v>
      </c>
      <c r="B66" s="1" t="str">
        <f ca="1">IF(A66=1, "men", "women")</f>
        <v>women</v>
      </c>
      <c r="C66" s="1">
        <f ca="1">RANDBETWEEN(25,50)</f>
        <v>45</v>
      </c>
      <c r="D66">
        <f ca="1">RANDBETWEEN(1,6)</f>
        <v>5</v>
      </c>
      <c r="E66" t="str">
        <f ca="1">VLOOKUP(D66,$W$5:$X$10,2)</f>
        <v>Social Service</v>
      </c>
      <c r="F66">
        <f ca="1">RANDBETWEEN(1,5)</f>
        <v>2</v>
      </c>
      <c r="G66" t="str">
        <f ca="1">VLOOKUP(F66,$Y$5:$Z$9,2)</f>
        <v>College</v>
      </c>
      <c r="H66">
        <f ca="1">RANDBETWEEN(0,4)</f>
        <v>1</v>
      </c>
      <c r="I66">
        <f ca="1">RANDBETWEEN(1,3)</f>
        <v>2</v>
      </c>
      <c r="J66">
        <f ca="1">RANDBETWEEN(30000,100000)</f>
        <v>53714</v>
      </c>
      <c r="K66">
        <f ca="1">RANDBETWEEN(1,48)</f>
        <v>46</v>
      </c>
      <c r="L66" t="str">
        <f ca="1">VLOOKUP(K66,$AA$5:$AB$52,2)</f>
        <v>West Yorkshire</v>
      </c>
      <c r="M66">
        <f ca="1">J66*(RANDBETWEEN(2,5))</f>
        <v>268570</v>
      </c>
      <c r="N66">
        <f ca="1">RAND()*M66</f>
        <v>47412.297010561357</v>
      </c>
      <c r="O66">
        <f ca="1">I66*RAND()*J66</f>
        <v>34106.601297559493</v>
      </c>
      <c r="P66">
        <f ca="1">RANDBETWEEN(0,O66)</f>
        <v>30965</v>
      </c>
      <c r="Q66">
        <f ca="1">RAND()*J66*2</f>
        <v>80619.408734294251</v>
      </c>
      <c r="R66">
        <f ca="1">RAND()*J66*1.5</f>
        <v>73974.637252721077</v>
      </c>
      <c r="S66">
        <f ca="1">J66+R66+O66</f>
        <v>161795.23855028057</v>
      </c>
      <c r="T66">
        <f ca="1">N66+P66+Q66</f>
        <v>158996.70574485563</v>
      </c>
      <c r="U66">
        <f ca="1">S66-T66</f>
        <v>2798.5328054249403</v>
      </c>
      <c r="AC66" s="6">
        <f ca="1">IF(Table1[[#This Row],[gender]]="men",1,0)</f>
        <v>0</v>
      </c>
      <c r="AD66">
        <f ca="1">IF(Table1[[#This Row],[gender]]="women",1,0)</f>
        <v>1</v>
      </c>
      <c r="AH66" s="5"/>
      <c r="AJ66" s="6">
        <f ca="1">IF(Table1[[#This Row],[Column1]]="Health",1,0)</f>
        <v>0</v>
      </c>
      <c r="AK66">
        <f ca="1">IF(Table1[[#This Row],[Column1]]="Construction",1,0)</f>
        <v>0</v>
      </c>
      <c r="AL66">
        <f ca="1">IF(Table1[[#This Row],[Column1]]="Technology",1,0)</f>
        <v>0</v>
      </c>
      <c r="AM66">
        <f ca="1">IF(Table1[[#This Row],[Column1]]="Education",1,0)</f>
        <v>0</v>
      </c>
      <c r="AN66">
        <f ca="1">IF(Table1[[#This Row],[Column1]]="Agriculture",1,0)</f>
        <v>0</v>
      </c>
      <c r="AO66">
        <f ca="1">IF(Table1[[#This Row],[Column1]]="Social Service", 1, 0)</f>
        <v>1</v>
      </c>
      <c r="AT66" s="5"/>
      <c r="AV66" s="17">
        <f t="shared" ca="1" si="0"/>
        <v>4551.270924182797</v>
      </c>
      <c r="AW66" s="5"/>
      <c r="AX66" s="6">
        <f ca="1">IF(Table1[[#This Row],[Value of Debts]]&gt;$AY$4,1,0)</f>
        <v>1</v>
      </c>
      <c r="AY66" s="20"/>
      <c r="AZ66" s="20"/>
      <c r="BA66" s="5"/>
      <c r="BB66" s="25">
        <f ca="1">Table1[[#This Row],[Mortage Left]]/Table1[[#This Row],[Value of House]]</f>
        <v>0.17653608746532135</v>
      </c>
      <c r="BC66" s="20">
        <f t="shared" ca="1" si="2"/>
        <v>1</v>
      </c>
      <c r="BD66" s="20"/>
      <c r="BE66" s="20"/>
      <c r="BF66" s="20"/>
      <c r="BG66" s="6">
        <f ca="1">IF(Table1[[#This Row],[County]]="Cumbria",Table1[[#This Row],[income]],0)</f>
        <v>0</v>
      </c>
      <c r="BH66" s="20">
        <f ca="1">IF(Table1[[#This Row],[County]]="Cheshire",Table1[[#This Row],[income]],0)</f>
        <v>0</v>
      </c>
      <c r="BI66" s="20">
        <f ca="1">IF(Table1[[#This Row],[County]]="Bristol",Table1[[#This Row],[income]],0)</f>
        <v>0</v>
      </c>
      <c r="BJ66" s="20">
        <f ca="1">IF(Table1[[#This Row],[County]]="Surrey",Table1[[#This Row],[income]],0)</f>
        <v>0</v>
      </c>
      <c r="BK66" s="20">
        <f ca="1">IF(Table1[[#This Row],[County]]="Norfolk",Table1[[#This Row],[income]],0)</f>
        <v>0</v>
      </c>
      <c r="BL66" s="20">
        <f ca="1">IF(Table1[[#This Row],[County]]="Lincolnshire",Table1[[#This Row],[income]],0)</f>
        <v>0</v>
      </c>
      <c r="BM66" s="20">
        <f ca="1">IF(Table1[[#This Row],[County]]="Somerset",Table1[[#This Row],[income]],0)</f>
        <v>0</v>
      </c>
      <c r="BN66" s="20">
        <f ca="1">IF(Table1[[#This Row],[County]]="Cambridgeshire",Table1[[#This Row],[income]],0)</f>
        <v>0</v>
      </c>
      <c r="BO66" s="20">
        <f ca="1">IF(Table1[[#This Row],[County]]="South Yorkshire",Table1[[#This Row],[income]],0)</f>
        <v>0</v>
      </c>
      <c r="BP66" s="20">
        <f ca="1">IF(Table1[[#This Row],[County]]="Greater London",Table1[[#This Row],[income]],0)</f>
        <v>0</v>
      </c>
      <c r="BQ66" s="20">
        <f ca="1">IF(Table1[[#This Row],[County]]="Hampshire",Table1[[#This Row],[income]],0)</f>
        <v>0</v>
      </c>
      <c r="BR66" s="20">
        <f ca="1">IF(Table1[[#This Row],[County]]="Gloucestershire",Table1[[#This Row],[income]],0)</f>
        <v>0</v>
      </c>
      <c r="BS66" s="20">
        <f ca="1">IF(Table1[[#This Row],[County]]="West Sussex",Table1[[#This Row],[income]],0)</f>
        <v>0</v>
      </c>
      <c r="BT66" s="20">
        <f ca="1">IF(Table1[[#This Row],[County]]="Devon",Table1[[#This Row],[income]],0)</f>
        <v>0</v>
      </c>
      <c r="BU66" s="20">
        <f ca="1">IF(Table1[[#This Row],[County]]="Berkshire",Table1[[#This Row],[income]],0)</f>
        <v>0</v>
      </c>
      <c r="BV66" s="20">
        <f ca="1">IF(Table1[[#This Row],[County]]="Staffordshire",Table1[[#This Row],[income]],0)</f>
        <v>0</v>
      </c>
      <c r="BW66" s="20">
        <f ca="1">IF(Table1[[#This Row],[County]]="Leicestershire",Table1[[#This Row],[income]],0)</f>
        <v>0</v>
      </c>
      <c r="BX66" s="20">
        <f ca="1">IF(Table1[[#This Row],[County]]="Cornwall",Table1[[#This Row],[income]],0)</f>
        <v>0</v>
      </c>
      <c r="BY66" s="20">
        <f ca="1">IF(Table1[[#This Row],[County]]="Isle of Wight",Table1[[#This Row],[income]],0)</f>
        <v>0</v>
      </c>
      <c r="BZ66" s="20">
        <f ca="1">IF(Table1[[#This Row],[County]]="Surrey",Table1[[#This Row],[income]],0)</f>
        <v>0</v>
      </c>
      <c r="CA66" s="20">
        <f ca="1">IF(Table1[[#This Row],[County]]="Derbyshire",Table1[[#This Row],[income]],0)</f>
        <v>0</v>
      </c>
      <c r="CB66" s="20">
        <f ca="1">IF(Table1[[#This Row],[County]]="City of London",Table1[[#This Row],[income]],0)</f>
        <v>0</v>
      </c>
      <c r="CC66" s="20">
        <f ca="1">IF(Table1[[#This Row],[County]]="Bedfordshire",Table1[[#This Row],[income]],0)</f>
        <v>0</v>
      </c>
      <c r="CD66" s="20">
        <f ca="1">IF(Table1[[#This Row],[County]]="County Durham",Table1[[#This Row],[income]],0)</f>
        <v>0</v>
      </c>
      <c r="CE66" s="20">
        <f ca="1">IF(Table1[[#This Row],[County]]="East Riding of Yorkshire",Table1[[#This Row],[income]],0)</f>
        <v>0</v>
      </c>
      <c r="CF66" s="20">
        <f ca="1">IF(Table1[[#This Row],[County]]="West Yorkshire",Table1[[#This Row],[income]],0)</f>
        <v>53714</v>
      </c>
      <c r="CG66" s="20">
        <f ca="1">IF(Table1[[#This Row],[County]]="Essex",Table1[[#This Row],[income]],0)</f>
        <v>0</v>
      </c>
      <c r="CH66" s="20">
        <f ca="1">IF(Table1[[#This Row],[County]]="East Sussex",Table1[[#This Row],[income]],0)</f>
        <v>0</v>
      </c>
      <c r="CI66" s="20">
        <f ca="1">IF(Table1[[#This Row],[County]]="Greater Manchester",Table1[[#This Row],[income]],0)</f>
        <v>0</v>
      </c>
      <c r="CJ66" s="20">
        <f ca="1">IF(Table1[[#This Row],[County]]="Hertfordshire",Table1[[#This Row],[income]],0)</f>
        <v>0</v>
      </c>
      <c r="CK66" s="20">
        <f ca="1">IF(Table1[[#This Row],[County]]="Herefordshire",Table1[[#This Row],[income]],0)</f>
        <v>0</v>
      </c>
      <c r="CL66" s="20">
        <f ca="1">IF(Table1[[#This Row],[County]]="Lancashire",Table1[[#This Row],[income]],0)</f>
        <v>0</v>
      </c>
      <c r="CM66" s="20">
        <f ca="1">IF(Table1[[#This Row],[County]]="Merseyside",Table1[[#This Row],[income]],0)</f>
        <v>0</v>
      </c>
      <c r="CN66" s="20">
        <f ca="1">IF(Table1[[#This Row],[County]]="Northamptonshire",Table1[[#This Row],[income]],0)</f>
        <v>0</v>
      </c>
      <c r="CO66" s="20">
        <f ca="1">IF(Table1[[#This Row],[County]]="Northumberland",Table1[[#This Row],[income]],0)</f>
        <v>0</v>
      </c>
      <c r="CP66" s="20">
        <f ca="1">IF(Table1[[#This Row],[County]]="Wiltshire",Table1[[#This Row],[income]],0)</f>
        <v>0</v>
      </c>
      <c r="CQ66" s="20">
        <f ca="1">IF(Table1[[#This Row],[County]]="West Midlands",Table1[[#This Row],[income]],0)</f>
        <v>0</v>
      </c>
      <c r="CR66" s="20">
        <f ca="1">IF(Table1[[#This Row],[County]]="Warwickshire",Table1[[#This Row],[income]],0)</f>
        <v>0</v>
      </c>
      <c r="CS66" s="20">
        <f ca="1">IF(Table1[[#This Row],[County]]="Tyne and Wear",Table1[[#This Row],[income]],0)</f>
        <v>0</v>
      </c>
      <c r="CT66" s="20">
        <f ca="1">IF(Table1[[#This Row],[County]]="Worcestershire",Table1[[#This Row],[income]],0)</f>
        <v>0</v>
      </c>
      <c r="CU66" s="20">
        <f ca="1">IF(Table1[[#This Row],[County]]="Rutland",Table1[[#This Row],[income]],0)</f>
        <v>0</v>
      </c>
      <c r="CV66" s="20">
        <f ca="1">IF(Table1[[#This Row],[County]]="Shropshire",Table1[[#This Row],[income]],0)</f>
        <v>0</v>
      </c>
      <c r="CW66" s="20">
        <f ca="1">IF(Table1[[#This Row],[County]]="Dorset",Table1[[#This Row],[income]],0)</f>
        <v>0</v>
      </c>
      <c r="CX66" s="20">
        <f ca="1">IF(Table1[[#This Row],[County]]="Buckinghamshire",Table1[[#This Row],[income]],0)</f>
        <v>0</v>
      </c>
      <c r="CY66" s="20">
        <f ca="1">IF(Table1[[#This Row],[County]]="Suffolk",Table1[[#This Row],[income]],0)</f>
        <v>0</v>
      </c>
      <c r="CZ66" s="20">
        <f ca="1">IF(Table1[[#This Row],[County]]="North Yorkshire",Table1[[#This Row],[income]],0)</f>
        <v>0</v>
      </c>
      <c r="DA66" s="20">
        <f ca="1">IF(Table1[[#This Row],[County]]="Kent",Table1[[#This Row],[income]],0)</f>
        <v>0</v>
      </c>
      <c r="DB66" s="5">
        <f ca="1">IF(Table1[[#This Row],[County]]="Derbyshire",Table1[[#This Row],[income]],0)</f>
        <v>0</v>
      </c>
      <c r="DD66" s="6">
        <f ca="1">IF(Table1[[#This Row],[Column1]]="Health",Table1[[#This Row],[income]],0)</f>
        <v>0</v>
      </c>
      <c r="DE66" s="20">
        <f ca="1">IF(Table1[[#This Row],[Column1]]="Agriculture",Table1[[#This Row],[income]],0)</f>
        <v>0</v>
      </c>
      <c r="DF66" s="20">
        <f ca="1">IF(Table1[[#This Row],[Column1]]="Technology",Table1[[#This Row],[income]],0)</f>
        <v>0</v>
      </c>
      <c r="DG66" s="20">
        <f ca="1">IF(Table1[[#This Row],[Column1]]="Social Service",Table1[[#This Row],[income]],0)</f>
        <v>53714</v>
      </c>
      <c r="DH66" s="20">
        <f ca="1">IF(Table1[[#This Row],[Column1]]="Education",Table1[[#This Row],[income]],0)</f>
        <v>0</v>
      </c>
      <c r="DI66" s="5">
        <f ca="1">IF(Table1[[#This Row],[Column1]]="Construction",Table1[[#This Row],[income]],0)</f>
        <v>0</v>
      </c>
      <c r="DK66" s="6">
        <f ca="1">IF(Table1[[#This Row],[Value of Debts]]&gt;Table1[[#This Row],[income]],1,0)</f>
        <v>1</v>
      </c>
      <c r="DL66" s="20"/>
      <c r="DM66" s="20"/>
      <c r="DN66" s="5"/>
      <c r="DP66" s="6">
        <f ca="1">IF(Table1[[#This Row],[Net Worth (£)]]&gt;$DS$5,C66,0)</f>
        <v>0</v>
      </c>
      <c r="DQ66" s="20"/>
      <c r="DR66" s="20"/>
      <c r="DS66" s="5"/>
    </row>
    <row r="67" spans="1:123" x14ac:dyDescent="0.2">
      <c r="A67">
        <f t="shared" ca="1" si="1"/>
        <v>1</v>
      </c>
      <c r="B67" s="1" t="str">
        <f ca="1">IF(A67=1, "men", "women")</f>
        <v>men</v>
      </c>
      <c r="C67" s="1">
        <f ca="1">RANDBETWEEN(25,50)</f>
        <v>47</v>
      </c>
      <c r="D67">
        <f ca="1">RANDBETWEEN(1,6)</f>
        <v>3</v>
      </c>
      <c r="E67" t="str">
        <f ca="1">VLOOKUP(D67,$W$5:$X$10,2)</f>
        <v>Education</v>
      </c>
      <c r="F67">
        <f ca="1">RANDBETWEEN(1,5)</f>
        <v>1</v>
      </c>
      <c r="G67" t="str">
        <f ca="1">VLOOKUP(F67,$Y$5:$Z$9,2)</f>
        <v>High School</v>
      </c>
      <c r="H67">
        <f ca="1">RANDBETWEEN(0,4)</f>
        <v>0</v>
      </c>
      <c r="I67">
        <f ca="1">RANDBETWEEN(1,3)</f>
        <v>1</v>
      </c>
      <c r="J67">
        <f ca="1">RANDBETWEEN(30000,100000)</f>
        <v>42862</v>
      </c>
      <c r="K67">
        <f ca="1">RANDBETWEEN(1,48)</f>
        <v>27</v>
      </c>
      <c r="L67" t="str">
        <f ca="1">VLOOKUP(K67,$AA$5:$AB$52,2)</f>
        <v>Merseyside</v>
      </c>
      <c r="M67">
        <f ca="1">J67*(RANDBETWEEN(2,5))</f>
        <v>214310</v>
      </c>
      <c r="N67">
        <f ca="1">RAND()*M67</f>
        <v>81264.413285003218</v>
      </c>
      <c r="O67">
        <f ca="1">I67*RAND()*J67</f>
        <v>4551.270924182797</v>
      </c>
      <c r="P67">
        <f ca="1">RANDBETWEEN(0,O67)</f>
        <v>1732</v>
      </c>
      <c r="Q67">
        <f ca="1">RAND()*J67*2</f>
        <v>45176.647736285398</v>
      </c>
      <c r="R67">
        <f ca="1">RAND()*J67*1.5</f>
        <v>27903.438853246673</v>
      </c>
      <c r="S67">
        <f ca="1">J67+R67+O67</f>
        <v>75316.709777429467</v>
      </c>
      <c r="T67">
        <f ca="1">N67+P67+Q67</f>
        <v>128173.06102128862</v>
      </c>
      <c r="U67">
        <f ca="1">S67-T67</f>
        <v>-52856.351243859157</v>
      </c>
      <c r="AC67" s="6">
        <f ca="1">IF(Table1[[#This Row],[gender]]="men",1,0)</f>
        <v>1</v>
      </c>
      <c r="AD67">
        <f ca="1">IF(Table1[[#This Row],[gender]]="women",1,0)</f>
        <v>0</v>
      </c>
      <c r="AH67" s="5"/>
      <c r="AJ67" s="6">
        <f ca="1">IF(Table1[[#This Row],[Column1]]="Health",1,0)</f>
        <v>0</v>
      </c>
      <c r="AK67">
        <f ca="1">IF(Table1[[#This Row],[Column1]]="Construction",1,0)</f>
        <v>0</v>
      </c>
      <c r="AL67">
        <f ca="1">IF(Table1[[#This Row],[Column1]]="Technology",1,0)</f>
        <v>0</v>
      </c>
      <c r="AM67">
        <f ca="1">IF(Table1[[#This Row],[Column1]]="Education",1,0)</f>
        <v>1</v>
      </c>
      <c r="AN67">
        <f ca="1">IF(Table1[[#This Row],[Column1]]="Agriculture",1,0)</f>
        <v>0</v>
      </c>
      <c r="AO67">
        <f ca="1">IF(Table1[[#This Row],[Column1]]="Social Service", 1, 0)</f>
        <v>0</v>
      </c>
      <c r="AT67" s="5"/>
      <c r="AV67" s="17">
        <f t="shared" ca="1" si="0"/>
        <v>34549.011683685261</v>
      </c>
      <c r="AW67" s="5"/>
      <c r="AX67" s="6">
        <f ca="1">IF(Table1[[#This Row],[Value of Debts]]&gt;$AY$4,1,0)</f>
        <v>1</v>
      </c>
      <c r="AY67" s="20"/>
      <c r="AZ67" s="20"/>
      <c r="BA67" s="5"/>
      <c r="BB67" s="25">
        <f ca="1">Table1[[#This Row],[Mortage Left]]/Table1[[#This Row],[Value of House]]</f>
        <v>0.37919095368859695</v>
      </c>
      <c r="BC67" s="20">
        <f t="shared" ca="1" si="2"/>
        <v>0</v>
      </c>
      <c r="BD67" s="20"/>
      <c r="BE67" s="20"/>
      <c r="BF67" s="20"/>
      <c r="BG67" s="6">
        <f ca="1">IF(Table1[[#This Row],[County]]="Cumbria",Table1[[#This Row],[income]],0)</f>
        <v>0</v>
      </c>
      <c r="BH67" s="20">
        <f ca="1">IF(Table1[[#This Row],[County]]="Cheshire",Table1[[#This Row],[income]],0)</f>
        <v>0</v>
      </c>
      <c r="BI67" s="20">
        <f ca="1">IF(Table1[[#This Row],[County]]="Bristol",Table1[[#This Row],[income]],0)</f>
        <v>0</v>
      </c>
      <c r="BJ67" s="20">
        <f ca="1">IF(Table1[[#This Row],[County]]="Surrey",Table1[[#This Row],[income]],0)</f>
        <v>0</v>
      </c>
      <c r="BK67" s="20">
        <f ca="1">IF(Table1[[#This Row],[County]]="Norfolk",Table1[[#This Row],[income]],0)</f>
        <v>0</v>
      </c>
      <c r="BL67" s="20">
        <f ca="1">IF(Table1[[#This Row],[County]]="Lincolnshire",Table1[[#This Row],[income]],0)</f>
        <v>0</v>
      </c>
      <c r="BM67" s="20">
        <f ca="1">IF(Table1[[#This Row],[County]]="Somerset",Table1[[#This Row],[income]],0)</f>
        <v>0</v>
      </c>
      <c r="BN67" s="20">
        <f ca="1">IF(Table1[[#This Row],[County]]="Cambridgeshire",Table1[[#This Row],[income]],0)</f>
        <v>0</v>
      </c>
      <c r="BO67" s="20">
        <f ca="1">IF(Table1[[#This Row],[County]]="South Yorkshire",Table1[[#This Row],[income]],0)</f>
        <v>0</v>
      </c>
      <c r="BP67" s="20">
        <f ca="1">IF(Table1[[#This Row],[County]]="Greater London",Table1[[#This Row],[income]],0)</f>
        <v>0</v>
      </c>
      <c r="BQ67" s="20">
        <f ca="1">IF(Table1[[#This Row],[County]]="Hampshire",Table1[[#This Row],[income]],0)</f>
        <v>0</v>
      </c>
      <c r="BR67" s="20">
        <f ca="1">IF(Table1[[#This Row],[County]]="Gloucestershire",Table1[[#This Row],[income]],0)</f>
        <v>0</v>
      </c>
      <c r="BS67" s="20">
        <f ca="1">IF(Table1[[#This Row],[County]]="West Sussex",Table1[[#This Row],[income]],0)</f>
        <v>0</v>
      </c>
      <c r="BT67" s="20">
        <f ca="1">IF(Table1[[#This Row],[County]]="Devon",Table1[[#This Row],[income]],0)</f>
        <v>0</v>
      </c>
      <c r="BU67" s="20">
        <f ca="1">IF(Table1[[#This Row],[County]]="Berkshire",Table1[[#This Row],[income]],0)</f>
        <v>0</v>
      </c>
      <c r="BV67" s="20">
        <f ca="1">IF(Table1[[#This Row],[County]]="Staffordshire",Table1[[#This Row],[income]],0)</f>
        <v>0</v>
      </c>
      <c r="BW67" s="20">
        <f ca="1">IF(Table1[[#This Row],[County]]="Leicestershire",Table1[[#This Row],[income]],0)</f>
        <v>0</v>
      </c>
      <c r="BX67" s="20">
        <f ca="1">IF(Table1[[#This Row],[County]]="Cornwall",Table1[[#This Row],[income]],0)</f>
        <v>0</v>
      </c>
      <c r="BY67" s="20">
        <f ca="1">IF(Table1[[#This Row],[County]]="Isle of Wight",Table1[[#This Row],[income]],0)</f>
        <v>0</v>
      </c>
      <c r="BZ67" s="20">
        <f ca="1">IF(Table1[[#This Row],[County]]="Surrey",Table1[[#This Row],[income]],0)</f>
        <v>0</v>
      </c>
      <c r="CA67" s="20">
        <f ca="1">IF(Table1[[#This Row],[County]]="Derbyshire",Table1[[#This Row],[income]],0)</f>
        <v>0</v>
      </c>
      <c r="CB67" s="20">
        <f ca="1">IF(Table1[[#This Row],[County]]="City of London",Table1[[#This Row],[income]],0)</f>
        <v>0</v>
      </c>
      <c r="CC67" s="20">
        <f ca="1">IF(Table1[[#This Row],[County]]="Bedfordshire",Table1[[#This Row],[income]],0)</f>
        <v>0</v>
      </c>
      <c r="CD67" s="20">
        <f ca="1">IF(Table1[[#This Row],[County]]="County Durham",Table1[[#This Row],[income]],0)</f>
        <v>0</v>
      </c>
      <c r="CE67" s="20">
        <f ca="1">IF(Table1[[#This Row],[County]]="East Riding of Yorkshire",Table1[[#This Row],[income]],0)</f>
        <v>0</v>
      </c>
      <c r="CF67" s="20">
        <f ca="1">IF(Table1[[#This Row],[County]]="West Yorkshire",Table1[[#This Row],[income]],0)</f>
        <v>0</v>
      </c>
      <c r="CG67" s="20">
        <f ca="1">IF(Table1[[#This Row],[County]]="Essex",Table1[[#This Row],[income]],0)</f>
        <v>0</v>
      </c>
      <c r="CH67" s="20">
        <f ca="1">IF(Table1[[#This Row],[County]]="East Sussex",Table1[[#This Row],[income]],0)</f>
        <v>0</v>
      </c>
      <c r="CI67" s="20">
        <f ca="1">IF(Table1[[#This Row],[County]]="Greater Manchester",Table1[[#This Row],[income]],0)</f>
        <v>0</v>
      </c>
      <c r="CJ67" s="20">
        <f ca="1">IF(Table1[[#This Row],[County]]="Hertfordshire",Table1[[#This Row],[income]],0)</f>
        <v>0</v>
      </c>
      <c r="CK67" s="20">
        <f ca="1">IF(Table1[[#This Row],[County]]="Herefordshire",Table1[[#This Row],[income]],0)</f>
        <v>0</v>
      </c>
      <c r="CL67" s="20">
        <f ca="1">IF(Table1[[#This Row],[County]]="Lancashire",Table1[[#This Row],[income]],0)</f>
        <v>0</v>
      </c>
      <c r="CM67" s="20">
        <f ca="1">IF(Table1[[#This Row],[County]]="Merseyside",Table1[[#This Row],[income]],0)</f>
        <v>42862</v>
      </c>
      <c r="CN67" s="20">
        <f ca="1">IF(Table1[[#This Row],[County]]="Northamptonshire",Table1[[#This Row],[income]],0)</f>
        <v>0</v>
      </c>
      <c r="CO67" s="20">
        <f ca="1">IF(Table1[[#This Row],[County]]="Northumberland",Table1[[#This Row],[income]],0)</f>
        <v>0</v>
      </c>
      <c r="CP67" s="20">
        <f ca="1">IF(Table1[[#This Row],[County]]="Wiltshire",Table1[[#This Row],[income]],0)</f>
        <v>0</v>
      </c>
      <c r="CQ67" s="20">
        <f ca="1">IF(Table1[[#This Row],[County]]="West Midlands",Table1[[#This Row],[income]],0)</f>
        <v>0</v>
      </c>
      <c r="CR67" s="20">
        <f ca="1">IF(Table1[[#This Row],[County]]="Warwickshire",Table1[[#This Row],[income]],0)</f>
        <v>0</v>
      </c>
      <c r="CS67" s="20">
        <f ca="1">IF(Table1[[#This Row],[County]]="Tyne and Wear",Table1[[#This Row],[income]],0)</f>
        <v>0</v>
      </c>
      <c r="CT67" s="20">
        <f ca="1">IF(Table1[[#This Row],[County]]="Worcestershire",Table1[[#This Row],[income]],0)</f>
        <v>0</v>
      </c>
      <c r="CU67" s="20">
        <f ca="1">IF(Table1[[#This Row],[County]]="Rutland",Table1[[#This Row],[income]],0)</f>
        <v>0</v>
      </c>
      <c r="CV67" s="20">
        <f ca="1">IF(Table1[[#This Row],[County]]="Shropshire",Table1[[#This Row],[income]],0)</f>
        <v>0</v>
      </c>
      <c r="CW67" s="20">
        <f ca="1">IF(Table1[[#This Row],[County]]="Dorset",Table1[[#This Row],[income]],0)</f>
        <v>0</v>
      </c>
      <c r="CX67" s="20">
        <f ca="1">IF(Table1[[#This Row],[County]]="Buckinghamshire",Table1[[#This Row],[income]],0)</f>
        <v>0</v>
      </c>
      <c r="CY67" s="20">
        <f ca="1">IF(Table1[[#This Row],[County]]="Suffolk",Table1[[#This Row],[income]],0)</f>
        <v>0</v>
      </c>
      <c r="CZ67" s="20">
        <f ca="1">IF(Table1[[#This Row],[County]]="North Yorkshire",Table1[[#This Row],[income]],0)</f>
        <v>0</v>
      </c>
      <c r="DA67" s="20">
        <f ca="1">IF(Table1[[#This Row],[County]]="Kent",Table1[[#This Row],[income]],0)</f>
        <v>0</v>
      </c>
      <c r="DB67" s="5">
        <f ca="1">IF(Table1[[#This Row],[County]]="Derbyshire",Table1[[#This Row],[income]],0)</f>
        <v>0</v>
      </c>
      <c r="DD67" s="6">
        <f ca="1">IF(Table1[[#This Row],[Column1]]="Health",Table1[[#This Row],[income]],0)</f>
        <v>0</v>
      </c>
      <c r="DE67" s="20">
        <f ca="1">IF(Table1[[#This Row],[Column1]]="Agriculture",Table1[[#This Row],[income]],0)</f>
        <v>0</v>
      </c>
      <c r="DF67" s="20">
        <f ca="1">IF(Table1[[#This Row],[Column1]]="Technology",Table1[[#This Row],[income]],0)</f>
        <v>0</v>
      </c>
      <c r="DG67" s="20">
        <f ca="1">IF(Table1[[#This Row],[Column1]]="Social Service",Table1[[#This Row],[income]],0)</f>
        <v>0</v>
      </c>
      <c r="DH67" s="20">
        <f ca="1">IF(Table1[[#This Row],[Column1]]="Education",Table1[[#This Row],[income]],0)</f>
        <v>42862</v>
      </c>
      <c r="DI67" s="5">
        <f ca="1">IF(Table1[[#This Row],[Column1]]="Construction",Table1[[#This Row],[income]],0)</f>
        <v>0</v>
      </c>
      <c r="DK67" s="6">
        <f ca="1">IF(Table1[[#This Row],[Value of Debts]]&gt;Table1[[#This Row],[income]],1,0)</f>
        <v>1</v>
      </c>
      <c r="DL67" s="20"/>
      <c r="DM67" s="20"/>
      <c r="DN67" s="5"/>
      <c r="DP67" s="6">
        <f ca="1">IF(Table1[[#This Row],[Net Worth (£)]]&gt;$DS$5,C67,0)</f>
        <v>0</v>
      </c>
      <c r="DQ67" s="20"/>
      <c r="DR67" s="20"/>
      <c r="DS67" s="5"/>
    </row>
    <row r="68" spans="1:123" x14ac:dyDescent="0.2">
      <c r="A68">
        <f t="shared" ca="1" si="1"/>
        <v>1</v>
      </c>
      <c r="B68" s="1" t="str">
        <f ca="1">IF(A68=1, "men", "women")</f>
        <v>men</v>
      </c>
      <c r="C68" s="1">
        <f ca="1">RANDBETWEEN(25,50)</f>
        <v>34</v>
      </c>
      <c r="D68">
        <f ca="1">RANDBETWEEN(1,6)</f>
        <v>2</v>
      </c>
      <c r="E68" t="str">
        <f ca="1">VLOOKUP(D68,$W$5:$X$10,2)</f>
        <v>Construction</v>
      </c>
      <c r="F68">
        <f ca="1">RANDBETWEEN(1,5)</f>
        <v>2</v>
      </c>
      <c r="G68" t="str">
        <f ca="1">VLOOKUP(F68,$Y$5:$Z$9,2)</f>
        <v>College</v>
      </c>
      <c r="H68">
        <f ca="1">RANDBETWEEN(0,4)</f>
        <v>2</v>
      </c>
      <c r="I68">
        <f ca="1">RANDBETWEEN(1,3)</f>
        <v>2</v>
      </c>
      <c r="J68">
        <f ca="1">RANDBETWEEN(30000,100000)</f>
        <v>35310</v>
      </c>
      <c r="K68">
        <f ca="1">RANDBETWEEN(1,48)</f>
        <v>9</v>
      </c>
      <c r="L68" t="str">
        <f ca="1">VLOOKUP(K68,$AA$5:$AB$52,2)</f>
        <v>Cumbria</v>
      </c>
      <c r="M68">
        <f ca="1">J68*(RANDBETWEEN(2,5))</f>
        <v>141240</v>
      </c>
      <c r="N68">
        <f ca="1">RAND()*M68</f>
        <v>29347.121705530673</v>
      </c>
      <c r="O68">
        <f ca="1">I68*RAND()*J68</f>
        <v>69098.023367370522</v>
      </c>
      <c r="P68">
        <f ca="1">RANDBETWEEN(0,O68)</f>
        <v>66973</v>
      </c>
      <c r="Q68">
        <f ca="1">RAND()*J68*2</f>
        <v>48069.671787139901</v>
      </c>
      <c r="R68">
        <f ca="1">RAND()*J68*1.5</f>
        <v>30670.413775808483</v>
      </c>
      <c r="S68">
        <f ca="1">J68+R68+O68</f>
        <v>135078.43714317901</v>
      </c>
      <c r="T68">
        <f ca="1">N68+P68+Q68</f>
        <v>144389.79349267058</v>
      </c>
      <c r="U68">
        <f ca="1">S68-T68</f>
        <v>-9311.3563494915725</v>
      </c>
      <c r="AC68" s="6">
        <f ca="1">IF(Table1[[#This Row],[gender]]="men",1,0)</f>
        <v>1</v>
      </c>
      <c r="AD68">
        <f ca="1">IF(Table1[[#This Row],[gender]]="women",1,0)</f>
        <v>0</v>
      </c>
      <c r="AH68" s="5"/>
      <c r="AJ68" s="6">
        <f ca="1">IF(Table1[[#This Row],[Column1]]="Health",1,0)</f>
        <v>0</v>
      </c>
      <c r="AK68">
        <f ca="1">IF(Table1[[#This Row],[Column1]]="Construction",1,0)</f>
        <v>1</v>
      </c>
      <c r="AL68">
        <f ca="1">IF(Table1[[#This Row],[Column1]]="Technology",1,0)</f>
        <v>0</v>
      </c>
      <c r="AM68">
        <f ca="1">IF(Table1[[#This Row],[Column1]]="Education",1,0)</f>
        <v>0</v>
      </c>
      <c r="AN68">
        <f ca="1">IF(Table1[[#This Row],[Column1]]="Agriculture",1,0)</f>
        <v>0</v>
      </c>
      <c r="AO68">
        <f ca="1">IF(Table1[[#This Row],[Column1]]="Social Service", 1, 0)</f>
        <v>0</v>
      </c>
      <c r="AT68" s="5"/>
      <c r="AV68" s="17">
        <f t="shared" ca="1" si="0"/>
        <v>17810.91772980188</v>
      </c>
      <c r="AW68" s="5"/>
      <c r="AX68" s="6">
        <f ca="1">IF(Table1[[#This Row],[Value of Debts]]&gt;$AY$4,1,0)</f>
        <v>1</v>
      </c>
      <c r="AY68" s="20"/>
      <c r="AZ68" s="20"/>
      <c r="BA68" s="5"/>
      <c r="BB68" s="25">
        <f ca="1">Table1[[#This Row],[Mortage Left]]/Table1[[#This Row],[Value of House]]</f>
        <v>0.20778194353958279</v>
      </c>
      <c r="BC68" s="20">
        <f t="shared" ca="1" si="2"/>
        <v>1</v>
      </c>
      <c r="BD68" s="20"/>
      <c r="BE68" s="20"/>
      <c r="BF68" s="20"/>
      <c r="BG68" s="6">
        <f ca="1">IF(Table1[[#This Row],[County]]="Cumbria",Table1[[#This Row],[income]],0)</f>
        <v>35310</v>
      </c>
      <c r="BH68" s="20">
        <f ca="1">IF(Table1[[#This Row],[County]]="Cheshire",Table1[[#This Row],[income]],0)</f>
        <v>0</v>
      </c>
      <c r="BI68" s="20">
        <f ca="1">IF(Table1[[#This Row],[County]]="Bristol",Table1[[#This Row],[income]],0)</f>
        <v>0</v>
      </c>
      <c r="BJ68" s="20">
        <f ca="1">IF(Table1[[#This Row],[County]]="Surrey",Table1[[#This Row],[income]],0)</f>
        <v>0</v>
      </c>
      <c r="BK68" s="20">
        <f ca="1">IF(Table1[[#This Row],[County]]="Norfolk",Table1[[#This Row],[income]],0)</f>
        <v>0</v>
      </c>
      <c r="BL68" s="20">
        <f ca="1">IF(Table1[[#This Row],[County]]="Lincolnshire",Table1[[#This Row],[income]],0)</f>
        <v>0</v>
      </c>
      <c r="BM68" s="20">
        <f ca="1">IF(Table1[[#This Row],[County]]="Somerset",Table1[[#This Row],[income]],0)</f>
        <v>0</v>
      </c>
      <c r="BN68" s="20">
        <f ca="1">IF(Table1[[#This Row],[County]]="Cambridgeshire",Table1[[#This Row],[income]],0)</f>
        <v>0</v>
      </c>
      <c r="BO68" s="20">
        <f ca="1">IF(Table1[[#This Row],[County]]="South Yorkshire",Table1[[#This Row],[income]],0)</f>
        <v>0</v>
      </c>
      <c r="BP68" s="20">
        <f ca="1">IF(Table1[[#This Row],[County]]="Greater London",Table1[[#This Row],[income]],0)</f>
        <v>0</v>
      </c>
      <c r="BQ68" s="20">
        <f ca="1">IF(Table1[[#This Row],[County]]="Hampshire",Table1[[#This Row],[income]],0)</f>
        <v>0</v>
      </c>
      <c r="BR68" s="20">
        <f ca="1">IF(Table1[[#This Row],[County]]="Gloucestershire",Table1[[#This Row],[income]],0)</f>
        <v>0</v>
      </c>
      <c r="BS68" s="20">
        <f ca="1">IF(Table1[[#This Row],[County]]="West Sussex",Table1[[#This Row],[income]],0)</f>
        <v>0</v>
      </c>
      <c r="BT68" s="20">
        <f ca="1">IF(Table1[[#This Row],[County]]="Devon",Table1[[#This Row],[income]],0)</f>
        <v>0</v>
      </c>
      <c r="BU68" s="20">
        <f ca="1">IF(Table1[[#This Row],[County]]="Berkshire",Table1[[#This Row],[income]],0)</f>
        <v>0</v>
      </c>
      <c r="BV68" s="20">
        <f ca="1">IF(Table1[[#This Row],[County]]="Staffordshire",Table1[[#This Row],[income]],0)</f>
        <v>0</v>
      </c>
      <c r="BW68" s="20">
        <f ca="1">IF(Table1[[#This Row],[County]]="Leicestershire",Table1[[#This Row],[income]],0)</f>
        <v>0</v>
      </c>
      <c r="BX68" s="20">
        <f ca="1">IF(Table1[[#This Row],[County]]="Cornwall",Table1[[#This Row],[income]],0)</f>
        <v>0</v>
      </c>
      <c r="BY68" s="20">
        <f ca="1">IF(Table1[[#This Row],[County]]="Isle of Wight",Table1[[#This Row],[income]],0)</f>
        <v>0</v>
      </c>
      <c r="BZ68" s="20">
        <f ca="1">IF(Table1[[#This Row],[County]]="Surrey",Table1[[#This Row],[income]],0)</f>
        <v>0</v>
      </c>
      <c r="CA68" s="20">
        <f ca="1">IF(Table1[[#This Row],[County]]="Derbyshire",Table1[[#This Row],[income]],0)</f>
        <v>0</v>
      </c>
      <c r="CB68" s="20">
        <f ca="1">IF(Table1[[#This Row],[County]]="City of London",Table1[[#This Row],[income]],0)</f>
        <v>0</v>
      </c>
      <c r="CC68" s="20">
        <f ca="1">IF(Table1[[#This Row],[County]]="Bedfordshire",Table1[[#This Row],[income]],0)</f>
        <v>0</v>
      </c>
      <c r="CD68" s="20">
        <f ca="1">IF(Table1[[#This Row],[County]]="County Durham",Table1[[#This Row],[income]],0)</f>
        <v>0</v>
      </c>
      <c r="CE68" s="20">
        <f ca="1">IF(Table1[[#This Row],[County]]="East Riding of Yorkshire",Table1[[#This Row],[income]],0)</f>
        <v>0</v>
      </c>
      <c r="CF68" s="20">
        <f ca="1">IF(Table1[[#This Row],[County]]="West Yorkshire",Table1[[#This Row],[income]],0)</f>
        <v>0</v>
      </c>
      <c r="CG68" s="20">
        <f ca="1">IF(Table1[[#This Row],[County]]="Essex",Table1[[#This Row],[income]],0)</f>
        <v>0</v>
      </c>
      <c r="CH68" s="20">
        <f ca="1">IF(Table1[[#This Row],[County]]="East Sussex",Table1[[#This Row],[income]],0)</f>
        <v>0</v>
      </c>
      <c r="CI68" s="20">
        <f ca="1">IF(Table1[[#This Row],[County]]="Greater Manchester",Table1[[#This Row],[income]],0)</f>
        <v>0</v>
      </c>
      <c r="CJ68" s="20">
        <f ca="1">IF(Table1[[#This Row],[County]]="Hertfordshire",Table1[[#This Row],[income]],0)</f>
        <v>0</v>
      </c>
      <c r="CK68" s="20">
        <f ca="1">IF(Table1[[#This Row],[County]]="Herefordshire",Table1[[#This Row],[income]],0)</f>
        <v>0</v>
      </c>
      <c r="CL68" s="20">
        <f ca="1">IF(Table1[[#This Row],[County]]="Lancashire",Table1[[#This Row],[income]],0)</f>
        <v>0</v>
      </c>
      <c r="CM68" s="20">
        <f ca="1">IF(Table1[[#This Row],[County]]="Merseyside",Table1[[#This Row],[income]],0)</f>
        <v>0</v>
      </c>
      <c r="CN68" s="20">
        <f ca="1">IF(Table1[[#This Row],[County]]="Northamptonshire",Table1[[#This Row],[income]],0)</f>
        <v>0</v>
      </c>
      <c r="CO68" s="20">
        <f ca="1">IF(Table1[[#This Row],[County]]="Northumberland",Table1[[#This Row],[income]],0)</f>
        <v>0</v>
      </c>
      <c r="CP68" s="20">
        <f ca="1">IF(Table1[[#This Row],[County]]="Wiltshire",Table1[[#This Row],[income]],0)</f>
        <v>0</v>
      </c>
      <c r="CQ68" s="20">
        <f ca="1">IF(Table1[[#This Row],[County]]="West Midlands",Table1[[#This Row],[income]],0)</f>
        <v>0</v>
      </c>
      <c r="CR68" s="20">
        <f ca="1">IF(Table1[[#This Row],[County]]="Warwickshire",Table1[[#This Row],[income]],0)</f>
        <v>0</v>
      </c>
      <c r="CS68" s="20">
        <f ca="1">IF(Table1[[#This Row],[County]]="Tyne and Wear",Table1[[#This Row],[income]],0)</f>
        <v>0</v>
      </c>
      <c r="CT68" s="20">
        <f ca="1">IF(Table1[[#This Row],[County]]="Worcestershire",Table1[[#This Row],[income]],0)</f>
        <v>0</v>
      </c>
      <c r="CU68" s="20">
        <f ca="1">IF(Table1[[#This Row],[County]]="Rutland",Table1[[#This Row],[income]],0)</f>
        <v>0</v>
      </c>
      <c r="CV68" s="20">
        <f ca="1">IF(Table1[[#This Row],[County]]="Shropshire",Table1[[#This Row],[income]],0)</f>
        <v>0</v>
      </c>
      <c r="CW68" s="20">
        <f ca="1">IF(Table1[[#This Row],[County]]="Dorset",Table1[[#This Row],[income]],0)</f>
        <v>0</v>
      </c>
      <c r="CX68" s="20">
        <f ca="1">IF(Table1[[#This Row],[County]]="Buckinghamshire",Table1[[#This Row],[income]],0)</f>
        <v>0</v>
      </c>
      <c r="CY68" s="20">
        <f ca="1">IF(Table1[[#This Row],[County]]="Suffolk",Table1[[#This Row],[income]],0)</f>
        <v>0</v>
      </c>
      <c r="CZ68" s="20">
        <f ca="1">IF(Table1[[#This Row],[County]]="North Yorkshire",Table1[[#This Row],[income]],0)</f>
        <v>0</v>
      </c>
      <c r="DA68" s="20">
        <f ca="1">IF(Table1[[#This Row],[County]]="Kent",Table1[[#This Row],[income]],0)</f>
        <v>0</v>
      </c>
      <c r="DB68" s="5">
        <f ca="1">IF(Table1[[#This Row],[County]]="Derbyshire",Table1[[#This Row],[income]],0)</f>
        <v>0</v>
      </c>
      <c r="DD68" s="6">
        <f ca="1">IF(Table1[[#This Row],[Column1]]="Health",Table1[[#This Row],[income]],0)</f>
        <v>0</v>
      </c>
      <c r="DE68" s="20">
        <f ca="1">IF(Table1[[#This Row],[Column1]]="Agriculture",Table1[[#This Row],[income]],0)</f>
        <v>0</v>
      </c>
      <c r="DF68" s="20">
        <f ca="1">IF(Table1[[#This Row],[Column1]]="Technology",Table1[[#This Row],[income]],0)</f>
        <v>0</v>
      </c>
      <c r="DG68" s="20">
        <f ca="1">IF(Table1[[#This Row],[Column1]]="Social Service",Table1[[#This Row],[income]],0)</f>
        <v>0</v>
      </c>
      <c r="DH68" s="20">
        <f ca="1">IF(Table1[[#This Row],[Column1]]="Education",Table1[[#This Row],[income]],0)</f>
        <v>0</v>
      </c>
      <c r="DI68" s="5">
        <f ca="1">IF(Table1[[#This Row],[Column1]]="Construction",Table1[[#This Row],[income]],0)</f>
        <v>35310</v>
      </c>
      <c r="DK68" s="6">
        <f ca="1">IF(Table1[[#This Row],[Value of Debts]]&gt;Table1[[#This Row],[income]],1,0)</f>
        <v>1</v>
      </c>
      <c r="DL68" s="20"/>
      <c r="DM68" s="20"/>
      <c r="DN68" s="5"/>
      <c r="DP68" s="6">
        <f ca="1">IF(Table1[[#This Row],[Net Worth (£)]]&gt;$DS$5,C68,0)</f>
        <v>0</v>
      </c>
      <c r="DQ68" s="20"/>
      <c r="DR68" s="20"/>
      <c r="DS68" s="5"/>
    </row>
    <row r="69" spans="1:123" x14ac:dyDescent="0.2">
      <c r="A69">
        <f t="shared" ca="1" si="1"/>
        <v>2</v>
      </c>
      <c r="B69" s="1" t="str">
        <f ca="1">IF(A69=1, "men", "women")</f>
        <v>women</v>
      </c>
      <c r="C69" s="1">
        <f ca="1">RANDBETWEEN(25,50)</f>
        <v>28</v>
      </c>
      <c r="D69">
        <f ca="1">RANDBETWEEN(1,6)</f>
        <v>4</v>
      </c>
      <c r="E69" t="str">
        <f ca="1">VLOOKUP(D69,$W$5:$X$10,2)</f>
        <v>Technology</v>
      </c>
      <c r="F69">
        <f ca="1">RANDBETWEEN(1,5)</f>
        <v>4</v>
      </c>
      <c r="G69" t="str">
        <f ca="1">VLOOKUP(F69,$Y$5:$Z$9,2)</f>
        <v xml:space="preserve">Technical </v>
      </c>
      <c r="H69">
        <f ca="1">RANDBETWEEN(0,4)</f>
        <v>0</v>
      </c>
      <c r="I69">
        <f ca="1">RANDBETWEEN(1,3)</f>
        <v>1</v>
      </c>
      <c r="J69">
        <f ca="1">RANDBETWEEN(30000,100000)</f>
        <v>34532</v>
      </c>
      <c r="K69">
        <f ca="1">RANDBETWEEN(1,48)</f>
        <v>8</v>
      </c>
      <c r="L69" t="str">
        <f ca="1">VLOOKUP(K69,$AA$5:$AB$52,2)</f>
        <v>Cornwall</v>
      </c>
      <c r="M69">
        <f ca="1">J69*(RANDBETWEEN(2,5))</f>
        <v>172660</v>
      </c>
      <c r="N69">
        <f ca="1">RAND()*M69</f>
        <v>4480.2332827680184</v>
      </c>
      <c r="O69">
        <f ca="1">I69*RAND()*J69</f>
        <v>17810.91772980188</v>
      </c>
      <c r="P69">
        <f ca="1">RANDBETWEEN(0,O69)</f>
        <v>15538</v>
      </c>
      <c r="Q69">
        <f ca="1">RAND()*J69*2</f>
        <v>50230.231923920779</v>
      </c>
      <c r="R69">
        <f ca="1">RAND()*J69*1.5</f>
        <v>37699.365738222259</v>
      </c>
      <c r="S69">
        <f ca="1">J69+R69+O69</f>
        <v>90042.283468024136</v>
      </c>
      <c r="T69">
        <f ca="1">N69+P69+Q69</f>
        <v>70248.465206688794</v>
      </c>
      <c r="U69">
        <f ca="1">S69-T69</f>
        <v>19793.818261335342</v>
      </c>
      <c r="AC69" s="6">
        <f ca="1">IF(Table1[[#This Row],[gender]]="men",1,0)</f>
        <v>0</v>
      </c>
      <c r="AD69">
        <f ca="1">IF(Table1[[#This Row],[gender]]="women",1,0)</f>
        <v>1</v>
      </c>
      <c r="AH69" s="5"/>
      <c r="AJ69" s="6">
        <f ca="1">IF(Table1[[#This Row],[Column1]]="Health",1,0)</f>
        <v>0</v>
      </c>
      <c r="AK69">
        <f ca="1">IF(Table1[[#This Row],[Column1]]="Construction",1,0)</f>
        <v>0</v>
      </c>
      <c r="AL69">
        <f ca="1">IF(Table1[[#This Row],[Column1]]="Technology",1,0)</f>
        <v>1</v>
      </c>
      <c r="AM69">
        <f ca="1">IF(Table1[[#This Row],[Column1]]="Education",1,0)</f>
        <v>0</v>
      </c>
      <c r="AN69">
        <f ca="1">IF(Table1[[#This Row],[Column1]]="Agriculture",1,0)</f>
        <v>0</v>
      </c>
      <c r="AO69">
        <f ca="1">IF(Table1[[#This Row],[Column1]]="Social Service", 1, 0)</f>
        <v>0</v>
      </c>
      <c r="AT69" s="5"/>
      <c r="AV69" s="17">
        <f t="shared" ref="AV69:AV132" ca="1" si="3">(O70/I70)</f>
        <v>64187.063778249496</v>
      </c>
      <c r="AW69" s="5"/>
      <c r="AX69" s="6">
        <f ca="1">IF(Table1[[#This Row],[Value of Debts]]&gt;$AY$4,1,0)</f>
        <v>0</v>
      </c>
      <c r="AY69" s="20"/>
      <c r="AZ69" s="20"/>
      <c r="BA69" s="5"/>
      <c r="BB69" s="25">
        <f ca="1">Table1[[#This Row],[Mortage Left]]/Table1[[#This Row],[Value of House]]</f>
        <v>2.5948298869269189E-2</v>
      </c>
      <c r="BC69" s="20">
        <f t="shared" ca="1" si="2"/>
        <v>1</v>
      </c>
      <c r="BD69" s="20"/>
      <c r="BE69" s="20"/>
      <c r="BF69" s="20"/>
      <c r="BG69" s="6">
        <f ca="1">IF(Table1[[#This Row],[County]]="Cumbria",Table1[[#This Row],[income]],0)</f>
        <v>0</v>
      </c>
      <c r="BH69" s="20">
        <f ca="1">IF(Table1[[#This Row],[County]]="Cheshire",Table1[[#This Row],[income]],0)</f>
        <v>0</v>
      </c>
      <c r="BI69" s="20">
        <f ca="1">IF(Table1[[#This Row],[County]]="Bristol",Table1[[#This Row],[income]],0)</f>
        <v>0</v>
      </c>
      <c r="BJ69" s="20">
        <f ca="1">IF(Table1[[#This Row],[County]]="Surrey",Table1[[#This Row],[income]],0)</f>
        <v>0</v>
      </c>
      <c r="BK69" s="20">
        <f ca="1">IF(Table1[[#This Row],[County]]="Norfolk",Table1[[#This Row],[income]],0)</f>
        <v>0</v>
      </c>
      <c r="BL69" s="20">
        <f ca="1">IF(Table1[[#This Row],[County]]="Lincolnshire",Table1[[#This Row],[income]],0)</f>
        <v>0</v>
      </c>
      <c r="BM69" s="20">
        <f ca="1">IF(Table1[[#This Row],[County]]="Somerset",Table1[[#This Row],[income]],0)</f>
        <v>0</v>
      </c>
      <c r="BN69" s="20">
        <f ca="1">IF(Table1[[#This Row],[County]]="Cambridgeshire",Table1[[#This Row],[income]],0)</f>
        <v>0</v>
      </c>
      <c r="BO69" s="20">
        <f ca="1">IF(Table1[[#This Row],[County]]="South Yorkshire",Table1[[#This Row],[income]],0)</f>
        <v>0</v>
      </c>
      <c r="BP69" s="20">
        <f ca="1">IF(Table1[[#This Row],[County]]="Greater London",Table1[[#This Row],[income]],0)</f>
        <v>0</v>
      </c>
      <c r="BQ69" s="20">
        <f ca="1">IF(Table1[[#This Row],[County]]="Hampshire",Table1[[#This Row],[income]],0)</f>
        <v>0</v>
      </c>
      <c r="BR69" s="20">
        <f ca="1">IF(Table1[[#This Row],[County]]="Gloucestershire",Table1[[#This Row],[income]],0)</f>
        <v>0</v>
      </c>
      <c r="BS69" s="20">
        <f ca="1">IF(Table1[[#This Row],[County]]="West Sussex",Table1[[#This Row],[income]],0)</f>
        <v>0</v>
      </c>
      <c r="BT69" s="20">
        <f ca="1">IF(Table1[[#This Row],[County]]="Devon",Table1[[#This Row],[income]],0)</f>
        <v>0</v>
      </c>
      <c r="BU69" s="20">
        <f ca="1">IF(Table1[[#This Row],[County]]="Berkshire",Table1[[#This Row],[income]],0)</f>
        <v>0</v>
      </c>
      <c r="BV69" s="20">
        <f ca="1">IF(Table1[[#This Row],[County]]="Staffordshire",Table1[[#This Row],[income]],0)</f>
        <v>0</v>
      </c>
      <c r="BW69" s="20">
        <f ca="1">IF(Table1[[#This Row],[County]]="Leicestershire",Table1[[#This Row],[income]],0)</f>
        <v>0</v>
      </c>
      <c r="BX69" s="20">
        <f ca="1">IF(Table1[[#This Row],[County]]="Cornwall",Table1[[#This Row],[income]],0)</f>
        <v>34532</v>
      </c>
      <c r="BY69" s="20">
        <f ca="1">IF(Table1[[#This Row],[County]]="Isle of Wight",Table1[[#This Row],[income]],0)</f>
        <v>0</v>
      </c>
      <c r="BZ69" s="20">
        <f ca="1">IF(Table1[[#This Row],[County]]="Surrey",Table1[[#This Row],[income]],0)</f>
        <v>0</v>
      </c>
      <c r="CA69" s="20">
        <f ca="1">IF(Table1[[#This Row],[County]]="Derbyshire",Table1[[#This Row],[income]],0)</f>
        <v>0</v>
      </c>
      <c r="CB69" s="20">
        <f ca="1">IF(Table1[[#This Row],[County]]="City of London",Table1[[#This Row],[income]],0)</f>
        <v>0</v>
      </c>
      <c r="CC69" s="20">
        <f ca="1">IF(Table1[[#This Row],[County]]="Bedfordshire",Table1[[#This Row],[income]],0)</f>
        <v>0</v>
      </c>
      <c r="CD69" s="20">
        <f ca="1">IF(Table1[[#This Row],[County]]="County Durham",Table1[[#This Row],[income]],0)</f>
        <v>0</v>
      </c>
      <c r="CE69" s="20">
        <f ca="1">IF(Table1[[#This Row],[County]]="East Riding of Yorkshire",Table1[[#This Row],[income]],0)</f>
        <v>0</v>
      </c>
      <c r="CF69" s="20">
        <f ca="1">IF(Table1[[#This Row],[County]]="West Yorkshire",Table1[[#This Row],[income]],0)</f>
        <v>0</v>
      </c>
      <c r="CG69" s="20">
        <f ca="1">IF(Table1[[#This Row],[County]]="Essex",Table1[[#This Row],[income]],0)</f>
        <v>0</v>
      </c>
      <c r="CH69" s="20">
        <f ca="1">IF(Table1[[#This Row],[County]]="East Sussex",Table1[[#This Row],[income]],0)</f>
        <v>0</v>
      </c>
      <c r="CI69" s="20">
        <f ca="1">IF(Table1[[#This Row],[County]]="Greater Manchester",Table1[[#This Row],[income]],0)</f>
        <v>0</v>
      </c>
      <c r="CJ69" s="20">
        <f ca="1">IF(Table1[[#This Row],[County]]="Hertfordshire",Table1[[#This Row],[income]],0)</f>
        <v>0</v>
      </c>
      <c r="CK69" s="20">
        <f ca="1">IF(Table1[[#This Row],[County]]="Herefordshire",Table1[[#This Row],[income]],0)</f>
        <v>0</v>
      </c>
      <c r="CL69" s="20">
        <f ca="1">IF(Table1[[#This Row],[County]]="Lancashire",Table1[[#This Row],[income]],0)</f>
        <v>0</v>
      </c>
      <c r="CM69" s="20">
        <f ca="1">IF(Table1[[#This Row],[County]]="Merseyside",Table1[[#This Row],[income]],0)</f>
        <v>0</v>
      </c>
      <c r="CN69" s="20">
        <f ca="1">IF(Table1[[#This Row],[County]]="Northamptonshire",Table1[[#This Row],[income]],0)</f>
        <v>0</v>
      </c>
      <c r="CO69" s="20">
        <f ca="1">IF(Table1[[#This Row],[County]]="Northumberland",Table1[[#This Row],[income]],0)</f>
        <v>0</v>
      </c>
      <c r="CP69" s="20">
        <f ca="1">IF(Table1[[#This Row],[County]]="Wiltshire",Table1[[#This Row],[income]],0)</f>
        <v>0</v>
      </c>
      <c r="CQ69" s="20">
        <f ca="1">IF(Table1[[#This Row],[County]]="West Midlands",Table1[[#This Row],[income]],0)</f>
        <v>0</v>
      </c>
      <c r="CR69" s="20">
        <f ca="1">IF(Table1[[#This Row],[County]]="Warwickshire",Table1[[#This Row],[income]],0)</f>
        <v>0</v>
      </c>
      <c r="CS69" s="20">
        <f ca="1">IF(Table1[[#This Row],[County]]="Tyne and Wear",Table1[[#This Row],[income]],0)</f>
        <v>0</v>
      </c>
      <c r="CT69" s="20">
        <f ca="1">IF(Table1[[#This Row],[County]]="Worcestershire",Table1[[#This Row],[income]],0)</f>
        <v>0</v>
      </c>
      <c r="CU69" s="20">
        <f ca="1">IF(Table1[[#This Row],[County]]="Rutland",Table1[[#This Row],[income]],0)</f>
        <v>0</v>
      </c>
      <c r="CV69" s="20">
        <f ca="1">IF(Table1[[#This Row],[County]]="Shropshire",Table1[[#This Row],[income]],0)</f>
        <v>0</v>
      </c>
      <c r="CW69" s="20">
        <f ca="1">IF(Table1[[#This Row],[County]]="Dorset",Table1[[#This Row],[income]],0)</f>
        <v>0</v>
      </c>
      <c r="CX69" s="20">
        <f ca="1">IF(Table1[[#This Row],[County]]="Buckinghamshire",Table1[[#This Row],[income]],0)</f>
        <v>0</v>
      </c>
      <c r="CY69" s="20">
        <f ca="1">IF(Table1[[#This Row],[County]]="Suffolk",Table1[[#This Row],[income]],0)</f>
        <v>0</v>
      </c>
      <c r="CZ69" s="20">
        <f ca="1">IF(Table1[[#This Row],[County]]="North Yorkshire",Table1[[#This Row],[income]],0)</f>
        <v>0</v>
      </c>
      <c r="DA69" s="20">
        <f ca="1">IF(Table1[[#This Row],[County]]="Kent",Table1[[#This Row],[income]],0)</f>
        <v>0</v>
      </c>
      <c r="DB69" s="5">
        <f ca="1">IF(Table1[[#This Row],[County]]="Derbyshire",Table1[[#This Row],[income]],0)</f>
        <v>0</v>
      </c>
      <c r="DD69" s="6">
        <f ca="1">IF(Table1[[#This Row],[Column1]]="Health",Table1[[#This Row],[income]],0)</f>
        <v>0</v>
      </c>
      <c r="DE69" s="20">
        <f ca="1">IF(Table1[[#This Row],[Column1]]="Agriculture",Table1[[#This Row],[income]],0)</f>
        <v>0</v>
      </c>
      <c r="DF69" s="20">
        <f ca="1">IF(Table1[[#This Row],[Column1]]="Technology",Table1[[#This Row],[income]],0)</f>
        <v>34532</v>
      </c>
      <c r="DG69" s="20">
        <f ca="1">IF(Table1[[#This Row],[Column1]]="Social Service",Table1[[#This Row],[income]],0)</f>
        <v>0</v>
      </c>
      <c r="DH69" s="20">
        <f ca="1">IF(Table1[[#This Row],[Column1]]="Education",Table1[[#This Row],[income]],0)</f>
        <v>0</v>
      </c>
      <c r="DI69" s="5">
        <f ca="1">IF(Table1[[#This Row],[Column1]]="Construction",Table1[[#This Row],[income]],0)</f>
        <v>0</v>
      </c>
      <c r="DK69" s="6">
        <f ca="1">IF(Table1[[#This Row],[Value of Debts]]&gt;Table1[[#This Row],[income]],1,0)</f>
        <v>1</v>
      </c>
      <c r="DL69" s="20"/>
      <c r="DM69" s="20"/>
      <c r="DN69" s="5"/>
      <c r="DP69" s="6">
        <f ca="1">IF(Table1[[#This Row],[Net Worth (£)]]&gt;$DS$5,C69,0)</f>
        <v>0</v>
      </c>
      <c r="DQ69" s="20"/>
      <c r="DR69" s="20"/>
      <c r="DS69" s="5"/>
    </row>
    <row r="70" spans="1:123" x14ac:dyDescent="0.2">
      <c r="A70">
        <f t="shared" ref="A70:A133" ca="1" si="4">RANDBETWEEN(1,2)</f>
        <v>1</v>
      </c>
      <c r="B70" s="1" t="str">
        <f ca="1">IF(A70=1, "men", "women")</f>
        <v>men</v>
      </c>
      <c r="C70" s="1">
        <f ca="1">RANDBETWEEN(25,50)</f>
        <v>35</v>
      </c>
      <c r="D70">
        <f ca="1">RANDBETWEEN(1,6)</f>
        <v>4</v>
      </c>
      <c r="E70" t="str">
        <f ca="1">VLOOKUP(D70,$W$5:$X$10,2)</f>
        <v>Technology</v>
      </c>
      <c r="F70">
        <f ca="1">RANDBETWEEN(1,5)</f>
        <v>4</v>
      </c>
      <c r="G70" t="str">
        <f ca="1">VLOOKUP(F70,$Y$5:$Z$9,2)</f>
        <v xml:space="preserve">Technical </v>
      </c>
      <c r="H70">
        <f ca="1">RANDBETWEEN(0,4)</f>
        <v>3</v>
      </c>
      <c r="I70">
        <f ca="1">RANDBETWEEN(1,3)</f>
        <v>3</v>
      </c>
      <c r="J70">
        <f ca="1">RANDBETWEEN(30000,100000)</f>
        <v>97348</v>
      </c>
      <c r="K70">
        <f ca="1">RANDBETWEEN(1,48)</f>
        <v>29</v>
      </c>
      <c r="L70" t="str">
        <f ca="1">VLOOKUP(K70,$AA$5:$AB$52,2)</f>
        <v>Norfolk</v>
      </c>
      <c r="M70">
        <f ca="1">J70*(RANDBETWEEN(2,5))</f>
        <v>486740</v>
      </c>
      <c r="N70">
        <f ca="1">RAND()*M70</f>
        <v>435272.97661466023</v>
      </c>
      <c r="O70">
        <f ca="1">I70*RAND()*J70</f>
        <v>192561.1913347485</v>
      </c>
      <c r="P70">
        <f ca="1">RANDBETWEEN(0,O70)</f>
        <v>1702</v>
      </c>
      <c r="Q70">
        <f ca="1">RAND()*J70*2</f>
        <v>187069.50792074151</v>
      </c>
      <c r="R70">
        <f ca="1">RAND()*J70*1.5</f>
        <v>135872.60136998093</v>
      </c>
      <c r="S70">
        <f ca="1">J70+R70+O70</f>
        <v>425781.79270472942</v>
      </c>
      <c r="T70">
        <f ca="1">N70+P70+Q70</f>
        <v>624044.48453540169</v>
      </c>
      <c r="U70">
        <f ca="1">S70-T70</f>
        <v>-198262.69183067227</v>
      </c>
      <c r="AC70" s="6">
        <f ca="1">IF(Table1[[#This Row],[gender]]="men",1,0)</f>
        <v>1</v>
      </c>
      <c r="AD70">
        <f ca="1">IF(Table1[[#This Row],[gender]]="women",1,0)</f>
        <v>0</v>
      </c>
      <c r="AH70" s="5"/>
      <c r="AJ70" s="6">
        <f ca="1">IF(Table1[[#This Row],[Column1]]="Health",1,0)</f>
        <v>0</v>
      </c>
      <c r="AK70">
        <f ca="1">IF(Table1[[#This Row],[Column1]]="Construction",1,0)</f>
        <v>0</v>
      </c>
      <c r="AL70">
        <f ca="1">IF(Table1[[#This Row],[Column1]]="Technology",1,0)</f>
        <v>1</v>
      </c>
      <c r="AM70">
        <f ca="1">IF(Table1[[#This Row],[Column1]]="Education",1,0)</f>
        <v>0</v>
      </c>
      <c r="AN70">
        <f ca="1">IF(Table1[[#This Row],[Column1]]="Agriculture",1,0)</f>
        <v>0</v>
      </c>
      <c r="AO70">
        <f ca="1">IF(Table1[[#This Row],[Column1]]="Social Service", 1, 0)</f>
        <v>0</v>
      </c>
      <c r="AT70" s="5"/>
      <c r="AV70" s="17">
        <f t="shared" ca="1" si="3"/>
        <v>70636.342425894647</v>
      </c>
      <c r="AW70" s="5"/>
      <c r="AX70" s="6">
        <f ca="1">IF(Table1[[#This Row],[Value of Debts]]&gt;$AY$4,1,0)</f>
        <v>1</v>
      </c>
      <c r="AY70" s="20"/>
      <c r="AZ70" s="20"/>
      <c r="BA70" s="5"/>
      <c r="BB70" s="25">
        <f ca="1">Table1[[#This Row],[Mortage Left]]/Table1[[#This Row],[Value of House]]</f>
        <v>0.89426177551600494</v>
      </c>
      <c r="BC70" s="20">
        <f t="shared" ref="BC70:BC133" ca="1" si="5">IF(BB70&lt;$BD$4,1,0)</f>
        <v>0</v>
      </c>
      <c r="BD70" s="20"/>
      <c r="BE70" s="20"/>
      <c r="BF70" s="20"/>
      <c r="BG70" s="6">
        <f ca="1">IF(Table1[[#This Row],[County]]="Cumbria",Table1[[#This Row],[income]],0)</f>
        <v>0</v>
      </c>
      <c r="BH70" s="20">
        <f ca="1">IF(Table1[[#This Row],[County]]="Cheshire",Table1[[#This Row],[income]],0)</f>
        <v>0</v>
      </c>
      <c r="BI70" s="20">
        <f ca="1">IF(Table1[[#This Row],[County]]="Bristol",Table1[[#This Row],[income]],0)</f>
        <v>0</v>
      </c>
      <c r="BJ70" s="20">
        <f ca="1">IF(Table1[[#This Row],[County]]="Surrey",Table1[[#This Row],[income]],0)</f>
        <v>0</v>
      </c>
      <c r="BK70" s="20">
        <f ca="1">IF(Table1[[#This Row],[County]]="Norfolk",Table1[[#This Row],[income]],0)</f>
        <v>97348</v>
      </c>
      <c r="BL70" s="20">
        <f ca="1">IF(Table1[[#This Row],[County]]="Lincolnshire",Table1[[#This Row],[income]],0)</f>
        <v>0</v>
      </c>
      <c r="BM70" s="20">
        <f ca="1">IF(Table1[[#This Row],[County]]="Somerset",Table1[[#This Row],[income]],0)</f>
        <v>0</v>
      </c>
      <c r="BN70" s="20">
        <f ca="1">IF(Table1[[#This Row],[County]]="Cambridgeshire",Table1[[#This Row],[income]],0)</f>
        <v>0</v>
      </c>
      <c r="BO70" s="20">
        <f ca="1">IF(Table1[[#This Row],[County]]="South Yorkshire",Table1[[#This Row],[income]],0)</f>
        <v>0</v>
      </c>
      <c r="BP70" s="20">
        <f ca="1">IF(Table1[[#This Row],[County]]="Greater London",Table1[[#This Row],[income]],0)</f>
        <v>0</v>
      </c>
      <c r="BQ70" s="20">
        <f ca="1">IF(Table1[[#This Row],[County]]="Hampshire",Table1[[#This Row],[income]],0)</f>
        <v>0</v>
      </c>
      <c r="BR70" s="20">
        <f ca="1">IF(Table1[[#This Row],[County]]="Gloucestershire",Table1[[#This Row],[income]],0)</f>
        <v>0</v>
      </c>
      <c r="BS70" s="20">
        <f ca="1">IF(Table1[[#This Row],[County]]="West Sussex",Table1[[#This Row],[income]],0)</f>
        <v>0</v>
      </c>
      <c r="BT70" s="20">
        <f ca="1">IF(Table1[[#This Row],[County]]="Devon",Table1[[#This Row],[income]],0)</f>
        <v>0</v>
      </c>
      <c r="BU70" s="20">
        <f ca="1">IF(Table1[[#This Row],[County]]="Berkshire",Table1[[#This Row],[income]],0)</f>
        <v>0</v>
      </c>
      <c r="BV70" s="20">
        <f ca="1">IF(Table1[[#This Row],[County]]="Staffordshire",Table1[[#This Row],[income]],0)</f>
        <v>0</v>
      </c>
      <c r="BW70" s="20">
        <f ca="1">IF(Table1[[#This Row],[County]]="Leicestershire",Table1[[#This Row],[income]],0)</f>
        <v>0</v>
      </c>
      <c r="BX70" s="20">
        <f ca="1">IF(Table1[[#This Row],[County]]="Cornwall",Table1[[#This Row],[income]],0)</f>
        <v>0</v>
      </c>
      <c r="BY70" s="20">
        <f ca="1">IF(Table1[[#This Row],[County]]="Isle of Wight",Table1[[#This Row],[income]],0)</f>
        <v>0</v>
      </c>
      <c r="BZ70" s="20">
        <f ca="1">IF(Table1[[#This Row],[County]]="Surrey",Table1[[#This Row],[income]],0)</f>
        <v>0</v>
      </c>
      <c r="CA70" s="20">
        <f ca="1">IF(Table1[[#This Row],[County]]="Derbyshire",Table1[[#This Row],[income]],0)</f>
        <v>0</v>
      </c>
      <c r="CB70" s="20">
        <f ca="1">IF(Table1[[#This Row],[County]]="City of London",Table1[[#This Row],[income]],0)</f>
        <v>0</v>
      </c>
      <c r="CC70" s="20">
        <f ca="1">IF(Table1[[#This Row],[County]]="Bedfordshire",Table1[[#This Row],[income]],0)</f>
        <v>0</v>
      </c>
      <c r="CD70" s="20">
        <f ca="1">IF(Table1[[#This Row],[County]]="County Durham",Table1[[#This Row],[income]],0)</f>
        <v>0</v>
      </c>
      <c r="CE70" s="20">
        <f ca="1">IF(Table1[[#This Row],[County]]="East Riding of Yorkshire",Table1[[#This Row],[income]],0)</f>
        <v>0</v>
      </c>
      <c r="CF70" s="20">
        <f ca="1">IF(Table1[[#This Row],[County]]="West Yorkshire",Table1[[#This Row],[income]],0)</f>
        <v>0</v>
      </c>
      <c r="CG70" s="20">
        <f ca="1">IF(Table1[[#This Row],[County]]="Essex",Table1[[#This Row],[income]],0)</f>
        <v>0</v>
      </c>
      <c r="CH70" s="20">
        <f ca="1">IF(Table1[[#This Row],[County]]="East Sussex",Table1[[#This Row],[income]],0)</f>
        <v>0</v>
      </c>
      <c r="CI70" s="20">
        <f ca="1">IF(Table1[[#This Row],[County]]="Greater Manchester",Table1[[#This Row],[income]],0)</f>
        <v>0</v>
      </c>
      <c r="CJ70" s="20">
        <f ca="1">IF(Table1[[#This Row],[County]]="Hertfordshire",Table1[[#This Row],[income]],0)</f>
        <v>0</v>
      </c>
      <c r="CK70" s="20">
        <f ca="1">IF(Table1[[#This Row],[County]]="Herefordshire",Table1[[#This Row],[income]],0)</f>
        <v>0</v>
      </c>
      <c r="CL70" s="20">
        <f ca="1">IF(Table1[[#This Row],[County]]="Lancashire",Table1[[#This Row],[income]],0)</f>
        <v>0</v>
      </c>
      <c r="CM70" s="20">
        <f ca="1">IF(Table1[[#This Row],[County]]="Merseyside",Table1[[#This Row],[income]],0)</f>
        <v>0</v>
      </c>
      <c r="CN70" s="20">
        <f ca="1">IF(Table1[[#This Row],[County]]="Northamptonshire",Table1[[#This Row],[income]],0)</f>
        <v>0</v>
      </c>
      <c r="CO70" s="20">
        <f ca="1">IF(Table1[[#This Row],[County]]="Northumberland",Table1[[#This Row],[income]],0)</f>
        <v>0</v>
      </c>
      <c r="CP70" s="20">
        <f ca="1">IF(Table1[[#This Row],[County]]="Wiltshire",Table1[[#This Row],[income]],0)</f>
        <v>0</v>
      </c>
      <c r="CQ70" s="20">
        <f ca="1">IF(Table1[[#This Row],[County]]="West Midlands",Table1[[#This Row],[income]],0)</f>
        <v>0</v>
      </c>
      <c r="CR70" s="20">
        <f ca="1">IF(Table1[[#This Row],[County]]="Warwickshire",Table1[[#This Row],[income]],0)</f>
        <v>0</v>
      </c>
      <c r="CS70" s="20">
        <f ca="1">IF(Table1[[#This Row],[County]]="Tyne and Wear",Table1[[#This Row],[income]],0)</f>
        <v>0</v>
      </c>
      <c r="CT70" s="20">
        <f ca="1">IF(Table1[[#This Row],[County]]="Worcestershire",Table1[[#This Row],[income]],0)</f>
        <v>0</v>
      </c>
      <c r="CU70" s="20">
        <f ca="1">IF(Table1[[#This Row],[County]]="Rutland",Table1[[#This Row],[income]],0)</f>
        <v>0</v>
      </c>
      <c r="CV70" s="20">
        <f ca="1">IF(Table1[[#This Row],[County]]="Shropshire",Table1[[#This Row],[income]],0)</f>
        <v>0</v>
      </c>
      <c r="CW70" s="20">
        <f ca="1">IF(Table1[[#This Row],[County]]="Dorset",Table1[[#This Row],[income]],0)</f>
        <v>0</v>
      </c>
      <c r="CX70" s="20">
        <f ca="1">IF(Table1[[#This Row],[County]]="Buckinghamshire",Table1[[#This Row],[income]],0)</f>
        <v>0</v>
      </c>
      <c r="CY70" s="20">
        <f ca="1">IF(Table1[[#This Row],[County]]="Suffolk",Table1[[#This Row],[income]],0)</f>
        <v>0</v>
      </c>
      <c r="CZ70" s="20">
        <f ca="1">IF(Table1[[#This Row],[County]]="North Yorkshire",Table1[[#This Row],[income]],0)</f>
        <v>0</v>
      </c>
      <c r="DA70" s="20">
        <f ca="1">IF(Table1[[#This Row],[County]]="Kent",Table1[[#This Row],[income]],0)</f>
        <v>0</v>
      </c>
      <c r="DB70" s="5">
        <f ca="1">IF(Table1[[#This Row],[County]]="Derbyshire",Table1[[#This Row],[income]],0)</f>
        <v>0</v>
      </c>
      <c r="DD70" s="6">
        <f ca="1">IF(Table1[[#This Row],[Column1]]="Health",Table1[[#This Row],[income]],0)</f>
        <v>0</v>
      </c>
      <c r="DE70" s="20">
        <f ca="1">IF(Table1[[#This Row],[Column1]]="Agriculture",Table1[[#This Row],[income]],0)</f>
        <v>0</v>
      </c>
      <c r="DF70" s="20">
        <f ca="1">IF(Table1[[#This Row],[Column1]]="Technology",Table1[[#This Row],[income]],0)</f>
        <v>97348</v>
      </c>
      <c r="DG70" s="20">
        <f ca="1">IF(Table1[[#This Row],[Column1]]="Social Service",Table1[[#This Row],[income]],0)</f>
        <v>0</v>
      </c>
      <c r="DH70" s="20">
        <f ca="1">IF(Table1[[#This Row],[Column1]]="Education",Table1[[#This Row],[income]],0)</f>
        <v>0</v>
      </c>
      <c r="DI70" s="5">
        <f ca="1">IF(Table1[[#This Row],[Column1]]="Construction",Table1[[#This Row],[income]],0)</f>
        <v>0</v>
      </c>
      <c r="DK70" s="6">
        <f ca="1">IF(Table1[[#This Row],[Value of Debts]]&gt;Table1[[#This Row],[income]],1,0)</f>
        <v>1</v>
      </c>
      <c r="DL70" s="20"/>
      <c r="DM70" s="20"/>
      <c r="DN70" s="5"/>
      <c r="DP70" s="6">
        <f ca="1">IF(Table1[[#This Row],[Net Worth (£)]]&gt;$DS$5,C70,0)</f>
        <v>0</v>
      </c>
      <c r="DQ70" s="20"/>
      <c r="DR70" s="20"/>
      <c r="DS70" s="5"/>
    </row>
    <row r="71" spans="1:123" x14ac:dyDescent="0.2">
      <c r="A71">
        <f t="shared" ca="1" si="4"/>
        <v>1</v>
      </c>
      <c r="B71" s="1" t="str">
        <f ca="1">IF(A71=1, "men", "women")</f>
        <v>men</v>
      </c>
      <c r="C71" s="1">
        <f ca="1">RANDBETWEEN(25,50)</f>
        <v>32</v>
      </c>
      <c r="D71">
        <f ca="1">RANDBETWEEN(1,6)</f>
        <v>4</v>
      </c>
      <c r="E71" t="str">
        <f ca="1">VLOOKUP(D71,$W$5:$X$10,2)</f>
        <v>Technology</v>
      </c>
      <c r="F71">
        <f ca="1">RANDBETWEEN(1,5)</f>
        <v>2</v>
      </c>
      <c r="G71" t="str">
        <f ca="1">VLOOKUP(F71,$Y$5:$Z$9,2)</f>
        <v>College</v>
      </c>
      <c r="H71">
        <f ca="1">RANDBETWEEN(0,4)</f>
        <v>3</v>
      </c>
      <c r="I71">
        <f ca="1">RANDBETWEEN(1,3)</f>
        <v>2</v>
      </c>
      <c r="J71">
        <f ca="1">RANDBETWEEN(30000,100000)</f>
        <v>89542</v>
      </c>
      <c r="K71">
        <f ca="1">RANDBETWEEN(1,48)</f>
        <v>20</v>
      </c>
      <c r="L71" t="str">
        <f ca="1">VLOOKUP(K71,$AA$5:$AB$52,2)</f>
        <v>Hampshire</v>
      </c>
      <c r="M71">
        <f ca="1">J71*(RANDBETWEEN(2,5))</f>
        <v>268626</v>
      </c>
      <c r="N71">
        <f ca="1">RAND()*M71</f>
        <v>209013.69983507431</v>
      </c>
      <c r="O71">
        <f ca="1">I71*RAND()*J71</f>
        <v>141272.68485178929</v>
      </c>
      <c r="P71">
        <f ca="1">RANDBETWEEN(0,O71)</f>
        <v>139985</v>
      </c>
      <c r="Q71">
        <f ca="1">RAND()*J71*2</f>
        <v>177184.91344613995</v>
      </c>
      <c r="R71">
        <f ca="1">RAND()*J71*1.5</f>
        <v>72377.727537882456</v>
      </c>
      <c r="S71">
        <f ca="1">J71+R71+O71</f>
        <v>303192.41238967178</v>
      </c>
      <c r="T71">
        <f ca="1">N71+P71+Q71</f>
        <v>526183.61328121426</v>
      </c>
      <c r="U71">
        <f ca="1">S71-T71</f>
        <v>-222991.20089154248</v>
      </c>
      <c r="AC71" s="6">
        <f ca="1">IF(Table1[[#This Row],[gender]]="men",1,0)</f>
        <v>1</v>
      </c>
      <c r="AD71">
        <f ca="1">IF(Table1[[#This Row],[gender]]="women",1,0)</f>
        <v>0</v>
      </c>
      <c r="AH71" s="5"/>
      <c r="AJ71" s="6">
        <f ca="1">IF(Table1[[#This Row],[Column1]]="Health",1,0)</f>
        <v>0</v>
      </c>
      <c r="AK71">
        <f ca="1">IF(Table1[[#This Row],[Column1]]="Construction",1,0)</f>
        <v>0</v>
      </c>
      <c r="AL71">
        <f ca="1">IF(Table1[[#This Row],[Column1]]="Technology",1,0)</f>
        <v>1</v>
      </c>
      <c r="AM71">
        <f ca="1">IF(Table1[[#This Row],[Column1]]="Education",1,0)</f>
        <v>0</v>
      </c>
      <c r="AN71">
        <f ca="1">IF(Table1[[#This Row],[Column1]]="Agriculture",1,0)</f>
        <v>0</v>
      </c>
      <c r="AO71">
        <f ca="1">IF(Table1[[#This Row],[Column1]]="Social Service", 1, 0)</f>
        <v>0</v>
      </c>
      <c r="AT71" s="5"/>
      <c r="AV71" s="17">
        <f t="shared" ca="1" si="3"/>
        <v>19601.789292085865</v>
      </c>
      <c r="AW71" s="5"/>
      <c r="AX71" s="6">
        <f ca="1">IF(Table1[[#This Row],[Value of Debts]]&gt;$AY$4,1,0)</f>
        <v>1</v>
      </c>
      <c r="AY71" s="20"/>
      <c r="AZ71" s="20"/>
      <c r="BA71" s="5"/>
      <c r="BB71" s="25">
        <f ca="1">Table1[[#This Row],[Mortage Left]]/Table1[[#This Row],[Value of House]]</f>
        <v>0.77808439925798067</v>
      </c>
      <c r="BC71" s="20">
        <f t="shared" ca="1" si="5"/>
        <v>0</v>
      </c>
      <c r="BD71" s="20"/>
      <c r="BE71" s="20"/>
      <c r="BF71" s="20"/>
      <c r="BG71" s="6">
        <f ca="1">IF(Table1[[#This Row],[County]]="Cumbria",Table1[[#This Row],[income]],0)</f>
        <v>0</v>
      </c>
      <c r="BH71" s="20">
        <f ca="1">IF(Table1[[#This Row],[County]]="Cheshire",Table1[[#This Row],[income]],0)</f>
        <v>0</v>
      </c>
      <c r="BI71" s="20">
        <f ca="1">IF(Table1[[#This Row],[County]]="Bristol",Table1[[#This Row],[income]],0)</f>
        <v>0</v>
      </c>
      <c r="BJ71" s="20">
        <f ca="1">IF(Table1[[#This Row],[County]]="Surrey",Table1[[#This Row],[income]],0)</f>
        <v>0</v>
      </c>
      <c r="BK71" s="20">
        <f ca="1">IF(Table1[[#This Row],[County]]="Norfolk",Table1[[#This Row],[income]],0)</f>
        <v>0</v>
      </c>
      <c r="BL71" s="20">
        <f ca="1">IF(Table1[[#This Row],[County]]="Lincolnshire",Table1[[#This Row],[income]],0)</f>
        <v>0</v>
      </c>
      <c r="BM71" s="20">
        <f ca="1">IF(Table1[[#This Row],[County]]="Somerset",Table1[[#This Row],[income]],0)</f>
        <v>0</v>
      </c>
      <c r="BN71" s="20">
        <f ca="1">IF(Table1[[#This Row],[County]]="Cambridgeshire",Table1[[#This Row],[income]],0)</f>
        <v>0</v>
      </c>
      <c r="BO71" s="20">
        <f ca="1">IF(Table1[[#This Row],[County]]="South Yorkshire",Table1[[#This Row],[income]],0)</f>
        <v>0</v>
      </c>
      <c r="BP71" s="20">
        <f ca="1">IF(Table1[[#This Row],[County]]="Greater London",Table1[[#This Row],[income]],0)</f>
        <v>0</v>
      </c>
      <c r="BQ71" s="20">
        <f ca="1">IF(Table1[[#This Row],[County]]="Hampshire",Table1[[#This Row],[income]],0)</f>
        <v>89542</v>
      </c>
      <c r="BR71" s="20">
        <f ca="1">IF(Table1[[#This Row],[County]]="Gloucestershire",Table1[[#This Row],[income]],0)</f>
        <v>0</v>
      </c>
      <c r="BS71" s="20">
        <f ca="1">IF(Table1[[#This Row],[County]]="West Sussex",Table1[[#This Row],[income]],0)</f>
        <v>0</v>
      </c>
      <c r="BT71" s="20">
        <f ca="1">IF(Table1[[#This Row],[County]]="Devon",Table1[[#This Row],[income]],0)</f>
        <v>0</v>
      </c>
      <c r="BU71" s="20">
        <f ca="1">IF(Table1[[#This Row],[County]]="Berkshire",Table1[[#This Row],[income]],0)</f>
        <v>0</v>
      </c>
      <c r="BV71" s="20">
        <f ca="1">IF(Table1[[#This Row],[County]]="Staffordshire",Table1[[#This Row],[income]],0)</f>
        <v>0</v>
      </c>
      <c r="BW71" s="20">
        <f ca="1">IF(Table1[[#This Row],[County]]="Leicestershire",Table1[[#This Row],[income]],0)</f>
        <v>0</v>
      </c>
      <c r="BX71" s="20">
        <f ca="1">IF(Table1[[#This Row],[County]]="Cornwall",Table1[[#This Row],[income]],0)</f>
        <v>0</v>
      </c>
      <c r="BY71" s="20">
        <f ca="1">IF(Table1[[#This Row],[County]]="Isle of Wight",Table1[[#This Row],[income]],0)</f>
        <v>0</v>
      </c>
      <c r="BZ71" s="20">
        <f ca="1">IF(Table1[[#This Row],[County]]="Surrey",Table1[[#This Row],[income]],0)</f>
        <v>0</v>
      </c>
      <c r="CA71" s="20">
        <f ca="1">IF(Table1[[#This Row],[County]]="Derbyshire",Table1[[#This Row],[income]],0)</f>
        <v>0</v>
      </c>
      <c r="CB71" s="20">
        <f ca="1">IF(Table1[[#This Row],[County]]="City of London",Table1[[#This Row],[income]],0)</f>
        <v>0</v>
      </c>
      <c r="CC71" s="20">
        <f ca="1">IF(Table1[[#This Row],[County]]="Bedfordshire",Table1[[#This Row],[income]],0)</f>
        <v>0</v>
      </c>
      <c r="CD71" s="20">
        <f ca="1">IF(Table1[[#This Row],[County]]="County Durham",Table1[[#This Row],[income]],0)</f>
        <v>0</v>
      </c>
      <c r="CE71" s="20">
        <f ca="1">IF(Table1[[#This Row],[County]]="East Riding of Yorkshire",Table1[[#This Row],[income]],0)</f>
        <v>0</v>
      </c>
      <c r="CF71" s="20">
        <f ca="1">IF(Table1[[#This Row],[County]]="West Yorkshire",Table1[[#This Row],[income]],0)</f>
        <v>0</v>
      </c>
      <c r="CG71" s="20">
        <f ca="1">IF(Table1[[#This Row],[County]]="Essex",Table1[[#This Row],[income]],0)</f>
        <v>0</v>
      </c>
      <c r="CH71" s="20">
        <f ca="1">IF(Table1[[#This Row],[County]]="East Sussex",Table1[[#This Row],[income]],0)</f>
        <v>0</v>
      </c>
      <c r="CI71" s="20">
        <f ca="1">IF(Table1[[#This Row],[County]]="Greater Manchester",Table1[[#This Row],[income]],0)</f>
        <v>0</v>
      </c>
      <c r="CJ71" s="20">
        <f ca="1">IF(Table1[[#This Row],[County]]="Hertfordshire",Table1[[#This Row],[income]],0)</f>
        <v>0</v>
      </c>
      <c r="CK71" s="20">
        <f ca="1">IF(Table1[[#This Row],[County]]="Herefordshire",Table1[[#This Row],[income]],0)</f>
        <v>0</v>
      </c>
      <c r="CL71" s="20">
        <f ca="1">IF(Table1[[#This Row],[County]]="Lancashire",Table1[[#This Row],[income]],0)</f>
        <v>0</v>
      </c>
      <c r="CM71" s="20">
        <f ca="1">IF(Table1[[#This Row],[County]]="Merseyside",Table1[[#This Row],[income]],0)</f>
        <v>0</v>
      </c>
      <c r="CN71" s="20">
        <f ca="1">IF(Table1[[#This Row],[County]]="Northamptonshire",Table1[[#This Row],[income]],0)</f>
        <v>0</v>
      </c>
      <c r="CO71" s="20">
        <f ca="1">IF(Table1[[#This Row],[County]]="Northumberland",Table1[[#This Row],[income]],0)</f>
        <v>0</v>
      </c>
      <c r="CP71" s="20">
        <f ca="1">IF(Table1[[#This Row],[County]]="Wiltshire",Table1[[#This Row],[income]],0)</f>
        <v>0</v>
      </c>
      <c r="CQ71" s="20">
        <f ca="1">IF(Table1[[#This Row],[County]]="West Midlands",Table1[[#This Row],[income]],0)</f>
        <v>0</v>
      </c>
      <c r="CR71" s="20">
        <f ca="1">IF(Table1[[#This Row],[County]]="Warwickshire",Table1[[#This Row],[income]],0)</f>
        <v>0</v>
      </c>
      <c r="CS71" s="20">
        <f ca="1">IF(Table1[[#This Row],[County]]="Tyne and Wear",Table1[[#This Row],[income]],0)</f>
        <v>0</v>
      </c>
      <c r="CT71" s="20">
        <f ca="1">IF(Table1[[#This Row],[County]]="Worcestershire",Table1[[#This Row],[income]],0)</f>
        <v>0</v>
      </c>
      <c r="CU71" s="20">
        <f ca="1">IF(Table1[[#This Row],[County]]="Rutland",Table1[[#This Row],[income]],0)</f>
        <v>0</v>
      </c>
      <c r="CV71" s="20">
        <f ca="1">IF(Table1[[#This Row],[County]]="Shropshire",Table1[[#This Row],[income]],0)</f>
        <v>0</v>
      </c>
      <c r="CW71" s="20">
        <f ca="1">IF(Table1[[#This Row],[County]]="Dorset",Table1[[#This Row],[income]],0)</f>
        <v>0</v>
      </c>
      <c r="CX71" s="20">
        <f ca="1">IF(Table1[[#This Row],[County]]="Buckinghamshire",Table1[[#This Row],[income]],0)</f>
        <v>0</v>
      </c>
      <c r="CY71" s="20">
        <f ca="1">IF(Table1[[#This Row],[County]]="Suffolk",Table1[[#This Row],[income]],0)</f>
        <v>0</v>
      </c>
      <c r="CZ71" s="20">
        <f ca="1">IF(Table1[[#This Row],[County]]="North Yorkshire",Table1[[#This Row],[income]],0)</f>
        <v>0</v>
      </c>
      <c r="DA71" s="20">
        <f ca="1">IF(Table1[[#This Row],[County]]="Kent",Table1[[#This Row],[income]],0)</f>
        <v>0</v>
      </c>
      <c r="DB71" s="5">
        <f ca="1">IF(Table1[[#This Row],[County]]="Derbyshire",Table1[[#This Row],[income]],0)</f>
        <v>0</v>
      </c>
      <c r="DD71" s="6">
        <f ca="1">IF(Table1[[#This Row],[Column1]]="Health",Table1[[#This Row],[income]],0)</f>
        <v>0</v>
      </c>
      <c r="DE71" s="20">
        <f ca="1">IF(Table1[[#This Row],[Column1]]="Agriculture",Table1[[#This Row],[income]],0)</f>
        <v>0</v>
      </c>
      <c r="DF71" s="20">
        <f ca="1">IF(Table1[[#This Row],[Column1]]="Technology",Table1[[#This Row],[income]],0)</f>
        <v>89542</v>
      </c>
      <c r="DG71" s="20">
        <f ca="1">IF(Table1[[#This Row],[Column1]]="Social Service",Table1[[#This Row],[income]],0)</f>
        <v>0</v>
      </c>
      <c r="DH71" s="20">
        <f ca="1">IF(Table1[[#This Row],[Column1]]="Education",Table1[[#This Row],[income]],0)</f>
        <v>0</v>
      </c>
      <c r="DI71" s="5">
        <f ca="1">IF(Table1[[#This Row],[Column1]]="Construction",Table1[[#This Row],[income]],0)</f>
        <v>0</v>
      </c>
      <c r="DK71" s="6">
        <f ca="1">IF(Table1[[#This Row],[Value of Debts]]&gt;Table1[[#This Row],[income]],1,0)</f>
        <v>1</v>
      </c>
      <c r="DL71" s="20"/>
      <c r="DM71" s="20"/>
      <c r="DN71" s="5"/>
      <c r="DP71" s="6">
        <f ca="1">IF(Table1[[#This Row],[Net Worth (£)]]&gt;$DS$5,C71,0)</f>
        <v>0</v>
      </c>
      <c r="DQ71" s="20"/>
      <c r="DR71" s="20"/>
      <c r="DS71" s="5"/>
    </row>
    <row r="72" spans="1:123" x14ac:dyDescent="0.2">
      <c r="A72">
        <f t="shared" ca="1" si="4"/>
        <v>2</v>
      </c>
      <c r="B72" s="1" t="str">
        <f ca="1">IF(A72=1, "men", "women")</f>
        <v>women</v>
      </c>
      <c r="C72" s="1">
        <f ca="1">RANDBETWEEN(25,50)</f>
        <v>30</v>
      </c>
      <c r="D72">
        <f ca="1">RANDBETWEEN(1,6)</f>
        <v>4</v>
      </c>
      <c r="E72" t="str">
        <f ca="1">VLOOKUP(D72,$W$5:$X$10,2)</f>
        <v>Technology</v>
      </c>
      <c r="F72">
        <f ca="1">RANDBETWEEN(1,5)</f>
        <v>5</v>
      </c>
      <c r="G72" t="str">
        <f ca="1">VLOOKUP(F72,$Y$5:$Z$9,2)</f>
        <v>Other</v>
      </c>
      <c r="H72">
        <f ca="1">RANDBETWEEN(0,4)</f>
        <v>1</v>
      </c>
      <c r="I72">
        <f ca="1">RANDBETWEEN(1,3)</f>
        <v>3</v>
      </c>
      <c r="J72">
        <f ca="1">RANDBETWEEN(30000,100000)</f>
        <v>99869</v>
      </c>
      <c r="K72">
        <f ca="1">RANDBETWEEN(1,48)</f>
        <v>18</v>
      </c>
      <c r="L72" t="str">
        <f ca="1">VLOOKUP(K72,$AA$5:$AB$52,2)</f>
        <v>Greater London</v>
      </c>
      <c r="M72">
        <f ca="1">J72*(RANDBETWEEN(2,5))</f>
        <v>499345</v>
      </c>
      <c r="N72">
        <f ca="1">RAND()*M72</f>
        <v>452352.25351747498</v>
      </c>
      <c r="O72">
        <f ca="1">I72*RAND()*J72</f>
        <v>58805.367876257595</v>
      </c>
      <c r="P72">
        <f ca="1">RANDBETWEEN(0,O72)</f>
        <v>48849</v>
      </c>
      <c r="Q72">
        <f ca="1">RAND()*J72*2</f>
        <v>154074.93095570669</v>
      </c>
      <c r="R72">
        <f ca="1">RAND()*J72*1.5</f>
        <v>551.074766029285</v>
      </c>
      <c r="S72">
        <f ca="1">J72+R72+O72</f>
        <v>159225.44264228689</v>
      </c>
      <c r="T72">
        <f ca="1">N72+P72+Q72</f>
        <v>655276.18447318161</v>
      </c>
      <c r="U72">
        <f ca="1">S72-T72</f>
        <v>-496050.74183089472</v>
      </c>
      <c r="AC72" s="6">
        <f ca="1">IF(Table1[[#This Row],[gender]]="men",1,0)</f>
        <v>0</v>
      </c>
      <c r="AD72">
        <f ca="1">IF(Table1[[#This Row],[gender]]="women",1,0)</f>
        <v>1</v>
      </c>
      <c r="AH72" s="5"/>
      <c r="AJ72" s="6">
        <f ca="1">IF(Table1[[#This Row],[Column1]]="Health",1,0)</f>
        <v>0</v>
      </c>
      <c r="AK72">
        <f ca="1">IF(Table1[[#This Row],[Column1]]="Construction",1,0)</f>
        <v>0</v>
      </c>
      <c r="AL72">
        <f ca="1">IF(Table1[[#This Row],[Column1]]="Technology",1,0)</f>
        <v>1</v>
      </c>
      <c r="AM72">
        <f ca="1">IF(Table1[[#This Row],[Column1]]="Education",1,0)</f>
        <v>0</v>
      </c>
      <c r="AN72">
        <f ca="1">IF(Table1[[#This Row],[Column1]]="Agriculture",1,0)</f>
        <v>0</v>
      </c>
      <c r="AO72">
        <f ca="1">IF(Table1[[#This Row],[Column1]]="Social Service", 1, 0)</f>
        <v>0</v>
      </c>
      <c r="AT72" s="5"/>
      <c r="AV72" s="17">
        <f t="shared" ca="1" si="3"/>
        <v>42296.800648188706</v>
      </c>
      <c r="AW72" s="5"/>
      <c r="AX72" s="6">
        <f ca="1">IF(Table1[[#This Row],[Value of Debts]]&gt;$AY$4,1,0)</f>
        <v>1</v>
      </c>
      <c r="AY72" s="20"/>
      <c r="AZ72" s="20"/>
      <c r="BA72" s="5"/>
      <c r="BB72" s="25">
        <f ca="1">Table1[[#This Row],[Mortage Left]]/Table1[[#This Row],[Value of House]]</f>
        <v>0.90589122453909621</v>
      </c>
      <c r="BC72" s="20">
        <f t="shared" ca="1" si="5"/>
        <v>0</v>
      </c>
      <c r="BD72" s="20"/>
      <c r="BE72" s="20"/>
      <c r="BF72" s="20"/>
      <c r="BG72" s="6">
        <f ca="1">IF(Table1[[#This Row],[County]]="Cumbria",Table1[[#This Row],[income]],0)</f>
        <v>0</v>
      </c>
      <c r="BH72" s="20">
        <f ca="1">IF(Table1[[#This Row],[County]]="Cheshire",Table1[[#This Row],[income]],0)</f>
        <v>0</v>
      </c>
      <c r="BI72" s="20">
        <f ca="1">IF(Table1[[#This Row],[County]]="Bristol",Table1[[#This Row],[income]],0)</f>
        <v>0</v>
      </c>
      <c r="BJ72" s="20">
        <f ca="1">IF(Table1[[#This Row],[County]]="Surrey",Table1[[#This Row],[income]],0)</f>
        <v>0</v>
      </c>
      <c r="BK72" s="20">
        <f ca="1">IF(Table1[[#This Row],[County]]="Norfolk",Table1[[#This Row],[income]],0)</f>
        <v>0</v>
      </c>
      <c r="BL72" s="20">
        <f ca="1">IF(Table1[[#This Row],[County]]="Lincolnshire",Table1[[#This Row],[income]],0)</f>
        <v>0</v>
      </c>
      <c r="BM72" s="20">
        <f ca="1">IF(Table1[[#This Row],[County]]="Somerset",Table1[[#This Row],[income]],0)</f>
        <v>0</v>
      </c>
      <c r="BN72" s="20">
        <f ca="1">IF(Table1[[#This Row],[County]]="Cambridgeshire",Table1[[#This Row],[income]],0)</f>
        <v>0</v>
      </c>
      <c r="BO72" s="20">
        <f ca="1">IF(Table1[[#This Row],[County]]="South Yorkshire",Table1[[#This Row],[income]],0)</f>
        <v>0</v>
      </c>
      <c r="BP72" s="20">
        <f ca="1">IF(Table1[[#This Row],[County]]="Greater London",Table1[[#This Row],[income]],0)</f>
        <v>99869</v>
      </c>
      <c r="BQ72" s="20">
        <f ca="1">IF(Table1[[#This Row],[County]]="Hampshire",Table1[[#This Row],[income]],0)</f>
        <v>0</v>
      </c>
      <c r="BR72" s="20">
        <f ca="1">IF(Table1[[#This Row],[County]]="Gloucestershire",Table1[[#This Row],[income]],0)</f>
        <v>0</v>
      </c>
      <c r="BS72" s="20">
        <f ca="1">IF(Table1[[#This Row],[County]]="West Sussex",Table1[[#This Row],[income]],0)</f>
        <v>0</v>
      </c>
      <c r="BT72" s="20">
        <f ca="1">IF(Table1[[#This Row],[County]]="Devon",Table1[[#This Row],[income]],0)</f>
        <v>0</v>
      </c>
      <c r="BU72" s="20">
        <f ca="1">IF(Table1[[#This Row],[County]]="Berkshire",Table1[[#This Row],[income]],0)</f>
        <v>0</v>
      </c>
      <c r="BV72" s="20">
        <f ca="1">IF(Table1[[#This Row],[County]]="Staffordshire",Table1[[#This Row],[income]],0)</f>
        <v>0</v>
      </c>
      <c r="BW72" s="20">
        <f ca="1">IF(Table1[[#This Row],[County]]="Leicestershire",Table1[[#This Row],[income]],0)</f>
        <v>0</v>
      </c>
      <c r="BX72" s="20">
        <f ca="1">IF(Table1[[#This Row],[County]]="Cornwall",Table1[[#This Row],[income]],0)</f>
        <v>0</v>
      </c>
      <c r="BY72" s="20">
        <f ca="1">IF(Table1[[#This Row],[County]]="Isle of Wight",Table1[[#This Row],[income]],0)</f>
        <v>0</v>
      </c>
      <c r="BZ72" s="20">
        <f ca="1">IF(Table1[[#This Row],[County]]="Surrey",Table1[[#This Row],[income]],0)</f>
        <v>0</v>
      </c>
      <c r="CA72" s="20">
        <f ca="1">IF(Table1[[#This Row],[County]]="Derbyshire",Table1[[#This Row],[income]],0)</f>
        <v>0</v>
      </c>
      <c r="CB72" s="20">
        <f ca="1">IF(Table1[[#This Row],[County]]="City of London",Table1[[#This Row],[income]],0)</f>
        <v>0</v>
      </c>
      <c r="CC72" s="20">
        <f ca="1">IF(Table1[[#This Row],[County]]="Bedfordshire",Table1[[#This Row],[income]],0)</f>
        <v>0</v>
      </c>
      <c r="CD72" s="20">
        <f ca="1">IF(Table1[[#This Row],[County]]="County Durham",Table1[[#This Row],[income]],0)</f>
        <v>0</v>
      </c>
      <c r="CE72" s="20">
        <f ca="1">IF(Table1[[#This Row],[County]]="East Riding of Yorkshire",Table1[[#This Row],[income]],0)</f>
        <v>0</v>
      </c>
      <c r="CF72" s="20">
        <f ca="1">IF(Table1[[#This Row],[County]]="West Yorkshire",Table1[[#This Row],[income]],0)</f>
        <v>0</v>
      </c>
      <c r="CG72" s="20">
        <f ca="1">IF(Table1[[#This Row],[County]]="Essex",Table1[[#This Row],[income]],0)</f>
        <v>0</v>
      </c>
      <c r="CH72" s="20">
        <f ca="1">IF(Table1[[#This Row],[County]]="East Sussex",Table1[[#This Row],[income]],0)</f>
        <v>0</v>
      </c>
      <c r="CI72" s="20">
        <f ca="1">IF(Table1[[#This Row],[County]]="Greater Manchester",Table1[[#This Row],[income]],0)</f>
        <v>0</v>
      </c>
      <c r="CJ72" s="20">
        <f ca="1">IF(Table1[[#This Row],[County]]="Hertfordshire",Table1[[#This Row],[income]],0)</f>
        <v>0</v>
      </c>
      <c r="CK72" s="20">
        <f ca="1">IF(Table1[[#This Row],[County]]="Herefordshire",Table1[[#This Row],[income]],0)</f>
        <v>0</v>
      </c>
      <c r="CL72" s="20">
        <f ca="1">IF(Table1[[#This Row],[County]]="Lancashire",Table1[[#This Row],[income]],0)</f>
        <v>0</v>
      </c>
      <c r="CM72" s="20">
        <f ca="1">IF(Table1[[#This Row],[County]]="Merseyside",Table1[[#This Row],[income]],0)</f>
        <v>0</v>
      </c>
      <c r="CN72" s="20">
        <f ca="1">IF(Table1[[#This Row],[County]]="Northamptonshire",Table1[[#This Row],[income]],0)</f>
        <v>0</v>
      </c>
      <c r="CO72" s="20">
        <f ca="1">IF(Table1[[#This Row],[County]]="Northumberland",Table1[[#This Row],[income]],0)</f>
        <v>0</v>
      </c>
      <c r="CP72" s="20">
        <f ca="1">IF(Table1[[#This Row],[County]]="Wiltshire",Table1[[#This Row],[income]],0)</f>
        <v>0</v>
      </c>
      <c r="CQ72" s="20">
        <f ca="1">IF(Table1[[#This Row],[County]]="West Midlands",Table1[[#This Row],[income]],0)</f>
        <v>0</v>
      </c>
      <c r="CR72" s="20">
        <f ca="1">IF(Table1[[#This Row],[County]]="Warwickshire",Table1[[#This Row],[income]],0)</f>
        <v>0</v>
      </c>
      <c r="CS72" s="20">
        <f ca="1">IF(Table1[[#This Row],[County]]="Tyne and Wear",Table1[[#This Row],[income]],0)</f>
        <v>0</v>
      </c>
      <c r="CT72" s="20">
        <f ca="1">IF(Table1[[#This Row],[County]]="Worcestershire",Table1[[#This Row],[income]],0)</f>
        <v>0</v>
      </c>
      <c r="CU72" s="20">
        <f ca="1">IF(Table1[[#This Row],[County]]="Rutland",Table1[[#This Row],[income]],0)</f>
        <v>0</v>
      </c>
      <c r="CV72" s="20">
        <f ca="1">IF(Table1[[#This Row],[County]]="Shropshire",Table1[[#This Row],[income]],0)</f>
        <v>0</v>
      </c>
      <c r="CW72" s="20">
        <f ca="1">IF(Table1[[#This Row],[County]]="Dorset",Table1[[#This Row],[income]],0)</f>
        <v>0</v>
      </c>
      <c r="CX72" s="20">
        <f ca="1">IF(Table1[[#This Row],[County]]="Buckinghamshire",Table1[[#This Row],[income]],0)</f>
        <v>0</v>
      </c>
      <c r="CY72" s="20">
        <f ca="1">IF(Table1[[#This Row],[County]]="Suffolk",Table1[[#This Row],[income]],0)</f>
        <v>0</v>
      </c>
      <c r="CZ72" s="20">
        <f ca="1">IF(Table1[[#This Row],[County]]="North Yorkshire",Table1[[#This Row],[income]],0)</f>
        <v>0</v>
      </c>
      <c r="DA72" s="20">
        <f ca="1">IF(Table1[[#This Row],[County]]="Kent",Table1[[#This Row],[income]],0)</f>
        <v>0</v>
      </c>
      <c r="DB72" s="5">
        <f ca="1">IF(Table1[[#This Row],[County]]="Derbyshire",Table1[[#This Row],[income]],0)</f>
        <v>0</v>
      </c>
      <c r="DD72" s="6">
        <f ca="1">IF(Table1[[#This Row],[Column1]]="Health",Table1[[#This Row],[income]],0)</f>
        <v>0</v>
      </c>
      <c r="DE72" s="20">
        <f ca="1">IF(Table1[[#This Row],[Column1]]="Agriculture",Table1[[#This Row],[income]],0)</f>
        <v>0</v>
      </c>
      <c r="DF72" s="20">
        <f ca="1">IF(Table1[[#This Row],[Column1]]="Technology",Table1[[#This Row],[income]],0)</f>
        <v>99869</v>
      </c>
      <c r="DG72" s="20">
        <f ca="1">IF(Table1[[#This Row],[Column1]]="Social Service",Table1[[#This Row],[income]],0)</f>
        <v>0</v>
      </c>
      <c r="DH72" s="20">
        <f ca="1">IF(Table1[[#This Row],[Column1]]="Education",Table1[[#This Row],[income]],0)</f>
        <v>0</v>
      </c>
      <c r="DI72" s="5">
        <f ca="1">IF(Table1[[#This Row],[Column1]]="Construction",Table1[[#This Row],[income]],0)</f>
        <v>0</v>
      </c>
      <c r="DK72" s="6">
        <f ca="1">IF(Table1[[#This Row],[Value of Debts]]&gt;Table1[[#This Row],[income]],1,0)</f>
        <v>1</v>
      </c>
      <c r="DL72" s="20"/>
      <c r="DM72" s="20"/>
      <c r="DN72" s="5"/>
      <c r="DP72" s="6">
        <f ca="1">IF(Table1[[#This Row],[Net Worth (£)]]&gt;$DS$5,C72,0)</f>
        <v>0</v>
      </c>
      <c r="DQ72" s="20"/>
      <c r="DR72" s="20"/>
      <c r="DS72" s="5"/>
    </row>
    <row r="73" spans="1:123" x14ac:dyDescent="0.2">
      <c r="A73">
        <f t="shared" ca="1" si="4"/>
        <v>2</v>
      </c>
      <c r="B73" s="1" t="str">
        <f ca="1">IF(A73=1, "men", "women")</f>
        <v>women</v>
      </c>
      <c r="C73" s="1">
        <f ca="1">RANDBETWEEN(25,50)</f>
        <v>37</v>
      </c>
      <c r="D73">
        <f ca="1">RANDBETWEEN(1,6)</f>
        <v>3</v>
      </c>
      <c r="E73" t="str">
        <f ca="1">VLOOKUP(D73,$W$5:$X$10,2)</f>
        <v>Education</v>
      </c>
      <c r="F73">
        <f ca="1">RANDBETWEEN(1,5)</f>
        <v>4</v>
      </c>
      <c r="G73" t="str">
        <f ca="1">VLOOKUP(F73,$Y$5:$Z$9,2)</f>
        <v xml:space="preserve">Technical </v>
      </c>
      <c r="H73">
        <f ca="1">RANDBETWEEN(0,4)</f>
        <v>1</v>
      </c>
      <c r="I73">
        <f ca="1">RANDBETWEEN(1,3)</f>
        <v>1</v>
      </c>
      <c r="J73">
        <f ca="1">RANDBETWEEN(30000,100000)</f>
        <v>51138</v>
      </c>
      <c r="K73">
        <f ca="1">RANDBETWEEN(1,48)</f>
        <v>18</v>
      </c>
      <c r="L73" t="str">
        <f ca="1">VLOOKUP(K73,$AA$5:$AB$52,2)</f>
        <v>Greater London</v>
      </c>
      <c r="M73">
        <f ca="1">J73*(RANDBETWEEN(2,5))</f>
        <v>102276</v>
      </c>
      <c r="N73">
        <f ca="1">RAND()*M73</f>
        <v>30012.936970621402</v>
      </c>
      <c r="O73">
        <f ca="1">I73*RAND()*J73</f>
        <v>42296.800648188706</v>
      </c>
      <c r="P73">
        <f ca="1">RANDBETWEEN(0,O73)</f>
        <v>23649</v>
      </c>
      <c r="Q73">
        <f ca="1">RAND()*J73*2</f>
        <v>99760.8644365691</v>
      </c>
      <c r="R73">
        <f ca="1">RAND()*J73*1.5</f>
        <v>19123.686227095506</v>
      </c>
      <c r="S73">
        <f ca="1">J73+R73+O73</f>
        <v>112558.4868752842</v>
      </c>
      <c r="T73">
        <f ca="1">N73+P73+Q73</f>
        <v>153422.80140719051</v>
      </c>
      <c r="U73">
        <f ca="1">S73-T73</f>
        <v>-40864.314531906304</v>
      </c>
      <c r="AC73" s="6">
        <f ca="1">IF(Table1[[#This Row],[gender]]="men",1,0)</f>
        <v>0</v>
      </c>
      <c r="AD73">
        <f ca="1">IF(Table1[[#This Row],[gender]]="women",1,0)</f>
        <v>1</v>
      </c>
      <c r="AH73" s="5"/>
      <c r="AJ73" s="6">
        <f ca="1">IF(Table1[[#This Row],[Column1]]="Health",1,0)</f>
        <v>0</v>
      </c>
      <c r="AK73">
        <f ca="1">IF(Table1[[#This Row],[Column1]]="Construction",1,0)</f>
        <v>0</v>
      </c>
      <c r="AL73">
        <f ca="1">IF(Table1[[#This Row],[Column1]]="Technology",1,0)</f>
        <v>0</v>
      </c>
      <c r="AM73">
        <f ca="1">IF(Table1[[#This Row],[Column1]]="Education",1,0)</f>
        <v>1</v>
      </c>
      <c r="AN73">
        <f ca="1">IF(Table1[[#This Row],[Column1]]="Agriculture",1,0)</f>
        <v>0</v>
      </c>
      <c r="AO73">
        <f ca="1">IF(Table1[[#This Row],[Column1]]="Social Service", 1, 0)</f>
        <v>0</v>
      </c>
      <c r="AT73" s="5"/>
      <c r="AV73" s="17">
        <f t="shared" ca="1" si="3"/>
        <v>13307.178024101262</v>
      </c>
      <c r="AW73" s="5"/>
      <c r="AX73" s="6">
        <f ca="1">IF(Table1[[#This Row],[Value of Debts]]&gt;$AY$4,1,0)</f>
        <v>1</v>
      </c>
      <c r="AY73" s="20"/>
      <c r="AZ73" s="20"/>
      <c r="BA73" s="5"/>
      <c r="BB73" s="25">
        <f ca="1">Table1[[#This Row],[Mortage Left]]/Table1[[#This Row],[Value of House]]</f>
        <v>0.29345043774317925</v>
      </c>
      <c r="BC73" s="20">
        <f t="shared" ca="1" si="5"/>
        <v>1</v>
      </c>
      <c r="BD73" s="20"/>
      <c r="BE73" s="20"/>
      <c r="BF73" s="20"/>
      <c r="BG73" s="6">
        <f ca="1">IF(Table1[[#This Row],[County]]="Cumbria",Table1[[#This Row],[income]],0)</f>
        <v>0</v>
      </c>
      <c r="BH73" s="20">
        <f ca="1">IF(Table1[[#This Row],[County]]="Cheshire",Table1[[#This Row],[income]],0)</f>
        <v>0</v>
      </c>
      <c r="BI73" s="20">
        <f ca="1">IF(Table1[[#This Row],[County]]="Bristol",Table1[[#This Row],[income]],0)</f>
        <v>0</v>
      </c>
      <c r="BJ73" s="20">
        <f ca="1">IF(Table1[[#This Row],[County]]="Surrey",Table1[[#This Row],[income]],0)</f>
        <v>0</v>
      </c>
      <c r="BK73" s="20">
        <f ca="1">IF(Table1[[#This Row],[County]]="Norfolk",Table1[[#This Row],[income]],0)</f>
        <v>0</v>
      </c>
      <c r="BL73" s="20">
        <f ca="1">IF(Table1[[#This Row],[County]]="Lincolnshire",Table1[[#This Row],[income]],0)</f>
        <v>0</v>
      </c>
      <c r="BM73" s="20">
        <f ca="1">IF(Table1[[#This Row],[County]]="Somerset",Table1[[#This Row],[income]],0)</f>
        <v>0</v>
      </c>
      <c r="BN73" s="20">
        <f ca="1">IF(Table1[[#This Row],[County]]="Cambridgeshire",Table1[[#This Row],[income]],0)</f>
        <v>0</v>
      </c>
      <c r="BO73" s="20">
        <f ca="1">IF(Table1[[#This Row],[County]]="South Yorkshire",Table1[[#This Row],[income]],0)</f>
        <v>0</v>
      </c>
      <c r="BP73" s="20">
        <f ca="1">IF(Table1[[#This Row],[County]]="Greater London",Table1[[#This Row],[income]],0)</f>
        <v>51138</v>
      </c>
      <c r="BQ73" s="20">
        <f ca="1">IF(Table1[[#This Row],[County]]="Hampshire",Table1[[#This Row],[income]],0)</f>
        <v>0</v>
      </c>
      <c r="BR73" s="20">
        <f ca="1">IF(Table1[[#This Row],[County]]="Gloucestershire",Table1[[#This Row],[income]],0)</f>
        <v>0</v>
      </c>
      <c r="BS73" s="20">
        <f ca="1">IF(Table1[[#This Row],[County]]="West Sussex",Table1[[#This Row],[income]],0)</f>
        <v>0</v>
      </c>
      <c r="BT73" s="20">
        <f ca="1">IF(Table1[[#This Row],[County]]="Devon",Table1[[#This Row],[income]],0)</f>
        <v>0</v>
      </c>
      <c r="BU73" s="20">
        <f ca="1">IF(Table1[[#This Row],[County]]="Berkshire",Table1[[#This Row],[income]],0)</f>
        <v>0</v>
      </c>
      <c r="BV73" s="20">
        <f ca="1">IF(Table1[[#This Row],[County]]="Staffordshire",Table1[[#This Row],[income]],0)</f>
        <v>0</v>
      </c>
      <c r="BW73" s="20">
        <f ca="1">IF(Table1[[#This Row],[County]]="Leicestershire",Table1[[#This Row],[income]],0)</f>
        <v>0</v>
      </c>
      <c r="BX73" s="20">
        <f ca="1">IF(Table1[[#This Row],[County]]="Cornwall",Table1[[#This Row],[income]],0)</f>
        <v>0</v>
      </c>
      <c r="BY73" s="20">
        <f ca="1">IF(Table1[[#This Row],[County]]="Isle of Wight",Table1[[#This Row],[income]],0)</f>
        <v>0</v>
      </c>
      <c r="BZ73" s="20">
        <f ca="1">IF(Table1[[#This Row],[County]]="Surrey",Table1[[#This Row],[income]],0)</f>
        <v>0</v>
      </c>
      <c r="CA73" s="20">
        <f ca="1">IF(Table1[[#This Row],[County]]="Derbyshire",Table1[[#This Row],[income]],0)</f>
        <v>0</v>
      </c>
      <c r="CB73" s="20">
        <f ca="1">IF(Table1[[#This Row],[County]]="City of London",Table1[[#This Row],[income]],0)</f>
        <v>0</v>
      </c>
      <c r="CC73" s="20">
        <f ca="1">IF(Table1[[#This Row],[County]]="Bedfordshire",Table1[[#This Row],[income]],0)</f>
        <v>0</v>
      </c>
      <c r="CD73" s="20">
        <f ca="1">IF(Table1[[#This Row],[County]]="County Durham",Table1[[#This Row],[income]],0)</f>
        <v>0</v>
      </c>
      <c r="CE73" s="20">
        <f ca="1">IF(Table1[[#This Row],[County]]="East Riding of Yorkshire",Table1[[#This Row],[income]],0)</f>
        <v>0</v>
      </c>
      <c r="CF73" s="20">
        <f ca="1">IF(Table1[[#This Row],[County]]="West Yorkshire",Table1[[#This Row],[income]],0)</f>
        <v>0</v>
      </c>
      <c r="CG73" s="20">
        <f ca="1">IF(Table1[[#This Row],[County]]="Essex",Table1[[#This Row],[income]],0)</f>
        <v>0</v>
      </c>
      <c r="CH73" s="20">
        <f ca="1">IF(Table1[[#This Row],[County]]="East Sussex",Table1[[#This Row],[income]],0)</f>
        <v>0</v>
      </c>
      <c r="CI73" s="20">
        <f ca="1">IF(Table1[[#This Row],[County]]="Greater Manchester",Table1[[#This Row],[income]],0)</f>
        <v>0</v>
      </c>
      <c r="CJ73" s="20">
        <f ca="1">IF(Table1[[#This Row],[County]]="Hertfordshire",Table1[[#This Row],[income]],0)</f>
        <v>0</v>
      </c>
      <c r="CK73" s="20">
        <f ca="1">IF(Table1[[#This Row],[County]]="Herefordshire",Table1[[#This Row],[income]],0)</f>
        <v>0</v>
      </c>
      <c r="CL73" s="20">
        <f ca="1">IF(Table1[[#This Row],[County]]="Lancashire",Table1[[#This Row],[income]],0)</f>
        <v>0</v>
      </c>
      <c r="CM73" s="20">
        <f ca="1">IF(Table1[[#This Row],[County]]="Merseyside",Table1[[#This Row],[income]],0)</f>
        <v>0</v>
      </c>
      <c r="CN73" s="20">
        <f ca="1">IF(Table1[[#This Row],[County]]="Northamptonshire",Table1[[#This Row],[income]],0)</f>
        <v>0</v>
      </c>
      <c r="CO73" s="20">
        <f ca="1">IF(Table1[[#This Row],[County]]="Northumberland",Table1[[#This Row],[income]],0)</f>
        <v>0</v>
      </c>
      <c r="CP73" s="20">
        <f ca="1">IF(Table1[[#This Row],[County]]="Wiltshire",Table1[[#This Row],[income]],0)</f>
        <v>0</v>
      </c>
      <c r="CQ73" s="20">
        <f ca="1">IF(Table1[[#This Row],[County]]="West Midlands",Table1[[#This Row],[income]],0)</f>
        <v>0</v>
      </c>
      <c r="CR73" s="20">
        <f ca="1">IF(Table1[[#This Row],[County]]="Warwickshire",Table1[[#This Row],[income]],0)</f>
        <v>0</v>
      </c>
      <c r="CS73" s="20">
        <f ca="1">IF(Table1[[#This Row],[County]]="Tyne and Wear",Table1[[#This Row],[income]],0)</f>
        <v>0</v>
      </c>
      <c r="CT73" s="20">
        <f ca="1">IF(Table1[[#This Row],[County]]="Worcestershire",Table1[[#This Row],[income]],0)</f>
        <v>0</v>
      </c>
      <c r="CU73" s="20">
        <f ca="1">IF(Table1[[#This Row],[County]]="Rutland",Table1[[#This Row],[income]],0)</f>
        <v>0</v>
      </c>
      <c r="CV73" s="20">
        <f ca="1">IF(Table1[[#This Row],[County]]="Shropshire",Table1[[#This Row],[income]],0)</f>
        <v>0</v>
      </c>
      <c r="CW73" s="20">
        <f ca="1">IF(Table1[[#This Row],[County]]="Dorset",Table1[[#This Row],[income]],0)</f>
        <v>0</v>
      </c>
      <c r="CX73" s="20">
        <f ca="1">IF(Table1[[#This Row],[County]]="Buckinghamshire",Table1[[#This Row],[income]],0)</f>
        <v>0</v>
      </c>
      <c r="CY73" s="20">
        <f ca="1">IF(Table1[[#This Row],[County]]="Suffolk",Table1[[#This Row],[income]],0)</f>
        <v>0</v>
      </c>
      <c r="CZ73" s="20">
        <f ca="1">IF(Table1[[#This Row],[County]]="North Yorkshire",Table1[[#This Row],[income]],0)</f>
        <v>0</v>
      </c>
      <c r="DA73" s="20">
        <f ca="1">IF(Table1[[#This Row],[County]]="Kent",Table1[[#This Row],[income]],0)</f>
        <v>0</v>
      </c>
      <c r="DB73" s="5">
        <f ca="1">IF(Table1[[#This Row],[County]]="Derbyshire",Table1[[#This Row],[income]],0)</f>
        <v>0</v>
      </c>
      <c r="DD73" s="6">
        <f ca="1">IF(Table1[[#This Row],[Column1]]="Health",Table1[[#This Row],[income]],0)</f>
        <v>0</v>
      </c>
      <c r="DE73" s="20">
        <f ca="1">IF(Table1[[#This Row],[Column1]]="Agriculture",Table1[[#This Row],[income]],0)</f>
        <v>0</v>
      </c>
      <c r="DF73" s="20">
        <f ca="1">IF(Table1[[#This Row],[Column1]]="Technology",Table1[[#This Row],[income]],0)</f>
        <v>0</v>
      </c>
      <c r="DG73" s="20">
        <f ca="1">IF(Table1[[#This Row],[Column1]]="Social Service",Table1[[#This Row],[income]],0)</f>
        <v>0</v>
      </c>
      <c r="DH73" s="20">
        <f ca="1">IF(Table1[[#This Row],[Column1]]="Education",Table1[[#This Row],[income]],0)</f>
        <v>51138</v>
      </c>
      <c r="DI73" s="5">
        <f ca="1">IF(Table1[[#This Row],[Column1]]="Construction",Table1[[#This Row],[income]],0)</f>
        <v>0</v>
      </c>
      <c r="DK73" s="6">
        <f ca="1">IF(Table1[[#This Row],[Value of Debts]]&gt;Table1[[#This Row],[income]],1,0)</f>
        <v>1</v>
      </c>
      <c r="DL73" s="20"/>
      <c r="DM73" s="20"/>
      <c r="DN73" s="5"/>
      <c r="DP73" s="6">
        <f ca="1">IF(Table1[[#This Row],[Net Worth (£)]]&gt;$DS$5,C73,0)</f>
        <v>0</v>
      </c>
      <c r="DQ73" s="20"/>
      <c r="DR73" s="20"/>
      <c r="DS73" s="5"/>
    </row>
    <row r="74" spans="1:123" x14ac:dyDescent="0.2">
      <c r="A74">
        <f t="shared" ca="1" si="4"/>
        <v>2</v>
      </c>
      <c r="B74" s="1" t="str">
        <f ca="1">IF(A74=1, "men", "women")</f>
        <v>women</v>
      </c>
      <c r="C74" s="1">
        <f ca="1">RANDBETWEEN(25,50)</f>
        <v>29</v>
      </c>
      <c r="D74">
        <f ca="1">RANDBETWEEN(1,6)</f>
        <v>1</v>
      </c>
      <c r="E74" t="str">
        <f ca="1">VLOOKUP(D74,$W$5:$X$10,2)</f>
        <v>Health</v>
      </c>
      <c r="F74">
        <f ca="1">RANDBETWEEN(1,5)</f>
        <v>1</v>
      </c>
      <c r="G74" t="str">
        <f ca="1">VLOOKUP(F74,$Y$5:$Z$9,2)</f>
        <v>High School</v>
      </c>
      <c r="H74">
        <f ca="1">RANDBETWEEN(0,4)</f>
        <v>4</v>
      </c>
      <c r="I74">
        <f ca="1">RANDBETWEEN(1,3)</f>
        <v>1</v>
      </c>
      <c r="J74">
        <f ca="1">RANDBETWEEN(30000,100000)</f>
        <v>57597</v>
      </c>
      <c r="K74">
        <f ca="1">RANDBETWEEN(1,48)</f>
        <v>27</v>
      </c>
      <c r="L74" t="str">
        <f ca="1">VLOOKUP(K74,$AA$5:$AB$52,2)</f>
        <v>Merseyside</v>
      </c>
      <c r="M74">
        <f ca="1">J74*(RANDBETWEEN(2,5))</f>
        <v>172791</v>
      </c>
      <c r="N74">
        <f ca="1">RAND()*M74</f>
        <v>54693.484972062339</v>
      </c>
      <c r="O74">
        <f ca="1">I74*RAND()*J74</f>
        <v>13307.178024101262</v>
      </c>
      <c r="P74">
        <f ca="1">RANDBETWEEN(0,O74)</f>
        <v>855</v>
      </c>
      <c r="Q74">
        <f ca="1">RAND()*J74*2</f>
        <v>31847.99009426737</v>
      </c>
      <c r="R74">
        <f ca="1">RAND()*J74*1.5</f>
        <v>41103.754722968588</v>
      </c>
      <c r="S74">
        <f ca="1">J74+R74+O74</f>
        <v>112007.93274706985</v>
      </c>
      <c r="T74">
        <f ca="1">N74+P74+Q74</f>
        <v>87396.475066329702</v>
      </c>
      <c r="U74">
        <f ca="1">S74-T74</f>
        <v>24611.457680740146</v>
      </c>
      <c r="AC74" s="6">
        <f ca="1">IF(Table1[[#This Row],[gender]]="men",1,0)</f>
        <v>0</v>
      </c>
      <c r="AD74">
        <f ca="1">IF(Table1[[#This Row],[gender]]="women",1,0)</f>
        <v>1</v>
      </c>
      <c r="AH74" s="5"/>
      <c r="AJ74" s="6">
        <f ca="1">IF(Table1[[#This Row],[Column1]]="Health",1,0)</f>
        <v>1</v>
      </c>
      <c r="AK74">
        <f ca="1">IF(Table1[[#This Row],[Column1]]="Construction",1,0)</f>
        <v>0</v>
      </c>
      <c r="AL74">
        <f ca="1">IF(Table1[[#This Row],[Column1]]="Technology",1,0)</f>
        <v>0</v>
      </c>
      <c r="AM74">
        <f ca="1">IF(Table1[[#This Row],[Column1]]="Education",1,0)</f>
        <v>0</v>
      </c>
      <c r="AN74">
        <f ca="1">IF(Table1[[#This Row],[Column1]]="Agriculture",1,0)</f>
        <v>0</v>
      </c>
      <c r="AO74">
        <f ca="1">IF(Table1[[#This Row],[Column1]]="Social Service", 1, 0)</f>
        <v>0</v>
      </c>
      <c r="AT74" s="5"/>
      <c r="AV74" s="17">
        <f t="shared" ca="1" si="3"/>
        <v>44717.989372086246</v>
      </c>
      <c r="AW74" s="5"/>
      <c r="AX74" s="6">
        <f ca="1">IF(Table1[[#This Row],[Value of Debts]]&gt;$AY$4,1,0)</f>
        <v>0</v>
      </c>
      <c r="AY74" s="20"/>
      <c r="AZ74" s="20"/>
      <c r="BA74" s="5"/>
      <c r="BB74" s="25">
        <f ca="1">Table1[[#This Row],[Mortage Left]]/Table1[[#This Row],[Value of House]]</f>
        <v>0.31652970914030443</v>
      </c>
      <c r="BC74" s="20">
        <f t="shared" ca="1" si="5"/>
        <v>0</v>
      </c>
      <c r="BD74" s="20"/>
      <c r="BE74" s="20"/>
      <c r="BF74" s="20"/>
      <c r="BG74" s="6">
        <f ca="1">IF(Table1[[#This Row],[County]]="Cumbria",Table1[[#This Row],[income]],0)</f>
        <v>0</v>
      </c>
      <c r="BH74" s="20">
        <f ca="1">IF(Table1[[#This Row],[County]]="Cheshire",Table1[[#This Row],[income]],0)</f>
        <v>0</v>
      </c>
      <c r="BI74" s="20">
        <f ca="1">IF(Table1[[#This Row],[County]]="Bristol",Table1[[#This Row],[income]],0)</f>
        <v>0</v>
      </c>
      <c r="BJ74" s="20">
        <f ca="1">IF(Table1[[#This Row],[County]]="Surrey",Table1[[#This Row],[income]],0)</f>
        <v>0</v>
      </c>
      <c r="BK74" s="20">
        <f ca="1">IF(Table1[[#This Row],[County]]="Norfolk",Table1[[#This Row],[income]],0)</f>
        <v>0</v>
      </c>
      <c r="BL74" s="20">
        <f ca="1">IF(Table1[[#This Row],[County]]="Lincolnshire",Table1[[#This Row],[income]],0)</f>
        <v>0</v>
      </c>
      <c r="BM74" s="20">
        <f ca="1">IF(Table1[[#This Row],[County]]="Somerset",Table1[[#This Row],[income]],0)</f>
        <v>0</v>
      </c>
      <c r="BN74" s="20">
        <f ca="1">IF(Table1[[#This Row],[County]]="Cambridgeshire",Table1[[#This Row],[income]],0)</f>
        <v>0</v>
      </c>
      <c r="BO74" s="20">
        <f ca="1">IF(Table1[[#This Row],[County]]="South Yorkshire",Table1[[#This Row],[income]],0)</f>
        <v>0</v>
      </c>
      <c r="BP74" s="20">
        <f ca="1">IF(Table1[[#This Row],[County]]="Greater London",Table1[[#This Row],[income]],0)</f>
        <v>0</v>
      </c>
      <c r="BQ74" s="20">
        <f ca="1">IF(Table1[[#This Row],[County]]="Hampshire",Table1[[#This Row],[income]],0)</f>
        <v>0</v>
      </c>
      <c r="BR74" s="20">
        <f ca="1">IF(Table1[[#This Row],[County]]="Gloucestershire",Table1[[#This Row],[income]],0)</f>
        <v>0</v>
      </c>
      <c r="BS74" s="20">
        <f ca="1">IF(Table1[[#This Row],[County]]="West Sussex",Table1[[#This Row],[income]],0)</f>
        <v>0</v>
      </c>
      <c r="BT74" s="20">
        <f ca="1">IF(Table1[[#This Row],[County]]="Devon",Table1[[#This Row],[income]],0)</f>
        <v>0</v>
      </c>
      <c r="BU74" s="20">
        <f ca="1">IF(Table1[[#This Row],[County]]="Berkshire",Table1[[#This Row],[income]],0)</f>
        <v>0</v>
      </c>
      <c r="BV74" s="20">
        <f ca="1">IF(Table1[[#This Row],[County]]="Staffordshire",Table1[[#This Row],[income]],0)</f>
        <v>0</v>
      </c>
      <c r="BW74" s="20">
        <f ca="1">IF(Table1[[#This Row],[County]]="Leicestershire",Table1[[#This Row],[income]],0)</f>
        <v>0</v>
      </c>
      <c r="BX74" s="20">
        <f ca="1">IF(Table1[[#This Row],[County]]="Cornwall",Table1[[#This Row],[income]],0)</f>
        <v>0</v>
      </c>
      <c r="BY74" s="20">
        <f ca="1">IF(Table1[[#This Row],[County]]="Isle of Wight",Table1[[#This Row],[income]],0)</f>
        <v>0</v>
      </c>
      <c r="BZ74" s="20">
        <f ca="1">IF(Table1[[#This Row],[County]]="Surrey",Table1[[#This Row],[income]],0)</f>
        <v>0</v>
      </c>
      <c r="CA74" s="20">
        <f ca="1">IF(Table1[[#This Row],[County]]="Derbyshire",Table1[[#This Row],[income]],0)</f>
        <v>0</v>
      </c>
      <c r="CB74" s="20">
        <f ca="1">IF(Table1[[#This Row],[County]]="City of London",Table1[[#This Row],[income]],0)</f>
        <v>0</v>
      </c>
      <c r="CC74" s="20">
        <f ca="1">IF(Table1[[#This Row],[County]]="Bedfordshire",Table1[[#This Row],[income]],0)</f>
        <v>0</v>
      </c>
      <c r="CD74" s="20">
        <f ca="1">IF(Table1[[#This Row],[County]]="County Durham",Table1[[#This Row],[income]],0)</f>
        <v>0</v>
      </c>
      <c r="CE74" s="20">
        <f ca="1">IF(Table1[[#This Row],[County]]="East Riding of Yorkshire",Table1[[#This Row],[income]],0)</f>
        <v>0</v>
      </c>
      <c r="CF74" s="20">
        <f ca="1">IF(Table1[[#This Row],[County]]="West Yorkshire",Table1[[#This Row],[income]],0)</f>
        <v>0</v>
      </c>
      <c r="CG74" s="20">
        <f ca="1">IF(Table1[[#This Row],[County]]="Essex",Table1[[#This Row],[income]],0)</f>
        <v>0</v>
      </c>
      <c r="CH74" s="20">
        <f ca="1">IF(Table1[[#This Row],[County]]="East Sussex",Table1[[#This Row],[income]],0)</f>
        <v>0</v>
      </c>
      <c r="CI74" s="20">
        <f ca="1">IF(Table1[[#This Row],[County]]="Greater Manchester",Table1[[#This Row],[income]],0)</f>
        <v>0</v>
      </c>
      <c r="CJ74" s="20">
        <f ca="1">IF(Table1[[#This Row],[County]]="Hertfordshire",Table1[[#This Row],[income]],0)</f>
        <v>0</v>
      </c>
      <c r="CK74" s="20">
        <f ca="1">IF(Table1[[#This Row],[County]]="Herefordshire",Table1[[#This Row],[income]],0)</f>
        <v>0</v>
      </c>
      <c r="CL74" s="20">
        <f ca="1">IF(Table1[[#This Row],[County]]="Lancashire",Table1[[#This Row],[income]],0)</f>
        <v>0</v>
      </c>
      <c r="CM74" s="20">
        <f ca="1">IF(Table1[[#This Row],[County]]="Merseyside",Table1[[#This Row],[income]],0)</f>
        <v>57597</v>
      </c>
      <c r="CN74" s="20">
        <f ca="1">IF(Table1[[#This Row],[County]]="Northamptonshire",Table1[[#This Row],[income]],0)</f>
        <v>0</v>
      </c>
      <c r="CO74" s="20">
        <f ca="1">IF(Table1[[#This Row],[County]]="Northumberland",Table1[[#This Row],[income]],0)</f>
        <v>0</v>
      </c>
      <c r="CP74" s="20">
        <f ca="1">IF(Table1[[#This Row],[County]]="Wiltshire",Table1[[#This Row],[income]],0)</f>
        <v>0</v>
      </c>
      <c r="CQ74" s="20">
        <f ca="1">IF(Table1[[#This Row],[County]]="West Midlands",Table1[[#This Row],[income]],0)</f>
        <v>0</v>
      </c>
      <c r="CR74" s="20">
        <f ca="1">IF(Table1[[#This Row],[County]]="Warwickshire",Table1[[#This Row],[income]],0)</f>
        <v>0</v>
      </c>
      <c r="CS74" s="20">
        <f ca="1">IF(Table1[[#This Row],[County]]="Tyne and Wear",Table1[[#This Row],[income]],0)</f>
        <v>0</v>
      </c>
      <c r="CT74" s="20">
        <f ca="1">IF(Table1[[#This Row],[County]]="Worcestershire",Table1[[#This Row],[income]],0)</f>
        <v>0</v>
      </c>
      <c r="CU74" s="20">
        <f ca="1">IF(Table1[[#This Row],[County]]="Rutland",Table1[[#This Row],[income]],0)</f>
        <v>0</v>
      </c>
      <c r="CV74" s="20">
        <f ca="1">IF(Table1[[#This Row],[County]]="Shropshire",Table1[[#This Row],[income]],0)</f>
        <v>0</v>
      </c>
      <c r="CW74" s="20">
        <f ca="1">IF(Table1[[#This Row],[County]]="Dorset",Table1[[#This Row],[income]],0)</f>
        <v>0</v>
      </c>
      <c r="CX74" s="20">
        <f ca="1">IF(Table1[[#This Row],[County]]="Buckinghamshire",Table1[[#This Row],[income]],0)</f>
        <v>0</v>
      </c>
      <c r="CY74" s="20">
        <f ca="1">IF(Table1[[#This Row],[County]]="Suffolk",Table1[[#This Row],[income]],0)</f>
        <v>0</v>
      </c>
      <c r="CZ74" s="20">
        <f ca="1">IF(Table1[[#This Row],[County]]="North Yorkshire",Table1[[#This Row],[income]],0)</f>
        <v>0</v>
      </c>
      <c r="DA74" s="20">
        <f ca="1">IF(Table1[[#This Row],[County]]="Kent",Table1[[#This Row],[income]],0)</f>
        <v>0</v>
      </c>
      <c r="DB74" s="5">
        <f ca="1">IF(Table1[[#This Row],[County]]="Derbyshire",Table1[[#This Row],[income]],0)</f>
        <v>0</v>
      </c>
      <c r="DD74" s="6">
        <f ca="1">IF(Table1[[#This Row],[Column1]]="Health",Table1[[#This Row],[income]],0)</f>
        <v>57597</v>
      </c>
      <c r="DE74" s="20">
        <f ca="1">IF(Table1[[#This Row],[Column1]]="Agriculture",Table1[[#This Row],[income]],0)</f>
        <v>0</v>
      </c>
      <c r="DF74" s="20">
        <f ca="1">IF(Table1[[#This Row],[Column1]]="Technology",Table1[[#This Row],[income]],0)</f>
        <v>0</v>
      </c>
      <c r="DG74" s="20">
        <f ca="1">IF(Table1[[#This Row],[Column1]]="Social Service",Table1[[#This Row],[income]],0)</f>
        <v>0</v>
      </c>
      <c r="DH74" s="20">
        <f ca="1">IF(Table1[[#This Row],[Column1]]="Education",Table1[[#This Row],[income]],0)</f>
        <v>0</v>
      </c>
      <c r="DI74" s="5">
        <f ca="1">IF(Table1[[#This Row],[Column1]]="Construction",Table1[[#This Row],[income]],0)</f>
        <v>0</v>
      </c>
      <c r="DK74" s="6">
        <f ca="1">IF(Table1[[#This Row],[Value of Debts]]&gt;Table1[[#This Row],[income]],1,0)</f>
        <v>1</v>
      </c>
      <c r="DL74" s="20"/>
      <c r="DM74" s="20"/>
      <c r="DN74" s="5"/>
      <c r="DP74" s="6">
        <f ca="1">IF(Table1[[#This Row],[Net Worth (£)]]&gt;$DS$5,C74,0)</f>
        <v>0</v>
      </c>
      <c r="DQ74" s="20"/>
      <c r="DR74" s="20"/>
      <c r="DS74" s="5"/>
    </row>
    <row r="75" spans="1:123" x14ac:dyDescent="0.2">
      <c r="A75">
        <f t="shared" ca="1" si="4"/>
        <v>2</v>
      </c>
      <c r="B75" s="1" t="str">
        <f ca="1">IF(A75=1, "men", "women")</f>
        <v>women</v>
      </c>
      <c r="C75" s="1">
        <f ca="1">RANDBETWEEN(25,50)</f>
        <v>50</v>
      </c>
      <c r="D75">
        <f ca="1">RANDBETWEEN(1,6)</f>
        <v>4</v>
      </c>
      <c r="E75" t="str">
        <f ca="1">VLOOKUP(D75,$W$5:$X$10,2)</f>
        <v>Technology</v>
      </c>
      <c r="F75">
        <f ca="1">RANDBETWEEN(1,5)</f>
        <v>4</v>
      </c>
      <c r="G75" t="str">
        <f ca="1">VLOOKUP(F75,$Y$5:$Z$9,2)</f>
        <v xml:space="preserve">Technical </v>
      </c>
      <c r="H75">
        <f ca="1">RANDBETWEEN(0,4)</f>
        <v>2</v>
      </c>
      <c r="I75">
        <f ca="1">RANDBETWEEN(1,3)</f>
        <v>1</v>
      </c>
      <c r="J75">
        <f ca="1">RANDBETWEEN(30000,100000)</f>
        <v>67220</v>
      </c>
      <c r="K75">
        <f ca="1">RANDBETWEEN(1,48)</f>
        <v>23</v>
      </c>
      <c r="L75" t="str">
        <f ca="1">VLOOKUP(K75,$AA$5:$AB$52,2)</f>
        <v>Isle of Wight</v>
      </c>
      <c r="M75">
        <f ca="1">J75*(RANDBETWEEN(2,5))</f>
        <v>268880</v>
      </c>
      <c r="N75">
        <f ca="1">RAND()*M75</f>
        <v>47375.85095650216</v>
      </c>
      <c r="O75">
        <f ca="1">I75*RAND()*J75</f>
        <v>44717.989372086246</v>
      </c>
      <c r="P75">
        <f ca="1">RANDBETWEEN(0,O75)</f>
        <v>41381</v>
      </c>
      <c r="Q75">
        <f ca="1">RAND()*J75*2</f>
        <v>106754.23738573155</v>
      </c>
      <c r="R75">
        <f ca="1">RAND()*J75*1.5</f>
        <v>63891.350892930161</v>
      </c>
      <c r="S75">
        <f ca="1">J75+R75+O75</f>
        <v>175829.34026501642</v>
      </c>
      <c r="T75">
        <f ca="1">N75+P75+Q75</f>
        <v>195511.08834223374</v>
      </c>
      <c r="U75">
        <f ca="1">S75-T75</f>
        <v>-19681.748077217315</v>
      </c>
      <c r="AC75" s="6">
        <f ca="1">IF(Table1[[#This Row],[gender]]="men",1,0)</f>
        <v>0</v>
      </c>
      <c r="AD75">
        <f ca="1">IF(Table1[[#This Row],[gender]]="women",1,0)</f>
        <v>1</v>
      </c>
      <c r="AH75" s="5"/>
      <c r="AJ75" s="6">
        <f ca="1">IF(Table1[[#This Row],[Column1]]="Health",1,0)</f>
        <v>0</v>
      </c>
      <c r="AK75">
        <f ca="1">IF(Table1[[#This Row],[Column1]]="Construction",1,0)</f>
        <v>0</v>
      </c>
      <c r="AL75">
        <f ca="1">IF(Table1[[#This Row],[Column1]]="Technology",1,0)</f>
        <v>1</v>
      </c>
      <c r="AM75">
        <f ca="1">IF(Table1[[#This Row],[Column1]]="Education",1,0)</f>
        <v>0</v>
      </c>
      <c r="AN75">
        <f ca="1">IF(Table1[[#This Row],[Column1]]="Agriculture",1,0)</f>
        <v>0</v>
      </c>
      <c r="AO75">
        <f ca="1">IF(Table1[[#This Row],[Column1]]="Social Service", 1, 0)</f>
        <v>0</v>
      </c>
      <c r="AT75" s="5"/>
      <c r="AV75" s="17">
        <f t="shared" ca="1" si="3"/>
        <v>39576.635761270933</v>
      </c>
      <c r="AW75" s="5"/>
      <c r="AX75" s="6">
        <f ca="1">IF(Table1[[#This Row],[Value of Debts]]&gt;$AY$4,1,0)</f>
        <v>1</v>
      </c>
      <c r="AY75" s="20"/>
      <c r="AZ75" s="20"/>
      <c r="BA75" s="5"/>
      <c r="BB75" s="25">
        <f ca="1">Table1[[#This Row],[Mortage Left]]/Table1[[#This Row],[Value of House]]</f>
        <v>0.17619700593760101</v>
      </c>
      <c r="BC75" s="20">
        <f t="shared" ca="1" si="5"/>
        <v>1</v>
      </c>
      <c r="BD75" s="20"/>
      <c r="BE75" s="20"/>
      <c r="BF75" s="20"/>
      <c r="BG75" s="6">
        <f ca="1">IF(Table1[[#This Row],[County]]="Cumbria",Table1[[#This Row],[income]],0)</f>
        <v>0</v>
      </c>
      <c r="BH75" s="20">
        <f ca="1">IF(Table1[[#This Row],[County]]="Cheshire",Table1[[#This Row],[income]],0)</f>
        <v>0</v>
      </c>
      <c r="BI75" s="20">
        <f ca="1">IF(Table1[[#This Row],[County]]="Bristol",Table1[[#This Row],[income]],0)</f>
        <v>0</v>
      </c>
      <c r="BJ75" s="20">
        <f ca="1">IF(Table1[[#This Row],[County]]="Surrey",Table1[[#This Row],[income]],0)</f>
        <v>0</v>
      </c>
      <c r="BK75" s="20">
        <f ca="1">IF(Table1[[#This Row],[County]]="Norfolk",Table1[[#This Row],[income]],0)</f>
        <v>0</v>
      </c>
      <c r="BL75" s="20">
        <f ca="1">IF(Table1[[#This Row],[County]]="Lincolnshire",Table1[[#This Row],[income]],0)</f>
        <v>0</v>
      </c>
      <c r="BM75" s="20">
        <f ca="1">IF(Table1[[#This Row],[County]]="Somerset",Table1[[#This Row],[income]],0)</f>
        <v>0</v>
      </c>
      <c r="BN75" s="20">
        <f ca="1">IF(Table1[[#This Row],[County]]="Cambridgeshire",Table1[[#This Row],[income]],0)</f>
        <v>0</v>
      </c>
      <c r="BO75" s="20">
        <f ca="1">IF(Table1[[#This Row],[County]]="South Yorkshire",Table1[[#This Row],[income]],0)</f>
        <v>0</v>
      </c>
      <c r="BP75" s="20">
        <f ca="1">IF(Table1[[#This Row],[County]]="Greater London",Table1[[#This Row],[income]],0)</f>
        <v>0</v>
      </c>
      <c r="BQ75" s="20">
        <f ca="1">IF(Table1[[#This Row],[County]]="Hampshire",Table1[[#This Row],[income]],0)</f>
        <v>0</v>
      </c>
      <c r="BR75" s="20">
        <f ca="1">IF(Table1[[#This Row],[County]]="Gloucestershire",Table1[[#This Row],[income]],0)</f>
        <v>0</v>
      </c>
      <c r="BS75" s="20">
        <f ca="1">IF(Table1[[#This Row],[County]]="West Sussex",Table1[[#This Row],[income]],0)</f>
        <v>0</v>
      </c>
      <c r="BT75" s="20">
        <f ca="1">IF(Table1[[#This Row],[County]]="Devon",Table1[[#This Row],[income]],0)</f>
        <v>0</v>
      </c>
      <c r="BU75" s="20">
        <f ca="1">IF(Table1[[#This Row],[County]]="Berkshire",Table1[[#This Row],[income]],0)</f>
        <v>0</v>
      </c>
      <c r="BV75" s="20">
        <f ca="1">IF(Table1[[#This Row],[County]]="Staffordshire",Table1[[#This Row],[income]],0)</f>
        <v>0</v>
      </c>
      <c r="BW75" s="20">
        <f ca="1">IF(Table1[[#This Row],[County]]="Leicestershire",Table1[[#This Row],[income]],0)</f>
        <v>0</v>
      </c>
      <c r="BX75" s="20">
        <f ca="1">IF(Table1[[#This Row],[County]]="Cornwall",Table1[[#This Row],[income]],0)</f>
        <v>0</v>
      </c>
      <c r="BY75" s="20">
        <f ca="1">IF(Table1[[#This Row],[County]]="Isle of Wight",Table1[[#This Row],[income]],0)</f>
        <v>67220</v>
      </c>
      <c r="BZ75" s="20">
        <f ca="1">IF(Table1[[#This Row],[County]]="Surrey",Table1[[#This Row],[income]],0)</f>
        <v>0</v>
      </c>
      <c r="CA75" s="20">
        <f ca="1">IF(Table1[[#This Row],[County]]="Derbyshire",Table1[[#This Row],[income]],0)</f>
        <v>0</v>
      </c>
      <c r="CB75" s="20">
        <f ca="1">IF(Table1[[#This Row],[County]]="City of London",Table1[[#This Row],[income]],0)</f>
        <v>0</v>
      </c>
      <c r="CC75" s="20">
        <f ca="1">IF(Table1[[#This Row],[County]]="Bedfordshire",Table1[[#This Row],[income]],0)</f>
        <v>0</v>
      </c>
      <c r="CD75" s="20">
        <f ca="1">IF(Table1[[#This Row],[County]]="County Durham",Table1[[#This Row],[income]],0)</f>
        <v>0</v>
      </c>
      <c r="CE75" s="20">
        <f ca="1">IF(Table1[[#This Row],[County]]="East Riding of Yorkshire",Table1[[#This Row],[income]],0)</f>
        <v>0</v>
      </c>
      <c r="CF75" s="20">
        <f ca="1">IF(Table1[[#This Row],[County]]="West Yorkshire",Table1[[#This Row],[income]],0)</f>
        <v>0</v>
      </c>
      <c r="CG75" s="20">
        <f ca="1">IF(Table1[[#This Row],[County]]="Essex",Table1[[#This Row],[income]],0)</f>
        <v>0</v>
      </c>
      <c r="CH75" s="20">
        <f ca="1">IF(Table1[[#This Row],[County]]="East Sussex",Table1[[#This Row],[income]],0)</f>
        <v>0</v>
      </c>
      <c r="CI75" s="20">
        <f ca="1">IF(Table1[[#This Row],[County]]="Greater Manchester",Table1[[#This Row],[income]],0)</f>
        <v>0</v>
      </c>
      <c r="CJ75" s="20">
        <f ca="1">IF(Table1[[#This Row],[County]]="Hertfordshire",Table1[[#This Row],[income]],0)</f>
        <v>0</v>
      </c>
      <c r="CK75" s="20">
        <f ca="1">IF(Table1[[#This Row],[County]]="Herefordshire",Table1[[#This Row],[income]],0)</f>
        <v>0</v>
      </c>
      <c r="CL75" s="20">
        <f ca="1">IF(Table1[[#This Row],[County]]="Lancashire",Table1[[#This Row],[income]],0)</f>
        <v>0</v>
      </c>
      <c r="CM75" s="20">
        <f ca="1">IF(Table1[[#This Row],[County]]="Merseyside",Table1[[#This Row],[income]],0)</f>
        <v>0</v>
      </c>
      <c r="CN75" s="20">
        <f ca="1">IF(Table1[[#This Row],[County]]="Northamptonshire",Table1[[#This Row],[income]],0)</f>
        <v>0</v>
      </c>
      <c r="CO75" s="20">
        <f ca="1">IF(Table1[[#This Row],[County]]="Northumberland",Table1[[#This Row],[income]],0)</f>
        <v>0</v>
      </c>
      <c r="CP75" s="20">
        <f ca="1">IF(Table1[[#This Row],[County]]="Wiltshire",Table1[[#This Row],[income]],0)</f>
        <v>0</v>
      </c>
      <c r="CQ75" s="20">
        <f ca="1">IF(Table1[[#This Row],[County]]="West Midlands",Table1[[#This Row],[income]],0)</f>
        <v>0</v>
      </c>
      <c r="CR75" s="20">
        <f ca="1">IF(Table1[[#This Row],[County]]="Warwickshire",Table1[[#This Row],[income]],0)</f>
        <v>0</v>
      </c>
      <c r="CS75" s="20">
        <f ca="1">IF(Table1[[#This Row],[County]]="Tyne and Wear",Table1[[#This Row],[income]],0)</f>
        <v>0</v>
      </c>
      <c r="CT75" s="20">
        <f ca="1">IF(Table1[[#This Row],[County]]="Worcestershire",Table1[[#This Row],[income]],0)</f>
        <v>0</v>
      </c>
      <c r="CU75" s="20">
        <f ca="1">IF(Table1[[#This Row],[County]]="Rutland",Table1[[#This Row],[income]],0)</f>
        <v>0</v>
      </c>
      <c r="CV75" s="20">
        <f ca="1">IF(Table1[[#This Row],[County]]="Shropshire",Table1[[#This Row],[income]],0)</f>
        <v>0</v>
      </c>
      <c r="CW75" s="20">
        <f ca="1">IF(Table1[[#This Row],[County]]="Dorset",Table1[[#This Row],[income]],0)</f>
        <v>0</v>
      </c>
      <c r="CX75" s="20">
        <f ca="1">IF(Table1[[#This Row],[County]]="Buckinghamshire",Table1[[#This Row],[income]],0)</f>
        <v>0</v>
      </c>
      <c r="CY75" s="20">
        <f ca="1">IF(Table1[[#This Row],[County]]="Suffolk",Table1[[#This Row],[income]],0)</f>
        <v>0</v>
      </c>
      <c r="CZ75" s="20">
        <f ca="1">IF(Table1[[#This Row],[County]]="North Yorkshire",Table1[[#This Row],[income]],0)</f>
        <v>0</v>
      </c>
      <c r="DA75" s="20">
        <f ca="1">IF(Table1[[#This Row],[County]]="Kent",Table1[[#This Row],[income]],0)</f>
        <v>0</v>
      </c>
      <c r="DB75" s="5">
        <f ca="1">IF(Table1[[#This Row],[County]]="Derbyshire",Table1[[#This Row],[income]],0)</f>
        <v>0</v>
      </c>
      <c r="DD75" s="6">
        <f ca="1">IF(Table1[[#This Row],[Column1]]="Health",Table1[[#This Row],[income]],0)</f>
        <v>0</v>
      </c>
      <c r="DE75" s="20">
        <f ca="1">IF(Table1[[#This Row],[Column1]]="Agriculture",Table1[[#This Row],[income]],0)</f>
        <v>0</v>
      </c>
      <c r="DF75" s="20">
        <f ca="1">IF(Table1[[#This Row],[Column1]]="Technology",Table1[[#This Row],[income]],0)</f>
        <v>67220</v>
      </c>
      <c r="DG75" s="20">
        <f ca="1">IF(Table1[[#This Row],[Column1]]="Social Service",Table1[[#This Row],[income]],0)</f>
        <v>0</v>
      </c>
      <c r="DH75" s="20">
        <f ca="1">IF(Table1[[#This Row],[Column1]]="Education",Table1[[#This Row],[income]],0)</f>
        <v>0</v>
      </c>
      <c r="DI75" s="5">
        <f ca="1">IF(Table1[[#This Row],[Column1]]="Construction",Table1[[#This Row],[income]],0)</f>
        <v>0</v>
      </c>
      <c r="DK75" s="6">
        <f ca="1">IF(Table1[[#This Row],[Value of Debts]]&gt;Table1[[#This Row],[income]],1,0)</f>
        <v>1</v>
      </c>
      <c r="DL75" s="20"/>
      <c r="DM75" s="20"/>
      <c r="DN75" s="5"/>
      <c r="DP75" s="6">
        <f ca="1">IF(Table1[[#This Row],[Net Worth (£)]]&gt;$DS$5,C75,0)</f>
        <v>0</v>
      </c>
      <c r="DQ75" s="20"/>
      <c r="DR75" s="20"/>
      <c r="DS75" s="5"/>
    </row>
    <row r="76" spans="1:123" x14ac:dyDescent="0.2">
      <c r="A76">
        <f t="shared" ca="1" si="4"/>
        <v>2</v>
      </c>
      <c r="B76" s="1" t="str">
        <f ca="1">IF(A76=1, "men", "women")</f>
        <v>women</v>
      </c>
      <c r="C76" s="1">
        <f ca="1">RANDBETWEEN(25,50)</f>
        <v>39</v>
      </c>
      <c r="D76">
        <f ca="1">RANDBETWEEN(1,6)</f>
        <v>1</v>
      </c>
      <c r="E76" t="str">
        <f ca="1">VLOOKUP(D76,$W$5:$X$10,2)</f>
        <v>Health</v>
      </c>
      <c r="F76">
        <f ca="1">RANDBETWEEN(1,5)</f>
        <v>5</v>
      </c>
      <c r="G76" t="str">
        <f ca="1">VLOOKUP(F76,$Y$5:$Z$9,2)</f>
        <v>Other</v>
      </c>
      <c r="H76">
        <f ca="1">RANDBETWEEN(0,4)</f>
        <v>0</v>
      </c>
      <c r="I76">
        <f ca="1">RANDBETWEEN(1,3)</f>
        <v>1</v>
      </c>
      <c r="J76">
        <f ca="1">RANDBETWEEN(30000,100000)</f>
        <v>71639</v>
      </c>
      <c r="K76">
        <f ca="1">RANDBETWEEN(1,48)</f>
        <v>36</v>
      </c>
      <c r="L76" t="str">
        <f ca="1">VLOOKUP(K76,$AA$5:$AB$52,2)</f>
        <v>Shropshire</v>
      </c>
      <c r="M76">
        <f ca="1">J76*(RANDBETWEEN(2,5))</f>
        <v>214917</v>
      </c>
      <c r="N76">
        <f ca="1">RAND()*M76</f>
        <v>187425.45126630442</v>
      </c>
      <c r="O76">
        <f ca="1">I76*RAND()*J76</f>
        <v>39576.635761270933</v>
      </c>
      <c r="P76">
        <f ca="1">RANDBETWEEN(0,O76)</f>
        <v>30168</v>
      </c>
      <c r="Q76">
        <f ca="1">RAND()*J76*2</f>
        <v>71450.838156209371</v>
      </c>
      <c r="R76">
        <f ca="1">RAND()*J76*1.5</f>
        <v>69448.760966984861</v>
      </c>
      <c r="S76">
        <f ca="1">J76+R76+O76</f>
        <v>180664.39672825579</v>
      </c>
      <c r="T76">
        <f ca="1">N76+P76+Q76</f>
        <v>289044.2894225138</v>
      </c>
      <c r="U76">
        <f ca="1">S76-T76</f>
        <v>-108379.89269425801</v>
      </c>
      <c r="AC76" s="6">
        <f ca="1">IF(Table1[[#This Row],[gender]]="men",1,0)</f>
        <v>0</v>
      </c>
      <c r="AD76">
        <f ca="1">IF(Table1[[#This Row],[gender]]="women",1,0)</f>
        <v>1</v>
      </c>
      <c r="AH76" s="5"/>
      <c r="AJ76" s="6">
        <f ca="1">IF(Table1[[#This Row],[Column1]]="Health",1,0)</f>
        <v>1</v>
      </c>
      <c r="AK76">
        <f ca="1">IF(Table1[[#This Row],[Column1]]="Construction",1,0)</f>
        <v>0</v>
      </c>
      <c r="AL76">
        <f ca="1">IF(Table1[[#This Row],[Column1]]="Technology",1,0)</f>
        <v>0</v>
      </c>
      <c r="AM76">
        <f ca="1">IF(Table1[[#This Row],[Column1]]="Education",1,0)</f>
        <v>0</v>
      </c>
      <c r="AN76">
        <f ca="1">IF(Table1[[#This Row],[Column1]]="Agriculture",1,0)</f>
        <v>0</v>
      </c>
      <c r="AO76">
        <f ca="1">IF(Table1[[#This Row],[Column1]]="Social Service", 1, 0)</f>
        <v>0</v>
      </c>
      <c r="AT76" s="5"/>
      <c r="AV76" s="17">
        <f t="shared" ca="1" si="3"/>
        <v>17347.625944990581</v>
      </c>
      <c r="AW76" s="5"/>
      <c r="AX76" s="6">
        <f ca="1">IF(Table1[[#This Row],[Value of Debts]]&gt;$AY$4,1,0)</f>
        <v>1</v>
      </c>
      <c r="AY76" s="20"/>
      <c r="AZ76" s="20"/>
      <c r="BA76" s="5"/>
      <c r="BB76" s="25">
        <f ca="1">Table1[[#This Row],[Mortage Left]]/Table1[[#This Row],[Value of House]]</f>
        <v>0.87208294954007559</v>
      </c>
      <c r="BC76" s="20">
        <f t="shared" ca="1" si="5"/>
        <v>0</v>
      </c>
      <c r="BD76" s="20"/>
      <c r="BE76" s="20"/>
      <c r="BF76" s="20"/>
      <c r="BG76" s="6">
        <f ca="1">IF(Table1[[#This Row],[County]]="Cumbria",Table1[[#This Row],[income]],0)</f>
        <v>0</v>
      </c>
      <c r="BH76" s="20">
        <f ca="1">IF(Table1[[#This Row],[County]]="Cheshire",Table1[[#This Row],[income]],0)</f>
        <v>0</v>
      </c>
      <c r="BI76" s="20">
        <f ca="1">IF(Table1[[#This Row],[County]]="Bristol",Table1[[#This Row],[income]],0)</f>
        <v>0</v>
      </c>
      <c r="BJ76" s="20">
        <f ca="1">IF(Table1[[#This Row],[County]]="Surrey",Table1[[#This Row],[income]],0)</f>
        <v>0</v>
      </c>
      <c r="BK76" s="20">
        <f ca="1">IF(Table1[[#This Row],[County]]="Norfolk",Table1[[#This Row],[income]],0)</f>
        <v>0</v>
      </c>
      <c r="BL76" s="20">
        <f ca="1">IF(Table1[[#This Row],[County]]="Lincolnshire",Table1[[#This Row],[income]],0)</f>
        <v>0</v>
      </c>
      <c r="BM76" s="20">
        <f ca="1">IF(Table1[[#This Row],[County]]="Somerset",Table1[[#This Row],[income]],0)</f>
        <v>0</v>
      </c>
      <c r="BN76" s="20">
        <f ca="1">IF(Table1[[#This Row],[County]]="Cambridgeshire",Table1[[#This Row],[income]],0)</f>
        <v>0</v>
      </c>
      <c r="BO76" s="20">
        <f ca="1">IF(Table1[[#This Row],[County]]="South Yorkshire",Table1[[#This Row],[income]],0)</f>
        <v>0</v>
      </c>
      <c r="BP76" s="20">
        <f ca="1">IF(Table1[[#This Row],[County]]="Greater London",Table1[[#This Row],[income]],0)</f>
        <v>0</v>
      </c>
      <c r="BQ76" s="20">
        <f ca="1">IF(Table1[[#This Row],[County]]="Hampshire",Table1[[#This Row],[income]],0)</f>
        <v>0</v>
      </c>
      <c r="BR76" s="20">
        <f ca="1">IF(Table1[[#This Row],[County]]="Gloucestershire",Table1[[#This Row],[income]],0)</f>
        <v>0</v>
      </c>
      <c r="BS76" s="20">
        <f ca="1">IF(Table1[[#This Row],[County]]="West Sussex",Table1[[#This Row],[income]],0)</f>
        <v>0</v>
      </c>
      <c r="BT76" s="20">
        <f ca="1">IF(Table1[[#This Row],[County]]="Devon",Table1[[#This Row],[income]],0)</f>
        <v>0</v>
      </c>
      <c r="BU76" s="20">
        <f ca="1">IF(Table1[[#This Row],[County]]="Berkshire",Table1[[#This Row],[income]],0)</f>
        <v>0</v>
      </c>
      <c r="BV76" s="20">
        <f ca="1">IF(Table1[[#This Row],[County]]="Staffordshire",Table1[[#This Row],[income]],0)</f>
        <v>0</v>
      </c>
      <c r="BW76" s="20">
        <f ca="1">IF(Table1[[#This Row],[County]]="Leicestershire",Table1[[#This Row],[income]],0)</f>
        <v>0</v>
      </c>
      <c r="BX76" s="20">
        <f ca="1">IF(Table1[[#This Row],[County]]="Cornwall",Table1[[#This Row],[income]],0)</f>
        <v>0</v>
      </c>
      <c r="BY76" s="20">
        <f ca="1">IF(Table1[[#This Row],[County]]="Isle of Wight",Table1[[#This Row],[income]],0)</f>
        <v>0</v>
      </c>
      <c r="BZ76" s="20">
        <f ca="1">IF(Table1[[#This Row],[County]]="Surrey",Table1[[#This Row],[income]],0)</f>
        <v>0</v>
      </c>
      <c r="CA76" s="20">
        <f ca="1">IF(Table1[[#This Row],[County]]="Derbyshire",Table1[[#This Row],[income]],0)</f>
        <v>0</v>
      </c>
      <c r="CB76" s="20">
        <f ca="1">IF(Table1[[#This Row],[County]]="City of London",Table1[[#This Row],[income]],0)</f>
        <v>0</v>
      </c>
      <c r="CC76" s="20">
        <f ca="1">IF(Table1[[#This Row],[County]]="Bedfordshire",Table1[[#This Row],[income]],0)</f>
        <v>0</v>
      </c>
      <c r="CD76" s="20">
        <f ca="1">IF(Table1[[#This Row],[County]]="County Durham",Table1[[#This Row],[income]],0)</f>
        <v>0</v>
      </c>
      <c r="CE76" s="20">
        <f ca="1">IF(Table1[[#This Row],[County]]="East Riding of Yorkshire",Table1[[#This Row],[income]],0)</f>
        <v>0</v>
      </c>
      <c r="CF76" s="20">
        <f ca="1">IF(Table1[[#This Row],[County]]="West Yorkshire",Table1[[#This Row],[income]],0)</f>
        <v>0</v>
      </c>
      <c r="CG76" s="20">
        <f ca="1">IF(Table1[[#This Row],[County]]="Essex",Table1[[#This Row],[income]],0)</f>
        <v>0</v>
      </c>
      <c r="CH76" s="20">
        <f ca="1">IF(Table1[[#This Row],[County]]="East Sussex",Table1[[#This Row],[income]],0)</f>
        <v>0</v>
      </c>
      <c r="CI76" s="20">
        <f ca="1">IF(Table1[[#This Row],[County]]="Greater Manchester",Table1[[#This Row],[income]],0)</f>
        <v>0</v>
      </c>
      <c r="CJ76" s="20">
        <f ca="1">IF(Table1[[#This Row],[County]]="Hertfordshire",Table1[[#This Row],[income]],0)</f>
        <v>0</v>
      </c>
      <c r="CK76" s="20">
        <f ca="1">IF(Table1[[#This Row],[County]]="Herefordshire",Table1[[#This Row],[income]],0)</f>
        <v>0</v>
      </c>
      <c r="CL76" s="20">
        <f ca="1">IF(Table1[[#This Row],[County]]="Lancashire",Table1[[#This Row],[income]],0)</f>
        <v>0</v>
      </c>
      <c r="CM76" s="20">
        <f ca="1">IF(Table1[[#This Row],[County]]="Merseyside",Table1[[#This Row],[income]],0)</f>
        <v>0</v>
      </c>
      <c r="CN76" s="20">
        <f ca="1">IF(Table1[[#This Row],[County]]="Northamptonshire",Table1[[#This Row],[income]],0)</f>
        <v>0</v>
      </c>
      <c r="CO76" s="20">
        <f ca="1">IF(Table1[[#This Row],[County]]="Northumberland",Table1[[#This Row],[income]],0)</f>
        <v>0</v>
      </c>
      <c r="CP76" s="20">
        <f ca="1">IF(Table1[[#This Row],[County]]="Wiltshire",Table1[[#This Row],[income]],0)</f>
        <v>0</v>
      </c>
      <c r="CQ76" s="20">
        <f ca="1">IF(Table1[[#This Row],[County]]="West Midlands",Table1[[#This Row],[income]],0)</f>
        <v>0</v>
      </c>
      <c r="CR76" s="20">
        <f ca="1">IF(Table1[[#This Row],[County]]="Warwickshire",Table1[[#This Row],[income]],0)</f>
        <v>0</v>
      </c>
      <c r="CS76" s="20">
        <f ca="1">IF(Table1[[#This Row],[County]]="Tyne and Wear",Table1[[#This Row],[income]],0)</f>
        <v>0</v>
      </c>
      <c r="CT76" s="20">
        <f ca="1">IF(Table1[[#This Row],[County]]="Worcestershire",Table1[[#This Row],[income]],0)</f>
        <v>0</v>
      </c>
      <c r="CU76" s="20">
        <f ca="1">IF(Table1[[#This Row],[County]]="Rutland",Table1[[#This Row],[income]],0)</f>
        <v>0</v>
      </c>
      <c r="CV76" s="20">
        <f ca="1">IF(Table1[[#This Row],[County]]="Shropshire",Table1[[#This Row],[income]],0)</f>
        <v>71639</v>
      </c>
      <c r="CW76" s="20">
        <f ca="1">IF(Table1[[#This Row],[County]]="Dorset",Table1[[#This Row],[income]],0)</f>
        <v>0</v>
      </c>
      <c r="CX76" s="20">
        <f ca="1">IF(Table1[[#This Row],[County]]="Buckinghamshire",Table1[[#This Row],[income]],0)</f>
        <v>0</v>
      </c>
      <c r="CY76" s="20">
        <f ca="1">IF(Table1[[#This Row],[County]]="Suffolk",Table1[[#This Row],[income]],0)</f>
        <v>0</v>
      </c>
      <c r="CZ76" s="20">
        <f ca="1">IF(Table1[[#This Row],[County]]="North Yorkshire",Table1[[#This Row],[income]],0)</f>
        <v>0</v>
      </c>
      <c r="DA76" s="20">
        <f ca="1">IF(Table1[[#This Row],[County]]="Kent",Table1[[#This Row],[income]],0)</f>
        <v>0</v>
      </c>
      <c r="DB76" s="5">
        <f ca="1">IF(Table1[[#This Row],[County]]="Derbyshire",Table1[[#This Row],[income]],0)</f>
        <v>0</v>
      </c>
      <c r="DD76" s="6">
        <f ca="1">IF(Table1[[#This Row],[Column1]]="Health",Table1[[#This Row],[income]],0)</f>
        <v>71639</v>
      </c>
      <c r="DE76" s="20">
        <f ca="1">IF(Table1[[#This Row],[Column1]]="Agriculture",Table1[[#This Row],[income]],0)</f>
        <v>0</v>
      </c>
      <c r="DF76" s="20">
        <f ca="1">IF(Table1[[#This Row],[Column1]]="Technology",Table1[[#This Row],[income]],0)</f>
        <v>0</v>
      </c>
      <c r="DG76" s="20">
        <f ca="1">IF(Table1[[#This Row],[Column1]]="Social Service",Table1[[#This Row],[income]],0)</f>
        <v>0</v>
      </c>
      <c r="DH76" s="20">
        <f ca="1">IF(Table1[[#This Row],[Column1]]="Education",Table1[[#This Row],[income]],0)</f>
        <v>0</v>
      </c>
      <c r="DI76" s="5">
        <f ca="1">IF(Table1[[#This Row],[Column1]]="Construction",Table1[[#This Row],[income]],0)</f>
        <v>0</v>
      </c>
      <c r="DK76" s="6">
        <f ca="1">IF(Table1[[#This Row],[Value of Debts]]&gt;Table1[[#This Row],[income]],1,0)</f>
        <v>1</v>
      </c>
      <c r="DL76" s="20"/>
      <c r="DM76" s="20"/>
      <c r="DN76" s="5"/>
      <c r="DP76" s="6">
        <f ca="1">IF(Table1[[#This Row],[Net Worth (£)]]&gt;$DS$5,C76,0)</f>
        <v>0</v>
      </c>
      <c r="DQ76" s="20"/>
      <c r="DR76" s="20"/>
      <c r="DS76" s="5"/>
    </row>
    <row r="77" spans="1:123" x14ac:dyDescent="0.2">
      <c r="A77">
        <f t="shared" ca="1" si="4"/>
        <v>1</v>
      </c>
      <c r="B77" s="1" t="str">
        <f ca="1">IF(A77=1, "men", "women")</f>
        <v>men</v>
      </c>
      <c r="C77" s="1">
        <f ca="1">RANDBETWEEN(25,50)</f>
        <v>37</v>
      </c>
      <c r="D77">
        <f ca="1">RANDBETWEEN(1,6)</f>
        <v>6</v>
      </c>
      <c r="E77" t="str">
        <f ca="1">VLOOKUP(D77,$W$5:$X$10,2)</f>
        <v>Agriculture</v>
      </c>
      <c r="F77">
        <f ca="1">RANDBETWEEN(1,5)</f>
        <v>4</v>
      </c>
      <c r="G77" t="str">
        <f ca="1">VLOOKUP(F77,$Y$5:$Z$9,2)</f>
        <v xml:space="preserve">Technical </v>
      </c>
      <c r="H77">
        <f ca="1">RANDBETWEEN(0,4)</f>
        <v>3</v>
      </c>
      <c r="I77">
        <f ca="1">RANDBETWEEN(1,3)</f>
        <v>3</v>
      </c>
      <c r="J77">
        <f ca="1">RANDBETWEEN(30000,100000)</f>
        <v>99179</v>
      </c>
      <c r="K77">
        <f ca="1">RANDBETWEEN(1,48)</f>
        <v>17</v>
      </c>
      <c r="L77" t="str">
        <f ca="1">VLOOKUP(K77,$AA$5:$AB$52,2)</f>
        <v>Gloucestershire</v>
      </c>
      <c r="M77">
        <f ca="1">J77*(RANDBETWEEN(2,5))</f>
        <v>495895</v>
      </c>
      <c r="N77">
        <f ca="1">RAND()*M77</f>
        <v>137282.35451075534</v>
      </c>
      <c r="O77">
        <f ca="1">I77*RAND()*J77</f>
        <v>52042.87783497174</v>
      </c>
      <c r="P77">
        <f ca="1">RANDBETWEEN(0,O77)</f>
        <v>39108</v>
      </c>
      <c r="Q77">
        <f ca="1">RAND()*J77*2</f>
        <v>100733.11618552184</v>
      </c>
      <c r="R77">
        <f ca="1">RAND()*J77*1.5</f>
        <v>13722.552739001778</v>
      </c>
      <c r="S77">
        <f ca="1">J77+R77+O77</f>
        <v>164944.43057397351</v>
      </c>
      <c r="T77">
        <f ca="1">N77+P77+Q77</f>
        <v>277123.47069627716</v>
      </c>
      <c r="U77">
        <f ca="1">S77-T77</f>
        <v>-112179.04012230365</v>
      </c>
      <c r="AC77" s="6">
        <f ca="1">IF(Table1[[#This Row],[gender]]="men",1,0)</f>
        <v>1</v>
      </c>
      <c r="AD77">
        <f ca="1">IF(Table1[[#This Row],[gender]]="women",1,0)</f>
        <v>0</v>
      </c>
      <c r="AH77" s="5"/>
      <c r="AJ77" s="6">
        <f ca="1">IF(Table1[[#This Row],[Column1]]="Health",1,0)</f>
        <v>0</v>
      </c>
      <c r="AK77">
        <f ca="1">IF(Table1[[#This Row],[Column1]]="Construction",1,0)</f>
        <v>0</v>
      </c>
      <c r="AL77">
        <f ca="1">IF(Table1[[#This Row],[Column1]]="Technology",1,0)</f>
        <v>0</v>
      </c>
      <c r="AM77">
        <f ca="1">IF(Table1[[#This Row],[Column1]]="Education",1,0)</f>
        <v>0</v>
      </c>
      <c r="AN77">
        <f ca="1">IF(Table1[[#This Row],[Column1]]="Agriculture",1,0)</f>
        <v>1</v>
      </c>
      <c r="AO77">
        <f ca="1">IF(Table1[[#This Row],[Column1]]="Social Service", 1, 0)</f>
        <v>0</v>
      </c>
      <c r="AT77" s="5"/>
      <c r="AV77" s="17">
        <f t="shared" ca="1" si="3"/>
        <v>9250.0856228559514</v>
      </c>
      <c r="AW77" s="5"/>
      <c r="AX77" s="6">
        <f ca="1">IF(Table1[[#This Row],[Value of Debts]]&gt;$AY$4,1,0)</f>
        <v>1</v>
      </c>
      <c r="AY77" s="20"/>
      <c r="AZ77" s="20"/>
      <c r="BA77" s="5"/>
      <c r="BB77" s="25">
        <f ca="1">Table1[[#This Row],[Mortage Left]]/Table1[[#This Row],[Value of House]]</f>
        <v>0.27683754526816229</v>
      </c>
      <c r="BC77" s="20">
        <f t="shared" ca="1" si="5"/>
        <v>1</v>
      </c>
      <c r="BD77" s="20"/>
      <c r="BE77" s="20"/>
      <c r="BF77" s="20"/>
      <c r="BG77" s="6">
        <f ca="1">IF(Table1[[#This Row],[County]]="Cumbria",Table1[[#This Row],[income]],0)</f>
        <v>0</v>
      </c>
      <c r="BH77" s="20">
        <f ca="1">IF(Table1[[#This Row],[County]]="Cheshire",Table1[[#This Row],[income]],0)</f>
        <v>0</v>
      </c>
      <c r="BI77" s="20">
        <f ca="1">IF(Table1[[#This Row],[County]]="Bristol",Table1[[#This Row],[income]],0)</f>
        <v>0</v>
      </c>
      <c r="BJ77" s="20">
        <f ca="1">IF(Table1[[#This Row],[County]]="Surrey",Table1[[#This Row],[income]],0)</f>
        <v>0</v>
      </c>
      <c r="BK77" s="20">
        <f ca="1">IF(Table1[[#This Row],[County]]="Norfolk",Table1[[#This Row],[income]],0)</f>
        <v>0</v>
      </c>
      <c r="BL77" s="20">
        <f ca="1">IF(Table1[[#This Row],[County]]="Lincolnshire",Table1[[#This Row],[income]],0)</f>
        <v>0</v>
      </c>
      <c r="BM77" s="20">
        <f ca="1">IF(Table1[[#This Row],[County]]="Somerset",Table1[[#This Row],[income]],0)</f>
        <v>0</v>
      </c>
      <c r="BN77" s="20">
        <f ca="1">IF(Table1[[#This Row],[County]]="Cambridgeshire",Table1[[#This Row],[income]],0)</f>
        <v>0</v>
      </c>
      <c r="BO77" s="20">
        <f ca="1">IF(Table1[[#This Row],[County]]="South Yorkshire",Table1[[#This Row],[income]],0)</f>
        <v>0</v>
      </c>
      <c r="BP77" s="20">
        <f ca="1">IF(Table1[[#This Row],[County]]="Greater London",Table1[[#This Row],[income]],0)</f>
        <v>0</v>
      </c>
      <c r="BQ77" s="20">
        <f ca="1">IF(Table1[[#This Row],[County]]="Hampshire",Table1[[#This Row],[income]],0)</f>
        <v>0</v>
      </c>
      <c r="BR77" s="20">
        <f ca="1">IF(Table1[[#This Row],[County]]="Gloucestershire",Table1[[#This Row],[income]],0)</f>
        <v>99179</v>
      </c>
      <c r="BS77" s="20">
        <f ca="1">IF(Table1[[#This Row],[County]]="West Sussex",Table1[[#This Row],[income]],0)</f>
        <v>0</v>
      </c>
      <c r="BT77" s="20">
        <f ca="1">IF(Table1[[#This Row],[County]]="Devon",Table1[[#This Row],[income]],0)</f>
        <v>0</v>
      </c>
      <c r="BU77" s="20">
        <f ca="1">IF(Table1[[#This Row],[County]]="Berkshire",Table1[[#This Row],[income]],0)</f>
        <v>0</v>
      </c>
      <c r="BV77" s="20">
        <f ca="1">IF(Table1[[#This Row],[County]]="Staffordshire",Table1[[#This Row],[income]],0)</f>
        <v>0</v>
      </c>
      <c r="BW77" s="20">
        <f ca="1">IF(Table1[[#This Row],[County]]="Leicestershire",Table1[[#This Row],[income]],0)</f>
        <v>0</v>
      </c>
      <c r="BX77" s="20">
        <f ca="1">IF(Table1[[#This Row],[County]]="Cornwall",Table1[[#This Row],[income]],0)</f>
        <v>0</v>
      </c>
      <c r="BY77" s="20">
        <f ca="1">IF(Table1[[#This Row],[County]]="Isle of Wight",Table1[[#This Row],[income]],0)</f>
        <v>0</v>
      </c>
      <c r="BZ77" s="20">
        <f ca="1">IF(Table1[[#This Row],[County]]="Surrey",Table1[[#This Row],[income]],0)</f>
        <v>0</v>
      </c>
      <c r="CA77" s="20">
        <f ca="1">IF(Table1[[#This Row],[County]]="Derbyshire",Table1[[#This Row],[income]],0)</f>
        <v>0</v>
      </c>
      <c r="CB77" s="20">
        <f ca="1">IF(Table1[[#This Row],[County]]="City of London",Table1[[#This Row],[income]],0)</f>
        <v>0</v>
      </c>
      <c r="CC77" s="20">
        <f ca="1">IF(Table1[[#This Row],[County]]="Bedfordshire",Table1[[#This Row],[income]],0)</f>
        <v>0</v>
      </c>
      <c r="CD77" s="20">
        <f ca="1">IF(Table1[[#This Row],[County]]="County Durham",Table1[[#This Row],[income]],0)</f>
        <v>0</v>
      </c>
      <c r="CE77" s="20">
        <f ca="1">IF(Table1[[#This Row],[County]]="East Riding of Yorkshire",Table1[[#This Row],[income]],0)</f>
        <v>0</v>
      </c>
      <c r="CF77" s="20">
        <f ca="1">IF(Table1[[#This Row],[County]]="West Yorkshire",Table1[[#This Row],[income]],0)</f>
        <v>0</v>
      </c>
      <c r="CG77" s="20">
        <f ca="1">IF(Table1[[#This Row],[County]]="Essex",Table1[[#This Row],[income]],0)</f>
        <v>0</v>
      </c>
      <c r="CH77" s="20">
        <f ca="1">IF(Table1[[#This Row],[County]]="East Sussex",Table1[[#This Row],[income]],0)</f>
        <v>0</v>
      </c>
      <c r="CI77" s="20">
        <f ca="1">IF(Table1[[#This Row],[County]]="Greater Manchester",Table1[[#This Row],[income]],0)</f>
        <v>0</v>
      </c>
      <c r="CJ77" s="20">
        <f ca="1">IF(Table1[[#This Row],[County]]="Hertfordshire",Table1[[#This Row],[income]],0)</f>
        <v>0</v>
      </c>
      <c r="CK77" s="20">
        <f ca="1">IF(Table1[[#This Row],[County]]="Herefordshire",Table1[[#This Row],[income]],0)</f>
        <v>0</v>
      </c>
      <c r="CL77" s="20">
        <f ca="1">IF(Table1[[#This Row],[County]]="Lancashire",Table1[[#This Row],[income]],0)</f>
        <v>0</v>
      </c>
      <c r="CM77" s="20">
        <f ca="1">IF(Table1[[#This Row],[County]]="Merseyside",Table1[[#This Row],[income]],0)</f>
        <v>0</v>
      </c>
      <c r="CN77" s="20">
        <f ca="1">IF(Table1[[#This Row],[County]]="Northamptonshire",Table1[[#This Row],[income]],0)</f>
        <v>0</v>
      </c>
      <c r="CO77" s="20">
        <f ca="1">IF(Table1[[#This Row],[County]]="Northumberland",Table1[[#This Row],[income]],0)</f>
        <v>0</v>
      </c>
      <c r="CP77" s="20">
        <f ca="1">IF(Table1[[#This Row],[County]]="Wiltshire",Table1[[#This Row],[income]],0)</f>
        <v>0</v>
      </c>
      <c r="CQ77" s="20">
        <f ca="1">IF(Table1[[#This Row],[County]]="West Midlands",Table1[[#This Row],[income]],0)</f>
        <v>0</v>
      </c>
      <c r="CR77" s="20">
        <f ca="1">IF(Table1[[#This Row],[County]]="Warwickshire",Table1[[#This Row],[income]],0)</f>
        <v>0</v>
      </c>
      <c r="CS77" s="20">
        <f ca="1">IF(Table1[[#This Row],[County]]="Tyne and Wear",Table1[[#This Row],[income]],0)</f>
        <v>0</v>
      </c>
      <c r="CT77" s="20">
        <f ca="1">IF(Table1[[#This Row],[County]]="Worcestershire",Table1[[#This Row],[income]],0)</f>
        <v>0</v>
      </c>
      <c r="CU77" s="20">
        <f ca="1">IF(Table1[[#This Row],[County]]="Rutland",Table1[[#This Row],[income]],0)</f>
        <v>0</v>
      </c>
      <c r="CV77" s="20">
        <f ca="1">IF(Table1[[#This Row],[County]]="Shropshire",Table1[[#This Row],[income]],0)</f>
        <v>0</v>
      </c>
      <c r="CW77" s="20">
        <f ca="1">IF(Table1[[#This Row],[County]]="Dorset",Table1[[#This Row],[income]],0)</f>
        <v>0</v>
      </c>
      <c r="CX77" s="20">
        <f ca="1">IF(Table1[[#This Row],[County]]="Buckinghamshire",Table1[[#This Row],[income]],0)</f>
        <v>0</v>
      </c>
      <c r="CY77" s="20">
        <f ca="1">IF(Table1[[#This Row],[County]]="Suffolk",Table1[[#This Row],[income]],0)</f>
        <v>0</v>
      </c>
      <c r="CZ77" s="20">
        <f ca="1">IF(Table1[[#This Row],[County]]="North Yorkshire",Table1[[#This Row],[income]],0)</f>
        <v>0</v>
      </c>
      <c r="DA77" s="20">
        <f ca="1">IF(Table1[[#This Row],[County]]="Kent",Table1[[#This Row],[income]],0)</f>
        <v>0</v>
      </c>
      <c r="DB77" s="5">
        <f ca="1">IF(Table1[[#This Row],[County]]="Derbyshire",Table1[[#This Row],[income]],0)</f>
        <v>0</v>
      </c>
      <c r="DD77" s="6">
        <f ca="1">IF(Table1[[#This Row],[Column1]]="Health",Table1[[#This Row],[income]],0)</f>
        <v>0</v>
      </c>
      <c r="DE77" s="20">
        <f ca="1">IF(Table1[[#This Row],[Column1]]="Agriculture",Table1[[#This Row],[income]],0)</f>
        <v>99179</v>
      </c>
      <c r="DF77" s="20">
        <f ca="1">IF(Table1[[#This Row],[Column1]]="Technology",Table1[[#This Row],[income]],0)</f>
        <v>0</v>
      </c>
      <c r="DG77" s="20">
        <f ca="1">IF(Table1[[#This Row],[Column1]]="Social Service",Table1[[#This Row],[income]],0)</f>
        <v>0</v>
      </c>
      <c r="DH77" s="20">
        <f ca="1">IF(Table1[[#This Row],[Column1]]="Education",Table1[[#This Row],[income]],0)</f>
        <v>0</v>
      </c>
      <c r="DI77" s="5">
        <f ca="1">IF(Table1[[#This Row],[Column1]]="Construction",Table1[[#This Row],[income]],0)</f>
        <v>0</v>
      </c>
      <c r="DK77" s="6">
        <f ca="1">IF(Table1[[#This Row],[Value of Debts]]&gt;Table1[[#This Row],[income]],1,0)</f>
        <v>1</v>
      </c>
      <c r="DL77" s="20"/>
      <c r="DM77" s="20"/>
      <c r="DN77" s="5"/>
      <c r="DP77" s="6">
        <f ca="1">IF(Table1[[#This Row],[Net Worth (£)]]&gt;$DS$5,C77,0)</f>
        <v>0</v>
      </c>
      <c r="DQ77" s="20"/>
      <c r="DR77" s="20"/>
      <c r="DS77" s="5"/>
    </row>
    <row r="78" spans="1:123" x14ac:dyDescent="0.2">
      <c r="A78">
        <f t="shared" ca="1" si="4"/>
        <v>1</v>
      </c>
      <c r="B78" s="1" t="str">
        <f ca="1">IF(A78=1, "men", "women")</f>
        <v>men</v>
      </c>
      <c r="C78" s="1">
        <f ca="1">RANDBETWEEN(25,50)</f>
        <v>41</v>
      </c>
      <c r="D78">
        <f ca="1">RANDBETWEEN(1,6)</f>
        <v>4</v>
      </c>
      <c r="E78" t="str">
        <f ca="1">VLOOKUP(D78,$W$5:$X$10,2)</f>
        <v>Technology</v>
      </c>
      <c r="F78">
        <f ca="1">RANDBETWEEN(1,5)</f>
        <v>1</v>
      </c>
      <c r="G78" t="str">
        <f ca="1">VLOOKUP(F78,$Y$5:$Z$9,2)</f>
        <v>High School</v>
      </c>
      <c r="H78">
        <f ca="1">RANDBETWEEN(0,4)</f>
        <v>0</v>
      </c>
      <c r="I78">
        <f ca="1">RANDBETWEEN(1,3)</f>
        <v>2</v>
      </c>
      <c r="J78">
        <f ca="1">RANDBETWEEN(30000,100000)</f>
        <v>44418</v>
      </c>
      <c r="K78">
        <f ca="1">RANDBETWEEN(1,48)</f>
        <v>7</v>
      </c>
      <c r="L78" t="str">
        <f ca="1">VLOOKUP(K78,$AA$5:$AB$52,2)</f>
        <v>City of London</v>
      </c>
      <c r="M78">
        <f ca="1">J78*(RANDBETWEEN(2,5))</f>
        <v>177672</v>
      </c>
      <c r="N78">
        <f ca="1">RAND()*M78</f>
        <v>95994.890308852904</v>
      </c>
      <c r="O78">
        <f ca="1">I78*RAND()*J78</f>
        <v>18500.171245711903</v>
      </c>
      <c r="P78">
        <f ca="1">RANDBETWEEN(0,O78)</f>
        <v>1971</v>
      </c>
      <c r="Q78">
        <f ca="1">RAND()*J78*2</f>
        <v>78669.994679735959</v>
      </c>
      <c r="R78">
        <f ca="1">RAND()*J78*1.5</f>
        <v>58956.272506366688</v>
      </c>
      <c r="S78">
        <f ca="1">J78+R78+O78</f>
        <v>121874.44375207859</v>
      </c>
      <c r="T78">
        <f ca="1">N78+P78+Q78</f>
        <v>176635.88498858886</v>
      </c>
      <c r="U78">
        <f ca="1">S78-T78</f>
        <v>-54761.441236510276</v>
      </c>
      <c r="AC78" s="6">
        <f ca="1">IF(Table1[[#This Row],[gender]]="men",1,0)</f>
        <v>1</v>
      </c>
      <c r="AD78">
        <f ca="1">IF(Table1[[#This Row],[gender]]="women",1,0)</f>
        <v>0</v>
      </c>
      <c r="AH78" s="5"/>
      <c r="AJ78" s="6">
        <f ca="1">IF(Table1[[#This Row],[Column1]]="Health",1,0)</f>
        <v>0</v>
      </c>
      <c r="AK78">
        <f ca="1">IF(Table1[[#This Row],[Column1]]="Construction",1,0)</f>
        <v>0</v>
      </c>
      <c r="AL78">
        <f ca="1">IF(Table1[[#This Row],[Column1]]="Technology",1,0)</f>
        <v>1</v>
      </c>
      <c r="AM78">
        <f ca="1">IF(Table1[[#This Row],[Column1]]="Education",1,0)</f>
        <v>0</v>
      </c>
      <c r="AN78">
        <f ca="1">IF(Table1[[#This Row],[Column1]]="Agriculture",1,0)</f>
        <v>0</v>
      </c>
      <c r="AO78">
        <f ca="1">IF(Table1[[#This Row],[Column1]]="Social Service", 1, 0)</f>
        <v>0</v>
      </c>
      <c r="AT78" s="5"/>
      <c r="AV78" s="17">
        <f t="shared" ca="1" si="3"/>
        <v>25194.191347467087</v>
      </c>
      <c r="AW78" s="5"/>
      <c r="AX78" s="6">
        <f ca="1">IF(Table1[[#This Row],[Value of Debts]]&gt;$AY$4,1,0)</f>
        <v>1</v>
      </c>
      <c r="AY78" s="20"/>
      <c r="AZ78" s="20"/>
      <c r="BA78" s="5"/>
      <c r="BB78" s="25">
        <f ca="1">Table1[[#This Row],[Mortage Left]]/Table1[[#This Row],[Value of House]]</f>
        <v>0.5402927321629345</v>
      </c>
      <c r="BC78" s="20">
        <f t="shared" ca="1" si="5"/>
        <v>0</v>
      </c>
      <c r="BD78" s="20"/>
      <c r="BE78" s="20"/>
      <c r="BF78" s="20"/>
      <c r="BG78" s="6">
        <f ca="1">IF(Table1[[#This Row],[County]]="Cumbria",Table1[[#This Row],[income]],0)</f>
        <v>0</v>
      </c>
      <c r="BH78" s="20">
        <f ca="1">IF(Table1[[#This Row],[County]]="Cheshire",Table1[[#This Row],[income]],0)</f>
        <v>0</v>
      </c>
      <c r="BI78" s="20">
        <f ca="1">IF(Table1[[#This Row],[County]]="Bristol",Table1[[#This Row],[income]],0)</f>
        <v>0</v>
      </c>
      <c r="BJ78" s="20">
        <f ca="1">IF(Table1[[#This Row],[County]]="Surrey",Table1[[#This Row],[income]],0)</f>
        <v>0</v>
      </c>
      <c r="BK78" s="20">
        <f ca="1">IF(Table1[[#This Row],[County]]="Norfolk",Table1[[#This Row],[income]],0)</f>
        <v>0</v>
      </c>
      <c r="BL78" s="20">
        <f ca="1">IF(Table1[[#This Row],[County]]="Lincolnshire",Table1[[#This Row],[income]],0)</f>
        <v>0</v>
      </c>
      <c r="BM78" s="20">
        <f ca="1">IF(Table1[[#This Row],[County]]="Somerset",Table1[[#This Row],[income]],0)</f>
        <v>0</v>
      </c>
      <c r="BN78" s="20">
        <f ca="1">IF(Table1[[#This Row],[County]]="Cambridgeshire",Table1[[#This Row],[income]],0)</f>
        <v>0</v>
      </c>
      <c r="BO78" s="20">
        <f ca="1">IF(Table1[[#This Row],[County]]="South Yorkshire",Table1[[#This Row],[income]],0)</f>
        <v>0</v>
      </c>
      <c r="BP78" s="20">
        <f ca="1">IF(Table1[[#This Row],[County]]="Greater London",Table1[[#This Row],[income]],0)</f>
        <v>0</v>
      </c>
      <c r="BQ78" s="20">
        <f ca="1">IF(Table1[[#This Row],[County]]="Hampshire",Table1[[#This Row],[income]],0)</f>
        <v>0</v>
      </c>
      <c r="BR78" s="20">
        <f ca="1">IF(Table1[[#This Row],[County]]="Gloucestershire",Table1[[#This Row],[income]],0)</f>
        <v>0</v>
      </c>
      <c r="BS78" s="20">
        <f ca="1">IF(Table1[[#This Row],[County]]="West Sussex",Table1[[#This Row],[income]],0)</f>
        <v>0</v>
      </c>
      <c r="BT78" s="20">
        <f ca="1">IF(Table1[[#This Row],[County]]="Devon",Table1[[#This Row],[income]],0)</f>
        <v>0</v>
      </c>
      <c r="BU78" s="20">
        <f ca="1">IF(Table1[[#This Row],[County]]="Berkshire",Table1[[#This Row],[income]],0)</f>
        <v>0</v>
      </c>
      <c r="BV78" s="20">
        <f ca="1">IF(Table1[[#This Row],[County]]="Staffordshire",Table1[[#This Row],[income]],0)</f>
        <v>0</v>
      </c>
      <c r="BW78" s="20">
        <f ca="1">IF(Table1[[#This Row],[County]]="Leicestershire",Table1[[#This Row],[income]],0)</f>
        <v>0</v>
      </c>
      <c r="BX78" s="20">
        <f ca="1">IF(Table1[[#This Row],[County]]="Cornwall",Table1[[#This Row],[income]],0)</f>
        <v>0</v>
      </c>
      <c r="BY78" s="20">
        <f ca="1">IF(Table1[[#This Row],[County]]="Isle of Wight",Table1[[#This Row],[income]],0)</f>
        <v>0</v>
      </c>
      <c r="BZ78" s="20">
        <f ca="1">IF(Table1[[#This Row],[County]]="Surrey",Table1[[#This Row],[income]],0)</f>
        <v>0</v>
      </c>
      <c r="CA78" s="20">
        <f ca="1">IF(Table1[[#This Row],[County]]="Derbyshire",Table1[[#This Row],[income]],0)</f>
        <v>0</v>
      </c>
      <c r="CB78" s="20">
        <f ca="1">IF(Table1[[#This Row],[County]]="City of London",Table1[[#This Row],[income]],0)</f>
        <v>44418</v>
      </c>
      <c r="CC78" s="20">
        <f ca="1">IF(Table1[[#This Row],[County]]="Bedfordshire",Table1[[#This Row],[income]],0)</f>
        <v>0</v>
      </c>
      <c r="CD78" s="20">
        <f ca="1">IF(Table1[[#This Row],[County]]="County Durham",Table1[[#This Row],[income]],0)</f>
        <v>0</v>
      </c>
      <c r="CE78" s="20">
        <f ca="1">IF(Table1[[#This Row],[County]]="East Riding of Yorkshire",Table1[[#This Row],[income]],0)</f>
        <v>0</v>
      </c>
      <c r="CF78" s="20">
        <f ca="1">IF(Table1[[#This Row],[County]]="West Yorkshire",Table1[[#This Row],[income]],0)</f>
        <v>0</v>
      </c>
      <c r="CG78" s="20">
        <f ca="1">IF(Table1[[#This Row],[County]]="Essex",Table1[[#This Row],[income]],0)</f>
        <v>0</v>
      </c>
      <c r="CH78" s="20">
        <f ca="1">IF(Table1[[#This Row],[County]]="East Sussex",Table1[[#This Row],[income]],0)</f>
        <v>0</v>
      </c>
      <c r="CI78" s="20">
        <f ca="1">IF(Table1[[#This Row],[County]]="Greater Manchester",Table1[[#This Row],[income]],0)</f>
        <v>0</v>
      </c>
      <c r="CJ78" s="20">
        <f ca="1">IF(Table1[[#This Row],[County]]="Hertfordshire",Table1[[#This Row],[income]],0)</f>
        <v>0</v>
      </c>
      <c r="CK78" s="20">
        <f ca="1">IF(Table1[[#This Row],[County]]="Herefordshire",Table1[[#This Row],[income]],0)</f>
        <v>0</v>
      </c>
      <c r="CL78" s="20">
        <f ca="1">IF(Table1[[#This Row],[County]]="Lancashire",Table1[[#This Row],[income]],0)</f>
        <v>0</v>
      </c>
      <c r="CM78" s="20">
        <f ca="1">IF(Table1[[#This Row],[County]]="Merseyside",Table1[[#This Row],[income]],0)</f>
        <v>0</v>
      </c>
      <c r="CN78" s="20">
        <f ca="1">IF(Table1[[#This Row],[County]]="Northamptonshire",Table1[[#This Row],[income]],0)</f>
        <v>0</v>
      </c>
      <c r="CO78" s="20">
        <f ca="1">IF(Table1[[#This Row],[County]]="Northumberland",Table1[[#This Row],[income]],0)</f>
        <v>0</v>
      </c>
      <c r="CP78" s="20">
        <f ca="1">IF(Table1[[#This Row],[County]]="Wiltshire",Table1[[#This Row],[income]],0)</f>
        <v>0</v>
      </c>
      <c r="CQ78" s="20">
        <f ca="1">IF(Table1[[#This Row],[County]]="West Midlands",Table1[[#This Row],[income]],0)</f>
        <v>0</v>
      </c>
      <c r="CR78" s="20">
        <f ca="1">IF(Table1[[#This Row],[County]]="Warwickshire",Table1[[#This Row],[income]],0)</f>
        <v>0</v>
      </c>
      <c r="CS78" s="20">
        <f ca="1">IF(Table1[[#This Row],[County]]="Tyne and Wear",Table1[[#This Row],[income]],0)</f>
        <v>0</v>
      </c>
      <c r="CT78" s="20">
        <f ca="1">IF(Table1[[#This Row],[County]]="Worcestershire",Table1[[#This Row],[income]],0)</f>
        <v>0</v>
      </c>
      <c r="CU78" s="20">
        <f ca="1">IF(Table1[[#This Row],[County]]="Rutland",Table1[[#This Row],[income]],0)</f>
        <v>0</v>
      </c>
      <c r="CV78" s="20">
        <f ca="1">IF(Table1[[#This Row],[County]]="Shropshire",Table1[[#This Row],[income]],0)</f>
        <v>0</v>
      </c>
      <c r="CW78" s="20">
        <f ca="1">IF(Table1[[#This Row],[County]]="Dorset",Table1[[#This Row],[income]],0)</f>
        <v>0</v>
      </c>
      <c r="CX78" s="20">
        <f ca="1">IF(Table1[[#This Row],[County]]="Buckinghamshire",Table1[[#This Row],[income]],0)</f>
        <v>0</v>
      </c>
      <c r="CY78" s="20">
        <f ca="1">IF(Table1[[#This Row],[County]]="Suffolk",Table1[[#This Row],[income]],0)</f>
        <v>0</v>
      </c>
      <c r="CZ78" s="20">
        <f ca="1">IF(Table1[[#This Row],[County]]="North Yorkshire",Table1[[#This Row],[income]],0)</f>
        <v>0</v>
      </c>
      <c r="DA78" s="20">
        <f ca="1">IF(Table1[[#This Row],[County]]="Kent",Table1[[#This Row],[income]],0)</f>
        <v>0</v>
      </c>
      <c r="DB78" s="5">
        <f ca="1">IF(Table1[[#This Row],[County]]="Derbyshire",Table1[[#This Row],[income]],0)</f>
        <v>0</v>
      </c>
      <c r="DD78" s="6">
        <f ca="1">IF(Table1[[#This Row],[Column1]]="Health",Table1[[#This Row],[income]],0)</f>
        <v>0</v>
      </c>
      <c r="DE78" s="20">
        <f ca="1">IF(Table1[[#This Row],[Column1]]="Agriculture",Table1[[#This Row],[income]],0)</f>
        <v>0</v>
      </c>
      <c r="DF78" s="20">
        <f ca="1">IF(Table1[[#This Row],[Column1]]="Technology",Table1[[#This Row],[income]],0)</f>
        <v>44418</v>
      </c>
      <c r="DG78" s="20">
        <f ca="1">IF(Table1[[#This Row],[Column1]]="Social Service",Table1[[#This Row],[income]],0)</f>
        <v>0</v>
      </c>
      <c r="DH78" s="20">
        <f ca="1">IF(Table1[[#This Row],[Column1]]="Education",Table1[[#This Row],[income]],0)</f>
        <v>0</v>
      </c>
      <c r="DI78" s="5">
        <f ca="1">IF(Table1[[#This Row],[Column1]]="Construction",Table1[[#This Row],[income]],0)</f>
        <v>0</v>
      </c>
      <c r="DK78" s="6">
        <f ca="1">IF(Table1[[#This Row],[Value of Debts]]&gt;Table1[[#This Row],[income]],1,0)</f>
        <v>1</v>
      </c>
      <c r="DL78" s="20"/>
      <c r="DM78" s="20"/>
      <c r="DN78" s="5"/>
      <c r="DP78" s="6">
        <f ca="1">IF(Table1[[#This Row],[Net Worth (£)]]&gt;$DS$5,C78,0)</f>
        <v>0</v>
      </c>
      <c r="DQ78" s="20"/>
      <c r="DR78" s="20"/>
      <c r="DS78" s="5"/>
    </row>
    <row r="79" spans="1:123" x14ac:dyDescent="0.2">
      <c r="A79">
        <f t="shared" ca="1" si="4"/>
        <v>2</v>
      </c>
      <c r="B79" s="1" t="str">
        <f ca="1">IF(A79=1, "men", "women")</f>
        <v>women</v>
      </c>
      <c r="C79" s="1">
        <f ca="1">RANDBETWEEN(25,50)</f>
        <v>41</v>
      </c>
      <c r="D79">
        <f ca="1">RANDBETWEEN(1,6)</f>
        <v>6</v>
      </c>
      <c r="E79" t="str">
        <f ca="1">VLOOKUP(D79,$W$5:$X$10,2)</f>
        <v>Agriculture</v>
      </c>
      <c r="F79">
        <f ca="1">RANDBETWEEN(1,5)</f>
        <v>5</v>
      </c>
      <c r="G79" t="str">
        <f ca="1">VLOOKUP(F79,$Y$5:$Z$9,2)</f>
        <v>Other</v>
      </c>
      <c r="H79">
        <f ca="1">RANDBETWEEN(0,4)</f>
        <v>3</v>
      </c>
      <c r="I79">
        <f ca="1">RANDBETWEEN(1,3)</f>
        <v>3</v>
      </c>
      <c r="J79">
        <f ca="1">RANDBETWEEN(30000,100000)</f>
        <v>58199</v>
      </c>
      <c r="K79">
        <f ca="1">RANDBETWEEN(1,48)</f>
        <v>37</v>
      </c>
      <c r="L79" t="str">
        <f ca="1">VLOOKUP(K79,$AA$5:$AB$52,2)</f>
        <v>Somerset</v>
      </c>
      <c r="M79">
        <f ca="1">J79*(RANDBETWEEN(2,5))</f>
        <v>174597</v>
      </c>
      <c r="N79">
        <f ca="1">RAND()*M79</f>
        <v>113454.27179606118</v>
      </c>
      <c r="O79">
        <f ca="1">I79*RAND()*J79</f>
        <v>75582.574042401262</v>
      </c>
      <c r="P79">
        <f ca="1">RANDBETWEEN(0,O79)</f>
        <v>51745</v>
      </c>
      <c r="Q79">
        <f ca="1">RAND()*J79*2</f>
        <v>9263.6859570237484</v>
      </c>
      <c r="R79">
        <f ca="1">RAND()*J79*1.5</f>
        <v>7304.7494922289279</v>
      </c>
      <c r="S79">
        <f ca="1">J79+R79+O79</f>
        <v>141086.32353463018</v>
      </c>
      <c r="T79">
        <f ca="1">N79+P79+Q79</f>
        <v>174462.95775308495</v>
      </c>
      <c r="U79">
        <f ca="1">S79-T79</f>
        <v>-33376.634218454768</v>
      </c>
      <c r="AC79" s="6">
        <f ca="1">IF(Table1[[#This Row],[gender]]="men",1,0)</f>
        <v>0</v>
      </c>
      <c r="AD79">
        <f ca="1">IF(Table1[[#This Row],[gender]]="women",1,0)</f>
        <v>1</v>
      </c>
      <c r="AH79" s="5"/>
      <c r="AJ79" s="6">
        <f ca="1">IF(Table1[[#This Row],[Column1]]="Health",1,0)</f>
        <v>0</v>
      </c>
      <c r="AK79">
        <f ca="1">IF(Table1[[#This Row],[Column1]]="Construction",1,0)</f>
        <v>0</v>
      </c>
      <c r="AL79">
        <f ca="1">IF(Table1[[#This Row],[Column1]]="Technology",1,0)</f>
        <v>0</v>
      </c>
      <c r="AM79">
        <f ca="1">IF(Table1[[#This Row],[Column1]]="Education",1,0)</f>
        <v>0</v>
      </c>
      <c r="AN79">
        <f ca="1">IF(Table1[[#This Row],[Column1]]="Agriculture",1,0)</f>
        <v>1</v>
      </c>
      <c r="AO79">
        <f ca="1">IF(Table1[[#This Row],[Column1]]="Social Service", 1, 0)</f>
        <v>0</v>
      </c>
      <c r="AT79" s="5"/>
      <c r="AV79" s="17">
        <f t="shared" ca="1" si="3"/>
        <v>35138.780209471646</v>
      </c>
      <c r="AW79" s="5"/>
      <c r="AX79" s="6">
        <f ca="1">IF(Table1[[#This Row],[Value of Debts]]&gt;$AY$4,1,0)</f>
        <v>1</v>
      </c>
      <c r="AY79" s="20"/>
      <c r="AZ79" s="20"/>
      <c r="BA79" s="5"/>
      <c r="BB79" s="25">
        <f ca="1">Table1[[#This Row],[Mortage Left]]/Table1[[#This Row],[Value of House]]</f>
        <v>0.64980653617222051</v>
      </c>
      <c r="BC79" s="20">
        <f t="shared" ca="1" si="5"/>
        <v>0</v>
      </c>
      <c r="BD79" s="20"/>
      <c r="BE79" s="20"/>
      <c r="BF79" s="20"/>
      <c r="BG79" s="6">
        <f ca="1">IF(Table1[[#This Row],[County]]="Cumbria",Table1[[#This Row],[income]],0)</f>
        <v>0</v>
      </c>
      <c r="BH79" s="20">
        <f ca="1">IF(Table1[[#This Row],[County]]="Cheshire",Table1[[#This Row],[income]],0)</f>
        <v>0</v>
      </c>
      <c r="BI79" s="20">
        <f ca="1">IF(Table1[[#This Row],[County]]="Bristol",Table1[[#This Row],[income]],0)</f>
        <v>0</v>
      </c>
      <c r="BJ79" s="20">
        <f ca="1">IF(Table1[[#This Row],[County]]="Surrey",Table1[[#This Row],[income]],0)</f>
        <v>0</v>
      </c>
      <c r="BK79" s="20">
        <f ca="1">IF(Table1[[#This Row],[County]]="Norfolk",Table1[[#This Row],[income]],0)</f>
        <v>0</v>
      </c>
      <c r="BL79" s="20">
        <f ca="1">IF(Table1[[#This Row],[County]]="Lincolnshire",Table1[[#This Row],[income]],0)</f>
        <v>0</v>
      </c>
      <c r="BM79" s="20">
        <f ca="1">IF(Table1[[#This Row],[County]]="Somerset",Table1[[#This Row],[income]],0)</f>
        <v>58199</v>
      </c>
      <c r="BN79" s="20">
        <f ca="1">IF(Table1[[#This Row],[County]]="Cambridgeshire",Table1[[#This Row],[income]],0)</f>
        <v>0</v>
      </c>
      <c r="BO79" s="20">
        <f ca="1">IF(Table1[[#This Row],[County]]="South Yorkshire",Table1[[#This Row],[income]],0)</f>
        <v>0</v>
      </c>
      <c r="BP79" s="20">
        <f ca="1">IF(Table1[[#This Row],[County]]="Greater London",Table1[[#This Row],[income]],0)</f>
        <v>0</v>
      </c>
      <c r="BQ79" s="20">
        <f ca="1">IF(Table1[[#This Row],[County]]="Hampshire",Table1[[#This Row],[income]],0)</f>
        <v>0</v>
      </c>
      <c r="BR79" s="20">
        <f ca="1">IF(Table1[[#This Row],[County]]="Gloucestershire",Table1[[#This Row],[income]],0)</f>
        <v>0</v>
      </c>
      <c r="BS79" s="20">
        <f ca="1">IF(Table1[[#This Row],[County]]="West Sussex",Table1[[#This Row],[income]],0)</f>
        <v>0</v>
      </c>
      <c r="BT79" s="20">
        <f ca="1">IF(Table1[[#This Row],[County]]="Devon",Table1[[#This Row],[income]],0)</f>
        <v>0</v>
      </c>
      <c r="BU79" s="20">
        <f ca="1">IF(Table1[[#This Row],[County]]="Berkshire",Table1[[#This Row],[income]],0)</f>
        <v>0</v>
      </c>
      <c r="BV79" s="20">
        <f ca="1">IF(Table1[[#This Row],[County]]="Staffordshire",Table1[[#This Row],[income]],0)</f>
        <v>0</v>
      </c>
      <c r="BW79" s="20">
        <f ca="1">IF(Table1[[#This Row],[County]]="Leicestershire",Table1[[#This Row],[income]],0)</f>
        <v>0</v>
      </c>
      <c r="BX79" s="20">
        <f ca="1">IF(Table1[[#This Row],[County]]="Cornwall",Table1[[#This Row],[income]],0)</f>
        <v>0</v>
      </c>
      <c r="BY79" s="20">
        <f ca="1">IF(Table1[[#This Row],[County]]="Isle of Wight",Table1[[#This Row],[income]],0)</f>
        <v>0</v>
      </c>
      <c r="BZ79" s="20">
        <f ca="1">IF(Table1[[#This Row],[County]]="Surrey",Table1[[#This Row],[income]],0)</f>
        <v>0</v>
      </c>
      <c r="CA79" s="20">
        <f ca="1">IF(Table1[[#This Row],[County]]="Derbyshire",Table1[[#This Row],[income]],0)</f>
        <v>0</v>
      </c>
      <c r="CB79" s="20">
        <f ca="1">IF(Table1[[#This Row],[County]]="City of London",Table1[[#This Row],[income]],0)</f>
        <v>0</v>
      </c>
      <c r="CC79" s="20">
        <f ca="1">IF(Table1[[#This Row],[County]]="Bedfordshire",Table1[[#This Row],[income]],0)</f>
        <v>0</v>
      </c>
      <c r="CD79" s="20">
        <f ca="1">IF(Table1[[#This Row],[County]]="County Durham",Table1[[#This Row],[income]],0)</f>
        <v>0</v>
      </c>
      <c r="CE79" s="20">
        <f ca="1">IF(Table1[[#This Row],[County]]="East Riding of Yorkshire",Table1[[#This Row],[income]],0)</f>
        <v>0</v>
      </c>
      <c r="CF79" s="20">
        <f ca="1">IF(Table1[[#This Row],[County]]="West Yorkshire",Table1[[#This Row],[income]],0)</f>
        <v>0</v>
      </c>
      <c r="CG79" s="20">
        <f ca="1">IF(Table1[[#This Row],[County]]="Essex",Table1[[#This Row],[income]],0)</f>
        <v>0</v>
      </c>
      <c r="CH79" s="20">
        <f ca="1">IF(Table1[[#This Row],[County]]="East Sussex",Table1[[#This Row],[income]],0)</f>
        <v>0</v>
      </c>
      <c r="CI79" s="20">
        <f ca="1">IF(Table1[[#This Row],[County]]="Greater Manchester",Table1[[#This Row],[income]],0)</f>
        <v>0</v>
      </c>
      <c r="CJ79" s="20">
        <f ca="1">IF(Table1[[#This Row],[County]]="Hertfordshire",Table1[[#This Row],[income]],0)</f>
        <v>0</v>
      </c>
      <c r="CK79" s="20">
        <f ca="1">IF(Table1[[#This Row],[County]]="Herefordshire",Table1[[#This Row],[income]],0)</f>
        <v>0</v>
      </c>
      <c r="CL79" s="20">
        <f ca="1">IF(Table1[[#This Row],[County]]="Lancashire",Table1[[#This Row],[income]],0)</f>
        <v>0</v>
      </c>
      <c r="CM79" s="20">
        <f ca="1">IF(Table1[[#This Row],[County]]="Merseyside",Table1[[#This Row],[income]],0)</f>
        <v>0</v>
      </c>
      <c r="CN79" s="20">
        <f ca="1">IF(Table1[[#This Row],[County]]="Northamptonshire",Table1[[#This Row],[income]],0)</f>
        <v>0</v>
      </c>
      <c r="CO79" s="20">
        <f ca="1">IF(Table1[[#This Row],[County]]="Northumberland",Table1[[#This Row],[income]],0)</f>
        <v>0</v>
      </c>
      <c r="CP79" s="20">
        <f ca="1">IF(Table1[[#This Row],[County]]="Wiltshire",Table1[[#This Row],[income]],0)</f>
        <v>0</v>
      </c>
      <c r="CQ79" s="20">
        <f ca="1">IF(Table1[[#This Row],[County]]="West Midlands",Table1[[#This Row],[income]],0)</f>
        <v>0</v>
      </c>
      <c r="CR79" s="20">
        <f ca="1">IF(Table1[[#This Row],[County]]="Warwickshire",Table1[[#This Row],[income]],0)</f>
        <v>0</v>
      </c>
      <c r="CS79" s="20">
        <f ca="1">IF(Table1[[#This Row],[County]]="Tyne and Wear",Table1[[#This Row],[income]],0)</f>
        <v>0</v>
      </c>
      <c r="CT79" s="20">
        <f ca="1">IF(Table1[[#This Row],[County]]="Worcestershire",Table1[[#This Row],[income]],0)</f>
        <v>0</v>
      </c>
      <c r="CU79" s="20">
        <f ca="1">IF(Table1[[#This Row],[County]]="Rutland",Table1[[#This Row],[income]],0)</f>
        <v>0</v>
      </c>
      <c r="CV79" s="20">
        <f ca="1">IF(Table1[[#This Row],[County]]="Shropshire",Table1[[#This Row],[income]],0)</f>
        <v>0</v>
      </c>
      <c r="CW79" s="20">
        <f ca="1">IF(Table1[[#This Row],[County]]="Dorset",Table1[[#This Row],[income]],0)</f>
        <v>0</v>
      </c>
      <c r="CX79" s="20">
        <f ca="1">IF(Table1[[#This Row],[County]]="Buckinghamshire",Table1[[#This Row],[income]],0)</f>
        <v>0</v>
      </c>
      <c r="CY79" s="20">
        <f ca="1">IF(Table1[[#This Row],[County]]="Suffolk",Table1[[#This Row],[income]],0)</f>
        <v>0</v>
      </c>
      <c r="CZ79" s="20">
        <f ca="1">IF(Table1[[#This Row],[County]]="North Yorkshire",Table1[[#This Row],[income]],0)</f>
        <v>0</v>
      </c>
      <c r="DA79" s="20">
        <f ca="1">IF(Table1[[#This Row],[County]]="Kent",Table1[[#This Row],[income]],0)</f>
        <v>0</v>
      </c>
      <c r="DB79" s="5">
        <f ca="1">IF(Table1[[#This Row],[County]]="Derbyshire",Table1[[#This Row],[income]],0)</f>
        <v>0</v>
      </c>
      <c r="DD79" s="6">
        <f ca="1">IF(Table1[[#This Row],[Column1]]="Health",Table1[[#This Row],[income]],0)</f>
        <v>0</v>
      </c>
      <c r="DE79" s="20">
        <f ca="1">IF(Table1[[#This Row],[Column1]]="Agriculture",Table1[[#This Row],[income]],0)</f>
        <v>58199</v>
      </c>
      <c r="DF79" s="20">
        <f ca="1">IF(Table1[[#This Row],[Column1]]="Technology",Table1[[#This Row],[income]],0)</f>
        <v>0</v>
      </c>
      <c r="DG79" s="20">
        <f ca="1">IF(Table1[[#This Row],[Column1]]="Social Service",Table1[[#This Row],[income]],0)</f>
        <v>0</v>
      </c>
      <c r="DH79" s="20">
        <f ca="1">IF(Table1[[#This Row],[Column1]]="Education",Table1[[#This Row],[income]],0)</f>
        <v>0</v>
      </c>
      <c r="DI79" s="5">
        <f ca="1">IF(Table1[[#This Row],[Column1]]="Construction",Table1[[#This Row],[income]],0)</f>
        <v>0</v>
      </c>
      <c r="DK79" s="6">
        <f ca="1">IF(Table1[[#This Row],[Value of Debts]]&gt;Table1[[#This Row],[income]],1,0)</f>
        <v>1</v>
      </c>
      <c r="DL79" s="20"/>
      <c r="DM79" s="20"/>
      <c r="DN79" s="5"/>
      <c r="DP79" s="6">
        <f ca="1">IF(Table1[[#This Row],[Net Worth (£)]]&gt;$DS$5,C79,0)</f>
        <v>0</v>
      </c>
      <c r="DQ79" s="20"/>
      <c r="DR79" s="20"/>
      <c r="DS79" s="5"/>
    </row>
    <row r="80" spans="1:123" x14ac:dyDescent="0.2">
      <c r="A80">
        <f t="shared" ca="1" si="4"/>
        <v>2</v>
      </c>
      <c r="B80" s="1" t="str">
        <f ca="1">IF(A80=1, "men", "women")</f>
        <v>women</v>
      </c>
      <c r="C80" s="1">
        <f ca="1">RANDBETWEEN(25,50)</f>
        <v>42</v>
      </c>
      <c r="D80">
        <f ca="1">RANDBETWEEN(1,6)</f>
        <v>5</v>
      </c>
      <c r="E80" t="str">
        <f ca="1">VLOOKUP(D80,$W$5:$X$10,2)</f>
        <v>Social Service</v>
      </c>
      <c r="F80">
        <f ca="1">RANDBETWEEN(1,5)</f>
        <v>4</v>
      </c>
      <c r="G80" t="str">
        <f ca="1">VLOOKUP(F80,$Y$5:$Z$9,2)</f>
        <v xml:space="preserve">Technical </v>
      </c>
      <c r="H80">
        <f ca="1">RANDBETWEEN(0,4)</f>
        <v>4</v>
      </c>
      <c r="I80">
        <f ca="1">RANDBETWEEN(1,3)</f>
        <v>2</v>
      </c>
      <c r="J80">
        <f ca="1">RANDBETWEEN(30000,100000)</f>
        <v>66706</v>
      </c>
      <c r="K80">
        <f ca="1">RANDBETWEEN(1,48)</f>
        <v>47</v>
      </c>
      <c r="L80" t="str">
        <f ca="1">VLOOKUP(K80,$AA$5:$AB$52,2)</f>
        <v>Wiltshire</v>
      </c>
      <c r="M80">
        <f ca="1">J80*(RANDBETWEEN(2,5))</f>
        <v>133412</v>
      </c>
      <c r="N80">
        <f ca="1">RAND()*M80</f>
        <v>98646.449346654481</v>
      </c>
      <c r="O80">
        <f ca="1">I80*RAND()*J80</f>
        <v>70277.560418943292</v>
      </c>
      <c r="P80">
        <f ca="1">RANDBETWEEN(0,O80)</f>
        <v>9252</v>
      </c>
      <c r="Q80">
        <f ca="1">RAND()*J80*2</f>
        <v>71312.416491280383</v>
      </c>
      <c r="R80">
        <f ca="1">RAND()*J80*1.5</f>
        <v>4348.792128289575</v>
      </c>
      <c r="S80">
        <f ca="1">J80+R80+O80</f>
        <v>141332.35254723288</v>
      </c>
      <c r="T80">
        <f ca="1">N80+P80+Q80</f>
        <v>179210.86583793486</v>
      </c>
      <c r="U80">
        <f ca="1">S80-T80</f>
        <v>-37878.513290701987</v>
      </c>
      <c r="AC80" s="6">
        <f ca="1">IF(Table1[[#This Row],[gender]]="men",1,0)</f>
        <v>0</v>
      </c>
      <c r="AD80">
        <f ca="1">IF(Table1[[#This Row],[gender]]="women",1,0)</f>
        <v>1</v>
      </c>
      <c r="AH80" s="5"/>
      <c r="AJ80" s="6">
        <f ca="1">IF(Table1[[#This Row],[Column1]]="Health",1,0)</f>
        <v>0</v>
      </c>
      <c r="AK80">
        <f ca="1">IF(Table1[[#This Row],[Column1]]="Construction",1,0)</f>
        <v>0</v>
      </c>
      <c r="AL80">
        <f ca="1">IF(Table1[[#This Row],[Column1]]="Technology",1,0)</f>
        <v>0</v>
      </c>
      <c r="AM80">
        <f ca="1">IF(Table1[[#This Row],[Column1]]="Education",1,0)</f>
        <v>0</v>
      </c>
      <c r="AN80">
        <f ca="1">IF(Table1[[#This Row],[Column1]]="Agriculture",1,0)</f>
        <v>0</v>
      </c>
      <c r="AO80">
        <f ca="1">IF(Table1[[#This Row],[Column1]]="Social Service", 1, 0)</f>
        <v>1</v>
      </c>
      <c r="AT80" s="5"/>
      <c r="AV80" s="17">
        <f t="shared" ca="1" si="3"/>
        <v>3440.5637509021253</v>
      </c>
      <c r="AW80" s="5"/>
      <c r="AX80" s="6">
        <f ca="1">IF(Table1[[#This Row],[Value of Debts]]&gt;$AY$4,1,0)</f>
        <v>1</v>
      </c>
      <c r="AY80" s="20"/>
      <c r="AZ80" s="20"/>
      <c r="BA80" s="5"/>
      <c r="BB80" s="25">
        <f ca="1">Table1[[#This Row],[Mortage Left]]/Table1[[#This Row],[Value of House]]</f>
        <v>0.73941211695090758</v>
      </c>
      <c r="BC80" s="20">
        <f t="shared" ca="1" si="5"/>
        <v>0</v>
      </c>
      <c r="BD80" s="20"/>
      <c r="BE80" s="20"/>
      <c r="BF80" s="20"/>
      <c r="BG80" s="6">
        <f ca="1">IF(Table1[[#This Row],[County]]="Cumbria",Table1[[#This Row],[income]],0)</f>
        <v>0</v>
      </c>
      <c r="BH80" s="20">
        <f ca="1">IF(Table1[[#This Row],[County]]="Cheshire",Table1[[#This Row],[income]],0)</f>
        <v>0</v>
      </c>
      <c r="BI80" s="20">
        <f ca="1">IF(Table1[[#This Row],[County]]="Bristol",Table1[[#This Row],[income]],0)</f>
        <v>0</v>
      </c>
      <c r="BJ80" s="20">
        <f ca="1">IF(Table1[[#This Row],[County]]="Surrey",Table1[[#This Row],[income]],0)</f>
        <v>0</v>
      </c>
      <c r="BK80" s="20">
        <f ca="1">IF(Table1[[#This Row],[County]]="Norfolk",Table1[[#This Row],[income]],0)</f>
        <v>0</v>
      </c>
      <c r="BL80" s="20">
        <f ca="1">IF(Table1[[#This Row],[County]]="Lincolnshire",Table1[[#This Row],[income]],0)</f>
        <v>0</v>
      </c>
      <c r="BM80" s="20">
        <f ca="1">IF(Table1[[#This Row],[County]]="Somerset",Table1[[#This Row],[income]],0)</f>
        <v>0</v>
      </c>
      <c r="BN80" s="20">
        <f ca="1">IF(Table1[[#This Row],[County]]="Cambridgeshire",Table1[[#This Row],[income]],0)</f>
        <v>0</v>
      </c>
      <c r="BO80" s="20">
        <f ca="1">IF(Table1[[#This Row],[County]]="South Yorkshire",Table1[[#This Row],[income]],0)</f>
        <v>0</v>
      </c>
      <c r="BP80" s="20">
        <f ca="1">IF(Table1[[#This Row],[County]]="Greater London",Table1[[#This Row],[income]],0)</f>
        <v>0</v>
      </c>
      <c r="BQ80" s="20">
        <f ca="1">IF(Table1[[#This Row],[County]]="Hampshire",Table1[[#This Row],[income]],0)</f>
        <v>0</v>
      </c>
      <c r="BR80" s="20">
        <f ca="1">IF(Table1[[#This Row],[County]]="Gloucestershire",Table1[[#This Row],[income]],0)</f>
        <v>0</v>
      </c>
      <c r="BS80" s="20">
        <f ca="1">IF(Table1[[#This Row],[County]]="West Sussex",Table1[[#This Row],[income]],0)</f>
        <v>0</v>
      </c>
      <c r="BT80" s="20">
        <f ca="1">IF(Table1[[#This Row],[County]]="Devon",Table1[[#This Row],[income]],0)</f>
        <v>0</v>
      </c>
      <c r="BU80" s="20">
        <f ca="1">IF(Table1[[#This Row],[County]]="Berkshire",Table1[[#This Row],[income]],0)</f>
        <v>0</v>
      </c>
      <c r="BV80" s="20">
        <f ca="1">IF(Table1[[#This Row],[County]]="Staffordshire",Table1[[#This Row],[income]],0)</f>
        <v>0</v>
      </c>
      <c r="BW80" s="20">
        <f ca="1">IF(Table1[[#This Row],[County]]="Leicestershire",Table1[[#This Row],[income]],0)</f>
        <v>0</v>
      </c>
      <c r="BX80" s="20">
        <f ca="1">IF(Table1[[#This Row],[County]]="Cornwall",Table1[[#This Row],[income]],0)</f>
        <v>0</v>
      </c>
      <c r="BY80" s="20">
        <f ca="1">IF(Table1[[#This Row],[County]]="Isle of Wight",Table1[[#This Row],[income]],0)</f>
        <v>0</v>
      </c>
      <c r="BZ80" s="20">
        <f ca="1">IF(Table1[[#This Row],[County]]="Surrey",Table1[[#This Row],[income]],0)</f>
        <v>0</v>
      </c>
      <c r="CA80" s="20">
        <f ca="1">IF(Table1[[#This Row],[County]]="Derbyshire",Table1[[#This Row],[income]],0)</f>
        <v>0</v>
      </c>
      <c r="CB80" s="20">
        <f ca="1">IF(Table1[[#This Row],[County]]="City of London",Table1[[#This Row],[income]],0)</f>
        <v>0</v>
      </c>
      <c r="CC80" s="20">
        <f ca="1">IF(Table1[[#This Row],[County]]="Bedfordshire",Table1[[#This Row],[income]],0)</f>
        <v>0</v>
      </c>
      <c r="CD80" s="20">
        <f ca="1">IF(Table1[[#This Row],[County]]="County Durham",Table1[[#This Row],[income]],0)</f>
        <v>0</v>
      </c>
      <c r="CE80" s="20">
        <f ca="1">IF(Table1[[#This Row],[County]]="East Riding of Yorkshire",Table1[[#This Row],[income]],0)</f>
        <v>0</v>
      </c>
      <c r="CF80" s="20">
        <f ca="1">IF(Table1[[#This Row],[County]]="West Yorkshire",Table1[[#This Row],[income]],0)</f>
        <v>0</v>
      </c>
      <c r="CG80" s="20">
        <f ca="1">IF(Table1[[#This Row],[County]]="Essex",Table1[[#This Row],[income]],0)</f>
        <v>0</v>
      </c>
      <c r="CH80" s="20">
        <f ca="1">IF(Table1[[#This Row],[County]]="East Sussex",Table1[[#This Row],[income]],0)</f>
        <v>0</v>
      </c>
      <c r="CI80" s="20">
        <f ca="1">IF(Table1[[#This Row],[County]]="Greater Manchester",Table1[[#This Row],[income]],0)</f>
        <v>0</v>
      </c>
      <c r="CJ80" s="20">
        <f ca="1">IF(Table1[[#This Row],[County]]="Hertfordshire",Table1[[#This Row],[income]],0)</f>
        <v>0</v>
      </c>
      <c r="CK80" s="20">
        <f ca="1">IF(Table1[[#This Row],[County]]="Herefordshire",Table1[[#This Row],[income]],0)</f>
        <v>0</v>
      </c>
      <c r="CL80" s="20">
        <f ca="1">IF(Table1[[#This Row],[County]]="Lancashire",Table1[[#This Row],[income]],0)</f>
        <v>0</v>
      </c>
      <c r="CM80" s="20">
        <f ca="1">IF(Table1[[#This Row],[County]]="Merseyside",Table1[[#This Row],[income]],0)</f>
        <v>0</v>
      </c>
      <c r="CN80" s="20">
        <f ca="1">IF(Table1[[#This Row],[County]]="Northamptonshire",Table1[[#This Row],[income]],0)</f>
        <v>0</v>
      </c>
      <c r="CO80" s="20">
        <f ca="1">IF(Table1[[#This Row],[County]]="Northumberland",Table1[[#This Row],[income]],0)</f>
        <v>0</v>
      </c>
      <c r="CP80" s="20">
        <f ca="1">IF(Table1[[#This Row],[County]]="Wiltshire",Table1[[#This Row],[income]],0)</f>
        <v>66706</v>
      </c>
      <c r="CQ80" s="20">
        <f ca="1">IF(Table1[[#This Row],[County]]="West Midlands",Table1[[#This Row],[income]],0)</f>
        <v>0</v>
      </c>
      <c r="CR80" s="20">
        <f ca="1">IF(Table1[[#This Row],[County]]="Warwickshire",Table1[[#This Row],[income]],0)</f>
        <v>0</v>
      </c>
      <c r="CS80" s="20">
        <f ca="1">IF(Table1[[#This Row],[County]]="Tyne and Wear",Table1[[#This Row],[income]],0)</f>
        <v>0</v>
      </c>
      <c r="CT80" s="20">
        <f ca="1">IF(Table1[[#This Row],[County]]="Worcestershire",Table1[[#This Row],[income]],0)</f>
        <v>0</v>
      </c>
      <c r="CU80" s="20">
        <f ca="1">IF(Table1[[#This Row],[County]]="Rutland",Table1[[#This Row],[income]],0)</f>
        <v>0</v>
      </c>
      <c r="CV80" s="20">
        <f ca="1">IF(Table1[[#This Row],[County]]="Shropshire",Table1[[#This Row],[income]],0)</f>
        <v>0</v>
      </c>
      <c r="CW80" s="20">
        <f ca="1">IF(Table1[[#This Row],[County]]="Dorset",Table1[[#This Row],[income]],0)</f>
        <v>0</v>
      </c>
      <c r="CX80" s="20">
        <f ca="1">IF(Table1[[#This Row],[County]]="Buckinghamshire",Table1[[#This Row],[income]],0)</f>
        <v>0</v>
      </c>
      <c r="CY80" s="20">
        <f ca="1">IF(Table1[[#This Row],[County]]="Suffolk",Table1[[#This Row],[income]],0)</f>
        <v>0</v>
      </c>
      <c r="CZ80" s="20">
        <f ca="1">IF(Table1[[#This Row],[County]]="North Yorkshire",Table1[[#This Row],[income]],0)</f>
        <v>0</v>
      </c>
      <c r="DA80" s="20">
        <f ca="1">IF(Table1[[#This Row],[County]]="Kent",Table1[[#This Row],[income]],0)</f>
        <v>0</v>
      </c>
      <c r="DB80" s="5">
        <f ca="1">IF(Table1[[#This Row],[County]]="Derbyshire",Table1[[#This Row],[income]],0)</f>
        <v>0</v>
      </c>
      <c r="DD80" s="6">
        <f ca="1">IF(Table1[[#This Row],[Column1]]="Health",Table1[[#This Row],[income]],0)</f>
        <v>0</v>
      </c>
      <c r="DE80" s="20">
        <f ca="1">IF(Table1[[#This Row],[Column1]]="Agriculture",Table1[[#This Row],[income]],0)</f>
        <v>0</v>
      </c>
      <c r="DF80" s="20">
        <f ca="1">IF(Table1[[#This Row],[Column1]]="Technology",Table1[[#This Row],[income]],0)</f>
        <v>0</v>
      </c>
      <c r="DG80" s="20">
        <f ca="1">IF(Table1[[#This Row],[Column1]]="Social Service",Table1[[#This Row],[income]],0)</f>
        <v>66706</v>
      </c>
      <c r="DH80" s="20">
        <f ca="1">IF(Table1[[#This Row],[Column1]]="Education",Table1[[#This Row],[income]],0)</f>
        <v>0</v>
      </c>
      <c r="DI80" s="5">
        <f ca="1">IF(Table1[[#This Row],[Column1]]="Construction",Table1[[#This Row],[income]],0)</f>
        <v>0</v>
      </c>
      <c r="DK80" s="6">
        <f ca="1">IF(Table1[[#This Row],[Value of Debts]]&gt;Table1[[#This Row],[income]],1,0)</f>
        <v>1</v>
      </c>
      <c r="DL80" s="20"/>
      <c r="DM80" s="20"/>
      <c r="DN80" s="5"/>
      <c r="DP80" s="6">
        <f ca="1">IF(Table1[[#This Row],[Net Worth (£)]]&gt;$DS$5,C80,0)</f>
        <v>0</v>
      </c>
      <c r="DQ80" s="20"/>
      <c r="DR80" s="20"/>
      <c r="DS80" s="5"/>
    </row>
    <row r="81" spans="1:123" x14ac:dyDescent="0.2">
      <c r="A81">
        <f t="shared" ca="1" si="4"/>
        <v>2</v>
      </c>
      <c r="B81" s="1" t="str">
        <f ca="1">IF(A81=1, "men", "women")</f>
        <v>women</v>
      </c>
      <c r="C81" s="1">
        <f ca="1">RANDBETWEEN(25,50)</f>
        <v>35</v>
      </c>
      <c r="D81">
        <f ca="1">RANDBETWEEN(1,6)</f>
        <v>1</v>
      </c>
      <c r="E81" t="str">
        <f ca="1">VLOOKUP(D81,$W$5:$X$10,2)</f>
        <v>Health</v>
      </c>
      <c r="F81">
        <f ca="1">RANDBETWEEN(1,5)</f>
        <v>4</v>
      </c>
      <c r="G81" t="str">
        <f ca="1">VLOOKUP(F81,$Y$5:$Z$9,2)</f>
        <v xml:space="preserve">Technical </v>
      </c>
      <c r="H81">
        <f ca="1">RANDBETWEEN(0,4)</f>
        <v>3</v>
      </c>
      <c r="I81">
        <f ca="1">RANDBETWEEN(1,3)</f>
        <v>3</v>
      </c>
      <c r="J81">
        <f ca="1">RANDBETWEEN(30000,100000)</f>
        <v>34672</v>
      </c>
      <c r="K81">
        <f ca="1">RANDBETWEEN(1,48)</f>
        <v>34</v>
      </c>
      <c r="L81" t="str">
        <f ca="1">VLOOKUP(K81,$AA$5:$AB$52,2)</f>
        <v>Oxfordshire</v>
      </c>
      <c r="M81">
        <f ca="1">J81*(RANDBETWEEN(2,5))</f>
        <v>69344</v>
      </c>
      <c r="N81">
        <f ca="1">RAND()*M81</f>
        <v>10836.608225127748</v>
      </c>
      <c r="O81">
        <f ca="1">I81*RAND()*J81</f>
        <v>10321.691252706376</v>
      </c>
      <c r="P81">
        <f ca="1">RANDBETWEEN(0,O81)</f>
        <v>842</v>
      </c>
      <c r="Q81">
        <f ca="1">RAND()*J81*2</f>
        <v>16162.828930265921</v>
      </c>
      <c r="R81">
        <f ca="1">RAND()*J81*1.5</f>
        <v>14347.33474954707</v>
      </c>
      <c r="S81">
        <f ca="1">J81+R81+O81</f>
        <v>59341.026002253442</v>
      </c>
      <c r="T81">
        <f ca="1">N81+P81+Q81</f>
        <v>27841.437155393669</v>
      </c>
      <c r="U81">
        <f ca="1">S81-T81</f>
        <v>31499.588846859773</v>
      </c>
      <c r="AC81" s="6">
        <f ca="1">IF(Table1[[#This Row],[gender]]="men",1,0)</f>
        <v>0</v>
      </c>
      <c r="AD81">
        <f ca="1">IF(Table1[[#This Row],[gender]]="women",1,0)</f>
        <v>1</v>
      </c>
      <c r="AH81" s="5"/>
      <c r="AJ81" s="6">
        <f ca="1">IF(Table1[[#This Row],[Column1]]="Health",1,0)</f>
        <v>1</v>
      </c>
      <c r="AK81">
        <f ca="1">IF(Table1[[#This Row],[Column1]]="Construction",1,0)</f>
        <v>0</v>
      </c>
      <c r="AL81">
        <f ca="1">IF(Table1[[#This Row],[Column1]]="Technology",1,0)</f>
        <v>0</v>
      </c>
      <c r="AM81">
        <f ca="1">IF(Table1[[#This Row],[Column1]]="Education",1,0)</f>
        <v>0</v>
      </c>
      <c r="AN81">
        <f ca="1">IF(Table1[[#This Row],[Column1]]="Agriculture",1,0)</f>
        <v>0</v>
      </c>
      <c r="AO81">
        <f ca="1">IF(Table1[[#This Row],[Column1]]="Social Service", 1, 0)</f>
        <v>0</v>
      </c>
      <c r="AT81" s="5"/>
      <c r="AV81" s="17">
        <f t="shared" ca="1" si="3"/>
        <v>17109.253846632211</v>
      </c>
      <c r="AW81" s="5"/>
      <c r="AX81" s="6">
        <f ca="1">IF(Table1[[#This Row],[Value of Debts]]&gt;$AY$4,1,0)</f>
        <v>0</v>
      </c>
      <c r="AY81" s="20"/>
      <c r="AZ81" s="20"/>
      <c r="BA81" s="5"/>
      <c r="BB81" s="25">
        <f ca="1">Table1[[#This Row],[Mortage Left]]/Table1[[#This Row],[Value of House]]</f>
        <v>0.15627319198672918</v>
      </c>
      <c r="BC81" s="20">
        <f t="shared" ca="1" si="5"/>
        <v>1</v>
      </c>
      <c r="BD81" s="20"/>
      <c r="BE81" s="20"/>
      <c r="BF81" s="20"/>
      <c r="BG81" s="6">
        <f ca="1">IF(Table1[[#This Row],[County]]="Cumbria",Table1[[#This Row],[income]],0)</f>
        <v>0</v>
      </c>
      <c r="BH81" s="20">
        <f ca="1">IF(Table1[[#This Row],[County]]="Cheshire",Table1[[#This Row],[income]],0)</f>
        <v>0</v>
      </c>
      <c r="BI81" s="20">
        <f ca="1">IF(Table1[[#This Row],[County]]="Bristol",Table1[[#This Row],[income]],0)</f>
        <v>0</v>
      </c>
      <c r="BJ81" s="20">
        <f ca="1">IF(Table1[[#This Row],[County]]="Surrey",Table1[[#This Row],[income]],0)</f>
        <v>0</v>
      </c>
      <c r="BK81" s="20">
        <f ca="1">IF(Table1[[#This Row],[County]]="Norfolk",Table1[[#This Row],[income]],0)</f>
        <v>0</v>
      </c>
      <c r="BL81" s="20">
        <f ca="1">IF(Table1[[#This Row],[County]]="Lincolnshire",Table1[[#This Row],[income]],0)</f>
        <v>0</v>
      </c>
      <c r="BM81" s="20">
        <f ca="1">IF(Table1[[#This Row],[County]]="Somerset",Table1[[#This Row],[income]],0)</f>
        <v>0</v>
      </c>
      <c r="BN81" s="20">
        <f ca="1">IF(Table1[[#This Row],[County]]="Cambridgeshire",Table1[[#This Row],[income]],0)</f>
        <v>0</v>
      </c>
      <c r="BO81" s="20">
        <f ca="1">IF(Table1[[#This Row],[County]]="South Yorkshire",Table1[[#This Row],[income]],0)</f>
        <v>0</v>
      </c>
      <c r="BP81" s="20">
        <f ca="1">IF(Table1[[#This Row],[County]]="Greater London",Table1[[#This Row],[income]],0)</f>
        <v>0</v>
      </c>
      <c r="BQ81" s="20">
        <f ca="1">IF(Table1[[#This Row],[County]]="Hampshire",Table1[[#This Row],[income]],0)</f>
        <v>0</v>
      </c>
      <c r="BR81" s="20">
        <f ca="1">IF(Table1[[#This Row],[County]]="Gloucestershire",Table1[[#This Row],[income]],0)</f>
        <v>0</v>
      </c>
      <c r="BS81" s="20">
        <f ca="1">IF(Table1[[#This Row],[County]]="West Sussex",Table1[[#This Row],[income]],0)</f>
        <v>0</v>
      </c>
      <c r="BT81" s="20">
        <f ca="1">IF(Table1[[#This Row],[County]]="Devon",Table1[[#This Row],[income]],0)</f>
        <v>0</v>
      </c>
      <c r="BU81" s="20">
        <f ca="1">IF(Table1[[#This Row],[County]]="Berkshire",Table1[[#This Row],[income]],0)</f>
        <v>0</v>
      </c>
      <c r="BV81" s="20">
        <f ca="1">IF(Table1[[#This Row],[County]]="Staffordshire",Table1[[#This Row],[income]],0)</f>
        <v>0</v>
      </c>
      <c r="BW81" s="20">
        <f ca="1">IF(Table1[[#This Row],[County]]="Leicestershire",Table1[[#This Row],[income]],0)</f>
        <v>0</v>
      </c>
      <c r="BX81" s="20">
        <f ca="1">IF(Table1[[#This Row],[County]]="Cornwall",Table1[[#This Row],[income]],0)</f>
        <v>0</v>
      </c>
      <c r="BY81" s="20">
        <f ca="1">IF(Table1[[#This Row],[County]]="Isle of Wight",Table1[[#This Row],[income]],0)</f>
        <v>0</v>
      </c>
      <c r="BZ81" s="20">
        <f ca="1">IF(Table1[[#This Row],[County]]="Surrey",Table1[[#This Row],[income]],0)</f>
        <v>0</v>
      </c>
      <c r="CA81" s="20">
        <f ca="1">IF(Table1[[#This Row],[County]]="Derbyshire",Table1[[#This Row],[income]],0)</f>
        <v>0</v>
      </c>
      <c r="CB81" s="20">
        <f ca="1">IF(Table1[[#This Row],[County]]="City of London",Table1[[#This Row],[income]],0)</f>
        <v>0</v>
      </c>
      <c r="CC81" s="20">
        <f ca="1">IF(Table1[[#This Row],[County]]="Bedfordshire",Table1[[#This Row],[income]],0)</f>
        <v>0</v>
      </c>
      <c r="CD81" s="20">
        <f ca="1">IF(Table1[[#This Row],[County]]="County Durham",Table1[[#This Row],[income]],0)</f>
        <v>0</v>
      </c>
      <c r="CE81" s="20">
        <f ca="1">IF(Table1[[#This Row],[County]]="East Riding of Yorkshire",Table1[[#This Row],[income]],0)</f>
        <v>0</v>
      </c>
      <c r="CF81" s="20">
        <f ca="1">IF(Table1[[#This Row],[County]]="West Yorkshire",Table1[[#This Row],[income]],0)</f>
        <v>0</v>
      </c>
      <c r="CG81" s="20">
        <f ca="1">IF(Table1[[#This Row],[County]]="Essex",Table1[[#This Row],[income]],0)</f>
        <v>0</v>
      </c>
      <c r="CH81" s="20">
        <f ca="1">IF(Table1[[#This Row],[County]]="East Sussex",Table1[[#This Row],[income]],0)</f>
        <v>0</v>
      </c>
      <c r="CI81" s="20">
        <f ca="1">IF(Table1[[#This Row],[County]]="Greater Manchester",Table1[[#This Row],[income]],0)</f>
        <v>0</v>
      </c>
      <c r="CJ81" s="20">
        <f ca="1">IF(Table1[[#This Row],[County]]="Hertfordshire",Table1[[#This Row],[income]],0)</f>
        <v>0</v>
      </c>
      <c r="CK81" s="20">
        <f ca="1">IF(Table1[[#This Row],[County]]="Herefordshire",Table1[[#This Row],[income]],0)</f>
        <v>0</v>
      </c>
      <c r="CL81" s="20">
        <f ca="1">IF(Table1[[#This Row],[County]]="Lancashire",Table1[[#This Row],[income]],0)</f>
        <v>0</v>
      </c>
      <c r="CM81" s="20">
        <f ca="1">IF(Table1[[#This Row],[County]]="Merseyside",Table1[[#This Row],[income]],0)</f>
        <v>0</v>
      </c>
      <c r="CN81" s="20">
        <f ca="1">IF(Table1[[#This Row],[County]]="Northamptonshire",Table1[[#This Row],[income]],0)</f>
        <v>0</v>
      </c>
      <c r="CO81" s="20">
        <f ca="1">IF(Table1[[#This Row],[County]]="Northumberland",Table1[[#This Row],[income]],0)</f>
        <v>0</v>
      </c>
      <c r="CP81" s="20">
        <f ca="1">IF(Table1[[#This Row],[County]]="Wiltshire",Table1[[#This Row],[income]],0)</f>
        <v>0</v>
      </c>
      <c r="CQ81" s="20">
        <f ca="1">IF(Table1[[#This Row],[County]]="West Midlands",Table1[[#This Row],[income]],0)</f>
        <v>0</v>
      </c>
      <c r="CR81" s="20">
        <f ca="1">IF(Table1[[#This Row],[County]]="Warwickshire",Table1[[#This Row],[income]],0)</f>
        <v>0</v>
      </c>
      <c r="CS81" s="20">
        <f ca="1">IF(Table1[[#This Row],[County]]="Tyne and Wear",Table1[[#This Row],[income]],0)</f>
        <v>0</v>
      </c>
      <c r="CT81" s="20">
        <f ca="1">IF(Table1[[#This Row],[County]]="Worcestershire",Table1[[#This Row],[income]],0)</f>
        <v>0</v>
      </c>
      <c r="CU81" s="20">
        <f ca="1">IF(Table1[[#This Row],[County]]="Rutland",Table1[[#This Row],[income]],0)</f>
        <v>0</v>
      </c>
      <c r="CV81" s="20">
        <f ca="1">IF(Table1[[#This Row],[County]]="Shropshire",Table1[[#This Row],[income]],0)</f>
        <v>0</v>
      </c>
      <c r="CW81" s="20">
        <f ca="1">IF(Table1[[#This Row],[County]]="Dorset",Table1[[#This Row],[income]],0)</f>
        <v>0</v>
      </c>
      <c r="CX81" s="20">
        <f ca="1">IF(Table1[[#This Row],[County]]="Buckinghamshire",Table1[[#This Row],[income]],0)</f>
        <v>0</v>
      </c>
      <c r="CY81" s="20">
        <f ca="1">IF(Table1[[#This Row],[County]]="Suffolk",Table1[[#This Row],[income]],0)</f>
        <v>0</v>
      </c>
      <c r="CZ81" s="20">
        <f ca="1">IF(Table1[[#This Row],[County]]="North Yorkshire",Table1[[#This Row],[income]],0)</f>
        <v>0</v>
      </c>
      <c r="DA81" s="20">
        <f ca="1">IF(Table1[[#This Row],[County]]="Kent",Table1[[#This Row],[income]],0)</f>
        <v>0</v>
      </c>
      <c r="DB81" s="5">
        <f ca="1">IF(Table1[[#This Row],[County]]="Derbyshire",Table1[[#This Row],[income]],0)</f>
        <v>0</v>
      </c>
      <c r="DD81" s="6">
        <f ca="1">IF(Table1[[#This Row],[Column1]]="Health",Table1[[#This Row],[income]],0)</f>
        <v>34672</v>
      </c>
      <c r="DE81" s="20">
        <f ca="1">IF(Table1[[#This Row],[Column1]]="Agriculture",Table1[[#This Row],[income]],0)</f>
        <v>0</v>
      </c>
      <c r="DF81" s="20">
        <f ca="1">IF(Table1[[#This Row],[Column1]]="Technology",Table1[[#This Row],[income]],0)</f>
        <v>0</v>
      </c>
      <c r="DG81" s="20">
        <f ca="1">IF(Table1[[#This Row],[Column1]]="Social Service",Table1[[#This Row],[income]],0)</f>
        <v>0</v>
      </c>
      <c r="DH81" s="20">
        <f ca="1">IF(Table1[[#This Row],[Column1]]="Education",Table1[[#This Row],[income]],0)</f>
        <v>0</v>
      </c>
      <c r="DI81" s="5">
        <f ca="1">IF(Table1[[#This Row],[Column1]]="Construction",Table1[[#This Row],[income]],0)</f>
        <v>0</v>
      </c>
      <c r="DK81" s="6">
        <f ca="1">IF(Table1[[#This Row],[Value of Debts]]&gt;Table1[[#This Row],[income]],1,0)</f>
        <v>0</v>
      </c>
      <c r="DL81" s="20"/>
      <c r="DM81" s="20"/>
      <c r="DN81" s="5"/>
      <c r="DP81" s="6">
        <f ca="1">IF(Table1[[#This Row],[Net Worth (£)]]&gt;$DS$5,C81,0)</f>
        <v>0</v>
      </c>
      <c r="DQ81" s="20"/>
      <c r="DR81" s="20"/>
      <c r="DS81" s="5"/>
    </row>
    <row r="82" spans="1:123" x14ac:dyDescent="0.2">
      <c r="A82">
        <f t="shared" ca="1" si="4"/>
        <v>1</v>
      </c>
      <c r="B82" s="1" t="str">
        <f ca="1">IF(A82=1, "men", "women")</f>
        <v>men</v>
      </c>
      <c r="C82" s="1">
        <f ca="1">RANDBETWEEN(25,50)</f>
        <v>33</v>
      </c>
      <c r="D82">
        <f ca="1">RANDBETWEEN(1,6)</f>
        <v>4</v>
      </c>
      <c r="E82" t="str">
        <f ca="1">VLOOKUP(D82,$W$5:$X$10,2)</f>
        <v>Technology</v>
      </c>
      <c r="F82">
        <f ca="1">RANDBETWEEN(1,5)</f>
        <v>5</v>
      </c>
      <c r="G82" t="str">
        <f ca="1">VLOOKUP(F82,$Y$5:$Z$9,2)</f>
        <v>Other</v>
      </c>
      <c r="H82">
        <f ca="1">RANDBETWEEN(0,4)</f>
        <v>1</v>
      </c>
      <c r="I82">
        <f ca="1">RANDBETWEEN(1,3)</f>
        <v>1</v>
      </c>
      <c r="J82">
        <f ca="1">RANDBETWEEN(30000,100000)</f>
        <v>95421</v>
      </c>
      <c r="K82">
        <f ca="1">RANDBETWEEN(1,48)</f>
        <v>10</v>
      </c>
      <c r="L82" t="str">
        <f ca="1">VLOOKUP(K82,$AA$5:$AB$52,2)</f>
        <v>Derbyshire</v>
      </c>
      <c r="M82">
        <f ca="1">J82*(RANDBETWEEN(2,5))</f>
        <v>381684</v>
      </c>
      <c r="N82">
        <f ca="1">RAND()*M82</f>
        <v>33458.322847263851</v>
      </c>
      <c r="O82">
        <f ca="1">I82*RAND()*J82</f>
        <v>17109.253846632211</v>
      </c>
      <c r="P82">
        <f ca="1">RANDBETWEEN(0,O82)</f>
        <v>5763</v>
      </c>
      <c r="Q82">
        <f ca="1">RAND()*J82*2</f>
        <v>21890.674798554042</v>
      </c>
      <c r="R82">
        <f ca="1">RAND()*J82*1.5</f>
        <v>59867.119242165783</v>
      </c>
      <c r="S82">
        <f ca="1">J82+R82+O82</f>
        <v>172397.37308879799</v>
      </c>
      <c r="T82">
        <f ca="1">N82+P82+Q82</f>
        <v>61111.997645817893</v>
      </c>
      <c r="U82">
        <f ca="1">S82-T82</f>
        <v>111285.37544298009</v>
      </c>
      <c r="AC82" s="6">
        <f ca="1">IF(Table1[[#This Row],[gender]]="men",1,0)</f>
        <v>1</v>
      </c>
      <c r="AD82">
        <f ca="1">IF(Table1[[#This Row],[gender]]="women",1,0)</f>
        <v>0</v>
      </c>
      <c r="AH82" s="5"/>
      <c r="AJ82" s="6">
        <f ca="1">IF(Table1[[#This Row],[Column1]]="Health",1,0)</f>
        <v>0</v>
      </c>
      <c r="AK82">
        <f ca="1">IF(Table1[[#This Row],[Column1]]="Construction",1,0)</f>
        <v>0</v>
      </c>
      <c r="AL82">
        <f ca="1">IF(Table1[[#This Row],[Column1]]="Technology",1,0)</f>
        <v>1</v>
      </c>
      <c r="AM82">
        <f ca="1">IF(Table1[[#This Row],[Column1]]="Education",1,0)</f>
        <v>0</v>
      </c>
      <c r="AN82">
        <f ca="1">IF(Table1[[#This Row],[Column1]]="Agriculture",1,0)</f>
        <v>0</v>
      </c>
      <c r="AO82">
        <f ca="1">IF(Table1[[#This Row],[Column1]]="Social Service", 1, 0)</f>
        <v>0</v>
      </c>
      <c r="AT82" s="5"/>
      <c r="AV82" s="17">
        <f t="shared" ca="1" si="3"/>
        <v>16431.705877300996</v>
      </c>
      <c r="AW82" s="5"/>
      <c r="AX82" s="6">
        <f ca="1">IF(Table1[[#This Row],[Value of Debts]]&gt;$AY$4,1,0)</f>
        <v>0</v>
      </c>
      <c r="AY82" s="20"/>
      <c r="AZ82" s="20"/>
      <c r="BA82" s="5"/>
      <c r="BB82" s="25">
        <f ca="1">Table1[[#This Row],[Mortage Left]]/Table1[[#This Row],[Value of House]]</f>
        <v>8.7659746930088378E-2</v>
      </c>
      <c r="BC82" s="20">
        <f t="shared" ca="1" si="5"/>
        <v>1</v>
      </c>
      <c r="BD82" s="20"/>
      <c r="BE82" s="20"/>
      <c r="BF82" s="20"/>
      <c r="BG82" s="6">
        <f ca="1">IF(Table1[[#This Row],[County]]="Cumbria",Table1[[#This Row],[income]],0)</f>
        <v>0</v>
      </c>
      <c r="BH82" s="20">
        <f ca="1">IF(Table1[[#This Row],[County]]="Cheshire",Table1[[#This Row],[income]],0)</f>
        <v>0</v>
      </c>
      <c r="BI82" s="20">
        <f ca="1">IF(Table1[[#This Row],[County]]="Bristol",Table1[[#This Row],[income]],0)</f>
        <v>0</v>
      </c>
      <c r="BJ82" s="20">
        <f ca="1">IF(Table1[[#This Row],[County]]="Surrey",Table1[[#This Row],[income]],0)</f>
        <v>0</v>
      </c>
      <c r="BK82" s="20">
        <f ca="1">IF(Table1[[#This Row],[County]]="Norfolk",Table1[[#This Row],[income]],0)</f>
        <v>0</v>
      </c>
      <c r="BL82" s="20">
        <f ca="1">IF(Table1[[#This Row],[County]]="Lincolnshire",Table1[[#This Row],[income]],0)</f>
        <v>0</v>
      </c>
      <c r="BM82" s="20">
        <f ca="1">IF(Table1[[#This Row],[County]]="Somerset",Table1[[#This Row],[income]],0)</f>
        <v>0</v>
      </c>
      <c r="BN82" s="20">
        <f ca="1">IF(Table1[[#This Row],[County]]="Cambridgeshire",Table1[[#This Row],[income]],0)</f>
        <v>0</v>
      </c>
      <c r="BO82" s="20">
        <f ca="1">IF(Table1[[#This Row],[County]]="South Yorkshire",Table1[[#This Row],[income]],0)</f>
        <v>0</v>
      </c>
      <c r="BP82" s="20">
        <f ca="1">IF(Table1[[#This Row],[County]]="Greater London",Table1[[#This Row],[income]],0)</f>
        <v>0</v>
      </c>
      <c r="BQ82" s="20">
        <f ca="1">IF(Table1[[#This Row],[County]]="Hampshire",Table1[[#This Row],[income]],0)</f>
        <v>0</v>
      </c>
      <c r="BR82" s="20">
        <f ca="1">IF(Table1[[#This Row],[County]]="Gloucestershire",Table1[[#This Row],[income]],0)</f>
        <v>0</v>
      </c>
      <c r="BS82" s="20">
        <f ca="1">IF(Table1[[#This Row],[County]]="West Sussex",Table1[[#This Row],[income]],0)</f>
        <v>0</v>
      </c>
      <c r="BT82" s="20">
        <f ca="1">IF(Table1[[#This Row],[County]]="Devon",Table1[[#This Row],[income]],0)</f>
        <v>0</v>
      </c>
      <c r="BU82" s="20">
        <f ca="1">IF(Table1[[#This Row],[County]]="Berkshire",Table1[[#This Row],[income]],0)</f>
        <v>0</v>
      </c>
      <c r="BV82" s="20">
        <f ca="1">IF(Table1[[#This Row],[County]]="Staffordshire",Table1[[#This Row],[income]],0)</f>
        <v>0</v>
      </c>
      <c r="BW82" s="20">
        <f ca="1">IF(Table1[[#This Row],[County]]="Leicestershire",Table1[[#This Row],[income]],0)</f>
        <v>0</v>
      </c>
      <c r="BX82" s="20">
        <f ca="1">IF(Table1[[#This Row],[County]]="Cornwall",Table1[[#This Row],[income]],0)</f>
        <v>0</v>
      </c>
      <c r="BY82" s="20">
        <f ca="1">IF(Table1[[#This Row],[County]]="Isle of Wight",Table1[[#This Row],[income]],0)</f>
        <v>0</v>
      </c>
      <c r="BZ82" s="20">
        <f ca="1">IF(Table1[[#This Row],[County]]="Surrey",Table1[[#This Row],[income]],0)</f>
        <v>0</v>
      </c>
      <c r="CA82" s="20">
        <f ca="1">IF(Table1[[#This Row],[County]]="Derbyshire",Table1[[#This Row],[income]],0)</f>
        <v>95421</v>
      </c>
      <c r="CB82" s="20">
        <f ca="1">IF(Table1[[#This Row],[County]]="City of London",Table1[[#This Row],[income]],0)</f>
        <v>0</v>
      </c>
      <c r="CC82" s="20">
        <f ca="1">IF(Table1[[#This Row],[County]]="Bedfordshire",Table1[[#This Row],[income]],0)</f>
        <v>0</v>
      </c>
      <c r="CD82" s="20">
        <f ca="1">IF(Table1[[#This Row],[County]]="County Durham",Table1[[#This Row],[income]],0)</f>
        <v>0</v>
      </c>
      <c r="CE82" s="20">
        <f ca="1">IF(Table1[[#This Row],[County]]="East Riding of Yorkshire",Table1[[#This Row],[income]],0)</f>
        <v>0</v>
      </c>
      <c r="CF82" s="20">
        <f ca="1">IF(Table1[[#This Row],[County]]="West Yorkshire",Table1[[#This Row],[income]],0)</f>
        <v>0</v>
      </c>
      <c r="CG82" s="20">
        <f ca="1">IF(Table1[[#This Row],[County]]="Essex",Table1[[#This Row],[income]],0)</f>
        <v>0</v>
      </c>
      <c r="CH82" s="20">
        <f ca="1">IF(Table1[[#This Row],[County]]="East Sussex",Table1[[#This Row],[income]],0)</f>
        <v>0</v>
      </c>
      <c r="CI82" s="20">
        <f ca="1">IF(Table1[[#This Row],[County]]="Greater Manchester",Table1[[#This Row],[income]],0)</f>
        <v>0</v>
      </c>
      <c r="CJ82" s="20">
        <f ca="1">IF(Table1[[#This Row],[County]]="Hertfordshire",Table1[[#This Row],[income]],0)</f>
        <v>0</v>
      </c>
      <c r="CK82" s="20">
        <f ca="1">IF(Table1[[#This Row],[County]]="Herefordshire",Table1[[#This Row],[income]],0)</f>
        <v>0</v>
      </c>
      <c r="CL82" s="20">
        <f ca="1">IF(Table1[[#This Row],[County]]="Lancashire",Table1[[#This Row],[income]],0)</f>
        <v>0</v>
      </c>
      <c r="CM82" s="20">
        <f ca="1">IF(Table1[[#This Row],[County]]="Merseyside",Table1[[#This Row],[income]],0)</f>
        <v>0</v>
      </c>
      <c r="CN82" s="20">
        <f ca="1">IF(Table1[[#This Row],[County]]="Northamptonshire",Table1[[#This Row],[income]],0)</f>
        <v>0</v>
      </c>
      <c r="CO82" s="20">
        <f ca="1">IF(Table1[[#This Row],[County]]="Northumberland",Table1[[#This Row],[income]],0)</f>
        <v>0</v>
      </c>
      <c r="CP82" s="20">
        <f ca="1">IF(Table1[[#This Row],[County]]="Wiltshire",Table1[[#This Row],[income]],0)</f>
        <v>0</v>
      </c>
      <c r="CQ82" s="20">
        <f ca="1">IF(Table1[[#This Row],[County]]="West Midlands",Table1[[#This Row],[income]],0)</f>
        <v>0</v>
      </c>
      <c r="CR82" s="20">
        <f ca="1">IF(Table1[[#This Row],[County]]="Warwickshire",Table1[[#This Row],[income]],0)</f>
        <v>0</v>
      </c>
      <c r="CS82" s="20">
        <f ca="1">IF(Table1[[#This Row],[County]]="Tyne and Wear",Table1[[#This Row],[income]],0)</f>
        <v>0</v>
      </c>
      <c r="CT82" s="20">
        <f ca="1">IF(Table1[[#This Row],[County]]="Worcestershire",Table1[[#This Row],[income]],0)</f>
        <v>0</v>
      </c>
      <c r="CU82" s="20">
        <f ca="1">IF(Table1[[#This Row],[County]]="Rutland",Table1[[#This Row],[income]],0)</f>
        <v>0</v>
      </c>
      <c r="CV82" s="20">
        <f ca="1">IF(Table1[[#This Row],[County]]="Shropshire",Table1[[#This Row],[income]],0)</f>
        <v>0</v>
      </c>
      <c r="CW82" s="20">
        <f ca="1">IF(Table1[[#This Row],[County]]="Dorset",Table1[[#This Row],[income]],0)</f>
        <v>0</v>
      </c>
      <c r="CX82" s="20">
        <f ca="1">IF(Table1[[#This Row],[County]]="Buckinghamshire",Table1[[#This Row],[income]],0)</f>
        <v>0</v>
      </c>
      <c r="CY82" s="20">
        <f ca="1">IF(Table1[[#This Row],[County]]="Suffolk",Table1[[#This Row],[income]],0)</f>
        <v>0</v>
      </c>
      <c r="CZ82" s="20">
        <f ca="1">IF(Table1[[#This Row],[County]]="North Yorkshire",Table1[[#This Row],[income]],0)</f>
        <v>0</v>
      </c>
      <c r="DA82" s="20">
        <f ca="1">IF(Table1[[#This Row],[County]]="Kent",Table1[[#This Row],[income]],0)</f>
        <v>0</v>
      </c>
      <c r="DB82" s="5">
        <f ca="1">IF(Table1[[#This Row],[County]]="Derbyshire",Table1[[#This Row],[income]],0)</f>
        <v>95421</v>
      </c>
      <c r="DD82" s="6">
        <f ca="1">IF(Table1[[#This Row],[Column1]]="Health",Table1[[#This Row],[income]],0)</f>
        <v>0</v>
      </c>
      <c r="DE82" s="20">
        <f ca="1">IF(Table1[[#This Row],[Column1]]="Agriculture",Table1[[#This Row],[income]],0)</f>
        <v>0</v>
      </c>
      <c r="DF82" s="20">
        <f ca="1">IF(Table1[[#This Row],[Column1]]="Technology",Table1[[#This Row],[income]],0)</f>
        <v>95421</v>
      </c>
      <c r="DG82" s="20">
        <f ca="1">IF(Table1[[#This Row],[Column1]]="Social Service",Table1[[#This Row],[income]],0)</f>
        <v>0</v>
      </c>
      <c r="DH82" s="20">
        <f ca="1">IF(Table1[[#This Row],[Column1]]="Education",Table1[[#This Row],[income]],0)</f>
        <v>0</v>
      </c>
      <c r="DI82" s="5">
        <f ca="1">IF(Table1[[#This Row],[Column1]]="Construction",Table1[[#This Row],[income]],0)</f>
        <v>0</v>
      </c>
      <c r="DK82" s="6">
        <f ca="1">IF(Table1[[#This Row],[Value of Debts]]&gt;Table1[[#This Row],[income]],1,0)</f>
        <v>0</v>
      </c>
      <c r="DL82" s="20"/>
      <c r="DM82" s="20"/>
      <c r="DN82" s="5"/>
      <c r="DP82" s="6">
        <f ca="1">IF(Table1[[#This Row],[Net Worth (£)]]&gt;$DS$5,C82,0)</f>
        <v>33</v>
      </c>
      <c r="DQ82" s="20"/>
      <c r="DR82" s="20"/>
      <c r="DS82" s="5"/>
    </row>
    <row r="83" spans="1:123" x14ac:dyDescent="0.2">
      <c r="A83">
        <f t="shared" ca="1" si="4"/>
        <v>1</v>
      </c>
      <c r="B83" s="1" t="str">
        <f ca="1">IF(A83=1, "men", "women")</f>
        <v>men</v>
      </c>
      <c r="C83" s="1">
        <f ca="1">RANDBETWEEN(25,50)</f>
        <v>37</v>
      </c>
      <c r="D83">
        <f ca="1">RANDBETWEEN(1,6)</f>
        <v>1</v>
      </c>
      <c r="E83" t="str">
        <f ca="1">VLOOKUP(D83,$W$5:$X$10,2)</f>
        <v>Health</v>
      </c>
      <c r="F83">
        <f ca="1">RANDBETWEEN(1,5)</f>
        <v>4</v>
      </c>
      <c r="G83" t="str">
        <f ca="1">VLOOKUP(F83,$Y$5:$Z$9,2)</f>
        <v xml:space="preserve">Technical </v>
      </c>
      <c r="H83">
        <f ca="1">RANDBETWEEN(0,4)</f>
        <v>1</v>
      </c>
      <c r="I83">
        <f ca="1">RANDBETWEEN(1,3)</f>
        <v>1</v>
      </c>
      <c r="J83">
        <f ca="1">RANDBETWEEN(30000,100000)</f>
        <v>30207</v>
      </c>
      <c r="K83">
        <f ca="1">RANDBETWEEN(1,48)</f>
        <v>12</v>
      </c>
      <c r="L83" t="str">
        <f ca="1">VLOOKUP(K83,$AA$5:$AB$52,2)</f>
        <v>Dorset</v>
      </c>
      <c r="M83">
        <f ca="1">J83*(RANDBETWEEN(2,5))</f>
        <v>151035</v>
      </c>
      <c r="N83">
        <f ca="1">RAND()*M83</f>
        <v>38655.837973578295</v>
      </c>
      <c r="O83">
        <f ca="1">I83*RAND()*J83</f>
        <v>16431.705877300996</v>
      </c>
      <c r="P83">
        <f ca="1">RANDBETWEEN(0,O83)</f>
        <v>8487</v>
      </c>
      <c r="Q83">
        <f ca="1">RAND()*J83*2</f>
        <v>45304.403367670515</v>
      </c>
      <c r="R83">
        <f ca="1">RAND()*J83*1.5</f>
        <v>11770.350811605833</v>
      </c>
      <c r="S83">
        <f ca="1">J83+R83+O83</f>
        <v>58409.056688906829</v>
      </c>
      <c r="T83">
        <f ca="1">N83+P83+Q83</f>
        <v>92447.241341248809</v>
      </c>
      <c r="U83">
        <f ca="1">S83-T83</f>
        <v>-34038.184652341981</v>
      </c>
      <c r="AC83" s="6">
        <f ca="1">IF(Table1[[#This Row],[gender]]="men",1,0)</f>
        <v>1</v>
      </c>
      <c r="AD83">
        <f ca="1">IF(Table1[[#This Row],[gender]]="women",1,0)</f>
        <v>0</v>
      </c>
      <c r="AH83" s="5"/>
      <c r="AJ83" s="6">
        <f ca="1">IF(Table1[[#This Row],[Column1]]="Health",1,0)</f>
        <v>1</v>
      </c>
      <c r="AK83">
        <f ca="1">IF(Table1[[#This Row],[Column1]]="Construction",1,0)</f>
        <v>0</v>
      </c>
      <c r="AL83">
        <f ca="1">IF(Table1[[#This Row],[Column1]]="Technology",1,0)</f>
        <v>0</v>
      </c>
      <c r="AM83">
        <f ca="1">IF(Table1[[#This Row],[Column1]]="Education",1,0)</f>
        <v>0</v>
      </c>
      <c r="AN83">
        <f ca="1">IF(Table1[[#This Row],[Column1]]="Agriculture",1,0)</f>
        <v>0</v>
      </c>
      <c r="AO83">
        <f ca="1">IF(Table1[[#This Row],[Column1]]="Social Service", 1, 0)</f>
        <v>0</v>
      </c>
      <c r="AT83" s="5"/>
      <c r="AV83" s="17">
        <f t="shared" ca="1" si="3"/>
        <v>26137.060362988363</v>
      </c>
      <c r="AW83" s="5"/>
      <c r="AX83" s="6">
        <f ca="1">IF(Table1[[#This Row],[Value of Debts]]&gt;$AY$4,1,0)</f>
        <v>0</v>
      </c>
      <c r="AY83" s="20"/>
      <c r="AZ83" s="20"/>
      <c r="BA83" s="5"/>
      <c r="BB83" s="25">
        <f ca="1">Table1[[#This Row],[Mortage Left]]/Table1[[#This Row],[Value of House]]</f>
        <v>0.25593960322824705</v>
      </c>
      <c r="BC83" s="20">
        <f t="shared" ca="1" si="5"/>
        <v>1</v>
      </c>
      <c r="BD83" s="20"/>
      <c r="BE83" s="20"/>
      <c r="BF83" s="20"/>
      <c r="BG83" s="6">
        <f ca="1">IF(Table1[[#This Row],[County]]="Cumbria",Table1[[#This Row],[income]],0)</f>
        <v>0</v>
      </c>
      <c r="BH83" s="20">
        <f ca="1">IF(Table1[[#This Row],[County]]="Cheshire",Table1[[#This Row],[income]],0)</f>
        <v>0</v>
      </c>
      <c r="BI83" s="20">
        <f ca="1">IF(Table1[[#This Row],[County]]="Bristol",Table1[[#This Row],[income]],0)</f>
        <v>0</v>
      </c>
      <c r="BJ83" s="20">
        <f ca="1">IF(Table1[[#This Row],[County]]="Surrey",Table1[[#This Row],[income]],0)</f>
        <v>0</v>
      </c>
      <c r="BK83" s="20">
        <f ca="1">IF(Table1[[#This Row],[County]]="Norfolk",Table1[[#This Row],[income]],0)</f>
        <v>0</v>
      </c>
      <c r="BL83" s="20">
        <f ca="1">IF(Table1[[#This Row],[County]]="Lincolnshire",Table1[[#This Row],[income]],0)</f>
        <v>0</v>
      </c>
      <c r="BM83" s="20">
        <f ca="1">IF(Table1[[#This Row],[County]]="Somerset",Table1[[#This Row],[income]],0)</f>
        <v>0</v>
      </c>
      <c r="BN83" s="20">
        <f ca="1">IF(Table1[[#This Row],[County]]="Cambridgeshire",Table1[[#This Row],[income]],0)</f>
        <v>0</v>
      </c>
      <c r="BO83" s="20">
        <f ca="1">IF(Table1[[#This Row],[County]]="South Yorkshire",Table1[[#This Row],[income]],0)</f>
        <v>0</v>
      </c>
      <c r="BP83" s="20">
        <f ca="1">IF(Table1[[#This Row],[County]]="Greater London",Table1[[#This Row],[income]],0)</f>
        <v>0</v>
      </c>
      <c r="BQ83" s="20">
        <f ca="1">IF(Table1[[#This Row],[County]]="Hampshire",Table1[[#This Row],[income]],0)</f>
        <v>0</v>
      </c>
      <c r="BR83" s="20">
        <f ca="1">IF(Table1[[#This Row],[County]]="Gloucestershire",Table1[[#This Row],[income]],0)</f>
        <v>0</v>
      </c>
      <c r="BS83" s="20">
        <f ca="1">IF(Table1[[#This Row],[County]]="West Sussex",Table1[[#This Row],[income]],0)</f>
        <v>0</v>
      </c>
      <c r="BT83" s="20">
        <f ca="1">IF(Table1[[#This Row],[County]]="Devon",Table1[[#This Row],[income]],0)</f>
        <v>0</v>
      </c>
      <c r="BU83" s="20">
        <f ca="1">IF(Table1[[#This Row],[County]]="Berkshire",Table1[[#This Row],[income]],0)</f>
        <v>0</v>
      </c>
      <c r="BV83" s="20">
        <f ca="1">IF(Table1[[#This Row],[County]]="Staffordshire",Table1[[#This Row],[income]],0)</f>
        <v>0</v>
      </c>
      <c r="BW83" s="20">
        <f ca="1">IF(Table1[[#This Row],[County]]="Leicestershire",Table1[[#This Row],[income]],0)</f>
        <v>0</v>
      </c>
      <c r="BX83" s="20">
        <f ca="1">IF(Table1[[#This Row],[County]]="Cornwall",Table1[[#This Row],[income]],0)</f>
        <v>0</v>
      </c>
      <c r="BY83" s="20">
        <f ca="1">IF(Table1[[#This Row],[County]]="Isle of Wight",Table1[[#This Row],[income]],0)</f>
        <v>0</v>
      </c>
      <c r="BZ83" s="20">
        <f ca="1">IF(Table1[[#This Row],[County]]="Surrey",Table1[[#This Row],[income]],0)</f>
        <v>0</v>
      </c>
      <c r="CA83" s="20">
        <f ca="1">IF(Table1[[#This Row],[County]]="Derbyshire",Table1[[#This Row],[income]],0)</f>
        <v>0</v>
      </c>
      <c r="CB83" s="20">
        <f ca="1">IF(Table1[[#This Row],[County]]="City of London",Table1[[#This Row],[income]],0)</f>
        <v>0</v>
      </c>
      <c r="CC83" s="20">
        <f ca="1">IF(Table1[[#This Row],[County]]="Bedfordshire",Table1[[#This Row],[income]],0)</f>
        <v>0</v>
      </c>
      <c r="CD83" s="20">
        <f ca="1">IF(Table1[[#This Row],[County]]="County Durham",Table1[[#This Row],[income]],0)</f>
        <v>0</v>
      </c>
      <c r="CE83" s="20">
        <f ca="1">IF(Table1[[#This Row],[County]]="East Riding of Yorkshire",Table1[[#This Row],[income]],0)</f>
        <v>0</v>
      </c>
      <c r="CF83" s="20">
        <f ca="1">IF(Table1[[#This Row],[County]]="West Yorkshire",Table1[[#This Row],[income]],0)</f>
        <v>0</v>
      </c>
      <c r="CG83" s="20">
        <f ca="1">IF(Table1[[#This Row],[County]]="Essex",Table1[[#This Row],[income]],0)</f>
        <v>0</v>
      </c>
      <c r="CH83" s="20">
        <f ca="1">IF(Table1[[#This Row],[County]]="East Sussex",Table1[[#This Row],[income]],0)</f>
        <v>0</v>
      </c>
      <c r="CI83" s="20">
        <f ca="1">IF(Table1[[#This Row],[County]]="Greater Manchester",Table1[[#This Row],[income]],0)</f>
        <v>0</v>
      </c>
      <c r="CJ83" s="20">
        <f ca="1">IF(Table1[[#This Row],[County]]="Hertfordshire",Table1[[#This Row],[income]],0)</f>
        <v>0</v>
      </c>
      <c r="CK83" s="20">
        <f ca="1">IF(Table1[[#This Row],[County]]="Herefordshire",Table1[[#This Row],[income]],0)</f>
        <v>0</v>
      </c>
      <c r="CL83" s="20">
        <f ca="1">IF(Table1[[#This Row],[County]]="Lancashire",Table1[[#This Row],[income]],0)</f>
        <v>0</v>
      </c>
      <c r="CM83" s="20">
        <f ca="1">IF(Table1[[#This Row],[County]]="Merseyside",Table1[[#This Row],[income]],0)</f>
        <v>0</v>
      </c>
      <c r="CN83" s="20">
        <f ca="1">IF(Table1[[#This Row],[County]]="Northamptonshire",Table1[[#This Row],[income]],0)</f>
        <v>0</v>
      </c>
      <c r="CO83" s="20">
        <f ca="1">IF(Table1[[#This Row],[County]]="Northumberland",Table1[[#This Row],[income]],0)</f>
        <v>0</v>
      </c>
      <c r="CP83" s="20">
        <f ca="1">IF(Table1[[#This Row],[County]]="Wiltshire",Table1[[#This Row],[income]],0)</f>
        <v>0</v>
      </c>
      <c r="CQ83" s="20">
        <f ca="1">IF(Table1[[#This Row],[County]]="West Midlands",Table1[[#This Row],[income]],0)</f>
        <v>0</v>
      </c>
      <c r="CR83" s="20">
        <f ca="1">IF(Table1[[#This Row],[County]]="Warwickshire",Table1[[#This Row],[income]],0)</f>
        <v>0</v>
      </c>
      <c r="CS83" s="20">
        <f ca="1">IF(Table1[[#This Row],[County]]="Tyne and Wear",Table1[[#This Row],[income]],0)</f>
        <v>0</v>
      </c>
      <c r="CT83" s="20">
        <f ca="1">IF(Table1[[#This Row],[County]]="Worcestershire",Table1[[#This Row],[income]],0)</f>
        <v>0</v>
      </c>
      <c r="CU83" s="20">
        <f ca="1">IF(Table1[[#This Row],[County]]="Rutland",Table1[[#This Row],[income]],0)</f>
        <v>0</v>
      </c>
      <c r="CV83" s="20">
        <f ca="1">IF(Table1[[#This Row],[County]]="Shropshire",Table1[[#This Row],[income]],0)</f>
        <v>0</v>
      </c>
      <c r="CW83" s="20">
        <f ca="1">IF(Table1[[#This Row],[County]]="Dorset",Table1[[#This Row],[income]],0)</f>
        <v>30207</v>
      </c>
      <c r="CX83" s="20">
        <f ca="1">IF(Table1[[#This Row],[County]]="Buckinghamshire",Table1[[#This Row],[income]],0)</f>
        <v>0</v>
      </c>
      <c r="CY83" s="20">
        <f ca="1">IF(Table1[[#This Row],[County]]="Suffolk",Table1[[#This Row],[income]],0)</f>
        <v>0</v>
      </c>
      <c r="CZ83" s="20">
        <f ca="1">IF(Table1[[#This Row],[County]]="North Yorkshire",Table1[[#This Row],[income]],0)</f>
        <v>0</v>
      </c>
      <c r="DA83" s="20">
        <f ca="1">IF(Table1[[#This Row],[County]]="Kent",Table1[[#This Row],[income]],0)</f>
        <v>0</v>
      </c>
      <c r="DB83" s="5">
        <f ca="1">IF(Table1[[#This Row],[County]]="Derbyshire",Table1[[#This Row],[income]],0)</f>
        <v>0</v>
      </c>
      <c r="DD83" s="6">
        <f ca="1">IF(Table1[[#This Row],[Column1]]="Health",Table1[[#This Row],[income]],0)</f>
        <v>30207</v>
      </c>
      <c r="DE83" s="20">
        <f ca="1">IF(Table1[[#This Row],[Column1]]="Agriculture",Table1[[#This Row],[income]],0)</f>
        <v>0</v>
      </c>
      <c r="DF83" s="20">
        <f ca="1">IF(Table1[[#This Row],[Column1]]="Technology",Table1[[#This Row],[income]],0)</f>
        <v>0</v>
      </c>
      <c r="DG83" s="20">
        <f ca="1">IF(Table1[[#This Row],[Column1]]="Social Service",Table1[[#This Row],[income]],0)</f>
        <v>0</v>
      </c>
      <c r="DH83" s="20">
        <f ca="1">IF(Table1[[#This Row],[Column1]]="Education",Table1[[#This Row],[income]],0)</f>
        <v>0</v>
      </c>
      <c r="DI83" s="5">
        <f ca="1">IF(Table1[[#This Row],[Column1]]="Construction",Table1[[#This Row],[income]],0)</f>
        <v>0</v>
      </c>
      <c r="DK83" s="6">
        <f ca="1">IF(Table1[[#This Row],[Value of Debts]]&gt;Table1[[#This Row],[income]],1,0)</f>
        <v>1</v>
      </c>
      <c r="DL83" s="20"/>
      <c r="DM83" s="20"/>
      <c r="DN83" s="5"/>
      <c r="DP83" s="6">
        <f ca="1">IF(Table1[[#This Row],[Net Worth (£)]]&gt;$DS$5,C83,0)</f>
        <v>0</v>
      </c>
      <c r="DQ83" s="20"/>
      <c r="DR83" s="20"/>
      <c r="DS83" s="5"/>
    </row>
    <row r="84" spans="1:123" x14ac:dyDescent="0.2">
      <c r="A84">
        <f t="shared" ca="1" si="4"/>
        <v>2</v>
      </c>
      <c r="B84" s="1" t="str">
        <f ca="1">IF(A84=1, "men", "women")</f>
        <v>women</v>
      </c>
      <c r="C84" s="1">
        <f ca="1">RANDBETWEEN(25,50)</f>
        <v>28</v>
      </c>
      <c r="D84">
        <f ca="1">RANDBETWEEN(1,6)</f>
        <v>1</v>
      </c>
      <c r="E84" t="str">
        <f ca="1">VLOOKUP(D84,$W$5:$X$10,2)</f>
        <v>Health</v>
      </c>
      <c r="F84">
        <f ca="1">RANDBETWEEN(1,5)</f>
        <v>1</v>
      </c>
      <c r="G84" t="str">
        <f ca="1">VLOOKUP(F84,$Y$5:$Z$9,2)</f>
        <v>High School</v>
      </c>
      <c r="H84">
        <f ca="1">RANDBETWEEN(0,4)</f>
        <v>2</v>
      </c>
      <c r="I84">
        <f ca="1">RANDBETWEEN(1,3)</f>
        <v>2</v>
      </c>
      <c r="J84">
        <f ca="1">RANDBETWEEN(30000,100000)</f>
        <v>73715</v>
      </c>
      <c r="K84">
        <f ca="1">RANDBETWEEN(1,48)</f>
        <v>31</v>
      </c>
      <c r="L84" t="str">
        <f ca="1">VLOOKUP(K84,$AA$5:$AB$52,2)</f>
        <v>Northamptonshire</v>
      </c>
      <c r="M84">
        <f ca="1">J84*(RANDBETWEEN(2,5))</f>
        <v>368575</v>
      </c>
      <c r="N84">
        <f ca="1">RAND()*M84</f>
        <v>364090.97514013131</v>
      </c>
      <c r="O84">
        <f ca="1">I84*RAND()*J84</f>
        <v>52274.120725976725</v>
      </c>
      <c r="P84">
        <f ca="1">RANDBETWEEN(0,O84)</f>
        <v>31854</v>
      </c>
      <c r="Q84">
        <f ca="1">RAND()*J84*2</f>
        <v>104782.75467343077</v>
      </c>
      <c r="R84">
        <f ca="1">RAND()*J84*1.5</f>
        <v>85501.097370308111</v>
      </c>
      <c r="S84">
        <f ca="1">J84+R84+O84</f>
        <v>211490.21809628484</v>
      </c>
      <c r="T84">
        <f ca="1">N84+P84+Q84</f>
        <v>500727.72981356207</v>
      </c>
      <c r="U84">
        <f ca="1">S84-T84</f>
        <v>-289237.51171727723</v>
      </c>
      <c r="AC84" s="6">
        <f ca="1">IF(Table1[[#This Row],[gender]]="men",1,0)</f>
        <v>0</v>
      </c>
      <c r="AD84">
        <f ca="1">IF(Table1[[#This Row],[gender]]="women",1,0)</f>
        <v>1</v>
      </c>
      <c r="AH84" s="5"/>
      <c r="AJ84" s="6">
        <f ca="1">IF(Table1[[#This Row],[Column1]]="Health",1,0)</f>
        <v>1</v>
      </c>
      <c r="AK84">
        <f ca="1">IF(Table1[[#This Row],[Column1]]="Construction",1,0)</f>
        <v>0</v>
      </c>
      <c r="AL84">
        <f ca="1">IF(Table1[[#This Row],[Column1]]="Technology",1,0)</f>
        <v>0</v>
      </c>
      <c r="AM84">
        <f ca="1">IF(Table1[[#This Row],[Column1]]="Education",1,0)</f>
        <v>0</v>
      </c>
      <c r="AN84">
        <f ca="1">IF(Table1[[#This Row],[Column1]]="Agriculture",1,0)</f>
        <v>0</v>
      </c>
      <c r="AO84">
        <f ca="1">IF(Table1[[#This Row],[Column1]]="Social Service", 1, 0)</f>
        <v>0</v>
      </c>
      <c r="AT84" s="5"/>
      <c r="AV84" s="17">
        <f t="shared" ca="1" si="3"/>
        <v>10816.4642288262</v>
      </c>
      <c r="AW84" s="5"/>
      <c r="AX84" s="6">
        <f ca="1">IF(Table1[[#This Row],[Value of Debts]]&gt;$AY$4,1,0)</f>
        <v>1</v>
      </c>
      <c r="AY84" s="20"/>
      <c r="AZ84" s="20"/>
      <c r="BA84" s="5"/>
      <c r="BB84" s="25">
        <f ca="1">Table1[[#This Row],[Mortage Left]]/Table1[[#This Row],[Value of House]]</f>
        <v>0.98783415896393223</v>
      </c>
      <c r="BC84" s="20">
        <f t="shared" ca="1" si="5"/>
        <v>0</v>
      </c>
      <c r="BD84" s="20"/>
      <c r="BE84" s="20"/>
      <c r="BF84" s="20"/>
      <c r="BG84" s="6">
        <f ca="1">IF(Table1[[#This Row],[County]]="Cumbria",Table1[[#This Row],[income]],0)</f>
        <v>0</v>
      </c>
      <c r="BH84" s="20">
        <f ca="1">IF(Table1[[#This Row],[County]]="Cheshire",Table1[[#This Row],[income]],0)</f>
        <v>0</v>
      </c>
      <c r="BI84" s="20">
        <f ca="1">IF(Table1[[#This Row],[County]]="Bristol",Table1[[#This Row],[income]],0)</f>
        <v>0</v>
      </c>
      <c r="BJ84" s="20">
        <f ca="1">IF(Table1[[#This Row],[County]]="Surrey",Table1[[#This Row],[income]],0)</f>
        <v>0</v>
      </c>
      <c r="BK84" s="20">
        <f ca="1">IF(Table1[[#This Row],[County]]="Norfolk",Table1[[#This Row],[income]],0)</f>
        <v>0</v>
      </c>
      <c r="BL84" s="20">
        <f ca="1">IF(Table1[[#This Row],[County]]="Lincolnshire",Table1[[#This Row],[income]],0)</f>
        <v>0</v>
      </c>
      <c r="BM84" s="20">
        <f ca="1">IF(Table1[[#This Row],[County]]="Somerset",Table1[[#This Row],[income]],0)</f>
        <v>0</v>
      </c>
      <c r="BN84" s="20">
        <f ca="1">IF(Table1[[#This Row],[County]]="Cambridgeshire",Table1[[#This Row],[income]],0)</f>
        <v>0</v>
      </c>
      <c r="BO84" s="20">
        <f ca="1">IF(Table1[[#This Row],[County]]="South Yorkshire",Table1[[#This Row],[income]],0)</f>
        <v>0</v>
      </c>
      <c r="BP84" s="20">
        <f ca="1">IF(Table1[[#This Row],[County]]="Greater London",Table1[[#This Row],[income]],0)</f>
        <v>0</v>
      </c>
      <c r="BQ84" s="20">
        <f ca="1">IF(Table1[[#This Row],[County]]="Hampshire",Table1[[#This Row],[income]],0)</f>
        <v>0</v>
      </c>
      <c r="BR84" s="20">
        <f ca="1">IF(Table1[[#This Row],[County]]="Gloucestershire",Table1[[#This Row],[income]],0)</f>
        <v>0</v>
      </c>
      <c r="BS84" s="20">
        <f ca="1">IF(Table1[[#This Row],[County]]="West Sussex",Table1[[#This Row],[income]],0)</f>
        <v>0</v>
      </c>
      <c r="BT84" s="20">
        <f ca="1">IF(Table1[[#This Row],[County]]="Devon",Table1[[#This Row],[income]],0)</f>
        <v>0</v>
      </c>
      <c r="BU84" s="20">
        <f ca="1">IF(Table1[[#This Row],[County]]="Berkshire",Table1[[#This Row],[income]],0)</f>
        <v>0</v>
      </c>
      <c r="BV84" s="20">
        <f ca="1">IF(Table1[[#This Row],[County]]="Staffordshire",Table1[[#This Row],[income]],0)</f>
        <v>0</v>
      </c>
      <c r="BW84" s="20">
        <f ca="1">IF(Table1[[#This Row],[County]]="Leicestershire",Table1[[#This Row],[income]],0)</f>
        <v>0</v>
      </c>
      <c r="BX84" s="20">
        <f ca="1">IF(Table1[[#This Row],[County]]="Cornwall",Table1[[#This Row],[income]],0)</f>
        <v>0</v>
      </c>
      <c r="BY84" s="20">
        <f ca="1">IF(Table1[[#This Row],[County]]="Isle of Wight",Table1[[#This Row],[income]],0)</f>
        <v>0</v>
      </c>
      <c r="BZ84" s="20">
        <f ca="1">IF(Table1[[#This Row],[County]]="Surrey",Table1[[#This Row],[income]],0)</f>
        <v>0</v>
      </c>
      <c r="CA84" s="20">
        <f ca="1">IF(Table1[[#This Row],[County]]="Derbyshire",Table1[[#This Row],[income]],0)</f>
        <v>0</v>
      </c>
      <c r="CB84" s="20">
        <f ca="1">IF(Table1[[#This Row],[County]]="City of London",Table1[[#This Row],[income]],0)</f>
        <v>0</v>
      </c>
      <c r="CC84" s="20">
        <f ca="1">IF(Table1[[#This Row],[County]]="Bedfordshire",Table1[[#This Row],[income]],0)</f>
        <v>0</v>
      </c>
      <c r="CD84" s="20">
        <f ca="1">IF(Table1[[#This Row],[County]]="County Durham",Table1[[#This Row],[income]],0)</f>
        <v>0</v>
      </c>
      <c r="CE84" s="20">
        <f ca="1">IF(Table1[[#This Row],[County]]="East Riding of Yorkshire",Table1[[#This Row],[income]],0)</f>
        <v>0</v>
      </c>
      <c r="CF84" s="20">
        <f ca="1">IF(Table1[[#This Row],[County]]="West Yorkshire",Table1[[#This Row],[income]],0)</f>
        <v>0</v>
      </c>
      <c r="CG84" s="20">
        <f ca="1">IF(Table1[[#This Row],[County]]="Essex",Table1[[#This Row],[income]],0)</f>
        <v>0</v>
      </c>
      <c r="CH84" s="20">
        <f ca="1">IF(Table1[[#This Row],[County]]="East Sussex",Table1[[#This Row],[income]],0)</f>
        <v>0</v>
      </c>
      <c r="CI84" s="20">
        <f ca="1">IF(Table1[[#This Row],[County]]="Greater Manchester",Table1[[#This Row],[income]],0)</f>
        <v>0</v>
      </c>
      <c r="CJ84" s="20">
        <f ca="1">IF(Table1[[#This Row],[County]]="Hertfordshire",Table1[[#This Row],[income]],0)</f>
        <v>0</v>
      </c>
      <c r="CK84" s="20">
        <f ca="1">IF(Table1[[#This Row],[County]]="Herefordshire",Table1[[#This Row],[income]],0)</f>
        <v>0</v>
      </c>
      <c r="CL84" s="20">
        <f ca="1">IF(Table1[[#This Row],[County]]="Lancashire",Table1[[#This Row],[income]],0)</f>
        <v>0</v>
      </c>
      <c r="CM84" s="20">
        <f ca="1">IF(Table1[[#This Row],[County]]="Merseyside",Table1[[#This Row],[income]],0)</f>
        <v>0</v>
      </c>
      <c r="CN84" s="20">
        <f ca="1">IF(Table1[[#This Row],[County]]="Northamptonshire",Table1[[#This Row],[income]],0)</f>
        <v>73715</v>
      </c>
      <c r="CO84" s="20">
        <f ca="1">IF(Table1[[#This Row],[County]]="Northumberland",Table1[[#This Row],[income]],0)</f>
        <v>0</v>
      </c>
      <c r="CP84" s="20">
        <f ca="1">IF(Table1[[#This Row],[County]]="Wiltshire",Table1[[#This Row],[income]],0)</f>
        <v>0</v>
      </c>
      <c r="CQ84" s="20">
        <f ca="1">IF(Table1[[#This Row],[County]]="West Midlands",Table1[[#This Row],[income]],0)</f>
        <v>0</v>
      </c>
      <c r="CR84" s="20">
        <f ca="1">IF(Table1[[#This Row],[County]]="Warwickshire",Table1[[#This Row],[income]],0)</f>
        <v>0</v>
      </c>
      <c r="CS84" s="20">
        <f ca="1">IF(Table1[[#This Row],[County]]="Tyne and Wear",Table1[[#This Row],[income]],0)</f>
        <v>0</v>
      </c>
      <c r="CT84" s="20">
        <f ca="1">IF(Table1[[#This Row],[County]]="Worcestershire",Table1[[#This Row],[income]],0)</f>
        <v>0</v>
      </c>
      <c r="CU84" s="20">
        <f ca="1">IF(Table1[[#This Row],[County]]="Rutland",Table1[[#This Row],[income]],0)</f>
        <v>0</v>
      </c>
      <c r="CV84" s="20">
        <f ca="1">IF(Table1[[#This Row],[County]]="Shropshire",Table1[[#This Row],[income]],0)</f>
        <v>0</v>
      </c>
      <c r="CW84" s="20">
        <f ca="1">IF(Table1[[#This Row],[County]]="Dorset",Table1[[#This Row],[income]],0)</f>
        <v>0</v>
      </c>
      <c r="CX84" s="20">
        <f ca="1">IF(Table1[[#This Row],[County]]="Buckinghamshire",Table1[[#This Row],[income]],0)</f>
        <v>0</v>
      </c>
      <c r="CY84" s="20">
        <f ca="1">IF(Table1[[#This Row],[County]]="Suffolk",Table1[[#This Row],[income]],0)</f>
        <v>0</v>
      </c>
      <c r="CZ84" s="20">
        <f ca="1">IF(Table1[[#This Row],[County]]="North Yorkshire",Table1[[#This Row],[income]],0)</f>
        <v>0</v>
      </c>
      <c r="DA84" s="20">
        <f ca="1">IF(Table1[[#This Row],[County]]="Kent",Table1[[#This Row],[income]],0)</f>
        <v>0</v>
      </c>
      <c r="DB84" s="5">
        <f ca="1">IF(Table1[[#This Row],[County]]="Derbyshire",Table1[[#This Row],[income]],0)</f>
        <v>0</v>
      </c>
      <c r="DD84" s="6">
        <f ca="1">IF(Table1[[#This Row],[Column1]]="Health",Table1[[#This Row],[income]],0)</f>
        <v>73715</v>
      </c>
      <c r="DE84" s="20">
        <f ca="1">IF(Table1[[#This Row],[Column1]]="Agriculture",Table1[[#This Row],[income]],0)</f>
        <v>0</v>
      </c>
      <c r="DF84" s="20">
        <f ca="1">IF(Table1[[#This Row],[Column1]]="Technology",Table1[[#This Row],[income]],0)</f>
        <v>0</v>
      </c>
      <c r="DG84" s="20">
        <f ca="1">IF(Table1[[#This Row],[Column1]]="Social Service",Table1[[#This Row],[income]],0)</f>
        <v>0</v>
      </c>
      <c r="DH84" s="20">
        <f ca="1">IF(Table1[[#This Row],[Column1]]="Education",Table1[[#This Row],[income]],0)</f>
        <v>0</v>
      </c>
      <c r="DI84" s="5">
        <f ca="1">IF(Table1[[#This Row],[Column1]]="Construction",Table1[[#This Row],[income]],0)</f>
        <v>0</v>
      </c>
      <c r="DK84" s="6">
        <f ca="1">IF(Table1[[#This Row],[Value of Debts]]&gt;Table1[[#This Row],[income]],1,0)</f>
        <v>1</v>
      </c>
      <c r="DL84" s="20"/>
      <c r="DM84" s="20"/>
      <c r="DN84" s="5"/>
      <c r="DP84" s="6">
        <f ca="1">IF(Table1[[#This Row],[Net Worth (£)]]&gt;$DS$5,C84,0)</f>
        <v>0</v>
      </c>
      <c r="DQ84" s="20"/>
      <c r="DR84" s="20"/>
      <c r="DS84" s="5"/>
    </row>
    <row r="85" spans="1:123" x14ac:dyDescent="0.2">
      <c r="A85">
        <f t="shared" ca="1" si="4"/>
        <v>2</v>
      </c>
      <c r="B85" s="1" t="str">
        <f ca="1">IF(A85=1, "men", "women")</f>
        <v>women</v>
      </c>
      <c r="C85" s="1">
        <f ca="1">RANDBETWEEN(25,50)</f>
        <v>40</v>
      </c>
      <c r="D85">
        <f ca="1">RANDBETWEEN(1,6)</f>
        <v>5</v>
      </c>
      <c r="E85" t="str">
        <f ca="1">VLOOKUP(D85,$W$5:$X$10,2)</f>
        <v>Social Service</v>
      </c>
      <c r="F85">
        <f ca="1">RANDBETWEEN(1,5)</f>
        <v>2</v>
      </c>
      <c r="G85" t="str">
        <f ca="1">VLOOKUP(F85,$Y$5:$Z$9,2)</f>
        <v>College</v>
      </c>
      <c r="H85">
        <f ca="1">RANDBETWEEN(0,4)</f>
        <v>4</v>
      </c>
      <c r="I85">
        <f ca="1">RANDBETWEEN(1,3)</f>
        <v>2</v>
      </c>
      <c r="J85">
        <f ca="1">RANDBETWEEN(30000,100000)</f>
        <v>44889</v>
      </c>
      <c r="K85">
        <f ca="1">RANDBETWEEN(1,48)</f>
        <v>23</v>
      </c>
      <c r="L85" t="str">
        <f ca="1">VLOOKUP(K85,$AA$5:$AB$52,2)</f>
        <v>Isle of Wight</v>
      </c>
      <c r="M85">
        <f ca="1">J85*(RANDBETWEEN(2,5))</f>
        <v>179556</v>
      </c>
      <c r="N85">
        <f ca="1">RAND()*M85</f>
        <v>8401.0974113598804</v>
      </c>
      <c r="O85">
        <f ca="1">I85*RAND()*J85</f>
        <v>21632.928457652401</v>
      </c>
      <c r="P85">
        <f ca="1">RANDBETWEEN(0,O85)</f>
        <v>21602</v>
      </c>
      <c r="Q85">
        <f ca="1">RAND()*J85*2</f>
        <v>84476.890164172277</v>
      </c>
      <c r="R85">
        <f ca="1">RAND()*J85*1.5</f>
        <v>17059.535976110838</v>
      </c>
      <c r="S85">
        <f ca="1">J85+R85+O85</f>
        <v>83581.464433763234</v>
      </c>
      <c r="T85">
        <f ca="1">N85+P85+Q85</f>
        <v>114479.98757553216</v>
      </c>
      <c r="U85">
        <f ca="1">S85-T85</f>
        <v>-30898.523141768921</v>
      </c>
      <c r="AC85" s="6">
        <f ca="1">IF(Table1[[#This Row],[gender]]="men",1,0)</f>
        <v>0</v>
      </c>
      <c r="AD85">
        <f ca="1">IF(Table1[[#This Row],[gender]]="women",1,0)</f>
        <v>1</v>
      </c>
      <c r="AH85" s="5"/>
      <c r="AJ85" s="6">
        <f ca="1">IF(Table1[[#This Row],[Column1]]="Health",1,0)</f>
        <v>0</v>
      </c>
      <c r="AK85">
        <f ca="1">IF(Table1[[#This Row],[Column1]]="Construction",1,0)</f>
        <v>0</v>
      </c>
      <c r="AL85">
        <f ca="1">IF(Table1[[#This Row],[Column1]]="Technology",1,0)</f>
        <v>0</v>
      </c>
      <c r="AM85">
        <f ca="1">IF(Table1[[#This Row],[Column1]]="Education",1,0)</f>
        <v>0</v>
      </c>
      <c r="AN85">
        <f ca="1">IF(Table1[[#This Row],[Column1]]="Agriculture",1,0)</f>
        <v>0</v>
      </c>
      <c r="AO85">
        <f ca="1">IF(Table1[[#This Row],[Column1]]="Social Service", 1, 0)</f>
        <v>1</v>
      </c>
      <c r="AT85" s="5"/>
      <c r="AV85" s="17">
        <f t="shared" ca="1" si="3"/>
        <v>24680.123776076678</v>
      </c>
      <c r="AW85" s="5"/>
      <c r="AX85" s="6">
        <f ca="1">IF(Table1[[#This Row],[Value of Debts]]&gt;$AY$4,1,0)</f>
        <v>1</v>
      </c>
      <c r="AY85" s="20"/>
      <c r="AZ85" s="20"/>
      <c r="BA85" s="5"/>
      <c r="BB85" s="25">
        <f ca="1">Table1[[#This Row],[Mortage Left]]/Table1[[#This Row],[Value of House]]</f>
        <v>4.6788174226201747E-2</v>
      </c>
      <c r="BC85" s="20">
        <f t="shared" ca="1" si="5"/>
        <v>1</v>
      </c>
      <c r="BD85" s="20"/>
      <c r="BE85" s="20"/>
      <c r="BF85" s="20"/>
      <c r="BG85" s="6">
        <f ca="1">IF(Table1[[#This Row],[County]]="Cumbria",Table1[[#This Row],[income]],0)</f>
        <v>0</v>
      </c>
      <c r="BH85" s="20">
        <f ca="1">IF(Table1[[#This Row],[County]]="Cheshire",Table1[[#This Row],[income]],0)</f>
        <v>0</v>
      </c>
      <c r="BI85" s="20">
        <f ca="1">IF(Table1[[#This Row],[County]]="Bristol",Table1[[#This Row],[income]],0)</f>
        <v>0</v>
      </c>
      <c r="BJ85" s="20">
        <f ca="1">IF(Table1[[#This Row],[County]]="Surrey",Table1[[#This Row],[income]],0)</f>
        <v>0</v>
      </c>
      <c r="BK85" s="20">
        <f ca="1">IF(Table1[[#This Row],[County]]="Norfolk",Table1[[#This Row],[income]],0)</f>
        <v>0</v>
      </c>
      <c r="BL85" s="20">
        <f ca="1">IF(Table1[[#This Row],[County]]="Lincolnshire",Table1[[#This Row],[income]],0)</f>
        <v>0</v>
      </c>
      <c r="BM85" s="20">
        <f ca="1">IF(Table1[[#This Row],[County]]="Somerset",Table1[[#This Row],[income]],0)</f>
        <v>0</v>
      </c>
      <c r="BN85" s="20">
        <f ca="1">IF(Table1[[#This Row],[County]]="Cambridgeshire",Table1[[#This Row],[income]],0)</f>
        <v>0</v>
      </c>
      <c r="BO85" s="20">
        <f ca="1">IF(Table1[[#This Row],[County]]="South Yorkshire",Table1[[#This Row],[income]],0)</f>
        <v>0</v>
      </c>
      <c r="BP85" s="20">
        <f ca="1">IF(Table1[[#This Row],[County]]="Greater London",Table1[[#This Row],[income]],0)</f>
        <v>0</v>
      </c>
      <c r="BQ85" s="20">
        <f ca="1">IF(Table1[[#This Row],[County]]="Hampshire",Table1[[#This Row],[income]],0)</f>
        <v>0</v>
      </c>
      <c r="BR85" s="20">
        <f ca="1">IF(Table1[[#This Row],[County]]="Gloucestershire",Table1[[#This Row],[income]],0)</f>
        <v>0</v>
      </c>
      <c r="BS85" s="20">
        <f ca="1">IF(Table1[[#This Row],[County]]="West Sussex",Table1[[#This Row],[income]],0)</f>
        <v>0</v>
      </c>
      <c r="BT85" s="20">
        <f ca="1">IF(Table1[[#This Row],[County]]="Devon",Table1[[#This Row],[income]],0)</f>
        <v>0</v>
      </c>
      <c r="BU85" s="20">
        <f ca="1">IF(Table1[[#This Row],[County]]="Berkshire",Table1[[#This Row],[income]],0)</f>
        <v>0</v>
      </c>
      <c r="BV85" s="20">
        <f ca="1">IF(Table1[[#This Row],[County]]="Staffordshire",Table1[[#This Row],[income]],0)</f>
        <v>0</v>
      </c>
      <c r="BW85" s="20">
        <f ca="1">IF(Table1[[#This Row],[County]]="Leicestershire",Table1[[#This Row],[income]],0)</f>
        <v>0</v>
      </c>
      <c r="BX85" s="20">
        <f ca="1">IF(Table1[[#This Row],[County]]="Cornwall",Table1[[#This Row],[income]],0)</f>
        <v>0</v>
      </c>
      <c r="BY85" s="20">
        <f ca="1">IF(Table1[[#This Row],[County]]="Isle of Wight",Table1[[#This Row],[income]],0)</f>
        <v>44889</v>
      </c>
      <c r="BZ85" s="20">
        <f ca="1">IF(Table1[[#This Row],[County]]="Surrey",Table1[[#This Row],[income]],0)</f>
        <v>0</v>
      </c>
      <c r="CA85" s="20">
        <f ca="1">IF(Table1[[#This Row],[County]]="Derbyshire",Table1[[#This Row],[income]],0)</f>
        <v>0</v>
      </c>
      <c r="CB85" s="20">
        <f ca="1">IF(Table1[[#This Row],[County]]="City of London",Table1[[#This Row],[income]],0)</f>
        <v>0</v>
      </c>
      <c r="CC85" s="20">
        <f ca="1">IF(Table1[[#This Row],[County]]="Bedfordshire",Table1[[#This Row],[income]],0)</f>
        <v>0</v>
      </c>
      <c r="CD85" s="20">
        <f ca="1">IF(Table1[[#This Row],[County]]="County Durham",Table1[[#This Row],[income]],0)</f>
        <v>0</v>
      </c>
      <c r="CE85" s="20">
        <f ca="1">IF(Table1[[#This Row],[County]]="East Riding of Yorkshire",Table1[[#This Row],[income]],0)</f>
        <v>0</v>
      </c>
      <c r="CF85" s="20">
        <f ca="1">IF(Table1[[#This Row],[County]]="West Yorkshire",Table1[[#This Row],[income]],0)</f>
        <v>0</v>
      </c>
      <c r="CG85" s="20">
        <f ca="1">IF(Table1[[#This Row],[County]]="Essex",Table1[[#This Row],[income]],0)</f>
        <v>0</v>
      </c>
      <c r="CH85" s="20">
        <f ca="1">IF(Table1[[#This Row],[County]]="East Sussex",Table1[[#This Row],[income]],0)</f>
        <v>0</v>
      </c>
      <c r="CI85" s="20">
        <f ca="1">IF(Table1[[#This Row],[County]]="Greater Manchester",Table1[[#This Row],[income]],0)</f>
        <v>0</v>
      </c>
      <c r="CJ85" s="20">
        <f ca="1">IF(Table1[[#This Row],[County]]="Hertfordshire",Table1[[#This Row],[income]],0)</f>
        <v>0</v>
      </c>
      <c r="CK85" s="20">
        <f ca="1">IF(Table1[[#This Row],[County]]="Herefordshire",Table1[[#This Row],[income]],0)</f>
        <v>0</v>
      </c>
      <c r="CL85" s="20">
        <f ca="1">IF(Table1[[#This Row],[County]]="Lancashire",Table1[[#This Row],[income]],0)</f>
        <v>0</v>
      </c>
      <c r="CM85" s="20">
        <f ca="1">IF(Table1[[#This Row],[County]]="Merseyside",Table1[[#This Row],[income]],0)</f>
        <v>0</v>
      </c>
      <c r="CN85" s="20">
        <f ca="1">IF(Table1[[#This Row],[County]]="Northamptonshire",Table1[[#This Row],[income]],0)</f>
        <v>0</v>
      </c>
      <c r="CO85" s="20">
        <f ca="1">IF(Table1[[#This Row],[County]]="Northumberland",Table1[[#This Row],[income]],0)</f>
        <v>0</v>
      </c>
      <c r="CP85" s="20">
        <f ca="1">IF(Table1[[#This Row],[County]]="Wiltshire",Table1[[#This Row],[income]],0)</f>
        <v>0</v>
      </c>
      <c r="CQ85" s="20">
        <f ca="1">IF(Table1[[#This Row],[County]]="West Midlands",Table1[[#This Row],[income]],0)</f>
        <v>0</v>
      </c>
      <c r="CR85" s="20">
        <f ca="1">IF(Table1[[#This Row],[County]]="Warwickshire",Table1[[#This Row],[income]],0)</f>
        <v>0</v>
      </c>
      <c r="CS85" s="20">
        <f ca="1">IF(Table1[[#This Row],[County]]="Tyne and Wear",Table1[[#This Row],[income]],0)</f>
        <v>0</v>
      </c>
      <c r="CT85" s="20">
        <f ca="1">IF(Table1[[#This Row],[County]]="Worcestershire",Table1[[#This Row],[income]],0)</f>
        <v>0</v>
      </c>
      <c r="CU85" s="20">
        <f ca="1">IF(Table1[[#This Row],[County]]="Rutland",Table1[[#This Row],[income]],0)</f>
        <v>0</v>
      </c>
      <c r="CV85" s="20">
        <f ca="1">IF(Table1[[#This Row],[County]]="Shropshire",Table1[[#This Row],[income]],0)</f>
        <v>0</v>
      </c>
      <c r="CW85" s="20">
        <f ca="1">IF(Table1[[#This Row],[County]]="Dorset",Table1[[#This Row],[income]],0)</f>
        <v>0</v>
      </c>
      <c r="CX85" s="20">
        <f ca="1">IF(Table1[[#This Row],[County]]="Buckinghamshire",Table1[[#This Row],[income]],0)</f>
        <v>0</v>
      </c>
      <c r="CY85" s="20">
        <f ca="1">IF(Table1[[#This Row],[County]]="Suffolk",Table1[[#This Row],[income]],0)</f>
        <v>0</v>
      </c>
      <c r="CZ85" s="20">
        <f ca="1">IF(Table1[[#This Row],[County]]="North Yorkshire",Table1[[#This Row],[income]],0)</f>
        <v>0</v>
      </c>
      <c r="DA85" s="20">
        <f ca="1">IF(Table1[[#This Row],[County]]="Kent",Table1[[#This Row],[income]],0)</f>
        <v>0</v>
      </c>
      <c r="DB85" s="5">
        <f ca="1">IF(Table1[[#This Row],[County]]="Derbyshire",Table1[[#This Row],[income]],0)</f>
        <v>0</v>
      </c>
      <c r="DD85" s="6">
        <f ca="1">IF(Table1[[#This Row],[Column1]]="Health",Table1[[#This Row],[income]],0)</f>
        <v>0</v>
      </c>
      <c r="DE85" s="20">
        <f ca="1">IF(Table1[[#This Row],[Column1]]="Agriculture",Table1[[#This Row],[income]],0)</f>
        <v>0</v>
      </c>
      <c r="DF85" s="20">
        <f ca="1">IF(Table1[[#This Row],[Column1]]="Technology",Table1[[#This Row],[income]],0)</f>
        <v>0</v>
      </c>
      <c r="DG85" s="20">
        <f ca="1">IF(Table1[[#This Row],[Column1]]="Social Service",Table1[[#This Row],[income]],0)</f>
        <v>44889</v>
      </c>
      <c r="DH85" s="20">
        <f ca="1">IF(Table1[[#This Row],[Column1]]="Education",Table1[[#This Row],[income]],0)</f>
        <v>0</v>
      </c>
      <c r="DI85" s="5">
        <f ca="1">IF(Table1[[#This Row],[Column1]]="Construction",Table1[[#This Row],[income]],0)</f>
        <v>0</v>
      </c>
      <c r="DK85" s="6">
        <f ca="1">IF(Table1[[#This Row],[Value of Debts]]&gt;Table1[[#This Row],[income]],1,0)</f>
        <v>1</v>
      </c>
      <c r="DL85" s="20"/>
      <c r="DM85" s="20"/>
      <c r="DN85" s="5"/>
      <c r="DP85" s="6">
        <f ca="1">IF(Table1[[#This Row],[Net Worth (£)]]&gt;$DS$5,C85,0)</f>
        <v>0</v>
      </c>
      <c r="DQ85" s="20"/>
      <c r="DR85" s="20"/>
      <c r="DS85" s="5"/>
    </row>
    <row r="86" spans="1:123" x14ac:dyDescent="0.2">
      <c r="A86">
        <f t="shared" ca="1" si="4"/>
        <v>2</v>
      </c>
      <c r="B86" s="1" t="str">
        <f ca="1">IF(A86=1, "men", "women")</f>
        <v>women</v>
      </c>
      <c r="C86" s="1">
        <f ca="1">RANDBETWEEN(25,50)</f>
        <v>44</v>
      </c>
      <c r="D86">
        <f ca="1">RANDBETWEEN(1,6)</f>
        <v>3</v>
      </c>
      <c r="E86" t="str">
        <f ca="1">VLOOKUP(D86,$W$5:$X$10,2)</f>
        <v>Education</v>
      </c>
      <c r="F86">
        <f ca="1">RANDBETWEEN(1,5)</f>
        <v>3</v>
      </c>
      <c r="G86" t="str">
        <f ca="1">VLOOKUP(F86,$Y$5:$Z$9,2)</f>
        <v>University</v>
      </c>
      <c r="H86">
        <f ca="1">RANDBETWEEN(0,4)</f>
        <v>4</v>
      </c>
      <c r="I86">
        <f ca="1">RANDBETWEEN(1,3)</f>
        <v>3</v>
      </c>
      <c r="J86">
        <f ca="1">RANDBETWEEN(30000,100000)</f>
        <v>61243</v>
      </c>
      <c r="K86">
        <f ca="1">RANDBETWEEN(1,48)</f>
        <v>46</v>
      </c>
      <c r="L86" t="str">
        <f ca="1">VLOOKUP(K86,$AA$5:$AB$52,2)</f>
        <v>West Yorkshire</v>
      </c>
      <c r="M86">
        <f ca="1">J86*(RANDBETWEEN(2,5))</f>
        <v>306215</v>
      </c>
      <c r="N86">
        <f ca="1">RAND()*M86</f>
        <v>292284.53197805671</v>
      </c>
      <c r="O86">
        <f ca="1">I86*RAND()*J86</f>
        <v>74040.37132823003</v>
      </c>
      <c r="P86">
        <f ca="1">RANDBETWEEN(0,O86)</f>
        <v>73777</v>
      </c>
      <c r="Q86">
        <f ca="1">RAND()*J86*2</f>
        <v>86558.324697458316</v>
      </c>
      <c r="R86">
        <f ca="1">RAND()*J86*1.5</f>
        <v>90680.114142498147</v>
      </c>
      <c r="S86">
        <f ca="1">J86+R86+O86</f>
        <v>225963.48547072819</v>
      </c>
      <c r="T86">
        <f ca="1">N86+P86+Q86</f>
        <v>452619.85667551501</v>
      </c>
      <c r="U86">
        <f ca="1">S86-T86</f>
        <v>-226656.37120478682</v>
      </c>
      <c r="AC86" s="6">
        <f ca="1">IF(Table1[[#This Row],[gender]]="men",1,0)</f>
        <v>0</v>
      </c>
      <c r="AD86">
        <f ca="1">IF(Table1[[#This Row],[gender]]="women",1,0)</f>
        <v>1</v>
      </c>
      <c r="AH86" s="5"/>
      <c r="AJ86" s="6">
        <f ca="1">IF(Table1[[#This Row],[Column1]]="Health",1,0)</f>
        <v>0</v>
      </c>
      <c r="AK86">
        <f ca="1">IF(Table1[[#This Row],[Column1]]="Construction",1,0)</f>
        <v>0</v>
      </c>
      <c r="AL86">
        <f ca="1">IF(Table1[[#This Row],[Column1]]="Technology",1,0)</f>
        <v>0</v>
      </c>
      <c r="AM86">
        <f ca="1">IF(Table1[[#This Row],[Column1]]="Education",1,0)</f>
        <v>1</v>
      </c>
      <c r="AN86">
        <f ca="1">IF(Table1[[#This Row],[Column1]]="Agriculture",1,0)</f>
        <v>0</v>
      </c>
      <c r="AO86">
        <f ca="1">IF(Table1[[#This Row],[Column1]]="Social Service", 1, 0)</f>
        <v>0</v>
      </c>
      <c r="AT86" s="5"/>
      <c r="AV86" s="17">
        <f t="shared" ca="1" si="3"/>
        <v>65604.517623110369</v>
      </c>
      <c r="AW86" s="5"/>
      <c r="AX86" s="6">
        <f ca="1">IF(Table1[[#This Row],[Value of Debts]]&gt;$AY$4,1,0)</f>
        <v>1</v>
      </c>
      <c r="AY86" s="20"/>
      <c r="AZ86" s="20"/>
      <c r="BA86" s="5"/>
      <c r="BB86" s="25">
        <f ca="1">Table1[[#This Row],[Mortage Left]]/Table1[[#This Row],[Value of House]]</f>
        <v>0.95450755834317946</v>
      </c>
      <c r="BC86" s="20">
        <f t="shared" ca="1" si="5"/>
        <v>0</v>
      </c>
      <c r="BD86" s="20"/>
      <c r="BE86" s="20"/>
      <c r="BF86" s="20"/>
      <c r="BG86" s="6">
        <f ca="1">IF(Table1[[#This Row],[County]]="Cumbria",Table1[[#This Row],[income]],0)</f>
        <v>0</v>
      </c>
      <c r="BH86" s="20">
        <f ca="1">IF(Table1[[#This Row],[County]]="Cheshire",Table1[[#This Row],[income]],0)</f>
        <v>0</v>
      </c>
      <c r="BI86" s="20">
        <f ca="1">IF(Table1[[#This Row],[County]]="Bristol",Table1[[#This Row],[income]],0)</f>
        <v>0</v>
      </c>
      <c r="BJ86" s="20">
        <f ca="1">IF(Table1[[#This Row],[County]]="Surrey",Table1[[#This Row],[income]],0)</f>
        <v>0</v>
      </c>
      <c r="BK86" s="20">
        <f ca="1">IF(Table1[[#This Row],[County]]="Norfolk",Table1[[#This Row],[income]],0)</f>
        <v>0</v>
      </c>
      <c r="BL86" s="20">
        <f ca="1">IF(Table1[[#This Row],[County]]="Lincolnshire",Table1[[#This Row],[income]],0)</f>
        <v>0</v>
      </c>
      <c r="BM86" s="20">
        <f ca="1">IF(Table1[[#This Row],[County]]="Somerset",Table1[[#This Row],[income]],0)</f>
        <v>0</v>
      </c>
      <c r="BN86" s="20">
        <f ca="1">IF(Table1[[#This Row],[County]]="Cambridgeshire",Table1[[#This Row],[income]],0)</f>
        <v>0</v>
      </c>
      <c r="BO86" s="20">
        <f ca="1">IF(Table1[[#This Row],[County]]="South Yorkshire",Table1[[#This Row],[income]],0)</f>
        <v>0</v>
      </c>
      <c r="BP86" s="20">
        <f ca="1">IF(Table1[[#This Row],[County]]="Greater London",Table1[[#This Row],[income]],0)</f>
        <v>0</v>
      </c>
      <c r="BQ86" s="20">
        <f ca="1">IF(Table1[[#This Row],[County]]="Hampshire",Table1[[#This Row],[income]],0)</f>
        <v>0</v>
      </c>
      <c r="BR86" s="20">
        <f ca="1">IF(Table1[[#This Row],[County]]="Gloucestershire",Table1[[#This Row],[income]],0)</f>
        <v>0</v>
      </c>
      <c r="BS86" s="20">
        <f ca="1">IF(Table1[[#This Row],[County]]="West Sussex",Table1[[#This Row],[income]],0)</f>
        <v>0</v>
      </c>
      <c r="BT86" s="20">
        <f ca="1">IF(Table1[[#This Row],[County]]="Devon",Table1[[#This Row],[income]],0)</f>
        <v>0</v>
      </c>
      <c r="BU86" s="20">
        <f ca="1">IF(Table1[[#This Row],[County]]="Berkshire",Table1[[#This Row],[income]],0)</f>
        <v>0</v>
      </c>
      <c r="BV86" s="20">
        <f ca="1">IF(Table1[[#This Row],[County]]="Staffordshire",Table1[[#This Row],[income]],0)</f>
        <v>0</v>
      </c>
      <c r="BW86" s="20">
        <f ca="1">IF(Table1[[#This Row],[County]]="Leicestershire",Table1[[#This Row],[income]],0)</f>
        <v>0</v>
      </c>
      <c r="BX86" s="20">
        <f ca="1">IF(Table1[[#This Row],[County]]="Cornwall",Table1[[#This Row],[income]],0)</f>
        <v>0</v>
      </c>
      <c r="BY86" s="20">
        <f ca="1">IF(Table1[[#This Row],[County]]="Isle of Wight",Table1[[#This Row],[income]],0)</f>
        <v>0</v>
      </c>
      <c r="BZ86" s="20">
        <f ca="1">IF(Table1[[#This Row],[County]]="Surrey",Table1[[#This Row],[income]],0)</f>
        <v>0</v>
      </c>
      <c r="CA86" s="20">
        <f ca="1">IF(Table1[[#This Row],[County]]="Derbyshire",Table1[[#This Row],[income]],0)</f>
        <v>0</v>
      </c>
      <c r="CB86" s="20">
        <f ca="1">IF(Table1[[#This Row],[County]]="City of London",Table1[[#This Row],[income]],0)</f>
        <v>0</v>
      </c>
      <c r="CC86" s="20">
        <f ca="1">IF(Table1[[#This Row],[County]]="Bedfordshire",Table1[[#This Row],[income]],0)</f>
        <v>0</v>
      </c>
      <c r="CD86" s="20">
        <f ca="1">IF(Table1[[#This Row],[County]]="County Durham",Table1[[#This Row],[income]],0)</f>
        <v>0</v>
      </c>
      <c r="CE86" s="20">
        <f ca="1">IF(Table1[[#This Row],[County]]="East Riding of Yorkshire",Table1[[#This Row],[income]],0)</f>
        <v>0</v>
      </c>
      <c r="CF86" s="20">
        <f ca="1">IF(Table1[[#This Row],[County]]="West Yorkshire",Table1[[#This Row],[income]],0)</f>
        <v>61243</v>
      </c>
      <c r="CG86" s="20">
        <f ca="1">IF(Table1[[#This Row],[County]]="Essex",Table1[[#This Row],[income]],0)</f>
        <v>0</v>
      </c>
      <c r="CH86" s="20">
        <f ca="1">IF(Table1[[#This Row],[County]]="East Sussex",Table1[[#This Row],[income]],0)</f>
        <v>0</v>
      </c>
      <c r="CI86" s="20">
        <f ca="1">IF(Table1[[#This Row],[County]]="Greater Manchester",Table1[[#This Row],[income]],0)</f>
        <v>0</v>
      </c>
      <c r="CJ86" s="20">
        <f ca="1">IF(Table1[[#This Row],[County]]="Hertfordshire",Table1[[#This Row],[income]],0)</f>
        <v>0</v>
      </c>
      <c r="CK86" s="20">
        <f ca="1">IF(Table1[[#This Row],[County]]="Herefordshire",Table1[[#This Row],[income]],0)</f>
        <v>0</v>
      </c>
      <c r="CL86" s="20">
        <f ca="1">IF(Table1[[#This Row],[County]]="Lancashire",Table1[[#This Row],[income]],0)</f>
        <v>0</v>
      </c>
      <c r="CM86" s="20">
        <f ca="1">IF(Table1[[#This Row],[County]]="Merseyside",Table1[[#This Row],[income]],0)</f>
        <v>0</v>
      </c>
      <c r="CN86" s="20">
        <f ca="1">IF(Table1[[#This Row],[County]]="Northamptonshire",Table1[[#This Row],[income]],0)</f>
        <v>0</v>
      </c>
      <c r="CO86" s="20">
        <f ca="1">IF(Table1[[#This Row],[County]]="Northumberland",Table1[[#This Row],[income]],0)</f>
        <v>0</v>
      </c>
      <c r="CP86" s="20">
        <f ca="1">IF(Table1[[#This Row],[County]]="Wiltshire",Table1[[#This Row],[income]],0)</f>
        <v>0</v>
      </c>
      <c r="CQ86" s="20">
        <f ca="1">IF(Table1[[#This Row],[County]]="West Midlands",Table1[[#This Row],[income]],0)</f>
        <v>0</v>
      </c>
      <c r="CR86" s="20">
        <f ca="1">IF(Table1[[#This Row],[County]]="Warwickshire",Table1[[#This Row],[income]],0)</f>
        <v>0</v>
      </c>
      <c r="CS86" s="20">
        <f ca="1">IF(Table1[[#This Row],[County]]="Tyne and Wear",Table1[[#This Row],[income]],0)</f>
        <v>0</v>
      </c>
      <c r="CT86" s="20">
        <f ca="1">IF(Table1[[#This Row],[County]]="Worcestershire",Table1[[#This Row],[income]],0)</f>
        <v>0</v>
      </c>
      <c r="CU86" s="20">
        <f ca="1">IF(Table1[[#This Row],[County]]="Rutland",Table1[[#This Row],[income]],0)</f>
        <v>0</v>
      </c>
      <c r="CV86" s="20">
        <f ca="1">IF(Table1[[#This Row],[County]]="Shropshire",Table1[[#This Row],[income]],0)</f>
        <v>0</v>
      </c>
      <c r="CW86" s="20">
        <f ca="1">IF(Table1[[#This Row],[County]]="Dorset",Table1[[#This Row],[income]],0)</f>
        <v>0</v>
      </c>
      <c r="CX86" s="20">
        <f ca="1">IF(Table1[[#This Row],[County]]="Buckinghamshire",Table1[[#This Row],[income]],0)</f>
        <v>0</v>
      </c>
      <c r="CY86" s="20">
        <f ca="1">IF(Table1[[#This Row],[County]]="Suffolk",Table1[[#This Row],[income]],0)</f>
        <v>0</v>
      </c>
      <c r="CZ86" s="20">
        <f ca="1">IF(Table1[[#This Row],[County]]="North Yorkshire",Table1[[#This Row],[income]],0)</f>
        <v>0</v>
      </c>
      <c r="DA86" s="20">
        <f ca="1">IF(Table1[[#This Row],[County]]="Kent",Table1[[#This Row],[income]],0)</f>
        <v>0</v>
      </c>
      <c r="DB86" s="5">
        <f ca="1">IF(Table1[[#This Row],[County]]="Derbyshire",Table1[[#This Row],[income]],0)</f>
        <v>0</v>
      </c>
      <c r="DD86" s="6">
        <f ca="1">IF(Table1[[#This Row],[Column1]]="Health",Table1[[#This Row],[income]],0)</f>
        <v>0</v>
      </c>
      <c r="DE86" s="20">
        <f ca="1">IF(Table1[[#This Row],[Column1]]="Agriculture",Table1[[#This Row],[income]],0)</f>
        <v>0</v>
      </c>
      <c r="DF86" s="20">
        <f ca="1">IF(Table1[[#This Row],[Column1]]="Technology",Table1[[#This Row],[income]],0)</f>
        <v>0</v>
      </c>
      <c r="DG86" s="20">
        <f ca="1">IF(Table1[[#This Row],[Column1]]="Social Service",Table1[[#This Row],[income]],0)</f>
        <v>0</v>
      </c>
      <c r="DH86" s="20">
        <f ca="1">IF(Table1[[#This Row],[Column1]]="Education",Table1[[#This Row],[income]],0)</f>
        <v>61243</v>
      </c>
      <c r="DI86" s="5">
        <f ca="1">IF(Table1[[#This Row],[Column1]]="Construction",Table1[[#This Row],[income]],0)</f>
        <v>0</v>
      </c>
      <c r="DK86" s="6">
        <f ca="1">IF(Table1[[#This Row],[Value of Debts]]&gt;Table1[[#This Row],[income]],1,0)</f>
        <v>1</v>
      </c>
      <c r="DL86" s="20"/>
      <c r="DM86" s="20"/>
      <c r="DN86" s="5"/>
      <c r="DP86" s="6">
        <f ca="1">IF(Table1[[#This Row],[Net Worth (£)]]&gt;$DS$5,C86,0)</f>
        <v>0</v>
      </c>
      <c r="DQ86" s="20"/>
      <c r="DR86" s="20"/>
      <c r="DS86" s="5"/>
    </row>
    <row r="87" spans="1:123" x14ac:dyDescent="0.2">
      <c r="A87">
        <f t="shared" ca="1" si="4"/>
        <v>1</v>
      </c>
      <c r="B87" s="1" t="str">
        <f ca="1">IF(A87=1, "men", "women")</f>
        <v>men</v>
      </c>
      <c r="C87" s="1">
        <f ca="1">RANDBETWEEN(25,50)</f>
        <v>47</v>
      </c>
      <c r="D87">
        <f ca="1">RANDBETWEEN(1,6)</f>
        <v>3</v>
      </c>
      <c r="E87" t="str">
        <f ca="1">VLOOKUP(D87,$W$5:$X$10,2)</f>
        <v>Education</v>
      </c>
      <c r="F87">
        <f ca="1">RANDBETWEEN(1,5)</f>
        <v>3</v>
      </c>
      <c r="G87" t="str">
        <f ca="1">VLOOKUP(F87,$Y$5:$Z$9,2)</f>
        <v>University</v>
      </c>
      <c r="H87">
        <f ca="1">RANDBETWEEN(0,4)</f>
        <v>1</v>
      </c>
      <c r="I87">
        <f ca="1">RANDBETWEEN(1,3)</f>
        <v>1</v>
      </c>
      <c r="J87">
        <f ca="1">RANDBETWEEN(30000,100000)</f>
        <v>82720</v>
      </c>
      <c r="K87">
        <f ca="1">RANDBETWEEN(1,48)</f>
        <v>13</v>
      </c>
      <c r="L87" t="str">
        <f ca="1">VLOOKUP(K87,$AA$5:$AB$52,2)</f>
        <v>County Durham</v>
      </c>
      <c r="M87">
        <f ca="1">J87*(RANDBETWEEN(2,5))</f>
        <v>413600</v>
      </c>
      <c r="N87">
        <f ca="1">RAND()*M87</f>
        <v>375158.18396230048</v>
      </c>
      <c r="O87">
        <f ca="1">I87*RAND()*J87</f>
        <v>65604.517623110369</v>
      </c>
      <c r="P87">
        <f ca="1">RANDBETWEEN(0,O87)</f>
        <v>212</v>
      </c>
      <c r="Q87">
        <f ca="1">RAND()*J87*2</f>
        <v>68104.417338117535</v>
      </c>
      <c r="R87">
        <f ca="1">RAND()*J87*1.5</f>
        <v>42626.915549017882</v>
      </c>
      <c r="S87">
        <f ca="1">J87+R87+O87</f>
        <v>190951.43317212825</v>
      </c>
      <c r="T87">
        <f ca="1">N87+P87+Q87</f>
        <v>443474.60130041803</v>
      </c>
      <c r="U87">
        <f ca="1">S87-T87</f>
        <v>-252523.16812828978</v>
      </c>
      <c r="AC87" s="6">
        <f ca="1">IF(Table1[[#This Row],[gender]]="men",1,0)</f>
        <v>1</v>
      </c>
      <c r="AD87">
        <f ca="1">IF(Table1[[#This Row],[gender]]="women",1,0)</f>
        <v>0</v>
      </c>
      <c r="AH87" s="5"/>
      <c r="AJ87" s="6">
        <f ca="1">IF(Table1[[#This Row],[Column1]]="Health",1,0)</f>
        <v>0</v>
      </c>
      <c r="AK87">
        <f ca="1">IF(Table1[[#This Row],[Column1]]="Construction",1,0)</f>
        <v>0</v>
      </c>
      <c r="AL87">
        <f ca="1">IF(Table1[[#This Row],[Column1]]="Technology",1,0)</f>
        <v>0</v>
      </c>
      <c r="AM87">
        <f ca="1">IF(Table1[[#This Row],[Column1]]="Education",1,0)</f>
        <v>1</v>
      </c>
      <c r="AN87">
        <f ca="1">IF(Table1[[#This Row],[Column1]]="Agriculture",1,0)</f>
        <v>0</v>
      </c>
      <c r="AO87">
        <f ca="1">IF(Table1[[#This Row],[Column1]]="Social Service", 1, 0)</f>
        <v>0</v>
      </c>
      <c r="AT87" s="5"/>
      <c r="AV87" s="17">
        <f t="shared" ca="1" si="3"/>
        <v>3441.1456270241333</v>
      </c>
      <c r="AW87" s="5"/>
      <c r="AX87" s="6">
        <f ca="1">IF(Table1[[#This Row],[Value of Debts]]&gt;$AY$4,1,0)</f>
        <v>1</v>
      </c>
      <c r="AY87" s="20"/>
      <c r="AZ87" s="20"/>
      <c r="BA87" s="5"/>
      <c r="BB87" s="25">
        <f ca="1">Table1[[#This Row],[Mortage Left]]/Table1[[#This Row],[Value of House]]</f>
        <v>0.90705557050846342</v>
      </c>
      <c r="BC87" s="20">
        <f t="shared" ca="1" si="5"/>
        <v>0</v>
      </c>
      <c r="BD87" s="20"/>
      <c r="BE87" s="20"/>
      <c r="BF87" s="20"/>
      <c r="BG87" s="6">
        <f ca="1">IF(Table1[[#This Row],[County]]="Cumbria",Table1[[#This Row],[income]],0)</f>
        <v>0</v>
      </c>
      <c r="BH87" s="20">
        <f ca="1">IF(Table1[[#This Row],[County]]="Cheshire",Table1[[#This Row],[income]],0)</f>
        <v>0</v>
      </c>
      <c r="BI87" s="20">
        <f ca="1">IF(Table1[[#This Row],[County]]="Bristol",Table1[[#This Row],[income]],0)</f>
        <v>0</v>
      </c>
      <c r="BJ87" s="20">
        <f ca="1">IF(Table1[[#This Row],[County]]="Surrey",Table1[[#This Row],[income]],0)</f>
        <v>0</v>
      </c>
      <c r="BK87" s="20">
        <f ca="1">IF(Table1[[#This Row],[County]]="Norfolk",Table1[[#This Row],[income]],0)</f>
        <v>0</v>
      </c>
      <c r="BL87" s="20">
        <f ca="1">IF(Table1[[#This Row],[County]]="Lincolnshire",Table1[[#This Row],[income]],0)</f>
        <v>0</v>
      </c>
      <c r="BM87" s="20">
        <f ca="1">IF(Table1[[#This Row],[County]]="Somerset",Table1[[#This Row],[income]],0)</f>
        <v>0</v>
      </c>
      <c r="BN87" s="20">
        <f ca="1">IF(Table1[[#This Row],[County]]="Cambridgeshire",Table1[[#This Row],[income]],0)</f>
        <v>0</v>
      </c>
      <c r="BO87" s="20">
        <f ca="1">IF(Table1[[#This Row],[County]]="South Yorkshire",Table1[[#This Row],[income]],0)</f>
        <v>0</v>
      </c>
      <c r="BP87" s="20">
        <f ca="1">IF(Table1[[#This Row],[County]]="Greater London",Table1[[#This Row],[income]],0)</f>
        <v>0</v>
      </c>
      <c r="BQ87" s="20">
        <f ca="1">IF(Table1[[#This Row],[County]]="Hampshire",Table1[[#This Row],[income]],0)</f>
        <v>0</v>
      </c>
      <c r="BR87" s="20">
        <f ca="1">IF(Table1[[#This Row],[County]]="Gloucestershire",Table1[[#This Row],[income]],0)</f>
        <v>0</v>
      </c>
      <c r="BS87" s="20">
        <f ca="1">IF(Table1[[#This Row],[County]]="West Sussex",Table1[[#This Row],[income]],0)</f>
        <v>0</v>
      </c>
      <c r="BT87" s="20">
        <f ca="1">IF(Table1[[#This Row],[County]]="Devon",Table1[[#This Row],[income]],0)</f>
        <v>0</v>
      </c>
      <c r="BU87" s="20">
        <f ca="1">IF(Table1[[#This Row],[County]]="Berkshire",Table1[[#This Row],[income]],0)</f>
        <v>0</v>
      </c>
      <c r="BV87" s="20">
        <f ca="1">IF(Table1[[#This Row],[County]]="Staffordshire",Table1[[#This Row],[income]],0)</f>
        <v>0</v>
      </c>
      <c r="BW87" s="20">
        <f ca="1">IF(Table1[[#This Row],[County]]="Leicestershire",Table1[[#This Row],[income]],0)</f>
        <v>0</v>
      </c>
      <c r="BX87" s="20">
        <f ca="1">IF(Table1[[#This Row],[County]]="Cornwall",Table1[[#This Row],[income]],0)</f>
        <v>0</v>
      </c>
      <c r="BY87" s="20">
        <f ca="1">IF(Table1[[#This Row],[County]]="Isle of Wight",Table1[[#This Row],[income]],0)</f>
        <v>0</v>
      </c>
      <c r="BZ87" s="20">
        <f ca="1">IF(Table1[[#This Row],[County]]="Surrey",Table1[[#This Row],[income]],0)</f>
        <v>0</v>
      </c>
      <c r="CA87" s="20">
        <f ca="1">IF(Table1[[#This Row],[County]]="Derbyshire",Table1[[#This Row],[income]],0)</f>
        <v>0</v>
      </c>
      <c r="CB87" s="20">
        <f ca="1">IF(Table1[[#This Row],[County]]="City of London",Table1[[#This Row],[income]],0)</f>
        <v>0</v>
      </c>
      <c r="CC87" s="20">
        <f ca="1">IF(Table1[[#This Row],[County]]="Bedfordshire",Table1[[#This Row],[income]],0)</f>
        <v>0</v>
      </c>
      <c r="CD87" s="20">
        <f ca="1">IF(Table1[[#This Row],[County]]="County Durham",Table1[[#This Row],[income]],0)</f>
        <v>82720</v>
      </c>
      <c r="CE87" s="20">
        <f ca="1">IF(Table1[[#This Row],[County]]="East Riding of Yorkshire",Table1[[#This Row],[income]],0)</f>
        <v>0</v>
      </c>
      <c r="CF87" s="20">
        <f ca="1">IF(Table1[[#This Row],[County]]="West Yorkshire",Table1[[#This Row],[income]],0)</f>
        <v>0</v>
      </c>
      <c r="CG87" s="20">
        <f ca="1">IF(Table1[[#This Row],[County]]="Essex",Table1[[#This Row],[income]],0)</f>
        <v>0</v>
      </c>
      <c r="CH87" s="20">
        <f ca="1">IF(Table1[[#This Row],[County]]="East Sussex",Table1[[#This Row],[income]],0)</f>
        <v>0</v>
      </c>
      <c r="CI87" s="20">
        <f ca="1">IF(Table1[[#This Row],[County]]="Greater Manchester",Table1[[#This Row],[income]],0)</f>
        <v>0</v>
      </c>
      <c r="CJ87" s="20">
        <f ca="1">IF(Table1[[#This Row],[County]]="Hertfordshire",Table1[[#This Row],[income]],0)</f>
        <v>0</v>
      </c>
      <c r="CK87" s="20">
        <f ca="1">IF(Table1[[#This Row],[County]]="Herefordshire",Table1[[#This Row],[income]],0)</f>
        <v>0</v>
      </c>
      <c r="CL87" s="20">
        <f ca="1">IF(Table1[[#This Row],[County]]="Lancashire",Table1[[#This Row],[income]],0)</f>
        <v>0</v>
      </c>
      <c r="CM87" s="20">
        <f ca="1">IF(Table1[[#This Row],[County]]="Merseyside",Table1[[#This Row],[income]],0)</f>
        <v>0</v>
      </c>
      <c r="CN87" s="20">
        <f ca="1">IF(Table1[[#This Row],[County]]="Northamptonshire",Table1[[#This Row],[income]],0)</f>
        <v>0</v>
      </c>
      <c r="CO87" s="20">
        <f ca="1">IF(Table1[[#This Row],[County]]="Northumberland",Table1[[#This Row],[income]],0)</f>
        <v>0</v>
      </c>
      <c r="CP87" s="20">
        <f ca="1">IF(Table1[[#This Row],[County]]="Wiltshire",Table1[[#This Row],[income]],0)</f>
        <v>0</v>
      </c>
      <c r="CQ87" s="20">
        <f ca="1">IF(Table1[[#This Row],[County]]="West Midlands",Table1[[#This Row],[income]],0)</f>
        <v>0</v>
      </c>
      <c r="CR87" s="20">
        <f ca="1">IF(Table1[[#This Row],[County]]="Warwickshire",Table1[[#This Row],[income]],0)</f>
        <v>0</v>
      </c>
      <c r="CS87" s="20">
        <f ca="1">IF(Table1[[#This Row],[County]]="Tyne and Wear",Table1[[#This Row],[income]],0)</f>
        <v>0</v>
      </c>
      <c r="CT87" s="20">
        <f ca="1">IF(Table1[[#This Row],[County]]="Worcestershire",Table1[[#This Row],[income]],0)</f>
        <v>0</v>
      </c>
      <c r="CU87" s="20">
        <f ca="1">IF(Table1[[#This Row],[County]]="Rutland",Table1[[#This Row],[income]],0)</f>
        <v>0</v>
      </c>
      <c r="CV87" s="20">
        <f ca="1">IF(Table1[[#This Row],[County]]="Shropshire",Table1[[#This Row],[income]],0)</f>
        <v>0</v>
      </c>
      <c r="CW87" s="20">
        <f ca="1">IF(Table1[[#This Row],[County]]="Dorset",Table1[[#This Row],[income]],0)</f>
        <v>0</v>
      </c>
      <c r="CX87" s="20">
        <f ca="1">IF(Table1[[#This Row],[County]]="Buckinghamshire",Table1[[#This Row],[income]],0)</f>
        <v>0</v>
      </c>
      <c r="CY87" s="20">
        <f ca="1">IF(Table1[[#This Row],[County]]="Suffolk",Table1[[#This Row],[income]],0)</f>
        <v>0</v>
      </c>
      <c r="CZ87" s="20">
        <f ca="1">IF(Table1[[#This Row],[County]]="North Yorkshire",Table1[[#This Row],[income]],0)</f>
        <v>0</v>
      </c>
      <c r="DA87" s="20">
        <f ca="1">IF(Table1[[#This Row],[County]]="Kent",Table1[[#This Row],[income]],0)</f>
        <v>0</v>
      </c>
      <c r="DB87" s="5">
        <f ca="1">IF(Table1[[#This Row],[County]]="Derbyshire",Table1[[#This Row],[income]],0)</f>
        <v>0</v>
      </c>
      <c r="DD87" s="6">
        <f ca="1">IF(Table1[[#This Row],[Column1]]="Health",Table1[[#This Row],[income]],0)</f>
        <v>0</v>
      </c>
      <c r="DE87" s="20">
        <f ca="1">IF(Table1[[#This Row],[Column1]]="Agriculture",Table1[[#This Row],[income]],0)</f>
        <v>0</v>
      </c>
      <c r="DF87" s="20">
        <f ca="1">IF(Table1[[#This Row],[Column1]]="Technology",Table1[[#This Row],[income]],0)</f>
        <v>0</v>
      </c>
      <c r="DG87" s="20">
        <f ca="1">IF(Table1[[#This Row],[Column1]]="Social Service",Table1[[#This Row],[income]],0)</f>
        <v>0</v>
      </c>
      <c r="DH87" s="20">
        <f ca="1">IF(Table1[[#This Row],[Column1]]="Education",Table1[[#This Row],[income]],0)</f>
        <v>82720</v>
      </c>
      <c r="DI87" s="5">
        <f ca="1">IF(Table1[[#This Row],[Column1]]="Construction",Table1[[#This Row],[income]],0)</f>
        <v>0</v>
      </c>
      <c r="DK87" s="6">
        <f ca="1">IF(Table1[[#This Row],[Value of Debts]]&gt;Table1[[#This Row],[income]],1,0)</f>
        <v>1</v>
      </c>
      <c r="DL87" s="20"/>
      <c r="DM87" s="20"/>
      <c r="DN87" s="5"/>
      <c r="DP87" s="6">
        <f ca="1">IF(Table1[[#This Row],[Net Worth (£)]]&gt;$DS$5,C87,0)</f>
        <v>0</v>
      </c>
      <c r="DQ87" s="20"/>
      <c r="DR87" s="20"/>
      <c r="DS87" s="5"/>
    </row>
    <row r="88" spans="1:123" x14ac:dyDescent="0.2">
      <c r="A88">
        <f t="shared" ca="1" si="4"/>
        <v>2</v>
      </c>
      <c r="B88" s="1" t="str">
        <f ca="1">IF(A88=1, "men", "women")</f>
        <v>women</v>
      </c>
      <c r="C88" s="1">
        <f ca="1">RANDBETWEEN(25,50)</f>
        <v>43</v>
      </c>
      <c r="D88">
        <f ca="1">RANDBETWEEN(1,6)</f>
        <v>3</v>
      </c>
      <c r="E88" t="str">
        <f ca="1">VLOOKUP(D88,$W$5:$X$10,2)</f>
        <v>Education</v>
      </c>
      <c r="F88">
        <f ca="1">RANDBETWEEN(1,5)</f>
        <v>4</v>
      </c>
      <c r="G88" t="str">
        <f ca="1">VLOOKUP(F88,$Y$5:$Z$9,2)</f>
        <v xml:space="preserve">Technical </v>
      </c>
      <c r="H88">
        <f ca="1">RANDBETWEEN(0,4)</f>
        <v>3</v>
      </c>
      <c r="I88">
        <f ca="1">RANDBETWEEN(1,3)</f>
        <v>1</v>
      </c>
      <c r="J88">
        <f ca="1">RANDBETWEEN(30000,100000)</f>
        <v>33721</v>
      </c>
      <c r="K88">
        <f ca="1">RANDBETWEEN(1,48)</f>
        <v>29</v>
      </c>
      <c r="L88" t="str">
        <f ca="1">VLOOKUP(K88,$AA$5:$AB$52,2)</f>
        <v>Norfolk</v>
      </c>
      <c r="M88">
        <f ca="1">J88*(RANDBETWEEN(2,5))</f>
        <v>101163</v>
      </c>
      <c r="N88">
        <f ca="1">RAND()*M88</f>
        <v>90735.370741361912</v>
      </c>
      <c r="O88">
        <f ca="1">I88*RAND()*J88</f>
        <v>3441.1456270241333</v>
      </c>
      <c r="P88">
        <f ca="1">RANDBETWEEN(0,O88)</f>
        <v>3224</v>
      </c>
      <c r="Q88">
        <f ca="1">RAND()*J88*2</f>
        <v>19615.084743466032</v>
      </c>
      <c r="R88">
        <f ca="1">RAND()*J88*1.5</f>
        <v>6197.4697473273636</v>
      </c>
      <c r="S88">
        <f ca="1">J88+R88+O88</f>
        <v>43359.615374351495</v>
      </c>
      <c r="T88">
        <f ca="1">N88+P88+Q88</f>
        <v>113574.45548482795</v>
      </c>
      <c r="U88">
        <f ca="1">S88-T88</f>
        <v>-70214.840110476449</v>
      </c>
      <c r="AC88" s="6">
        <f ca="1">IF(Table1[[#This Row],[gender]]="men",1,0)</f>
        <v>0</v>
      </c>
      <c r="AD88">
        <f ca="1">IF(Table1[[#This Row],[gender]]="women",1,0)</f>
        <v>1</v>
      </c>
      <c r="AH88" s="5"/>
      <c r="AJ88" s="6">
        <f ca="1">IF(Table1[[#This Row],[Column1]]="Health",1,0)</f>
        <v>0</v>
      </c>
      <c r="AK88">
        <f ca="1">IF(Table1[[#This Row],[Column1]]="Construction",1,0)</f>
        <v>0</v>
      </c>
      <c r="AL88">
        <f ca="1">IF(Table1[[#This Row],[Column1]]="Technology",1,0)</f>
        <v>0</v>
      </c>
      <c r="AM88">
        <f ca="1">IF(Table1[[#This Row],[Column1]]="Education",1,0)</f>
        <v>1</v>
      </c>
      <c r="AN88">
        <f ca="1">IF(Table1[[#This Row],[Column1]]="Agriculture",1,0)</f>
        <v>0</v>
      </c>
      <c r="AO88">
        <f ca="1">IF(Table1[[#This Row],[Column1]]="Social Service", 1, 0)</f>
        <v>0</v>
      </c>
      <c r="AT88" s="5"/>
      <c r="AV88" s="17">
        <f t="shared" ca="1" si="3"/>
        <v>57212.512726083361</v>
      </c>
      <c r="AW88" s="5"/>
      <c r="AX88" s="6">
        <f ca="1">IF(Table1[[#This Row],[Value of Debts]]&gt;$AY$4,1,0)</f>
        <v>1</v>
      </c>
      <c r="AY88" s="20"/>
      <c r="AZ88" s="20"/>
      <c r="BA88" s="5"/>
      <c r="BB88" s="25">
        <f ca="1">Table1[[#This Row],[Mortage Left]]/Table1[[#This Row],[Value of House]]</f>
        <v>0.89692249875312036</v>
      </c>
      <c r="BC88" s="20">
        <f t="shared" ca="1" si="5"/>
        <v>0</v>
      </c>
      <c r="BD88" s="20"/>
      <c r="BE88" s="20"/>
      <c r="BF88" s="20"/>
      <c r="BG88" s="6">
        <f ca="1">IF(Table1[[#This Row],[County]]="Cumbria",Table1[[#This Row],[income]],0)</f>
        <v>0</v>
      </c>
      <c r="BH88" s="20">
        <f ca="1">IF(Table1[[#This Row],[County]]="Cheshire",Table1[[#This Row],[income]],0)</f>
        <v>0</v>
      </c>
      <c r="BI88" s="20">
        <f ca="1">IF(Table1[[#This Row],[County]]="Bristol",Table1[[#This Row],[income]],0)</f>
        <v>0</v>
      </c>
      <c r="BJ88" s="20">
        <f ca="1">IF(Table1[[#This Row],[County]]="Surrey",Table1[[#This Row],[income]],0)</f>
        <v>0</v>
      </c>
      <c r="BK88" s="20">
        <f ca="1">IF(Table1[[#This Row],[County]]="Norfolk",Table1[[#This Row],[income]],0)</f>
        <v>33721</v>
      </c>
      <c r="BL88" s="20">
        <f ca="1">IF(Table1[[#This Row],[County]]="Lincolnshire",Table1[[#This Row],[income]],0)</f>
        <v>0</v>
      </c>
      <c r="BM88" s="20">
        <f ca="1">IF(Table1[[#This Row],[County]]="Somerset",Table1[[#This Row],[income]],0)</f>
        <v>0</v>
      </c>
      <c r="BN88" s="20">
        <f ca="1">IF(Table1[[#This Row],[County]]="Cambridgeshire",Table1[[#This Row],[income]],0)</f>
        <v>0</v>
      </c>
      <c r="BO88" s="20">
        <f ca="1">IF(Table1[[#This Row],[County]]="South Yorkshire",Table1[[#This Row],[income]],0)</f>
        <v>0</v>
      </c>
      <c r="BP88" s="20">
        <f ca="1">IF(Table1[[#This Row],[County]]="Greater London",Table1[[#This Row],[income]],0)</f>
        <v>0</v>
      </c>
      <c r="BQ88" s="20">
        <f ca="1">IF(Table1[[#This Row],[County]]="Hampshire",Table1[[#This Row],[income]],0)</f>
        <v>0</v>
      </c>
      <c r="BR88" s="20">
        <f ca="1">IF(Table1[[#This Row],[County]]="Gloucestershire",Table1[[#This Row],[income]],0)</f>
        <v>0</v>
      </c>
      <c r="BS88" s="20">
        <f ca="1">IF(Table1[[#This Row],[County]]="West Sussex",Table1[[#This Row],[income]],0)</f>
        <v>0</v>
      </c>
      <c r="BT88" s="20">
        <f ca="1">IF(Table1[[#This Row],[County]]="Devon",Table1[[#This Row],[income]],0)</f>
        <v>0</v>
      </c>
      <c r="BU88" s="20">
        <f ca="1">IF(Table1[[#This Row],[County]]="Berkshire",Table1[[#This Row],[income]],0)</f>
        <v>0</v>
      </c>
      <c r="BV88" s="20">
        <f ca="1">IF(Table1[[#This Row],[County]]="Staffordshire",Table1[[#This Row],[income]],0)</f>
        <v>0</v>
      </c>
      <c r="BW88" s="20">
        <f ca="1">IF(Table1[[#This Row],[County]]="Leicestershire",Table1[[#This Row],[income]],0)</f>
        <v>0</v>
      </c>
      <c r="BX88" s="20">
        <f ca="1">IF(Table1[[#This Row],[County]]="Cornwall",Table1[[#This Row],[income]],0)</f>
        <v>0</v>
      </c>
      <c r="BY88" s="20">
        <f ca="1">IF(Table1[[#This Row],[County]]="Isle of Wight",Table1[[#This Row],[income]],0)</f>
        <v>0</v>
      </c>
      <c r="BZ88" s="20">
        <f ca="1">IF(Table1[[#This Row],[County]]="Surrey",Table1[[#This Row],[income]],0)</f>
        <v>0</v>
      </c>
      <c r="CA88" s="20">
        <f ca="1">IF(Table1[[#This Row],[County]]="Derbyshire",Table1[[#This Row],[income]],0)</f>
        <v>0</v>
      </c>
      <c r="CB88" s="20">
        <f ca="1">IF(Table1[[#This Row],[County]]="City of London",Table1[[#This Row],[income]],0)</f>
        <v>0</v>
      </c>
      <c r="CC88" s="20">
        <f ca="1">IF(Table1[[#This Row],[County]]="Bedfordshire",Table1[[#This Row],[income]],0)</f>
        <v>0</v>
      </c>
      <c r="CD88" s="20">
        <f ca="1">IF(Table1[[#This Row],[County]]="County Durham",Table1[[#This Row],[income]],0)</f>
        <v>0</v>
      </c>
      <c r="CE88" s="20">
        <f ca="1">IF(Table1[[#This Row],[County]]="East Riding of Yorkshire",Table1[[#This Row],[income]],0)</f>
        <v>0</v>
      </c>
      <c r="CF88" s="20">
        <f ca="1">IF(Table1[[#This Row],[County]]="West Yorkshire",Table1[[#This Row],[income]],0)</f>
        <v>0</v>
      </c>
      <c r="CG88" s="20">
        <f ca="1">IF(Table1[[#This Row],[County]]="Essex",Table1[[#This Row],[income]],0)</f>
        <v>0</v>
      </c>
      <c r="CH88" s="20">
        <f ca="1">IF(Table1[[#This Row],[County]]="East Sussex",Table1[[#This Row],[income]],0)</f>
        <v>0</v>
      </c>
      <c r="CI88" s="20">
        <f ca="1">IF(Table1[[#This Row],[County]]="Greater Manchester",Table1[[#This Row],[income]],0)</f>
        <v>0</v>
      </c>
      <c r="CJ88" s="20">
        <f ca="1">IF(Table1[[#This Row],[County]]="Hertfordshire",Table1[[#This Row],[income]],0)</f>
        <v>0</v>
      </c>
      <c r="CK88" s="20">
        <f ca="1">IF(Table1[[#This Row],[County]]="Herefordshire",Table1[[#This Row],[income]],0)</f>
        <v>0</v>
      </c>
      <c r="CL88" s="20">
        <f ca="1">IF(Table1[[#This Row],[County]]="Lancashire",Table1[[#This Row],[income]],0)</f>
        <v>0</v>
      </c>
      <c r="CM88" s="20">
        <f ca="1">IF(Table1[[#This Row],[County]]="Merseyside",Table1[[#This Row],[income]],0)</f>
        <v>0</v>
      </c>
      <c r="CN88" s="20">
        <f ca="1">IF(Table1[[#This Row],[County]]="Northamptonshire",Table1[[#This Row],[income]],0)</f>
        <v>0</v>
      </c>
      <c r="CO88" s="20">
        <f ca="1">IF(Table1[[#This Row],[County]]="Northumberland",Table1[[#This Row],[income]],0)</f>
        <v>0</v>
      </c>
      <c r="CP88" s="20">
        <f ca="1">IF(Table1[[#This Row],[County]]="Wiltshire",Table1[[#This Row],[income]],0)</f>
        <v>0</v>
      </c>
      <c r="CQ88" s="20">
        <f ca="1">IF(Table1[[#This Row],[County]]="West Midlands",Table1[[#This Row],[income]],0)</f>
        <v>0</v>
      </c>
      <c r="CR88" s="20">
        <f ca="1">IF(Table1[[#This Row],[County]]="Warwickshire",Table1[[#This Row],[income]],0)</f>
        <v>0</v>
      </c>
      <c r="CS88" s="20">
        <f ca="1">IF(Table1[[#This Row],[County]]="Tyne and Wear",Table1[[#This Row],[income]],0)</f>
        <v>0</v>
      </c>
      <c r="CT88" s="20">
        <f ca="1">IF(Table1[[#This Row],[County]]="Worcestershire",Table1[[#This Row],[income]],0)</f>
        <v>0</v>
      </c>
      <c r="CU88" s="20">
        <f ca="1">IF(Table1[[#This Row],[County]]="Rutland",Table1[[#This Row],[income]],0)</f>
        <v>0</v>
      </c>
      <c r="CV88" s="20">
        <f ca="1">IF(Table1[[#This Row],[County]]="Shropshire",Table1[[#This Row],[income]],0)</f>
        <v>0</v>
      </c>
      <c r="CW88" s="20">
        <f ca="1">IF(Table1[[#This Row],[County]]="Dorset",Table1[[#This Row],[income]],0)</f>
        <v>0</v>
      </c>
      <c r="CX88" s="20">
        <f ca="1">IF(Table1[[#This Row],[County]]="Buckinghamshire",Table1[[#This Row],[income]],0)</f>
        <v>0</v>
      </c>
      <c r="CY88" s="20">
        <f ca="1">IF(Table1[[#This Row],[County]]="Suffolk",Table1[[#This Row],[income]],0)</f>
        <v>0</v>
      </c>
      <c r="CZ88" s="20">
        <f ca="1">IF(Table1[[#This Row],[County]]="North Yorkshire",Table1[[#This Row],[income]],0)</f>
        <v>0</v>
      </c>
      <c r="DA88" s="20">
        <f ca="1">IF(Table1[[#This Row],[County]]="Kent",Table1[[#This Row],[income]],0)</f>
        <v>0</v>
      </c>
      <c r="DB88" s="5">
        <f ca="1">IF(Table1[[#This Row],[County]]="Derbyshire",Table1[[#This Row],[income]],0)</f>
        <v>0</v>
      </c>
      <c r="DD88" s="6">
        <f ca="1">IF(Table1[[#This Row],[Column1]]="Health",Table1[[#This Row],[income]],0)</f>
        <v>0</v>
      </c>
      <c r="DE88" s="20">
        <f ca="1">IF(Table1[[#This Row],[Column1]]="Agriculture",Table1[[#This Row],[income]],0)</f>
        <v>0</v>
      </c>
      <c r="DF88" s="20">
        <f ca="1">IF(Table1[[#This Row],[Column1]]="Technology",Table1[[#This Row],[income]],0)</f>
        <v>0</v>
      </c>
      <c r="DG88" s="20">
        <f ca="1">IF(Table1[[#This Row],[Column1]]="Social Service",Table1[[#This Row],[income]],0)</f>
        <v>0</v>
      </c>
      <c r="DH88" s="20">
        <f ca="1">IF(Table1[[#This Row],[Column1]]="Education",Table1[[#This Row],[income]],0)</f>
        <v>33721</v>
      </c>
      <c r="DI88" s="5">
        <f ca="1">IF(Table1[[#This Row],[Column1]]="Construction",Table1[[#This Row],[income]],0)</f>
        <v>0</v>
      </c>
      <c r="DK88" s="6">
        <f ca="1">IF(Table1[[#This Row],[Value of Debts]]&gt;Table1[[#This Row],[income]],1,0)</f>
        <v>1</v>
      </c>
      <c r="DL88" s="20"/>
      <c r="DM88" s="20"/>
      <c r="DN88" s="5"/>
      <c r="DP88" s="6">
        <f ca="1">IF(Table1[[#This Row],[Net Worth (£)]]&gt;$DS$5,C88,0)</f>
        <v>0</v>
      </c>
      <c r="DQ88" s="20"/>
      <c r="DR88" s="20"/>
      <c r="DS88" s="5"/>
    </row>
    <row r="89" spans="1:123" x14ac:dyDescent="0.2">
      <c r="A89">
        <f t="shared" ca="1" si="4"/>
        <v>2</v>
      </c>
      <c r="B89" s="1" t="str">
        <f ca="1">IF(A89=1, "men", "women")</f>
        <v>women</v>
      </c>
      <c r="C89" s="1">
        <f ca="1">RANDBETWEEN(25,50)</f>
        <v>32</v>
      </c>
      <c r="D89">
        <f ca="1">RANDBETWEEN(1,6)</f>
        <v>5</v>
      </c>
      <c r="E89" t="str">
        <f ca="1">VLOOKUP(D89,$W$5:$X$10,2)</f>
        <v>Social Service</v>
      </c>
      <c r="F89">
        <f ca="1">RANDBETWEEN(1,5)</f>
        <v>5</v>
      </c>
      <c r="G89" t="str">
        <f ca="1">VLOOKUP(F89,$Y$5:$Z$9,2)</f>
        <v>Other</v>
      </c>
      <c r="H89">
        <f ca="1">RANDBETWEEN(0,4)</f>
        <v>2</v>
      </c>
      <c r="I89">
        <f ca="1">RANDBETWEEN(1,3)</f>
        <v>1</v>
      </c>
      <c r="J89">
        <f ca="1">RANDBETWEEN(30000,100000)</f>
        <v>84634</v>
      </c>
      <c r="K89">
        <f ca="1">RANDBETWEEN(1,48)</f>
        <v>27</v>
      </c>
      <c r="L89" t="str">
        <f ca="1">VLOOKUP(K89,$AA$5:$AB$52,2)</f>
        <v>Merseyside</v>
      </c>
      <c r="M89">
        <f ca="1">J89*(RANDBETWEEN(2,5))</f>
        <v>169268</v>
      </c>
      <c r="N89">
        <f ca="1">RAND()*M89</f>
        <v>115849.24187149014</v>
      </c>
      <c r="O89">
        <f ca="1">I89*RAND()*J89</f>
        <v>57212.512726083361</v>
      </c>
      <c r="P89">
        <f ca="1">RANDBETWEEN(0,O89)</f>
        <v>44742</v>
      </c>
      <c r="Q89">
        <f ca="1">RAND()*J89*2</f>
        <v>131104.53409483572</v>
      </c>
      <c r="R89">
        <f ca="1">RAND()*J89*1.5</f>
        <v>10127.082169380736</v>
      </c>
      <c r="S89">
        <f ca="1">J89+R89+O89</f>
        <v>151973.59489546411</v>
      </c>
      <c r="T89">
        <f ca="1">N89+P89+Q89</f>
        <v>291695.77596632589</v>
      </c>
      <c r="U89">
        <f ca="1">S89-T89</f>
        <v>-139722.18107086178</v>
      </c>
      <c r="AC89" s="6">
        <f ca="1">IF(Table1[[#This Row],[gender]]="men",1,0)</f>
        <v>0</v>
      </c>
      <c r="AD89">
        <f ca="1">IF(Table1[[#This Row],[gender]]="women",1,0)</f>
        <v>1</v>
      </c>
      <c r="AH89" s="5"/>
      <c r="AJ89" s="6">
        <f ca="1">IF(Table1[[#This Row],[Column1]]="Health",1,0)</f>
        <v>0</v>
      </c>
      <c r="AK89">
        <f ca="1">IF(Table1[[#This Row],[Column1]]="Construction",1,0)</f>
        <v>0</v>
      </c>
      <c r="AL89">
        <f ca="1">IF(Table1[[#This Row],[Column1]]="Technology",1,0)</f>
        <v>0</v>
      </c>
      <c r="AM89">
        <f ca="1">IF(Table1[[#This Row],[Column1]]="Education",1,0)</f>
        <v>0</v>
      </c>
      <c r="AN89">
        <f ca="1">IF(Table1[[#This Row],[Column1]]="Agriculture",1,0)</f>
        <v>0</v>
      </c>
      <c r="AO89">
        <f ca="1">IF(Table1[[#This Row],[Column1]]="Social Service", 1, 0)</f>
        <v>1</v>
      </c>
      <c r="AT89" s="5"/>
      <c r="AV89" s="17">
        <f t="shared" ca="1" si="3"/>
        <v>76491.248909575414</v>
      </c>
      <c r="AW89" s="5"/>
      <c r="AX89" s="6">
        <f ca="1">IF(Table1[[#This Row],[Value of Debts]]&gt;$AY$4,1,0)</f>
        <v>1</v>
      </c>
      <c r="AY89" s="20"/>
      <c r="AZ89" s="20"/>
      <c r="BA89" s="5"/>
      <c r="BB89" s="25">
        <f ca="1">Table1[[#This Row],[Mortage Left]]/Table1[[#This Row],[Value of House]]</f>
        <v>0.68441313107905888</v>
      </c>
      <c r="BC89" s="20">
        <f t="shared" ca="1" si="5"/>
        <v>0</v>
      </c>
      <c r="BD89" s="20"/>
      <c r="BE89" s="20"/>
      <c r="BF89" s="20"/>
      <c r="BG89" s="6">
        <f ca="1">IF(Table1[[#This Row],[County]]="Cumbria",Table1[[#This Row],[income]],0)</f>
        <v>0</v>
      </c>
      <c r="BH89" s="20">
        <f ca="1">IF(Table1[[#This Row],[County]]="Cheshire",Table1[[#This Row],[income]],0)</f>
        <v>0</v>
      </c>
      <c r="BI89" s="20">
        <f ca="1">IF(Table1[[#This Row],[County]]="Bristol",Table1[[#This Row],[income]],0)</f>
        <v>0</v>
      </c>
      <c r="BJ89" s="20">
        <f ca="1">IF(Table1[[#This Row],[County]]="Surrey",Table1[[#This Row],[income]],0)</f>
        <v>0</v>
      </c>
      <c r="BK89" s="20">
        <f ca="1">IF(Table1[[#This Row],[County]]="Norfolk",Table1[[#This Row],[income]],0)</f>
        <v>0</v>
      </c>
      <c r="BL89" s="20">
        <f ca="1">IF(Table1[[#This Row],[County]]="Lincolnshire",Table1[[#This Row],[income]],0)</f>
        <v>0</v>
      </c>
      <c r="BM89" s="20">
        <f ca="1">IF(Table1[[#This Row],[County]]="Somerset",Table1[[#This Row],[income]],0)</f>
        <v>0</v>
      </c>
      <c r="BN89" s="20">
        <f ca="1">IF(Table1[[#This Row],[County]]="Cambridgeshire",Table1[[#This Row],[income]],0)</f>
        <v>0</v>
      </c>
      <c r="BO89" s="20">
        <f ca="1">IF(Table1[[#This Row],[County]]="South Yorkshire",Table1[[#This Row],[income]],0)</f>
        <v>0</v>
      </c>
      <c r="BP89" s="20">
        <f ca="1">IF(Table1[[#This Row],[County]]="Greater London",Table1[[#This Row],[income]],0)</f>
        <v>0</v>
      </c>
      <c r="BQ89" s="20">
        <f ca="1">IF(Table1[[#This Row],[County]]="Hampshire",Table1[[#This Row],[income]],0)</f>
        <v>0</v>
      </c>
      <c r="BR89" s="20">
        <f ca="1">IF(Table1[[#This Row],[County]]="Gloucestershire",Table1[[#This Row],[income]],0)</f>
        <v>0</v>
      </c>
      <c r="BS89" s="20">
        <f ca="1">IF(Table1[[#This Row],[County]]="West Sussex",Table1[[#This Row],[income]],0)</f>
        <v>0</v>
      </c>
      <c r="BT89" s="20">
        <f ca="1">IF(Table1[[#This Row],[County]]="Devon",Table1[[#This Row],[income]],0)</f>
        <v>0</v>
      </c>
      <c r="BU89" s="20">
        <f ca="1">IF(Table1[[#This Row],[County]]="Berkshire",Table1[[#This Row],[income]],0)</f>
        <v>0</v>
      </c>
      <c r="BV89" s="20">
        <f ca="1">IF(Table1[[#This Row],[County]]="Staffordshire",Table1[[#This Row],[income]],0)</f>
        <v>0</v>
      </c>
      <c r="BW89" s="20">
        <f ca="1">IF(Table1[[#This Row],[County]]="Leicestershire",Table1[[#This Row],[income]],0)</f>
        <v>0</v>
      </c>
      <c r="BX89" s="20">
        <f ca="1">IF(Table1[[#This Row],[County]]="Cornwall",Table1[[#This Row],[income]],0)</f>
        <v>0</v>
      </c>
      <c r="BY89" s="20">
        <f ca="1">IF(Table1[[#This Row],[County]]="Isle of Wight",Table1[[#This Row],[income]],0)</f>
        <v>0</v>
      </c>
      <c r="BZ89" s="20">
        <f ca="1">IF(Table1[[#This Row],[County]]="Surrey",Table1[[#This Row],[income]],0)</f>
        <v>0</v>
      </c>
      <c r="CA89" s="20">
        <f ca="1">IF(Table1[[#This Row],[County]]="Derbyshire",Table1[[#This Row],[income]],0)</f>
        <v>0</v>
      </c>
      <c r="CB89" s="20">
        <f ca="1">IF(Table1[[#This Row],[County]]="City of London",Table1[[#This Row],[income]],0)</f>
        <v>0</v>
      </c>
      <c r="CC89" s="20">
        <f ca="1">IF(Table1[[#This Row],[County]]="Bedfordshire",Table1[[#This Row],[income]],0)</f>
        <v>0</v>
      </c>
      <c r="CD89" s="20">
        <f ca="1">IF(Table1[[#This Row],[County]]="County Durham",Table1[[#This Row],[income]],0)</f>
        <v>0</v>
      </c>
      <c r="CE89" s="20">
        <f ca="1">IF(Table1[[#This Row],[County]]="East Riding of Yorkshire",Table1[[#This Row],[income]],0)</f>
        <v>0</v>
      </c>
      <c r="CF89" s="20">
        <f ca="1">IF(Table1[[#This Row],[County]]="West Yorkshire",Table1[[#This Row],[income]],0)</f>
        <v>0</v>
      </c>
      <c r="CG89" s="20">
        <f ca="1">IF(Table1[[#This Row],[County]]="Essex",Table1[[#This Row],[income]],0)</f>
        <v>0</v>
      </c>
      <c r="CH89" s="20">
        <f ca="1">IF(Table1[[#This Row],[County]]="East Sussex",Table1[[#This Row],[income]],0)</f>
        <v>0</v>
      </c>
      <c r="CI89" s="20">
        <f ca="1">IF(Table1[[#This Row],[County]]="Greater Manchester",Table1[[#This Row],[income]],0)</f>
        <v>0</v>
      </c>
      <c r="CJ89" s="20">
        <f ca="1">IF(Table1[[#This Row],[County]]="Hertfordshire",Table1[[#This Row],[income]],0)</f>
        <v>0</v>
      </c>
      <c r="CK89" s="20">
        <f ca="1">IF(Table1[[#This Row],[County]]="Herefordshire",Table1[[#This Row],[income]],0)</f>
        <v>0</v>
      </c>
      <c r="CL89" s="20">
        <f ca="1">IF(Table1[[#This Row],[County]]="Lancashire",Table1[[#This Row],[income]],0)</f>
        <v>0</v>
      </c>
      <c r="CM89" s="20">
        <f ca="1">IF(Table1[[#This Row],[County]]="Merseyside",Table1[[#This Row],[income]],0)</f>
        <v>84634</v>
      </c>
      <c r="CN89" s="20">
        <f ca="1">IF(Table1[[#This Row],[County]]="Northamptonshire",Table1[[#This Row],[income]],0)</f>
        <v>0</v>
      </c>
      <c r="CO89" s="20">
        <f ca="1">IF(Table1[[#This Row],[County]]="Northumberland",Table1[[#This Row],[income]],0)</f>
        <v>0</v>
      </c>
      <c r="CP89" s="20">
        <f ca="1">IF(Table1[[#This Row],[County]]="Wiltshire",Table1[[#This Row],[income]],0)</f>
        <v>0</v>
      </c>
      <c r="CQ89" s="20">
        <f ca="1">IF(Table1[[#This Row],[County]]="West Midlands",Table1[[#This Row],[income]],0)</f>
        <v>0</v>
      </c>
      <c r="CR89" s="20">
        <f ca="1">IF(Table1[[#This Row],[County]]="Warwickshire",Table1[[#This Row],[income]],0)</f>
        <v>0</v>
      </c>
      <c r="CS89" s="20">
        <f ca="1">IF(Table1[[#This Row],[County]]="Tyne and Wear",Table1[[#This Row],[income]],0)</f>
        <v>0</v>
      </c>
      <c r="CT89" s="20">
        <f ca="1">IF(Table1[[#This Row],[County]]="Worcestershire",Table1[[#This Row],[income]],0)</f>
        <v>0</v>
      </c>
      <c r="CU89" s="20">
        <f ca="1">IF(Table1[[#This Row],[County]]="Rutland",Table1[[#This Row],[income]],0)</f>
        <v>0</v>
      </c>
      <c r="CV89" s="20">
        <f ca="1">IF(Table1[[#This Row],[County]]="Shropshire",Table1[[#This Row],[income]],0)</f>
        <v>0</v>
      </c>
      <c r="CW89" s="20">
        <f ca="1">IF(Table1[[#This Row],[County]]="Dorset",Table1[[#This Row],[income]],0)</f>
        <v>0</v>
      </c>
      <c r="CX89" s="20">
        <f ca="1">IF(Table1[[#This Row],[County]]="Buckinghamshire",Table1[[#This Row],[income]],0)</f>
        <v>0</v>
      </c>
      <c r="CY89" s="20">
        <f ca="1">IF(Table1[[#This Row],[County]]="Suffolk",Table1[[#This Row],[income]],0)</f>
        <v>0</v>
      </c>
      <c r="CZ89" s="20">
        <f ca="1">IF(Table1[[#This Row],[County]]="North Yorkshire",Table1[[#This Row],[income]],0)</f>
        <v>0</v>
      </c>
      <c r="DA89" s="20">
        <f ca="1">IF(Table1[[#This Row],[County]]="Kent",Table1[[#This Row],[income]],0)</f>
        <v>0</v>
      </c>
      <c r="DB89" s="5">
        <f ca="1">IF(Table1[[#This Row],[County]]="Derbyshire",Table1[[#This Row],[income]],0)</f>
        <v>0</v>
      </c>
      <c r="DD89" s="6">
        <f ca="1">IF(Table1[[#This Row],[Column1]]="Health",Table1[[#This Row],[income]],0)</f>
        <v>0</v>
      </c>
      <c r="DE89" s="20">
        <f ca="1">IF(Table1[[#This Row],[Column1]]="Agriculture",Table1[[#This Row],[income]],0)</f>
        <v>0</v>
      </c>
      <c r="DF89" s="20">
        <f ca="1">IF(Table1[[#This Row],[Column1]]="Technology",Table1[[#This Row],[income]],0)</f>
        <v>0</v>
      </c>
      <c r="DG89" s="20">
        <f ca="1">IF(Table1[[#This Row],[Column1]]="Social Service",Table1[[#This Row],[income]],0)</f>
        <v>84634</v>
      </c>
      <c r="DH89" s="20">
        <f ca="1">IF(Table1[[#This Row],[Column1]]="Education",Table1[[#This Row],[income]],0)</f>
        <v>0</v>
      </c>
      <c r="DI89" s="5">
        <f ca="1">IF(Table1[[#This Row],[Column1]]="Construction",Table1[[#This Row],[income]],0)</f>
        <v>0</v>
      </c>
      <c r="DK89" s="6">
        <f ca="1">IF(Table1[[#This Row],[Value of Debts]]&gt;Table1[[#This Row],[income]],1,0)</f>
        <v>1</v>
      </c>
      <c r="DL89" s="20"/>
      <c r="DM89" s="20"/>
      <c r="DN89" s="5"/>
      <c r="DP89" s="6">
        <f ca="1">IF(Table1[[#This Row],[Net Worth (£)]]&gt;$DS$5,C89,0)</f>
        <v>0</v>
      </c>
      <c r="DQ89" s="20"/>
      <c r="DR89" s="20"/>
      <c r="DS89" s="5"/>
    </row>
    <row r="90" spans="1:123" x14ac:dyDescent="0.2">
      <c r="A90">
        <f t="shared" ca="1" si="4"/>
        <v>1</v>
      </c>
      <c r="B90" s="1" t="str">
        <f ca="1">IF(A90=1, "men", "women")</f>
        <v>men</v>
      </c>
      <c r="C90" s="1">
        <f ca="1">RANDBETWEEN(25,50)</f>
        <v>47</v>
      </c>
      <c r="D90">
        <f ca="1">RANDBETWEEN(1,6)</f>
        <v>2</v>
      </c>
      <c r="E90" t="str">
        <f ca="1">VLOOKUP(D90,$W$5:$X$10,2)</f>
        <v>Construction</v>
      </c>
      <c r="F90">
        <f ca="1">RANDBETWEEN(1,5)</f>
        <v>2</v>
      </c>
      <c r="G90" t="str">
        <f ca="1">VLOOKUP(F90,$Y$5:$Z$9,2)</f>
        <v>College</v>
      </c>
      <c r="H90">
        <f ca="1">RANDBETWEEN(0,4)</f>
        <v>2</v>
      </c>
      <c r="I90">
        <f ca="1">RANDBETWEEN(1,3)</f>
        <v>2</v>
      </c>
      <c r="J90">
        <f ca="1">RANDBETWEEN(30000,100000)</f>
        <v>91149</v>
      </c>
      <c r="K90">
        <f ca="1">RANDBETWEEN(1,48)</f>
        <v>1</v>
      </c>
      <c r="L90" t="str">
        <f ca="1">VLOOKUP(K90,$AA$5:$AB$52,2)</f>
        <v>Bedfordshire</v>
      </c>
      <c r="M90">
        <f ca="1">J90*(RANDBETWEEN(2,5))</f>
        <v>273447</v>
      </c>
      <c r="N90">
        <f ca="1">RAND()*M90</f>
        <v>251049.56508281172</v>
      </c>
      <c r="O90">
        <f ca="1">I90*RAND()*J90</f>
        <v>152982.49781915083</v>
      </c>
      <c r="P90">
        <f ca="1">RANDBETWEEN(0,O90)</f>
        <v>145094</v>
      </c>
      <c r="Q90">
        <f ca="1">RAND()*J90*2</f>
        <v>76879.627096265991</v>
      </c>
      <c r="R90">
        <f ca="1">RAND()*J90*1.5</f>
        <v>56034.948780389517</v>
      </c>
      <c r="S90">
        <f ca="1">J90+R90+O90</f>
        <v>300166.4465995403</v>
      </c>
      <c r="T90">
        <f ca="1">N90+P90+Q90</f>
        <v>473023.19217907777</v>
      </c>
      <c r="U90">
        <f ca="1">S90-T90</f>
        <v>-172856.74557953747</v>
      </c>
      <c r="AC90" s="6">
        <f ca="1">IF(Table1[[#This Row],[gender]]="men",1,0)</f>
        <v>1</v>
      </c>
      <c r="AD90">
        <f ca="1">IF(Table1[[#This Row],[gender]]="women",1,0)</f>
        <v>0</v>
      </c>
      <c r="AH90" s="5"/>
      <c r="AJ90" s="6">
        <f ca="1">IF(Table1[[#This Row],[Column1]]="Health",1,0)</f>
        <v>0</v>
      </c>
      <c r="AK90">
        <f ca="1">IF(Table1[[#This Row],[Column1]]="Construction",1,0)</f>
        <v>1</v>
      </c>
      <c r="AL90">
        <f ca="1">IF(Table1[[#This Row],[Column1]]="Technology",1,0)</f>
        <v>0</v>
      </c>
      <c r="AM90">
        <f ca="1">IF(Table1[[#This Row],[Column1]]="Education",1,0)</f>
        <v>0</v>
      </c>
      <c r="AN90">
        <f ca="1">IF(Table1[[#This Row],[Column1]]="Agriculture",1,0)</f>
        <v>0</v>
      </c>
      <c r="AO90">
        <f ca="1">IF(Table1[[#This Row],[Column1]]="Social Service", 1, 0)</f>
        <v>0</v>
      </c>
      <c r="AT90" s="5"/>
      <c r="AV90" s="17">
        <f t="shared" ca="1" si="3"/>
        <v>13175.020494371367</v>
      </c>
      <c r="AW90" s="5"/>
      <c r="AX90" s="6">
        <f ca="1">IF(Table1[[#This Row],[Value of Debts]]&gt;$AY$4,1,0)</f>
        <v>1</v>
      </c>
      <c r="AY90" s="20"/>
      <c r="AZ90" s="20"/>
      <c r="BA90" s="5"/>
      <c r="BB90" s="25">
        <f ca="1">Table1[[#This Row],[Mortage Left]]/Table1[[#This Row],[Value of House]]</f>
        <v>0.91809222658435352</v>
      </c>
      <c r="BC90" s="20">
        <f t="shared" ca="1" si="5"/>
        <v>0</v>
      </c>
      <c r="BD90" s="20"/>
      <c r="BE90" s="20"/>
      <c r="BF90" s="20"/>
      <c r="BG90" s="6">
        <f ca="1">IF(Table1[[#This Row],[County]]="Cumbria",Table1[[#This Row],[income]],0)</f>
        <v>0</v>
      </c>
      <c r="BH90" s="20">
        <f ca="1">IF(Table1[[#This Row],[County]]="Cheshire",Table1[[#This Row],[income]],0)</f>
        <v>0</v>
      </c>
      <c r="BI90" s="20">
        <f ca="1">IF(Table1[[#This Row],[County]]="Bristol",Table1[[#This Row],[income]],0)</f>
        <v>0</v>
      </c>
      <c r="BJ90" s="20">
        <f ca="1">IF(Table1[[#This Row],[County]]="Surrey",Table1[[#This Row],[income]],0)</f>
        <v>0</v>
      </c>
      <c r="BK90" s="20">
        <f ca="1">IF(Table1[[#This Row],[County]]="Norfolk",Table1[[#This Row],[income]],0)</f>
        <v>0</v>
      </c>
      <c r="BL90" s="20">
        <f ca="1">IF(Table1[[#This Row],[County]]="Lincolnshire",Table1[[#This Row],[income]],0)</f>
        <v>0</v>
      </c>
      <c r="BM90" s="20">
        <f ca="1">IF(Table1[[#This Row],[County]]="Somerset",Table1[[#This Row],[income]],0)</f>
        <v>0</v>
      </c>
      <c r="BN90" s="20">
        <f ca="1">IF(Table1[[#This Row],[County]]="Cambridgeshire",Table1[[#This Row],[income]],0)</f>
        <v>0</v>
      </c>
      <c r="BO90" s="20">
        <f ca="1">IF(Table1[[#This Row],[County]]="South Yorkshire",Table1[[#This Row],[income]],0)</f>
        <v>0</v>
      </c>
      <c r="BP90" s="20">
        <f ca="1">IF(Table1[[#This Row],[County]]="Greater London",Table1[[#This Row],[income]],0)</f>
        <v>0</v>
      </c>
      <c r="BQ90" s="20">
        <f ca="1">IF(Table1[[#This Row],[County]]="Hampshire",Table1[[#This Row],[income]],0)</f>
        <v>0</v>
      </c>
      <c r="BR90" s="20">
        <f ca="1">IF(Table1[[#This Row],[County]]="Gloucestershire",Table1[[#This Row],[income]],0)</f>
        <v>0</v>
      </c>
      <c r="BS90" s="20">
        <f ca="1">IF(Table1[[#This Row],[County]]="West Sussex",Table1[[#This Row],[income]],0)</f>
        <v>0</v>
      </c>
      <c r="BT90" s="20">
        <f ca="1">IF(Table1[[#This Row],[County]]="Devon",Table1[[#This Row],[income]],0)</f>
        <v>0</v>
      </c>
      <c r="BU90" s="20">
        <f ca="1">IF(Table1[[#This Row],[County]]="Berkshire",Table1[[#This Row],[income]],0)</f>
        <v>0</v>
      </c>
      <c r="BV90" s="20">
        <f ca="1">IF(Table1[[#This Row],[County]]="Staffordshire",Table1[[#This Row],[income]],0)</f>
        <v>0</v>
      </c>
      <c r="BW90" s="20">
        <f ca="1">IF(Table1[[#This Row],[County]]="Leicestershire",Table1[[#This Row],[income]],0)</f>
        <v>0</v>
      </c>
      <c r="BX90" s="20">
        <f ca="1">IF(Table1[[#This Row],[County]]="Cornwall",Table1[[#This Row],[income]],0)</f>
        <v>0</v>
      </c>
      <c r="BY90" s="20">
        <f ca="1">IF(Table1[[#This Row],[County]]="Isle of Wight",Table1[[#This Row],[income]],0)</f>
        <v>0</v>
      </c>
      <c r="BZ90" s="20">
        <f ca="1">IF(Table1[[#This Row],[County]]="Surrey",Table1[[#This Row],[income]],0)</f>
        <v>0</v>
      </c>
      <c r="CA90" s="20">
        <f ca="1">IF(Table1[[#This Row],[County]]="Derbyshire",Table1[[#This Row],[income]],0)</f>
        <v>0</v>
      </c>
      <c r="CB90" s="20">
        <f ca="1">IF(Table1[[#This Row],[County]]="City of London",Table1[[#This Row],[income]],0)</f>
        <v>0</v>
      </c>
      <c r="CC90" s="20">
        <f ca="1">IF(Table1[[#This Row],[County]]="Bedfordshire",Table1[[#This Row],[income]],0)</f>
        <v>91149</v>
      </c>
      <c r="CD90" s="20">
        <f ca="1">IF(Table1[[#This Row],[County]]="County Durham",Table1[[#This Row],[income]],0)</f>
        <v>0</v>
      </c>
      <c r="CE90" s="20">
        <f ca="1">IF(Table1[[#This Row],[County]]="East Riding of Yorkshire",Table1[[#This Row],[income]],0)</f>
        <v>0</v>
      </c>
      <c r="CF90" s="20">
        <f ca="1">IF(Table1[[#This Row],[County]]="West Yorkshire",Table1[[#This Row],[income]],0)</f>
        <v>0</v>
      </c>
      <c r="CG90" s="20">
        <f ca="1">IF(Table1[[#This Row],[County]]="Essex",Table1[[#This Row],[income]],0)</f>
        <v>0</v>
      </c>
      <c r="CH90" s="20">
        <f ca="1">IF(Table1[[#This Row],[County]]="East Sussex",Table1[[#This Row],[income]],0)</f>
        <v>0</v>
      </c>
      <c r="CI90" s="20">
        <f ca="1">IF(Table1[[#This Row],[County]]="Greater Manchester",Table1[[#This Row],[income]],0)</f>
        <v>0</v>
      </c>
      <c r="CJ90" s="20">
        <f ca="1">IF(Table1[[#This Row],[County]]="Hertfordshire",Table1[[#This Row],[income]],0)</f>
        <v>0</v>
      </c>
      <c r="CK90" s="20">
        <f ca="1">IF(Table1[[#This Row],[County]]="Herefordshire",Table1[[#This Row],[income]],0)</f>
        <v>0</v>
      </c>
      <c r="CL90" s="20">
        <f ca="1">IF(Table1[[#This Row],[County]]="Lancashire",Table1[[#This Row],[income]],0)</f>
        <v>0</v>
      </c>
      <c r="CM90" s="20">
        <f ca="1">IF(Table1[[#This Row],[County]]="Merseyside",Table1[[#This Row],[income]],0)</f>
        <v>0</v>
      </c>
      <c r="CN90" s="20">
        <f ca="1">IF(Table1[[#This Row],[County]]="Northamptonshire",Table1[[#This Row],[income]],0)</f>
        <v>0</v>
      </c>
      <c r="CO90" s="20">
        <f ca="1">IF(Table1[[#This Row],[County]]="Northumberland",Table1[[#This Row],[income]],0)</f>
        <v>0</v>
      </c>
      <c r="CP90" s="20">
        <f ca="1">IF(Table1[[#This Row],[County]]="Wiltshire",Table1[[#This Row],[income]],0)</f>
        <v>0</v>
      </c>
      <c r="CQ90" s="20">
        <f ca="1">IF(Table1[[#This Row],[County]]="West Midlands",Table1[[#This Row],[income]],0)</f>
        <v>0</v>
      </c>
      <c r="CR90" s="20">
        <f ca="1">IF(Table1[[#This Row],[County]]="Warwickshire",Table1[[#This Row],[income]],0)</f>
        <v>0</v>
      </c>
      <c r="CS90" s="20">
        <f ca="1">IF(Table1[[#This Row],[County]]="Tyne and Wear",Table1[[#This Row],[income]],0)</f>
        <v>0</v>
      </c>
      <c r="CT90" s="20">
        <f ca="1">IF(Table1[[#This Row],[County]]="Worcestershire",Table1[[#This Row],[income]],0)</f>
        <v>0</v>
      </c>
      <c r="CU90" s="20">
        <f ca="1">IF(Table1[[#This Row],[County]]="Rutland",Table1[[#This Row],[income]],0)</f>
        <v>0</v>
      </c>
      <c r="CV90" s="20">
        <f ca="1">IF(Table1[[#This Row],[County]]="Shropshire",Table1[[#This Row],[income]],0)</f>
        <v>0</v>
      </c>
      <c r="CW90" s="20">
        <f ca="1">IF(Table1[[#This Row],[County]]="Dorset",Table1[[#This Row],[income]],0)</f>
        <v>0</v>
      </c>
      <c r="CX90" s="20">
        <f ca="1">IF(Table1[[#This Row],[County]]="Buckinghamshire",Table1[[#This Row],[income]],0)</f>
        <v>0</v>
      </c>
      <c r="CY90" s="20">
        <f ca="1">IF(Table1[[#This Row],[County]]="Suffolk",Table1[[#This Row],[income]],0)</f>
        <v>0</v>
      </c>
      <c r="CZ90" s="20">
        <f ca="1">IF(Table1[[#This Row],[County]]="North Yorkshire",Table1[[#This Row],[income]],0)</f>
        <v>0</v>
      </c>
      <c r="DA90" s="20">
        <f ca="1">IF(Table1[[#This Row],[County]]="Kent",Table1[[#This Row],[income]],0)</f>
        <v>0</v>
      </c>
      <c r="DB90" s="5">
        <f ca="1">IF(Table1[[#This Row],[County]]="Derbyshire",Table1[[#This Row],[income]],0)</f>
        <v>0</v>
      </c>
      <c r="DD90" s="6">
        <f ca="1">IF(Table1[[#This Row],[Column1]]="Health",Table1[[#This Row],[income]],0)</f>
        <v>0</v>
      </c>
      <c r="DE90" s="20">
        <f ca="1">IF(Table1[[#This Row],[Column1]]="Agriculture",Table1[[#This Row],[income]],0)</f>
        <v>0</v>
      </c>
      <c r="DF90" s="20">
        <f ca="1">IF(Table1[[#This Row],[Column1]]="Technology",Table1[[#This Row],[income]],0)</f>
        <v>0</v>
      </c>
      <c r="DG90" s="20">
        <f ca="1">IF(Table1[[#This Row],[Column1]]="Social Service",Table1[[#This Row],[income]],0)</f>
        <v>0</v>
      </c>
      <c r="DH90" s="20">
        <f ca="1">IF(Table1[[#This Row],[Column1]]="Education",Table1[[#This Row],[income]],0)</f>
        <v>0</v>
      </c>
      <c r="DI90" s="5">
        <f ca="1">IF(Table1[[#This Row],[Column1]]="Construction",Table1[[#This Row],[income]],0)</f>
        <v>91149</v>
      </c>
      <c r="DK90" s="6">
        <f ca="1">IF(Table1[[#This Row],[Value of Debts]]&gt;Table1[[#This Row],[income]],1,0)</f>
        <v>1</v>
      </c>
      <c r="DL90" s="20"/>
      <c r="DM90" s="20"/>
      <c r="DN90" s="5"/>
      <c r="DP90" s="6">
        <f ca="1">IF(Table1[[#This Row],[Net Worth (£)]]&gt;$DS$5,C90,0)</f>
        <v>0</v>
      </c>
      <c r="DQ90" s="20"/>
      <c r="DR90" s="20"/>
      <c r="DS90" s="5"/>
    </row>
    <row r="91" spans="1:123" x14ac:dyDescent="0.2">
      <c r="A91">
        <f t="shared" ca="1" si="4"/>
        <v>2</v>
      </c>
      <c r="B91" s="1" t="str">
        <f ca="1">IF(A91=1, "men", "women")</f>
        <v>women</v>
      </c>
      <c r="C91" s="1">
        <f ca="1">RANDBETWEEN(25,50)</f>
        <v>35</v>
      </c>
      <c r="D91">
        <f ca="1">RANDBETWEEN(1,6)</f>
        <v>3</v>
      </c>
      <c r="E91" t="str">
        <f ca="1">VLOOKUP(D91,$W$5:$X$10,2)</f>
        <v>Education</v>
      </c>
      <c r="F91">
        <f ca="1">RANDBETWEEN(1,5)</f>
        <v>2</v>
      </c>
      <c r="G91" t="str">
        <f ca="1">VLOOKUP(F91,$Y$5:$Z$9,2)</f>
        <v>College</v>
      </c>
      <c r="H91">
        <f ca="1">RANDBETWEEN(0,4)</f>
        <v>4</v>
      </c>
      <c r="I91">
        <f ca="1">RANDBETWEEN(1,3)</f>
        <v>2</v>
      </c>
      <c r="J91">
        <f ca="1">RANDBETWEEN(30000,100000)</f>
        <v>67985</v>
      </c>
      <c r="K91">
        <f ca="1">RANDBETWEEN(1,48)</f>
        <v>32</v>
      </c>
      <c r="L91" t="str">
        <f ca="1">VLOOKUP(K91,$AA$5:$AB$52,2)</f>
        <v>Northumberland</v>
      </c>
      <c r="M91">
        <f ca="1">J91*(RANDBETWEEN(2,5))</f>
        <v>271940</v>
      </c>
      <c r="N91">
        <f ca="1">RAND()*M91</f>
        <v>56145.911347971873</v>
      </c>
      <c r="O91">
        <f ca="1">I91*RAND()*J91</f>
        <v>26350.040988742734</v>
      </c>
      <c r="P91">
        <f ca="1">RANDBETWEEN(0,O91)</f>
        <v>26107</v>
      </c>
      <c r="Q91">
        <f ca="1">RAND()*J91*2</f>
        <v>22158.730893344251</v>
      </c>
      <c r="R91">
        <f ca="1">RAND()*J91*1.5</f>
        <v>12979.764809329945</v>
      </c>
      <c r="S91">
        <f ca="1">J91+R91+O91</f>
        <v>107314.80579807269</v>
      </c>
      <c r="T91">
        <f ca="1">N91+P91+Q91</f>
        <v>104411.64224131613</v>
      </c>
      <c r="U91">
        <f ca="1">S91-T91</f>
        <v>2903.1635567565536</v>
      </c>
      <c r="AC91" s="6">
        <f ca="1">IF(Table1[[#This Row],[gender]]="men",1,0)</f>
        <v>0</v>
      </c>
      <c r="AD91">
        <f ca="1">IF(Table1[[#This Row],[gender]]="women",1,0)</f>
        <v>1</v>
      </c>
      <c r="AH91" s="5"/>
      <c r="AJ91" s="6">
        <f ca="1">IF(Table1[[#This Row],[Column1]]="Health",1,0)</f>
        <v>0</v>
      </c>
      <c r="AK91">
        <f ca="1">IF(Table1[[#This Row],[Column1]]="Construction",1,0)</f>
        <v>0</v>
      </c>
      <c r="AL91">
        <f ca="1">IF(Table1[[#This Row],[Column1]]="Technology",1,0)</f>
        <v>0</v>
      </c>
      <c r="AM91">
        <f ca="1">IF(Table1[[#This Row],[Column1]]="Education",1,0)</f>
        <v>1</v>
      </c>
      <c r="AN91">
        <f ca="1">IF(Table1[[#This Row],[Column1]]="Agriculture",1,0)</f>
        <v>0</v>
      </c>
      <c r="AO91">
        <f ca="1">IF(Table1[[#This Row],[Column1]]="Social Service", 1, 0)</f>
        <v>0</v>
      </c>
      <c r="AT91" s="5"/>
      <c r="AV91" s="17">
        <f t="shared" ca="1" si="3"/>
        <v>20424.291876471976</v>
      </c>
      <c r="AW91" s="5"/>
      <c r="AX91" s="6">
        <f ca="1">IF(Table1[[#This Row],[Value of Debts]]&gt;$AY$4,1,0)</f>
        <v>1</v>
      </c>
      <c r="AY91" s="20"/>
      <c r="AZ91" s="20"/>
      <c r="BA91" s="5"/>
      <c r="BB91" s="25">
        <f ca="1">Table1[[#This Row],[Mortage Left]]/Table1[[#This Row],[Value of House]]</f>
        <v>0.2064643353238651</v>
      </c>
      <c r="BC91" s="20">
        <f t="shared" ca="1" si="5"/>
        <v>1</v>
      </c>
      <c r="BD91" s="20"/>
      <c r="BE91" s="20"/>
      <c r="BF91" s="20"/>
      <c r="BG91" s="6">
        <f ca="1">IF(Table1[[#This Row],[County]]="Cumbria",Table1[[#This Row],[income]],0)</f>
        <v>0</v>
      </c>
      <c r="BH91" s="20">
        <f ca="1">IF(Table1[[#This Row],[County]]="Cheshire",Table1[[#This Row],[income]],0)</f>
        <v>0</v>
      </c>
      <c r="BI91" s="20">
        <f ca="1">IF(Table1[[#This Row],[County]]="Bristol",Table1[[#This Row],[income]],0)</f>
        <v>0</v>
      </c>
      <c r="BJ91" s="20">
        <f ca="1">IF(Table1[[#This Row],[County]]="Surrey",Table1[[#This Row],[income]],0)</f>
        <v>0</v>
      </c>
      <c r="BK91" s="20">
        <f ca="1">IF(Table1[[#This Row],[County]]="Norfolk",Table1[[#This Row],[income]],0)</f>
        <v>0</v>
      </c>
      <c r="BL91" s="20">
        <f ca="1">IF(Table1[[#This Row],[County]]="Lincolnshire",Table1[[#This Row],[income]],0)</f>
        <v>0</v>
      </c>
      <c r="BM91" s="20">
        <f ca="1">IF(Table1[[#This Row],[County]]="Somerset",Table1[[#This Row],[income]],0)</f>
        <v>0</v>
      </c>
      <c r="BN91" s="20">
        <f ca="1">IF(Table1[[#This Row],[County]]="Cambridgeshire",Table1[[#This Row],[income]],0)</f>
        <v>0</v>
      </c>
      <c r="BO91" s="20">
        <f ca="1">IF(Table1[[#This Row],[County]]="South Yorkshire",Table1[[#This Row],[income]],0)</f>
        <v>0</v>
      </c>
      <c r="BP91" s="20">
        <f ca="1">IF(Table1[[#This Row],[County]]="Greater London",Table1[[#This Row],[income]],0)</f>
        <v>0</v>
      </c>
      <c r="BQ91" s="20">
        <f ca="1">IF(Table1[[#This Row],[County]]="Hampshire",Table1[[#This Row],[income]],0)</f>
        <v>0</v>
      </c>
      <c r="BR91" s="20">
        <f ca="1">IF(Table1[[#This Row],[County]]="Gloucestershire",Table1[[#This Row],[income]],0)</f>
        <v>0</v>
      </c>
      <c r="BS91" s="20">
        <f ca="1">IF(Table1[[#This Row],[County]]="West Sussex",Table1[[#This Row],[income]],0)</f>
        <v>0</v>
      </c>
      <c r="BT91" s="20">
        <f ca="1">IF(Table1[[#This Row],[County]]="Devon",Table1[[#This Row],[income]],0)</f>
        <v>0</v>
      </c>
      <c r="BU91" s="20">
        <f ca="1">IF(Table1[[#This Row],[County]]="Berkshire",Table1[[#This Row],[income]],0)</f>
        <v>0</v>
      </c>
      <c r="BV91" s="20">
        <f ca="1">IF(Table1[[#This Row],[County]]="Staffordshire",Table1[[#This Row],[income]],0)</f>
        <v>0</v>
      </c>
      <c r="BW91" s="20">
        <f ca="1">IF(Table1[[#This Row],[County]]="Leicestershire",Table1[[#This Row],[income]],0)</f>
        <v>0</v>
      </c>
      <c r="BX91" s="20">
        <f ca="1">IF(Table1[[#This Row],[County]]="Cornwall",Table1[[#This Row],[income]],0)</f>
        <v>0</v>
      </c>
      <c r="BY91" s="20">
        <f ca="1">IF(Table1[[#This Row],[County]]="Isle of Wight",Table1[[#This Row],[income]],0)</f>
        <v>0</v>
      </c>
      <c r="BZ91" s="20">
        <f ca="1">IF(Table1[[#This Row],[County]]="Surrey",Table1[[#This Row],[income]],0)</f>
        <v>0</v>
      </c>
      <c r="CA91" s="20">
        <f ca="1">IF(Table1[[#This Row],[County]]="Derbyshire",Table1[[#This Row],[income]],0)</f>
        <v>0</v>
      </c>
      <c r="CB91" s="20">
        <f ca="1">IF(Table1[[#This Row],[County]]="City of London",Table1[[#This Row],[income]],0)</f>
        <v>0</v>
      </c>
      <c r="CC91" s="20">
        <f ca="1">IF(Table1[[#This Row],[County]]="Bedfordshire",Table1[[#This Row],[income]],0)</f>
        <v>0</v>
      </c>
      <c r="CD91" s="20">
        <f ca="1">IF(Table1[[#This Row],[County]]="County Durham",Table1[[#This Row],[income]],0)</f>
        <v>0</v>
      </c>
      <c r="CE91" s="20">
        <f ca="1">IF(Table1[[#This Row],[County]]="East Riding of Yorkshire",Table1[[#This Row],[income]],0)</f>
        <v>0</v>
      </c>
      <c r="CF91" s="20">
        <f ca="1">IF(Table1[[#This Row],[County]]="West Yorkshire",Table1[[#This Row],[income]],0)</f>
        <v>0</v>
      </c>
      <c r="CG91" s="20">
        <f ca="1">IF(Table1[[#This Row],[County]]="Essex",Table1[[#This Row],[income]],0)</f>
        <v>0</v>
      </c>
      <c r="CH91" s="20">
        <f ca="1">IF(Table1[[#This Row],[County]]="East Sussex",Table1[[#This Row],[income]],0)</f>
        <v>0</v>
      </c>
      <c r="CI91" s="20">
        <f ca="1">IF(Table1[[#This Row],[County]]="Greater Manchester",Table1[[#This Row],[income]],0)</f>
        <v>0</v>
      </c>
      <c r="CJ91" s="20">
        <f ca="1">IF(Table1[[#This Row],[County]]="Hertfordshire",Table1[[#This Row],[income]],0)</f>
        <v>0</v>
      </c>
      <c r="CK91" s="20">
        <f ca="1">IF(Table1[[#This Row],[County]]="Herefordshire",Table1[[#This Row],[income]],0)</f>
        <v>0</v>
      </c>
      <c r="CL91" s="20">
        <f ca="1">IF(Table1[[#This Row],[County]]="Lancashire",Table1[[#This Row],[income]],0)</f>
        <v>0</v>
      </c>
      <c r="CM91" s="20">
        <f ca="1">IF(Table1[[#This Row],[County]]="Merseyside",Table1[[#This Row],[income]],0)</f>
        <v>0</v>
      </c>
      <c r="CN91" s="20">
        <f ca="1">IF(Table1[[#This Row],[County]]="Northamptonshire",Table1[[#This Row],[income]],0)</f>
        <v>0</v>
      </c>
      <c r="CO91" s="20">
        <f ca="1">IF(Table1[[#This Row],[County]]="Northumberland",Table1[[#This Row],[income]],0)</f>
        <v>67985</v>
      </c>
      <c r="CP91" s="20">
        <f ca="1">IF(Table1[[#This Row],[County]]="Wiltshire",Table1[[#This Row],[income]],0)</f>
        <v>0</v>
      </c>
      <c r="CQ91" s="20">
        <f ca="1">IF(Table1[[#This Row],[County]]="West Midlands",Table1[[#This Row],[income]],0)</f>
        <v>0</v>
      </c>
      <c r="CR91" s="20">
        <f ca="1">IF(Table1[[#This Row],[County]]="Warwickshire",Table1[[#This Row],[income]],0)</f>
        <v>0</v>
      </c>
      <c r="CS91" s="20">
        <f ca="1">IF(Table1[[#This Row],[County]]="Tyne and Wear",Table1[[#This Row],[income]],0)</f>
        <v>0</v>
      </c>
      <c r="CT91" s="20">
        <f ca="1">IF(Table1[[#This Row],[County]]="Worcestershire",Table1[[#This Row],[income]],0)</f>
        <v>0</v>
      </c>
      <c r="CU91" s="20">
        <f ca="1">IF(Table1[[#This Row],[County]]="Rutland",Table1[[#This Row],[income]],0)</f>
        <v>0</v>
      </c>
      <c r="CV91" s="20">
        <f ca="1">IF(Table1[[#This Row],[County]]="Shropshire",Table1[[#This Row],[income]],0)</f>
        <v>0</v>
      </c>
      <c r="CW91" s="20">
        <f ca="1">IF(Table1[[#This Row],[County]]="Dorset",Table1[[#This Row],[income]],0)</f>
        <v>0</v>
      </c>
      <c r="CX91" s="20">
        <f ca="1">IF(Table1[[#This Row],[County]]="Buckinghamshire",Table1[[#This Row],[income]],0)</f>
        <v>0</v>
      </c>
      <c r="CY91" s="20">
        <f ca="1">IF(Table1[[#This Row],[County]]="Suffolk",Table1[[#This Row],[income]],0)</f>
        <v>0</v>
      </c>
      <c r="CZ91" s="20">
        <f ca="1">IF(Table1[[#This Row],[County]]="North Yorkshire",Table1[[#This Row],[income]],0)</f>
        <v>0</v>
      </c>
      <c r="DA91" s="20">
        <f ca="1">IF(Table1[[#This Row],[County]]="Kent",Table1[[#This Row],[income]],0)</f>
        <v>0</v>
      </c>
      <c r="DB91" s="5">
        <f ca="1">IF(Table1[[#This Row],[County]]="Derbyshire",Table1[[#This Row],[income]],0)</f>
        <v>0</v>
      </c>
      <c r="DD91" s="6">
        <f ca="1">IF(Table1[[#This Row],[Column1]]="Health",Table1[[#This Row],[income]],0)</f>
        <v>0</v>
      </c>
      <c r="DE91" s="20">
        <f ca="1">IF(Table1[[#This Row],[Column1]]="Agriculture",Table1[[#This Row],[income]],0)</f>
        <v>0</v>
      </c>
      <c r="DF91" s="20">
        <f ca="1">IF(Table1[[#This Row],[Column1]]="Technology",Table1[[#This Row],[income]],0)</f>
        <v>0</v>
      </c>
      <c r="DG91" s="20">
        <f ca="1">IF(Table1[[#This Row],[Column1]]="Social Service",Table1[[#This Row],[income]],0)</f>
        <v>0</v>
      </c>
      <c r="DH91" s="20">
        <f ca="1">IF(Table1[[#This Row],[Column1]]="Education",Table1[[#This Row],[income]],0)</f>
        <v>67985</v>
      </c>
      <c r="DI91" s="5">
        <f ca="1">IF(Table1[[#This Row],[Column1]]="Construction",Table1[[#This Row],[income]],0)</f>
        <v>0</v>
      </c>
      <c r="DK91" s="6">
        <f ca="1">IF(Table1[[#This Row],[Value of Debts]]&gt;Table1[[#This Row],[income]],1,0)</f>
        <v>1</v>
      </c>
      <c r="DL91" s="20"/>
      <c r="DM91" s="20"/>
      <c r="DN91" s="5"/>
      <c r="DP91" s="6">
        <f ca="1">IF(Table1[[#This Row],[Net Worth (£)]]&gt;$DS$5,C91,0)</f>
        <v>0</v>
      </c>
      <c r="DQ91" s="20"/>
      <c r="DR91" s="20"/>
      <c r="DS91" s="5"/>
    </row>
    <row r="92" spans="1:123" x14ac:dyDescent="0.2">
      <c r="A92">
        <f t="shared" ca="1" si="4"/>
        <v>2</v>
      </c>
      <c r="B92" s="1" t="str">
        <f ca="1">IF(A92=1, "men", "women")</f>
        <v>women</v>
      </c>
      <c r="C92" s="1">
        <f ca="1">RANDBETWEEN(25,50)</f>
        <v>39</v>
      </c>
      <c r="D92">
        <f ca="1">RANDBETWEEN(1,6)</f>
        <v>5</v>
      </c>
      <c r="E92" t="str">
        <f ca="1">VLOOKUP(D92,$W$5:$X$10,2)</f>
        <v>Social Service</v>
      </c>
      <c r="F92">
        <f ca="1">RANDBETWEEN(1,5)</f>
        <v>2</v>
      </c>
      <c r="G92" t="str">
        <f ca="1">VLOOKUP(F92,$Y$5:$Z$9,2)</f>
        <v>College</v>
      </c>
      <c r="H92">
        <f ca="1">RANDBETWEEN(0,4)</f>
        <v>2</v>
      </c>
      <c r="I92">
        <f ca="1">RANDBETWEEN(1,3)</f>
        <v>2</v>
      </c>
      <c r="J92">
        <f ca="1">RANDBETWEEN(30000,100000)</f>
        <v>53293</v>
      </c>
      <c r="K92">
        <f ca="1">RANDBETWEEN(1,48)</f>
        <v>7</v>
      </c>
      <c r="L92" t="str">
        <f ca="1">VLOOKUP(K92,$AA$5:$AB$52,2)</f>
        <v>City of London</v>
      </c>
      <c r="M92">
        <f ca="1">J92*(RANDBETWEEN(2,5))</f>
        <v>266465</v>
      </c>
      <c r="N92">
        <f ca="1">RAND()*M92</f>
        <v>141493.68731468584</v>
      </c>
      <c r="O92">
        <f ca="1">I92*RAND()*J92</f>
        <v>40848.583752943952</v>
      </c>
      <c r="P92">
        <f ca="1">RANDBETWEEN(0,O92)</f>
        <v>2553</v>
      </c>
      <c r="Q92">
        <f ca="1">RAND()*J92*2</f>
        <v>60885.693570692434</v>
      </c>
      <c r="R92">
        <f ca="1">RAND()*J92*1.5</f>
        <v>76324.377406395681</v>
      </c>
      <c r="S92">
        <f ca="1">J92+R92+O92</f>
        <v>170465.96115933964</v>
      </c>
      <c r="T92">
        <f ca="1">N92+P92+Q92</f>
        <v>204932.38088537828</v>
      </c>
      <c r="U92">
        <f ca="1">S92-T92</f>
        <v>-34466.419726038643</v>
      </c>
      <c r="AC92" s="6">
        <f ca="1">IF(Table1[[#This Row],[gender]]="men",1,0)</f>
        <v>0</v>
      </c>
      <c r="AD92">
        <f ca="1">IF(Table1[[#This Row],[gender]]="women",1,0)</f>
        <v>1</v>
      </c>
      <c r="AH92" s="5"/>
      <c r="AJ92" s="6">
        <f ca="1">IF(Table1[[#This Row],[Column1]]="Health",1,0)</f>
        <v>0</v>
      </c>
      <c r="AK92">
        <f ca="1">IF(Table1[[#This Row],[Column1]]="Construction",1,0)</f>
        <v>0</v>
      </c>
      <c r="AL92">
        <f ca="1">IF(Table1[[#This Row],[Column1]]="Technology",1,0)</f>
        <v>0</v>
      </c>
      <c r="AM92">
        <f ca="1">IF(Table1[[#This Row],[Column1]]="Education",1,0)</f>
        <v>0</v>
      </c>
      <c r="AN92">
        <f ca="1">IF(Table1[[#This Row],[Column1]]="Agriculture",1,0)</f>
        <v>0</v>
      </c>
      <c r="AO92">
        <f ca="1">IF(Table1[[#This Row],[Column1]]="Social Service", 1, 0)</f>
        <v>1</v>
      </c>
      <c r="AT92" s="5"/>
      <c r="AV92" s="17">
        <f t="shared" ca="1" si="3"/>
        <v>1123.5808072409941</v>
      </c>
      <c r="AW92" s="5"/>
      <c r="AX92" s="6">
        <f ca="1">IF(Table1[[#This Row],[Value of Debts]]&gt;$AY$4,1,0)</f>
        <v>1</v>
      </c>
      <c r="AY92" s="20"/>
      <c r="AZ92" s="20"/>
      <c r="BA92" s="5"/>
      <c r="BB92" s="25">
        <f ca="1">Table1[[#This Row],[Mortage Left]]/Table1[[#This Row],[Value of House]]</f>
        <v>0.53100289837196568</v>
      </c>
      <c r="BC92" s="20">
        <f t="shared" ca="1" si="5"/>
        <v>0</v>
      </c>
      <c r="BD92" s="20"/>
      <c r="BE92" s="20"/>
      <c r="BF92" s="20"/>
      <c r="BG92" s="6">
        <f ca="1">IF(Table1[[#This Row],[County]]="Cumbria",Table1[[#This Row],[income]],0)</f>
        <v>0</v>
      </c>
      <c r="BH92" s="20">
        <f ca="1">IF(Table1[[#This Row],[County]]="Cheshire",Table1[[#This Row],[income]],0)</f>
        <v>0</v>
      </c>
      <c r="BI92" s="20">
        <f ca="1">IF(Table1[[#This Row],[County]]="Bristol",Table1[[#This Row],[income]],0)</f>
        <v>0</v>
      </c>
      <c r="BJ92" s="20">
        <f ca="1">IF(Table1[[#This Row],[County]]="Surrey",Table1[[#This Row],[income]],0)</f>
        <v>0</v>
      </c>
      <c r="BK92" s="20">
        <f ca="1">IF(Table1[[#This Row],[County]]="Norfolk",Table1[[#This Row],[income]],0)</f>
        <v>0</v>
      </c>
      <c r="BL92" s="20">
        <f ca="1">IF(Table1[[#This Row],[County]]="Lincolnshire",Table1[[#This Row],[income]],0)</f>
        <v>0</v>
      </c>
      <c r="BM92" s="20">
        <f ca="1">IF(Table1[[#This Row],[County]]="Somerset",Table1[[#This Row],[income]],0)</f>
        <v>0</v>
      </c>
      <c r="BN92" s="20">
        <f ca="1">IF(Table1[[#This Row],[County]]="Cambridgeshire",Table1[[#This Row],[income]],0)</f>
        <v>0</v>
      </c>
      <c r="BO92" s="20">
        <f ca="1">IF(Table1[[#This Row],[County]]="South Yorkshire",Table1[[#This Row],[income]],0)</f>
        <v>0</v>
      </c>
      <c r="BP92" s="20">
        <f ca="1">IF(Table1[[#This Row],[County]]="Greater London",Table1[[#This Row],[income]],0)</f>
        <v>0</v>
      </c>
      <c r="BQ92" s="20">
        <f ca="1">IF(Table1[[#This Row],[County]]="Hampshire",Table1[[#This Row],[income]],0)</f>
        <v>0</v>
      </c>
      <c r="BR92" s="20">
        <f ca="1">IF(Table1[[#This Row],[County]]="Gloucestershire",Table1[[#This Row],[income]],0)</f>
        <v>0</v>
      </c>
      <c r="BS92" s="20">
        <f ca="1">IF(Table1[[#This Row],[County]]="West Sussex",Table1[[#This Row],[income]],0)</f>
        <v>0</v>
      </c>
      <c r="BT92" s="20">
        <f ca="1">IF(Table1[[#This Row],[County]]="Devon",Table1[[#This Row],[income]],0)</f>
        <v>0</v>
      </c>
      <c r="BU92" s="20">
        <f ca="1">IF(Table1[[#This Row],[County]]="Berkshire",Table1[[#This Row],[income]],0)</f>
        <v>0</v>
      </c>
      <c r="BV92" s="20">
        <f ca="1">IF(Table1[[#This Row],[County]]="Staffordshire",Table1[[#This Row],[income]],0)</f>
        <v>0</v>
      </c>
      <c r="BW92" s="20">
        <f ca="1">IF(Table1[[#This Row],[County]]="Leicestershire",Table1[[#This Row],[income]],0)</f>
        <v>0</v>
      </c>
      <c r="BX92" s="20">
        <f ca="1">IF(Table1[[#This Row],[County]]="Cornwall",Table1[[#This Row],[income]],0)</f>
        <v>0</v>
      </c>
      <c r="BY92" s="20">
        <f ca="1">IF(Table1[[#This Row],[County]]="Isle of Wight",Table1[[#This Row],[income]],0)</f>
        <v>0</v>
      </c>
      <c r="BZ92" s="20">
        <f ca="1">IF(Table1[[#This Row],[County]]="Surrey",Table1[[#This Row],[income]],0)</f>
        <v>0</v>
      </c>
      <c r="CA92" s="20">
        <f ca="1">IF(Table1[[#This Row],[County]]="Derbyshire",Table1[[#This Row],[income]],0)</f>
        <v>0</v>
      </c>
      <c r="CB92" s="20">
        <f ca="1">IF(Table1[[#This Row],[County]]="City of London",Table1[[#This Row],[income]],0)</f>
        <v>53293</v>
      </c>
      <c r="CC92" s="20">
        <f ca="1">IF(Table1[[#This Row],[County]]="Bedfordshire",Table1[[#This Row],[income]],0)</f>
        <v>0</v>
      </c>
      <c r="CD92" s="20">
        <f ca="1">IF(Table1[[#This Row],[County]]="County Durham",Table1[[#This Row],[income]],0)</f>
        <v>0</v>
      </c>
      <c r="CE92" s="20">
        <f ca="1">IF(Table1[[#This Row],[County]]="East Riding of Yorkshire",Table1[[#This Row],[income]],0)</f>
        <v>0</v>
      </c>
      <c r="CF92" s="20">
        <f ca="1">IF(Table1[[#This Row],[County]]="West Yorkshire",Table1[[#This Row],[income]],0)</f>
        <v>0</v>
      </c>
      <c r="CG92" s="20">
        <f ca="1">IF(Table1[[#This Row],[County]]="Essex",Table1[[#This Row],[income]],0)</f>
        <v>0</v>
      </c>
      <c r="CH92" s="20">
        <f ca="1">IF(Table1[[#This Row],[County]]="East Sussex",Table1[[#This Row],[income]],0)</f>
        <v>0</v>
      </c>
      <c r="CI92" s="20">
        <f ca="1">IF(Table1[[#This Row],[County]]="Greater Manchester",Table1[[#This Row],[income]],0)</f>
        <v>0</v>
      </c>
      <c r="CJ92" s="20">
        <f ca="1">IF(Table1[[#This Row],[County]]="Hertfordshire",Table1[[#This Row],[income]],0)</f>
        <v>0</v>
      </c>
      <c r="CK92" s="20">
        <f ca="1">IF(Table1[[#This Row],[County]]="Herefordshire",Table1[[#This Row],[income]],0)</f>
        <v>0</v>
      </c>
      <c r="CL92" s="20">
        <f ca="1">IF(Table1[[#This Row],[County]]="Lancashire",Table1[[#This Row],[income]],0)</f>
        <v>0</v>
      </c>
      <c r="CM92" s="20">
        <f ca="1">IF(Table1[[#This Row],[County]]="Merseyside",Table1[[#This Row],[income]],0)</f>
        <v>0</v>
      </c>
      <c r="CN92" s="20">
        <f ca="1">IF(Table1[[#This Row],[County]]="Northamptonshire",Table1[[#This Row],[income]],0)</f>
        <v>0</v>
      </c>
      <c r="CO92" s="20">
        <f ca="1">IF(Table1[[#This Row],[County]]="Northumberland",Table1[[#This Row],[income]],0)</f>
        <v>0</v>
      </c>
      <c r="CP92" s="20">
        <f ca="1">IF(Table1[[#This Row],[County]]="Wiltshire",Table1[[#This Row],[income]],0)</f>
        <v>0</v>
      </c>
      <c r="CQ92" s="20">
        <f ca="1">IF(Table1[[#This Row],[County]]="West Midlands",Table1[[#This Row],[income]],0)</f>
        <v>0</v>
      </c>
      <c r="CR92" s="20">
        <f ca="1">IF(Table1[[#This Row],[County]]="Warwickshire",Table1[[#This Row],[income]],0)</f>
        <v>0</v>
      </c>
      <c r="CS92" s="20">
        <f ca="1">IF(Table1[[#This Row],[County]]="Tyne and Wear",Table1[[#This Row],[income]],0)</f>
        <v>0</v>
      </c>
      <c r="CT92" s="20">
        <f ca="1">IF(Table1[[#This Row],[County]]="Worcestershire",Table1[[#This Row],[income]],0)</f>
        <v>0</v>
      </c>
      <c r="CU92" s="20">
        <f ca="1">IF(Table1[[#This Row],[County]]="Rutland",Table1[[#This Row],[income]],0)</f>
        <v>0</v>
      </c>
      <c r="CV92" s="20">
        <f ca="1">IF(Table1[[#This Row],[County]]="Shropshire",Table1[[#This Row],[income]],0)</f>
        <v>0</v>
      </c>
      <c r="CW92" s="20">
        <f ca="1">IF(Table1[[#This Row],[County]]="Dorset",Table1[[#This Row],[income]],0)</f>
        <v>0</v>
      </c>
      <c r="CX92" s="20">
        <f ca="1">IF(Table1[[#This Row],[County]]="Buckinghamshire",Table1[[#This Row],[income]],0)</f>
        <v>0</v>
      </c>
      <c r="CY92" s="20">
        <f ca="1">IF(Table1[[#This Row],[County]]="Suffolk",Table1[[#This Row],[income]],0)</f>
        <v>0</v>
      </c>
      <c r="CZ92" s="20">
        <f ca="1">IF(Table1[[#This Row],[County]]="North Yorkshire",Table1[[#This Row],[income]],0)</f>
        <v>0</v>
      </c>
      <c r="DA92" s="20">
        <f ca="1">IF(Table1[[#This Row],[County]]="Kent",Table1[[#This Row],[income]],0)</f>
        <v>0</v>
      </c>
      <c r="DB92" s="5">
        <f ca="1">IF(Table1[[#This Row],[County]]="Derbyshire",Table1[[#This Row],[income]],0)</f>
        <v>0</v>
      </c>
      <c r="DD92" s="6">
        <f ca="1">IF(Table1[[#This Row],[Column1]]="Health",Table1[[#This Row],[income]],0)</f>
        <v>0</v>
      </c>
      <c r="DE92" s="20">
        <f ca="1">IF(Table1[[#This Row],[Column1]]="Agriculture",Table1[[#This Row],[income]],0)</f>
        <v>0</v>
      </c>
      <c r="DF92" s="20">
        <f ca="1">IF(Table1[[#This Row],[Column1]]="Technology",Table1[[#This Row],[income]],0)</f>
        <v>0</v>
      </c>
      <c r="DG92" s="20">
        <f ca="1">IF(Table1[[#This Row],[Column1]]="Social Service",Table1[[#This Row],[income]],0)</f>
        <v>53293</v>
      </c>
      <c r="DH92" s="20">
        <f ca="1">IF(Table1[[#This Row],[Column1]]="Education",Table1[[#This Row],[income]],0)</f>
        <v>0</v>
      </c>
      <c r="DI92" s="5">
        <f ca="1">IF(Table1[[#This Row],[Column1]]="Construction",Table1[[#This Row],[income]],0)</f>
        <v>0</v>
      </c>
      <c r="DK92" s="6">
        <f ca="1">IF(Table1[[#This Row],[Value of Debts]]&gt;Table1[[#This Row],[income]],1,0)</f>
        <v>1</v>
      </c>
      <c r="DL92" s="20"/>
      <c r="DM92" s="20"/>
      <c r="DN92" s="5"/>
      <c r="DP92" s="6">
        <f ca="1">IF(Table1[[#This Row],[Net Worth (£)]]&gt;$DS$5,C92,0)</f>
        <v>0</v>
      </c>
      <c r="DQ92" s="20"/>
      <c r="DR92" s="20"/>
      <c r="DS92" s="5"/>
    </row>
    <row r="93" spans="1:123" x14ac:dyDescent="0.2">
      <c r="A93">
        <f t="shared" ca="1" si="4"/>
        <v>2</v>
      </c>
      <c r="B93" s="1" t="str">
        <f ca="1">IF(A93=1, "men", "women")</f>
        <v>women</v>
      </c>
      <c r="C93" s="1">
        <f ca="1">RANDBETWEEN(25,50)</f>
        <v>36</v>
      </c>
      <c r="D93">
        <f ca="1">RANDBETWEEN(1,6)</f>
        <v>6</v>
      </c>
      <c r="E93" t="str">
        <f ca="1">VLOOKUP(D93,$W$5:$X$10,2)</f>
        <v>Agriculture</v>
      </c>
      <c r="F93">
        <f ca="1">RANDBETWEEN(1,5)</f>
        <v>1</v>
      </c>
      <c r="G93" t="str">
        <f ca="1">VLOOKUP(F93,$Y$5:$Z$9,2)</f>
        <v>High School</v>
      </c>
      <c r="H93">
        <f ca="1">RANDBETWEEN(0,4)</f>
        <v>4</v>
      </c>
      <c r="I93">
        <f ca="1">RANDBETWEEN(1,3)</f>
        <v>2</v>
      </c>
      <c r="J93">
        <f ca="1">RANDBETWEEN(30000,100000)</f>
        <v>70559</v>
      </c>
      <c r="K93">
        <f ca="1">RANDBETWEEN(1,48)</f>
        <v>45</v>
      </c>
      <c r="L93" t="str">
        <f ca="1">VLOOKUP(K93,$AA$5:$AB$52,2)</f>
        <v>West Sussex</v>
      </c>
      <c r="M93">
        <f ca="1">J93*(RANDBETWEEN(2,5))</f>
        <v>282236</v>
      </c>
      <c r="N93">
        <f ca="1">RAND()*M93</f>
        <v>18922.31346026879</v>
      </c>
      <c r="O93">
        <f ca="1">I93*RAND()*J93</f>
        <v>2247.1616144819882</v>
      </c>
      <c r="P93">
        <f ca="1">RANDBETWEEN(0,O93)</f>
        <v>1686</v>
      </c>
      <c r="Q93">
        <f ca="1">RAND()*J93*2</f>
        <v>45908.602324708518</v>
      </c>
      <c r="R93">
        <f ca="1">RAND()*J93*1.5</f>
        <v>73876.855845615239</v>
      </c>
      <c r="S93">
        <f ca="1">J93+R93+O93</f>
        <v>146683.01746009724</v>
      </c>
      <c r="T93">
        <f ca="1">N93+P93+Q93</f>
        <v>66516.915784977304</v>
      </c>
      <c r="U93">
        <f ca="1">S93-T93</f>
        <v>80166.101675119935</v>
      </c>
      <c r="AC93" s="6">
        <f ca="1">IF(Table1[[#This Row],[gender]]="men",1,0)</f>
        <v>0</v>
      </c>
      <c r="AD93">
        <f ca="1">IF(Table1[[#This Row],[gender]]="women",1,0)</f>
        <v>1</v>
      </c>
      <c r="AH93" s="5"/>
      <c r="AJ93" s="6">
        <f ca="1">IF(Table1[[#This Row],[Column1]]="Health",1,0)</f>
        <v>0</v>
      </c>
      <c r="AK93">
        <f ca="1">IF(Table1[[#This Row],[Column1]]="Construction",1,0)</f>
        <v>0</v>
      </c>
      <c r="AL93">
        <f ca="1">IF(Table1[[#This Row],[Column1]]="Technology",1,0)</f>
        <v>0</v>
      </c>
      <c r="AM93">
        <f ca="1">IF(Table1[[#This Row],[Column1]]="Education",1,0)</f>
        <v>0</v>
      </c>
      <c r="AN93">
        <f ca="1">IF(Table1[[#This Row],[Column1]]="Agriculture",1,0)</f>
        <v>1</v>
      </c>
      <c r="AO93">
        <f ca="1">IF(Table1[[#This Row],[Column1]]="Social Service", 1, 0)</f>
        <v>0</v>
      </c>
      <c r="AT93" s="5"/>
      <c r="AV93" s="17">
        <f t="shared" ca="1" si="3"/>
        <v>9808.1849720306745</v>
      </c>
      <c r="AW93" s="5"/>
      <c r="AX93" s="6">
        <f ca="1">IF(Table1[[#This Row],[Value of Debts]]&gt;$AY$4,1,0)</f>
        <v>0</v>
      </c>
      <c r="AY93" s="20"/>
      <c r="AZ93" s="20"/>
      <c r="BA93" s="5"/>
      <c r="BB93" s="25">
        <f ca="1">Table1[[#This Row],[Mortage Left]]/Table1[[#This Row],[Value of House]]</f>
        <v>6.7044294350362077E-2</v>
      </c>
      <c r="BC93" s="20">
        <f t="shared" ca="1" si="5"/>
        <v>1</v>
      </c>
      <c r="BD93" s="20"/>
      <c r="BE93" s="20"/>
      <c r="BF93" s="20"/>
      <c r="BG93" s="6">
        <f ca="1">IF(Table1[[#This Row],[County]]="Cumbria",Table1[[#This Row],[income]],0)</f>
        <v>0</v>
      </c>
      <c r="BH93" s="20">
        <f ca="1">IF(Table1[[#This Row],[County]]="Cheshire",Table1[[#This Row],[income]],0)</f>
        <v>0</v>
      </c>
      <c r="BI93" s="20">
        <f ca="1">IF(Table1[[#This Row],[County]]="Bristol",Table1[[#This Row],[income]],0)</f>
        <v>0</v>
      </c>
      <c r="BJ93" s="20">
        <f ca="1">IF(Table1[[#This Row],[County]]="Surrey",Table1[[#This Row],[income]],0)</f>
        <v>0</v>
      </c>
      <c r="BK93" s="20">
        <f ca="1">IF(Table1[[#This Row],[County]]="Norfolk",Table1[[#This Row],[income]],0)</f>
        <v>0</v>
      </c>
      <c r="BL93" s="20">
        <f ca="1">IF(Table1[[#This Row],[County]]="Lincolnshire",Table1[[#This Row],[income]],0)</f>
        <v>0</v>
      </c>
      <c r="BM93" s="20">
        <f ca="1">IF(Table1[[#This Row],[County]]="Somerset",Table1[[#This Row],[income]],0)</f>
        <v>0</v>
      </c>
      <c r="BN93" s="20">
        <f ca="1">IF(Table1[[#This Row],[County]]="Cambridgeshire",Table1[[#This Row],[income]],0)</f>
        <v>0</v>
      </c>
      <c r="BO93" s="20">
        <f ca="1">IF(Table1[[#This Row],[County]]="South Yorkshire",Table1[[#This Row],[income]],0)</f>
        <v>0</v>
      </c>
      <c r="BP93" s="20">
        <f ca="1">IF(Table1[[#This Row],[County]]="Greater London",Table1[[#This Row],[income]],0)</f>
        <v>0</v>
      </c>
      <c r="BQ93" s="20">
        <f ca="1">IF(Table1[[#This Row],[County]]="Hampshire",Table1[[#This Row],[income]],0)</f>
        <v>0</v>
      </c>
      <c r="BR93" s="20">
        <f ca="1">IF(Table1[[#This Row],[County]]="Gloucestershire",Table1[[#This Row],[income]],0)</f>
        <v>0</v>
      </c>
      <c r="BS93" s="20">
        <f ca="1">IF(Table1[[#This Row],[County]]="West Sussex",Table1[[#This Row],[income]],0)</f>
        <v>70559</v>
      </c>
      <c r="BT93" s="20">
        <f ca="1">IF(Table1[[#This Row],[County]]="Devon",Table1[[#This Row],[income]],0)</f>
        <v>0</v>
      </c>
      <c r="BU93" s="20">
        <f ca="1">IF(Table1[[#This Row],[County]]="Berkshire",Table1[[#This Row],[income]],0)</f>
        <v>0</v>
      </c>
      <c r="BV93" s="20">
        <f ca="1">IF(Table1[[#This Row],[County]]="Staffordshire",Table1[[#This Row],[income]],0)</f>
        <v>0</v>
      </c>
      <c r="BW93" s="20">
        <f ca="1">IF(Table1[[#This Row],[County]]="Leicestershire",Table1[[#This Row],[income]],0)</f>
        <v>0</v>
      </c>
      <c r="BX93" s="20">
        <f ca="1">IF(Table1[[#This Row],[County]]="Cornwall",Table1[[#This Row],[income]],0)</f>
        <v>0</v>
      </c>
      <c r="BY93" s="20">
        <f ca="1">IF(Table1[[#This Row],[County]]="Isle of Wight",Table1[[#This Row],[income]],0)</f>
        <v>0</v>
      </c>
      <c r="BZ93" s="20">
        <f ca="1">IF(Table1[[#This Row],[County]]="Surrey",Table1[[#This Row],[income]],0)</f>
        <v>0</v>
      </c>
      <c r="CA93" s="20">
        <f ca="1">IF(Table1[[#This Row],[County]]="Derbyshire",Table1[[#This Row],[income]],0)</f>
        <v>0</v>
      </c>
      <c r="CB93" s="20">
        <f ca="1">IF(Table1[[#This Row],[County]]="City of London",Table1[[#This Row],[income]],0)</f>
        <v>0</v>
      </c>
      <c r="CC93" s="20">
        <f ca="1">IF(Table1[[#This Row],[County]]="Bedfordshire",Table1[[#This Row],[income]],0)</f>
        <v>0</v>
      </c>
      <c r="CD93" s="20">
        <f ca="1">IF(Table1[[#This Row],[County]]="County Durham",Table1[[#This Row],[income]],0)</f>
        <v>0</v>
      </c>
      <c r="CE93" s="20">
        <f ca="1">IF(Table1[[#This Row],[County]]="East Riding of Yorkshire",Table1[[#This Row],[income]],0)</f>
        <v>0</v>
      </c>
      <c r="CF93" s="20">
        <f ca="1">IF(Table1[[#This Row],[County]]="West Yorkshire",Table1[[#This Row],[income]],0)</f>
        <v>0</v>
      </c>
      <c r="CG93" s="20">
        <f ca="1">IF(Table1[[#This Row],[County]]="Essex",Table1[[#This Row],[income]],0)</f>
        <v>0</v>
      </c>
      <c r="CH93" s="20">
        <f ca="1">IF(Table1[[#This Row],[County]]="East Sussex",Table1[[#This Row],[income]],0)</f>
        <v>0</v>
      </c>
      <c r="CI93" s="20">
        <f ca="1">IF(Table1[[#This Row],[County]]="Greater Manchester",Table1[[#This Row],[income]],0)</f>
        <v>0</v>
      </c>
      <c r="CJ93" s="20">
        <f ca="1">IF(Table1[[#This Row],[County]]="Hertfordshire",Table1[[#This Row],[income]],0)</f>
        <v>0</v>
      </c>
      <c r="CK93" s="20">
        <f ca="1">IF(Table1[[#This Row],[County]]="Herefordshire",Table1[[#This Row],[income]],0)</f>
        <v>0</v>
      </c>
      <c r="CL93" s="20">
        <f ca="1">IF(Table1[[#This Row],[County]]="Lancashire",Table1[[#This Row],[income]],0)</f>
        <v>0</v>
      </c>
      <c r="CM93" s="20">
        <f ca="1">IF(Table1[[#This Row],[County]]="Merseyside",Table1[[#This Row],[income]],0)</f>
        <v>0</v>
      </c>
      <c r="CN93" s="20">
        <f ca="1">IF(Table1[[#This Row],[County]]="Northamptonshire",Table1[[#This Row],[income]],0)</f>
        <v>0</v>
      </c>
      <c r="CO93" s="20">
        <f ca="1">IF(Table1[[#This Row],[County]]="Northumberland",Table1[[#This Row],[income]],0)</f>
        <v>0</v>
      </c>
      <c r="CP93" s="20">
        <f ca="1">IF(Table1[[#This Row],[County]]="Wiltshire",Table1[[#This Row],[income]],0)</f>
        <v>0</v>
      </c>
      <c r="CQ93" s="20">
        <f ca="1">IF(Table1[[#This Row],[County]]="West Midlands",Table1[[#This Row],[income]],0)</f>
        <v>0</v>
      </c>
      <c r="CR93" s="20">
        <f ca="1">IF(Table1[[#This Row],[County]]="Warwickshire",Table1[[#This Row],[income]],0)</f>
        <v>0</v>
      </c>
      <c r="CS93" s="20">
        <f ca="1">IF(Table1[[#This Row],[County]]="Tyne and Wear",Table1[[#This Row],[income]],0)</f>
        <v>0</v>
      </c>
      <c r="CT93" s="20">
        <f ca="1">IF(Table1[[#This Row],[County]]="Worcestershire",Table1[[#This Row],[income]],0)</f>
        <v>0</v>
      </c>
      <c r="CU93" s="20">
        <f ca="1">IF(Table1[[#This Row],[County]]="Rutland",Table1[[#This Row],[income]],0)</f>
        <v>0</v>
      </c>
      <c r="CV93" s="20">
        <f ca="1">IF(Table1[[#This Row],[County]]="Shropshire",Table1[[#This Row],[income]],0)</f>
        <v>0</v>
      </c>
      <c r="CW93" s="20">
        <f ca="1">IF(Table1[[#This Row],[County]]="Dorset",Table1[[#This Row],[income]],0)</f>
        <v>0</v>
      </c>
      <c r="CX93" s="20">
        <f ca="1">IF(Table1[[#This Row],[County]]="Buckinghamshire",Table1[[#This Row],[income]],0)</f>
        <v>0</v>
      </c>
      <c r="CY93" s="20">
        <f ca="1">IF(Table1[[#This Row],[County]]="Suffolk",Table1[[#This Row],[income]],0)</f>
        <v>0</v>
      </c>
      <c r="CZ93" s="20">
        <f ca="1">IF(Table1[[#This Row],[County]]="North Yorkshire",Table1[[#This Row],[income]],0)</f>
        <v>0</v>
      </c>
      <c r="DA93" s="20">
        <f ca="1">IF(Table1[[#This Row],[County]]="Kent",Table1[[#This Row],[income]],0)</f>
        <v>0</v>
      </c>
      <c r="DB93" s="5">
        <f ca="1">IF(Table1[[#This Row],[County]]="Derbyshire",Table1[[#This Row],[income]],0)</f>
        <v>0</v>
      </c>
      <c r="DD93" s="6">
        <f ca="1">IF(Table1[[#This Row],[Column1]]="Health",Table1[[#This Row],[income]],0)</f>
        <v>0</v>
      </c>
      <c r="DE93" s="20">
        <f ca="1">IF(Table1[[#This Row],[Column1]]="Agriculture",Table1[[#This Row],[income]],0)</f>
        <v>70559</v>
      </c>
      <c r="DF93" s="20">
        <f ca="1">IF(Table1[[#This Row],[Column1]]="Technology",Table1[[#This Row],[income]],0)</f>
        <v>0</v>
      </c>
      <c r="DG93" s="20">
        <f ca="1">IF(Table1[[#This Row],[Column1]]="Social Service",Table1[[#This Row],[income]],0)</f>
        <v>0</v>
      </c>
      <c r="DH93" s="20">
        <f ca="1">IF(Table1[[#This Row],[Column1]]="Education",Table1[[#This Row],[income]],0)</f>
        <v>0</v>
      </c>
      <c r="DI93" s="5">
        <f ca="1">IF(Table1[[#This Row],[Column1]]="Construction",Table1[[#This Row],[income]],0)</f>
        <v>0</v>
      </c>
      <c r="DK93" s="6">
        <f ca="1">IF(Table1[[#This Row],[Value of Debts]]&gt;Table1[[#This Row],[income]],1,0)</f>
        <v>0</v>
      </c>
      <c r="DL93" s="20"/>
      <c r="DM93" s="20"/>
      <c r="DN93" s="5"/>
      <c r="DP93" s="6">
        <f ca="1">IF(Table1[[#This Row],[Net Worth (£)]]&gt;$DS$5,C93,0)</f>
        <v>36</v>
      </c>
      <c r="DQ93" s="20"/>
      <c r="DR93" s="20"/>
      <c r="DS93" s="5"/>
    </row>
    <row r="94" spans="1:123" x14ac:dyDescent="0.2">
      <c r="A94">
        <f t="shared" ca="1" si="4"/>
        <v>2</v>
      </c>
      <c r="B94" s="1" t="str">
        <f ca="1">IF(A94=1, "men", "women")</f>
        <v>women</v>
      </c>
      <c r="C94" s="1">
        <f ca="1">RANDBETWEEN(25,50)</f>
        <v>36</v>
      </c>
      <c r="D94">
        <f ca="1">RANDBETWEEN(1,6)</f>
        <v>3</v>
      </c>
      <c r="E94" t="str">
        <f ca="1">VLOOKUP(D94,$W$5:$X$10,2)</f>
        <v>Education</v>
      </c>
      <c r="F94">
        <f ca="1">RANDBETWEEN(1,5)</f>
        <v>1</v>
      </c>
      <c r="G94" t="str">
        <f ca="1">VLOOKUP(F94,$Y$5:$Z$9,2)</f>
        <v>High School</v>
      </c>
      <c r="H94">
        <f ca="1">RANDBETWEEN(0,4)</f>
        <v>4</v>
      </c>
      <c r="I94">
        <f ca="1">RANDBETWEEN(1,3)</f>
        <v>3</v>
      </c>
      <c r="J94">
        <f ca="1">RANDBETWEEN(30000,100000)</f>
        <v>80183</v>
      </c>
      <c r="K94">
        <f ca="1">RANDBETWEEN(1,48)</f>
        <v>44</v>
      </c>
      <c r="L94" t="str">
        <f ca="1">VLOOKUP(K94,$AA$5:$AB$52,2)</f>
        <v>West Midlands</v>
      </c>
      <c r="M94">
        <f ca="1">J94*(RANDBETWEEN(2,5))</f>
        <v>400915</v>
      </c>
      <c r="N94">
        <f ca="1">RAND()*M94</f>
        <v>34767.985430297012</v>
      </c>
      <c r="O94">
        <f ca="1">I94*RAND()*J94</f>
        <v>29424.554916092024</v>
      </c>
      <c r="P94">
        <f ca="1">RANDBETWEEN(0,O94)</f>
        <v>23421</v>
      </c>
      <c r="Q94">
        <f ca="1">RAND()*J94*2</f>
        <v>879.79672033461929</v>
      </c>
      <c r="R94">
        <f ca="1">RAND()*J94*1.5</f>
        <v>9303.9919482949281</v>
      </c>
      <c r="S94">
        <f ca="1">J94+R94+O94</f>
        <v>118911.54686438695</v>
      </c>
      <c r="T94">
        <f ca="1">N94+P94+Q94</f>
        <v>59068.782150631632</v>
      </c>
      <c r="U94">
        <f ca="1">S94-T94</f>
        <v>59842.764713755321</v>
      </c>
      <c r="AC94" s="6">
        <f ca="1">IF(Table1[[#This Row],[gender]]="men",1,0)</f>
        <v>0</v>
      </c>
      <c r="AD94">
        <f ca="1">IF(Table1[[#This Row],[gender]]="women",1,0)</f>
        <v>1</v>
      </c>
      <c r="AH94" s="5"/>
      <c r="AJ94" s="6">
        <f ca="1">IF(Table1[[#This Row],[Column1]]="Health",1,0)</f>
        <v>0</v>
      </c>
      <c r="AK94">
        <f ca="1">IF(Table1[[#This Row],[Column1]]="Construction",1,0)</f>
        <v>0</v>
      </c>
      <c r="AL94">
        <f ca="1">IF(Table1[[#This Row],[Column1]]="Technology",1,0)</f>
        <v>0</v>
      </c>
      <c r="AM94">
        <f ca="1">IF(Table1[[#This Row],[Column1]]="Education",1,0)</f>
        <v>1</v>
      </c>
      <c r="AN94">
        <f ca="1">IF(Table1[[#This Row],[Column1]]="Agriculture",1,0)</f>
        <v>0</v>
      </c>
      <c r="AO94">
        <f ca="1">IF(Table1[[#This Row],[Column1]]="Social Service", 1, 0)</f>
        <v>0</v>
      </c>
      <c r="AT94" s="5"/>
      <c r="AV94" s="17">
        <f t="shared" ca="1" si="3"/>
        <v>23765.43632900661</v>
      </c>
      <c r="AW94" s="5"/>
      <c r="AX94" s="6">
        <f ca="1">IF(Table1[[#This Row],[Value of Debts]]&gt;$AY$4,1,0)</f>
        <v>0</v>
      </c>
      <c r="AY94" s="20"/>
      <c r="AZ94" s="20"/>
      <c r="BA94" s="5"/>
      <c r="BB94" s="25">
        <f ca="1">Table1[[#This Row],[Mortage Left]]/Table1[[#This Row],[Value of House]]</f>
        <v>8.6721587943322187E-2</v>
      </c>
      <c r="BC94" s="20">
        <f t="shared" ca="1" si="5"/>
        <v>1</v>
      </c>
      <c r="BD94" s="20"/>
      <c r="BE94" s="20"/>
      <c r="BF94" s="20"/>
      <c r="BG94" s="6">
        <f ca="1">IF(Table1[[#This Row],[County]]="Cumbria",Table1[[#This Row],[income]],0)</f>
        <v>0</v>
      </c>
      <c r="BH94" s="20">
        <f ca="1">IF(Table1[[#This Row],[County]]="Cheshire",Table1[[#This Row],[income]],0)</f>
        <v>0</v>
      </c>
      <c r="BI94" s="20">
        <f ca="1">IF(Table1[[#This Row],[County]]="Bristol",Table1[[#This Row],[income]],0)</f>
        <v>0</v>
      </c>
      <c r="BJ94" s="20">
        <f ca="1">IF(Table1[[#This Row],[County]]="Surrey",Table1[[#This Row],[income]],0)</f>
        <v>0</v>
      </c>
      <c r="BK94" s="20">
        <f ca="1">IF(Table1[[#This Row],[County]]="Norfolk",Table1[[#This Row],[income]],0)</f>
        <v>0</v>
      </c>
      <c r="BL94" s="20">
        <f ca="1">IF(Table1[[#This Row],[County]]="Lincolnshire",Table1[[#This Row],[income]],0)</f>
        <v>0</v>
      </c>
      <c r="BM94" s="20">
        <f ca="1">IF(Table1[[#This Row],[County]]="Somerset",Table1[[#This Row],[income]],0)</f>
        <v>0</v>
      </c>
      <c r="BN94" s="20">
        <f ca="1">IF(Table1[[#This Row],[County]]="Cambridgeshire",Table1[[#This Row],[income]],0)</f>
        <v>0</v>
      </c>
      <c r="BO94" s="20">
        <f ca="1">IF(Table1[[#This Row],[County]]="South Yorkshire",Table1[[#This Row],[income]],0)</f>
        <v>0</v>
      </c>
      <c r="BP94" s="20">
        <f ca="1">IF(Table1[[#This Row],[County]]="Greater London",Table1[[#This Row],[income]],0)</f>
        <v>0</v>
      </c>
      <c r="BQ94" s="20">
        <f ca="1">IF(Table1[[#This Row],[County]]="Hampshire",Table1[[#This Row],[income]],0)</f>
        <v>0</v>
      </c>
      <c r="BR94" s="20">
        <f ca="1">IF(Table1[[#This Row],[County]]="Gloucestershire",Table1[[#This Row],[income]],0)</f>
        <v>0</v>
      </c>
      <c r="BS94" s="20">
        <f ca="1">IF(Table1[[#This Row],[County]]="West Sussex",Table1[[#This Row],[income]],0)</f>
        <v>0</v>
      </c>
      <c r="BT94" s="20">
        <f ca="1">IF(Table1[[#This Row],[County]]="Devon",Table1[[#This Row],[income]],0)</f>
        <v>0</v>
      </c>
      <c r="BU94" s="20">
        <f ca="1">IF(Table1[[#This Row],[County]]="Berkshire",Table1[[#This Row],[income]],0)</f>
        <v>0</v>
      </c>
      <c r="BV94" s="20">
        <f ca="1">IF(Table1[[#This Row],[County]]="Staffordshire",Table1[[#This Row],[income]],0)</f>
        <v>0</v>
      </c>
      <c r="BW94" s="20">
        <f ca="1">IF(Table1[[#This Row],[County]]="Leicestershire",Table1[[#This Row],[income]],0)</f>
        <v>0</v>
      </c>
      <c r="BX94" s="20">
        <f ca="1">IF(Table1[[#This Row],[County]]="Cornwall",Table1[[#This Row],[income]],0)</f>
        <v>0</v>
      </c>
      <c r="BY94" s="20">
        <f ca="1">IF(Table1[[#This Row],[County]]="Isle of Wight",Table1[[#This Row],[income]],0)</f>
        <v>0</v>
      </c>
      <c r="BZ94" s="20">
        <f ca="1">IF(Table1[[#This Row],[County]]="Surrey",Table1[[#This Row],[income]],0)</f>
        <v>0</v>
      </c>
      <c r="CA94" s="20">
        <f ca="1">IF(Table1[[#This Row],[County]]="Derbyshire",Table1[[#This Row],[income]],0)</f>
        <v>0</v>
      </c>
      <c r="CB94" s="20">
        <f ca="1">IF(Table1[[#This Row],[County]]="City of London",Table1[[#This Row],[income]],0)</f>
        <v>0</v>
      </c>
      <c r="CC94" s="20">
        <f ca="1">IF(Table1[[#This Row],[County]]="Bedfordshire",Table1[[#This Row],[income]],0)</f>
        <v>0</v>
      </c>
      <c r="CD94" s="20">
        <f ca="1">IF(Table1[[#This Row],[County]]="County Durham",Table1[[#This Row],[income]],0)</f>
        <v>0</v>
      </c>
      <c r="CE94" s="20">
        <f ca="1">IF(Table1[[#This Row],[County]]="East Riding of Yorkshire",Table1[[#This Row],[income]],0)</f>
        <v>0</v>
      </c>
      <c r="CF94" s="20">
        <f ca="1">IF(Table1[[#This Row],[County]]="West Yorkshire",Table1[[#This Row],[income]],0)</f>
        <v>0</v>
      </c>
      <c r="CG94" s="20">
        <f ca="1">IF(Table1[[#This Row],[County]]="Essex",Table1[[#This Row],[income]],0)</f>
        <v>0</v>
      </c>
      <c r="CH94" s="20">
        <f ca="1">IF(Table1[[#This Row],[County]]="East Sussex",Table1[[#This Row],[income]],0)</f>
        <v>0</v>
      </c>
      <c r="CI94" s="20">
        <f ca="1">IF(Table1[[#This Row],[County]]="Greater Manchester",Table1[[#This Row],[income]],0)</f>
        <v>0</v>
      </c>
      <c r="CJ94" s="20">
        <f ca="1">IF(Table1[[#This Row],[County]]="Hertfordshire",Table1[[#This Row],[income]],0)</f>
        <v>0</v>
      </c>
      <c r="CK94" s="20">
        <f ca="1">IF(Table1[[#This Row],[County]]="Herefordshire",Table1[[#This Row],[income]],0)</f>
        <v>0</v>
      </c>
      <c r="CL94" s="20">
        <f ca="1">IF(Table1[[#This Row],[County]]="Lancashire",Table1[[#This Row],[income]],0)</f>
        <v>0</v>
      </c>
      <c r="CM94" s="20">
        <f ca="1">IF(Table1[[#This Row],[County]]="Merseyside",Table1[[#This Row],[income]],0)</f>
        <v>0</v>
      </c>
      <c r="CN94" s="20">
        <f ca="1">IF(Table1[[#This Row],[County]]="Northamptonshire",Table1[[#This Row],[income]],0)</f>
        <v>0</v>
      </c>
      <c r="CO94" s="20">
        <f ca="1">IF(Table1[[#This Row],[County]]="Northumberland",Table1[[#This Row],[income]],0)</f>
        <v>0</v>
      </c>
      <c r="CP94" s="20">
        <f ca="1">IF(Table1[[#This Row],[County]]="Wiltshire",Table1[[#This Row],[income]],0)</f>
        <v>0</v>
      </c>
      <c r="CQ94" s="20">
        <f ca="1">IF(Table1[[#This Row],[County]]="West Midlands",Table1[[#This Row],[income]],0)</f>
        <v>80183</v>
      </c>
      <c r="CR94" s="20">
        <f ca="1">IF(Table1[[#This Row],[County]]="Warwickshire",Table1[[#This Row],[income]],0)</f>
        <v>0</v>
      </c>
      <c r="CS94" s="20">
        <f ca="1">IF(Table1[[#This Row],[County]]="Tyne and Wear",Table1[[#This Row],[income]],0)</f>
        <v>0</v>
      </c>
      <c r="CT94" s="20">
        <f ca="1">IF(Table1[[#This Row],[County]]="Worcestershire",Table1[[#This Row],[income]],0)</f>
        <v>0</v>
      </c>
      <c r="CU94" s="20">
        <f ca="1">IF(Table1[[#This Row],[County]]="Rutland",Table1[[#This Row],[income]],0)</f>
        <v>0</v>
      </c>
      <c r="CV94" s="20">
        <f ca="1">IF(Table1[[#This Row],[County]]="Shropshire",Table1[[#This Row],[income]],0)</f>
        <v>0</v>
      </c>
      <c r="CW94" s="20">
        <f ca="1">IF(Table1[[#This Row],[County]]="Dorset",Table1[[#This Row],[income]],0)</f>
        <v>0</v>
      </c>
      <c r="CX94" s="20">
        <f ca="1">IF(Table1[[#This Row],[County]]="Buckinghamshire",Table1[[#This Row],[income]],0)</f>
        <v>0</v>
      </c>
      <c r="CY94" s="20">
        <f ca="1">IF(Table1[[#This Row],[County]]="Suffolk",Table1[[#This Row],[income]],0)</f>
        <v>0</v>
      </c>
      <c r="CZ94" s="20">
        <f ca="1">IF(Table1[[#This Row],[County]]="North Yorkshire",Table1[[#This Row],[income]],0)</f>
        <v>0</v>
      </c>
      <c r="DA94" s="20">
        <f ca="1">IF(Table1[[#This Row],[County]]="Kent",Table1[[#This Row],[income]],0)</f>
        <v>0</v>
      </c>
      <c r="DB94" s="5">
        <f ca="1">IF(Table1[[#This Row],[County]]="Derbyshire",Table1[[#This Row],[income]],0)</f>
        <v>0</v>
      </c>
      <c r="DD94" s="6">
        <f ca="1">IF(Table1[[#This Row],[Column1]]="Health",Table1[[#This Row],[income]],0)</f>
        <v>0</v>
      </c>
      <c r="DE94" s="20">
        <f ca="1">IF(Table1[[#This Row],[Column1]]="Agriculture",Table1[[#This Row],[income]],0)</f>
        <v>0</v>
      </c>
      <c r="DF94" s="20">
        <f ca="1">IF(Table1[[#This Row],[Column1]]="Technology",Table1[[#This Row],[income]],0)</f>
        <v>0</v>
      </c>
      <c r="DG94" s="20">
        <f ca="1">IF(Table1[[#This Row],[Column1]]="Social Service",Table1[[#This Row],[income]],0)</f>
        <v>0</v>
      </c>
      <c r="DH94" s="20">
        <f ca="1">IF(Table1[[#This Row],[Column1]]="Education",Table1[[#This Row],[income]],0)</f>
        <v>80183</v>
      </c>
      <c r="DI94" s="5">
        <f ca="1">IF(Table1[[#This Row],[Column1]]="Construction",Table1[[#This Row],[income]],0)</f>
        <v>0</v>
      </c>
      <c r="DK94" s="6">
        <f ca="1">IF(Table1[[#This Row],[Value of Debts]]&gt;Table1[[#This Row],[income]],1,0)</f>
        <v>0</v>
      </c>
      <c r="DL94" s="20"/>
      <c r="DM94" s="20"/>
      <c r="DN94" s="5"/>
      <c r="DP94" s="6">
        <f ca="1">IF(Table1[[#This Row],[Net Worth (£)]]&gt;$DS$5,C94,0)</f>
        <v>36</v>
      </c>
      <c r="DQ94" s="20"/>
      <c r="DR94" s="20"/>
      <c r="DS94" s="5"/>
    </row>
    <row r="95" spans="1:123" x14ac:dyDescent="0.2">
      <c r="A95">
        <f t="shared" ca="1" si="4"/>
        <v>2</v>
      </c>
      <c r="B95" s="1" t="str">
        <f ca="1">IF(A95=1, "men", "women")</f>
        <v>women</v>
      </c>
      <c r="C95" s="1">
        <f ca="1">RANDBETWEEN(25,50)</f>
        <v>45</v>
      </c>
      <c r="D95">
        <f ca="1">RANDBETWEEN(1,6)</f>
        <v>5</v>
      </c>
      <c r="E95" t="str">
        <f ca="1">VLOOKUP(D95,$W$5:$X$10,2)</f>
        <v>Social Service</v>
      </c>
      <c r="F95">
        <f ca="1">RANDBETWEEN(1,5)</f>
        <v>4</v>
      </c>
      <c r="G95" t="str">
        <f ca="1">VLOOKUP(F95,$Y$5:$Z$9,2)</f>
        <v xml:space="preserve">Technical </v>
      </c>
      <c r="H95">
        <f ca="1">RANDBETWEEN(0,4)</f>
        <v>0</v>
      </c>
      <c r="I95">
        <f ca="1">RANDBETWEEN(1,3)</f>
        <v>2</v>
      </c>
      <c r="J95">
        <f ca="1">RANDBETWEEN(30000,100000)</f>
        <v>49822</v>
      </c>
      <c r="K95">
        <f ca="1">RANDBETWEEN(1,48)</f>
        <v>35</v>
      </c>
      <c r="L95" t="str">
        <f ca="1">VLOOKUP(K95,$AA$5:$AB$52,2)</f>
        <v>Rutland</v>
      </c>
      <c r="M95">
        <f ca="1">J95*(RANDBETWEEN(2,5))</f>
        <v>149466</v>
      </c>
      <c r="N95">
        <f ca="1">RAND()*M95</f>
        <v>76287.840591061002</v>
      </c>
      <c r="O95">
        <f ca="1">I95*RAND()*J95</f>
        <v>47530.872658013221</v>
      </c>
      <c r="P95">
        <f ca="1">RANDBETWEEN(0,O95)</f>
        <v>16210</v>
      </c>
      <c r="Q95">
        <f ca="1">RAND()*J95*2</f>
        <v>77896.722910400626</v>
      </c>
      <c r="R95">
        <f ca="1">RAND()*J95*1.5</f>
        <v>7014.0572591448199</v>
      </c>
      <c r="S95">
        <f ca="1">J95+R95+O95</f>
        <v>104366.92991715804</v>
      </c>
      <c r="T95">
        <f ca="1">N95+P95+Q95</f>
        <v>170394.56350146164</v>
      </c>
      <c r="U95">
        <f ca="1">S95-T95</f>
        <v>-66027.633584303607</v>
      </c>
      <c r="AC95" s="6">
        <f ca="1">IF(Table1[[#This Row],[gender]]="men",1,0)</f>
        <v>0</v>
      </c>
      <c r="AD95">
        <f ca="1">IF(Table1[[#This Row],[gender]]="women",1,0)</f>
        <v>1</v>
      </c>
      <c r="AH95" s="5"/>
      <c r="AJ95" s="6">
        <f ca="1">IF(Table1[[#This Row],[Column1]]="Health",1,0)</f>
        <v>0</v>
      </c>
      <c r="AK95">
        <f ca="1">IF(Table1[[#This Row],[Column1]]="Construction",1,0)</f>
        <v>0</v>
      </c>
      <c r="AL95">
        <f ca="1">IF(Table1[[#This Row],[Column1]]="Technology",1,0)</f>
        <v>0</v>
      </c>
      <c r="AM95">
        <f ca="1">IF(Table1[[#This Row],[Column1]]="Education",1,0)</f>
        <v>0</v>
      </c>
      <c r="AN95">
        <f ca="1">IF(Table1[[#This Row],[Column1]]="Agriculture",1,0)</f>
        <v>0</v>
      </c>
      <c r="AO95">
        <f ca="1">IF(Table1[[#This Row],[Column1]]="Social Service", 1, 0)</f>
        <v>1</v>
      </c>
      <c r="AT95" s="5"/>
      <c r="AV95" s="17">
        <f t="shared" ca="1" si="3"/>
        <v>7623.9925244827391</v>
      </c>
      <c r="AW95" s="5"/>
      <c r="AX95" s="6">
        <f ca="1">IF(Table1[[#This Row],[Value of Debts]]&gt;$AY$4,1,0)</f>
        <v>1</v>
      </c>
      <c r="AY95" s="20"/>
      <c r="AZ95" s="20"/>
      <c r="BA95" s="5"/>
      <c r="BB95" s="25">
        <f ca="1">Table1[[#This Row],[Mortage Left]]/Table1[[#This Row],[Value of House]]</f>
        <v>0.51040263732929902</v>
      </c>
      <c r="BC95" s="20">
        <f t="shared" ca="1" si="5"/>
        <v>0</v>
      </c>
      <c r="BD95" s="20"/>
      <c r="BE95" s="20"/>
      <c r="BF95" s="20"/>
      <c r="BG95" s="6">
        <f ca="1">IF(Table1[[#This Row],[County]]="Cumbria",Table1[[#This Row],[income]],0)</f>
        <v>0</v>
      </c>
      <c r="BH95" s="20">
        <f ca="1">IF(Table1[[#This Row],[County]]="Cheshire",Table1[[#This Row],[income]],0)</f>
        <v>0</v>
      </c>
      <c r="BI95" s="20">
        <f ca="1">IF(Table1[[#This Row],[County]]="Bristol",Table1[[#This Row],[income]],0)</f>
        <v>0</v>
      </c>
      <c r="BJ95" s="20">
        <f ca="1">IF(Table1[[#This Row],[County]]="Surrey",Table1[[#This Row],[income]],0)</f>
        <v>0</v>
      </c>
      <c r="BK95" s="20">
        <f ca="1">IF(Table1[[#This Row],[County]]="Norfolk",Table1[[#This Row],[income]],0)</f>
        <v>0</v>
      </c>
      <c r="BL95" s="20">
        <f ca="1">IF(Table1[[#This Row],[County]]="Lincolnshire",Table1[[#This Row],[income]],0)</f>
        <v>0</v>
      </c>
      <c r="BM95" s="20">
        <f ca="1">IF(Table1[[#This Row],[County]]="Somerset",Table1[[#This Row],[income]],0)</f>
        <v>0</v>
      </c>
      <c r="BN95" s="20">
        <f ca="1">IF(Table1[[#This Row],[County]]="Cambridgeshire",Table1[[#This Row],[income]],0)</f>
        <v>0</v>
      </c>
      <c r="BO95" s="20">
        <f ca="1">IF(Table1[[#This Row],[County]]="South Yorkshire",Table1[[#This Row],[income]],0)</f>
        <v>0</v>
      </c>
      <c r="BP95" s="20">
        <f ca="1">IF(Table1[[#This Row],[County]]="Greater London",Table1[[#This Row],[income]],0)</f>
        <v>0</v>
      </c>
      <c r="BQ95" s="20">
        <f ca="1">IF(Table1[[#This Row],[County]]="Hampshire",Table1[[#This Row],[income]],0)</f>
        <v>0</v>
      </c>
      <c r="BR95" s="20">
        <f ca="1">IF(Table1[[#This Row],[County]]="Gloucestershire",Table1[[#This Row],[income]],0)</f>
        <v>0</v>
      </c>
      <c r="BS95" s="20">
        <f ca="1">IF(Table1[[#This Row],[County]]="West Sussex",Table1[[#This Row],[income]],0)</f>
        <v>0</v>
      </c>
      <c r="BT95" s="20">
        <f ca="1">IF(Table1[[#This Row],[County]]="Devon",Table1[[#This Row],[income]],0)</f>
        <v>0</v>
      </c>
      <c r="BU95" s="20">
        <f ca="1">IF(Table1[[#This Row],[County]]="Berkshire",Table1[[#This Row],[income]],0)</f>
        <v>0</v>
      </c>
      <c r="BV95" s="20">
        <f ca="1">IF(Table1[[#This Row],[County]]="Staffordshire",Table1[[#This Row],[income]],0)</f>
        <v>0</v>
      </c>
      <c r="BW95" s="20">
        <f ca="1">IF(Table1[[#This Row],[County]]="Leicestershire",Table1[[#This Row],[income]],0)</f>
        <v>0</v>
      </c>
      <c r="BX95" s="20">
        <f ca="1">IF(Table1[[#This Row],[County]]="Cornwall",Table1[[#This Row],[income]],0)</f>
        <v>0</v>
      </c>
      <c r="BY95" s="20">
        <f ca="1">IF(Table1[[#This Row],[County]]="Isle of Wight",Table1[[#This Row],[income]],0)</f>
        <v>0</v>
      </c>
      <c r="BZ95" s="20">
        <f ca="1">IF(Table1[[#This Row],[County]]="Surrey",Table1[[#This Row],[income]],0)</f>
        <v>0</v>
      </c>
      <c r="CA95" s="20">
        <f ca="1">IF(Table1[[#This Row],[County]]="Derbyshire",Table1[[#This Row],[income]],0)</f>
        <v>0</v>
      </c>
      <c r="CB95" s="20">
        <f ca="1">IF(Table1[[#This Row],[County]]="City of London",Table1[[#This Row],[income]],0)</f>
        <v>0</v>
      </c>
      <c r="CC95" s="20">
        <f ca="1">IF(Table1[[#This Row],[County]]="Bedfordshire",Table1[[#This Row],[income]],0)</f>
        <v>0</v>
      </c>
      <c r="CD95" s="20">
        <f ca="1">IF(Table1[[#This Row],[County]]="County Durham",Table1[[#This Row],[income]],0)</f>
        <v>0</v>
      </c>
      <c r="CE95" s="20">
        <f ca="1">IF(Table1[[#This Row],[County]]="East Riding of Yorkshire",Table1[[#This Row],[income]],0)</f>
        <v>0</v>
      </c>
      <c r="CF95" s="20">
        <f ca="1">IF(Table1[[#This Row],[County]]="West Yorkshire",Table1[[#This Row],[income]],0)</f>
        <v>0</v>
      </c>
      <c r="CG95" s="20">
        <f ca="1">IF(Table1[[#This Row],[County]]="Essex",Table1[[#This Row],[income]],0)</f>
        <v>0</v>
      </c>
      <c r="CH95" s="20">
        <f ca="1">IF(Table1[[#This Row],[County]]="East Sussex",Table1[[#This Row],[income]],0)</f>
        <v>0</v>
      </c>
      <c r="CI95" s="20">
        <f ca="1">IF(Table1[[#This Row],[County]]="Greater Manchester",Table1[[#This Row],[income]],0)</f>
        <v>0</v>
      </c>
      <c r="CJ95" s="20">
        <f ca="1">IF(Table1[[#This Row],[County]]="Hertfordshire",Table1[[#This Row],[income]],0)</f>
        <v>0</v>
      </c>
      <c r="CK95" s="20">
        <f ca="1">IF(Table1[[#This Row],[County]]="Herefordshire",Table1[[#This Row],[income]],0)</f>
        <v>0</v>
      </c>
      <c r="CL95" s="20">
        <f ca="1">IF(Table1[[#This Row],[County]]="Lancashire",Table1[[#This Row],[income]],0)</f>
        <v>0</v>
      </c>
      <c r="CM95" s="20">
        <f ca="1">IF(Table1[[#This Row],[County]]="Merseyside",Table1[[#This Row],[income]],0)</f>
        <v>0</v>
      </c>
      <c r="CN95" s="20">
        <f ca="1">IF(Table1[[#This Row],[County]]="Northamptonshire",Table1[[#This Row],[income]],0)</f>
        <v>0</v>
      </c>
      <c r="CO95" s="20">
        <f ca="1">IF(Table1[[#This Row],[County]]="Northumberland",Table1[[#This Row],[income]],0)</f>
        <v>0</v>
      </c>
      <c r="CP95" s="20">
        <f ca="1">IF(Table1[[#This Row],[County]]="Wiltshire",Table1[[#This Row],[income]],0)</f>
        <v>0</v>
      </c>
      <c r="CQ95" s="20">
        <f ca="1">IF(Table1[[#This Row],[County]]="West Midlands",Table1[[#This Row],[income]],0)</f>
        <v>0</v>
      </c>
      <c r="CR95" s="20">
        <f ca="1">IF(Table1[[#This Row],[County]]="Warwickshire",Table1[[#This Row],[income]],0)</f>
        <v>0</v>
      </c>
      <c r="CS95" s="20">
        <f ca="1">IF(Table1[[#This Row],[County]]="Tyne and Wear",Table1[[#This Row],[income]],0)</f>
        <v>0</v>
      </c>
      <c r="CT95" s="20">
        <f ca="1">IF(Table1[[#This Row],[County]]="Worcestershire",Table1[[#This Row],[income]],0)</f>
        <v>0</v>
      </c>
      <c r="CU95" s="20">
        <f ca="1">IF(Table1[[#This Row],[County]]="Rutland",Table1[[#This Row],[income]],0)</f>
        <v>49822</v>
      </c>
      <c r="CV95" s="20">
        <f ca="1">IF(Table1[[#This Row],[County]]="Shropshire",Table1[[#This Row],[income]],0)</f>
        <v>0</v>
      </c>
      <c r="CW95" s="20">
        <f ca="1">IF(Table1[[#This Row],[County]]="Dorset",Table1[[#This Row],[income]],0)</f>
        <v>0</v>
      </c>
      <c r="CX95" s="20">
        <f ca="1">IF(Table1[[#This Row],[County]]="Buckinghamshire",Table1[[#This Row],[income]],0)</f>
        <v>0</v>
      </c>
      <c r="CY95" s="20">
        <f ca="1">IF(Table1[[#This Row],[County]]="Suffolk",Table1[[#This Row],[income]],0)</f>
        <v>0</v>
      </c>
      <c r="CZ95" s="20">
        <f ca="1">IF(Table1[[#This Row],[County]]="North Yorkshire",Table1[[#This Row],[income]],0)</f>
        <v>0</v>
      </c>
      <c r="DA95" s="20">
        <f ca="1">IF(Table1[[#This Row],[County]]="Kent",Table1[[#This Row],[income]],0)</f>
        <v>0</v>
      </c>
      <c r="DB95" s="5">
        <f ca="1">IF(Table1[[#This Row],[County]]="Derbyshire",Table1[[#This Row],[income]],0)</f>
        <v>0</v>
      </c>
      <c r="DD95" s="6">
        <f ca="1">IF(Table1[[#This Row],[Column1]]="Health",Table1[[#This Row],[income]],0)</f>
        <v>0</v>
      </c>
      <c r="DE95" s="20">
        <f ca="1">IF(Table1[[#This Row],[Column1]]="Agriculture",Table1[[#This Row],[income]],0)</f>
        <v>0</v>
      </c>
      <c r="DF95" s="20">
        <f ca="1">IF(Table1[[#This Row],[Column1]]="Technology",Table1[[#This Row],[income]],0)</f>
        <v>0</v>
      </c>
      <c r="DG95" s="20">
        <f ca="1">IF(Table1[[#This Row],[Column1]]="Social Service",Table1[[#This Row],[income]],0)</f>
        <v>49822</v>
      </c>
      <c r="DH95" s="20">
        <f ca="1">IF(Table1[[#This Row],[Column1]]="Education",Table1[[#This Row],[income]],0)</f>
        <v>0</v>
      </c>
      <c r="DI95" s="5">
        <f ca="1">IF(Table1[[#This Row],[Column1]]="Construction",Table1[[#This Row],[income]],0)</f>
        <v>0</v>
      </c>
      <c r="DK95" s="6">
        <f ca="1">IF(Table1[[#This Row],[Value of Debts]]&gt;Table1[[#This Row],[income]],1,0)</f>
        <v>1</v>
      </c>
      <c r="DL95" s="20"/>
      <c r="DM95" s="20"/>
      <c r="DN95" s="5"/>
      <c r="DP95" s="6">
        <f ca="1">IF(Table1[[#This Row],[Net Worth (£)]]&gt;$DS$5,C95,0)</f>
        <v>0</v>
      </c>
      <c r="DQ95" s="20"/>
      <c r="DR95" s="20"/>
      <c r="DS95" s="5"/>
    </row>
    <row r="96" spans="1:123" x14ac:dyDescent="0.2">
      <c r="A96">
        <f t="shared" ca="1" si="4"/>
        <v>2</v>
      </c>
      <c r="B96" s="1" t="str">
        <f ca="1">IF(A96=1, "men", "women")</f>
        <v>women</v>
      </c>
      <c r="C96" s="1">
        <f ca="1">RANDBETWEEN(25,50)</f>
        <v>48</v>
      </c>
      <c r="D96">
        <f ca="1">RANDBETWEEN(1,6)</f>
        <v>4</v>
      </c>
      <c r="E96" t="str">
        <f ca="1">VLOOKUP(D96,$W$5:$X$10,2)</f>
        <v>Technology</v>
      </c>
      <c r="F96">
        <f ca="1">RANDBETWEEN(1,5)</f>
        <v>3</v>
      </c>
      <c r="G96" t="str">
        <f ca="1">VLOOKUP(F96,$Y$5:$Z$9,2)</f>
        <v>University</v>
      </c>
      <c r="H96">
        <f ca="1">RANDBETWEEN(0,4)</f>
        <v>1</v>
      </c>
      <c r="I96">
        <f ca="1">RANDBETWEEN(1,3)</f>
        <v>2</v>
      </c>
      <c r="J96">
        <f ca="1">RANDBETWEEN(30000,100000)</f>
        <v>45212</v>
      </c>
      <c r="K96">
        <f ca="1">RANDBETWEEN(1,48)</f>
        <v>28</v>
      </c>
      <c r="L96" t="str">
        <f ca="1">VLOOKUP(K96,$AA$5:$AB$52,2)</f>
        <v>Lincolnshire</v>
      </c>
      <c r="M96">
        <f ca="1">J96*(RANDBETWEEN(2,5))</f>
        <v>135636</v>
      </c>
      <c r="N96">
        <f ca="1">RAND()*M96</f>
        <v>115445.78803552325</v>
      </c>
      <c r="O96">
        <f ca="1">I96*RAND()*J96</f>
        <v>15247.985048965478</v>
      </c>
      <c r="P96">
        <f ca="1">RANDBETWEEN(0,O96)</f>
        <v>14338</v>
      </c>
      <c r="Q96">
        <f ca="1">RAND()*J96*2</f>
        <v>86255.515138834657</v>
      </c>
      <c r="R96">
        <f ca="1">RAND()*J96*1.5</f>
        <v>31100.870177163735</v>
      </c>
      <c r="S96">
        <f ca="1">J96+R96+O96</f>
        <v>91560.855226129221</v>
      </c>
      <c r="T96">
        <f ca="1">N96+P96+Q96</f>
        <v>216039.30317435792</v>
      </c>
      <c r="U96">
        <f ca="1">S96-T96</f>
        <v>-124478.4479482287</v>
      </c>
      <c r="AC96" s="6">
        <f ca="1">IF(Table1[[#This Row],[gender]]="men",1,0)</f>
        <v>0</v>
      </c>
      <c r="AD96">
        <f ca="1">IF(Table1[[#This Row],[gender]]="women",1,0)</f>
        <v>1</v>
      </c>
      <c r="AH96" s="5"/>
      <c r="AJ96" s="6">
        <f ca="1">IF(Table1[[#This Row],[Column1]]="Health",1,0)</f>
        <v>0</v>
      </c>
      <c r="AK96">
        <f ca="1">IF(Table1[[#This Row],[Column1]]="Construction",1,0)</f>
        <v>0</v>
      </c>
      <c r="AL96">
        <f ca="1">IF(Table1[[#This Row],[Column1]]="Technology",1,0)</f>
        <v>1</v>
      </c>
      <c r="AM96">
        <f ca="1">IF(Table1[[#This Row],[Column1]]="Education",1,0)</f>
        <v>0</v>
      </c>
      <c r="AN96">
        <f ca="1">IF(Table1[[#This Row],[Column1]]="Agriculture",1,0)</f>
        <v>0</v>
      </c>
      <c r="AO96">
        <f ca="1">IF(Table1[[#This Row],[Column1]]="Social Service", 1, 0)</f>
        <v>0</v>
      </c>
      <c r="AT96" s="5"/>
      <c r="AV96" s="17">
        <f t="shared" ca="1" si="3"/>
        <v>18684.24080255815</v>
      </c>
      <c r="AW96" s="5"/>
      <c r="AX96" s="6">
        <f ca="1">IF(Table1[[#This Row],[Value of Debts]]&gt;$AY$4,1,0)</f>
        <v>1</v>
      </c>
      <c r="AY96" s="20"/>
      <c r="AZ96" s="20"/>
      <c r="BA96" s="5"/>
      <c r="BB96" s="25">
        <f ca="1">Table1[[#This Row],[Mortage Left]]/Table1[[#This Row],[Value of House]]</f>
        <v>0.85114415078241212</v>
      </c>
      <c r="BC96" s="20">
        <f t="shared" ca="1" si="5"/>
        <v>0</v>
      </c>
      <c r="BD96" s="20"/>
      <c r="BE96" s="20"/>
      <c r="BF96" s="20"/>
      <c r="BG96" s="6">
        <f ca="1">IF(Table1[[#This Row],[County]]="Cumbria",Table1[[#This Row],[income]],0)</f>
        <v>0</v>
      </c>
      <c r="BH96" s="20">
        <f ca="1">IF(Table1[[#This Row],[County]]="Cheshire",Table1[[#This Row],[income]],0)</f>
        <v>0</v>
      </c>
      <c r="BI96" s="20">
        <f ca="1">IF(Table1[[#This Row],[County]]="Bristol",Table1[[#This Row],[income]],0)</f>
        <v>0</v>
      </c>
      <c r="BJ96" s="20">
        <f ca="1">IF(Table1[[#This Row],[County]]="Surrey",Table1[[#This Row],[income]],0)</f>
        <v>0</v>
      </c>
      <c r="BK96" s="20">
        <f ca="1">IF(Table1[[#This Row],[County]]="Norfolk",Table1[[#This Row],[income]],0)</f>
        <v>0</v>
      </c>
      <c r="BL96" s="20">
        <f ca="1">IF(Table1[[#This Row],[County]]="Lincolnshire",Table1[[#This Row],[income]],0)</f>
        <v>45212</v>
      </c>
      <c r="BM96" s="20">
        <f ca="1">IF(Table1[[#This Row],[County]]="Somerset",Table1[[#This Row],[income]],0)</f>
        <v>0</v>
      </c>
      <c r="BN96" s="20">
        <f ca="1">IF(Table1[[#This Row],[County]]="Cambridgeshire",Table1[[#This Row],[income]],0)</f>
        <v>0</v>
      </c>
      <c r="BO96" s="20">
        <f ca="1">IF(Table1[[#This Row],[County]]="South Yorkshire",Table1[[#This Row],[income]],0)</f>
        <v>0</v>
      </c>
      <c r="BP96" s="20">
        <f ca="1">IF(Table1[[#This Row],[County]]="Greater London",Table1[[#This Row],[income]],0)</f>
        <v>0</v>
      </c>
      <c r="BQ96" s="20">
        <f ca="1">IF(Table1[[#This Row],[County]]="Hampshire",Table1[[#This Row],[income]],0)</f>
        <v>0</v>
      </c>
      <c r="BR96" s="20">
        <f ca="1">IF(Table1[[#This Row],[County]]="Gloucestershire",Table1[[#This Row],[income]],0)</f>
        <v>0</v>
      </c>
      <c r="BS96" s="20">
        <f ca="1">IF(Table1[[#This Row],[County]]="West Sussex",Table1[[#This Row],[income]],0)</f>
        <v>0</v>
      </c>
      <c r="BT96" s="20">
        <f ca="1">IF(Table1[[#This Row],[County]]="Devon",Table1[[#This Row],[income]],0)</f>
        <v>0</v>
      </c>
      <c r="BU96" s="20">
        <f ca="1">IF(Table1[[#This Row],[County]]="Berkshire",Table1[[#This Row],[income]],0)</f>
        <v>0</v>
      </c>
      <c r="BV96" s="20">
        <f ca="1">IF(Table1[[#This Row],[County]]="Staffordshire",Table1[[#This Row],[income]],0)</f>
        <v>0</v>
      </c>
      <c r="BW96" s="20">
        <f ca="1">IF(Table1[[#This Row],[County]]="Leicestershire",Table1[[#This Row],[income]],0)</f>
        <v>0</v>
      </c>
      <c r="BX96" s="20">
        <f ca="1">IF(Table1[[#This Row],[County]]="Cornwall",Table1[[#This Row],[income]],0)</f>
        <v>0</v>
      </c>
      <c r="BY96" s="20">
        <f ca="1">IF(Table1[[#This Row],[County]]="Isle of Wight",Table1[[#This Row],[income]],0)</f>
        <v>0</v>
      </c>
      <c r="BZ96" s="20">
        <f ca="1">IF(Table1[[#This Row],[County]]="Surrey",Table1[[#This Row],[income]],0)</f>
        <v>0</v>
      </c>
      <c r="CA96" s="20">
        <f ca="1">IF(Table1[[#This Row],[County]]="Derbyshire",Table1[[#This Row],[income]],0)</f>
        <v>0</v>
      </c>
      <c r="CB96" s="20">
        <f ca="1">IF(Table1[[#This Row],[County]]="City of London",Table1[[#This Row],[income]],0)</f>
        <v>0</v>
      </c>
      <c r="CC96" s="20">
        <f ca="1">IF(Table1[[#This Row],[County]]="Bedfordshire",Table1[[#This Row],[income]],0)</f>
        <v>0</v>
      </c>
      <c r="CD96" s="20">
        <f ca="1">IF(Table1[[#This Row],[County]]="County Durham",Table1[[#This Row],[income]],0)</f>
        <v>0</v>
      </c>
      <c r="CE96" s="20">
        <f ca="1">IF(Table1[[#This Row],[County]]="East Riding of Yorkshire",Table1[[#This Row],[income]],0)</f>
        <v>0</v>
      </c>
      <c r="CF96" s="20">
        <f ca="1">IF(Table1[[#This Row],[County]]="West Yorkshire",Table1[[#This Row],[income]],0)</f>
        <v>0</v>
      </c>
      <c r="CG96" s="20">
        <f ca="1">IF(Table1[[#This Row],[County]]="Essex",Table1[[#This Row],[income]],0)</f>
        <v>0</v>
      </c>
      <c r="CH96" s="20">
        <f ca="1">IF(Table1[[#This Row],[County]]="East Sussex",Table1[[#This Row],[income]],0)</f>
        <v>0</v>
      </c>
      <c r="CI96" s="20">
        <f ca="1">IF(Table1[[#This Row],[County]]="Greater Manchester",Table1[[#This Row],[income]],0)</f>
        <v>0</v>
      </c>
      <c r="CJ96" s="20">
        <f ca="1">IF(Table1[[#This Row],[County]]="Hertfordshire",Table1[[#This Row],[income]],0)</f>
        <v>0</v>
      </c>
      <c r="CK96" s="20">
        <f ca="1">IF(Table1[[#This Row],[County]]="Herefordshire",Table1[[#This Row],[income]],0)</f>
        <v>0</v>
      </c>
      <c r="CL96" s="20">
        <f ca="1">IF(Table1[[#This Row],[County]]="Lancashire",Table1[[#This Row],[income]],0)</f>
        <v>0</v>
      </c>
      <c r="CM96" s="20">
        <f ca="1">IF(Table1[[#This Row],[County]]="Merseyside",Table1[[#This Row],[income]],0)</f>
        <v>0</v>
      </c>
      <c r="CN96" s="20">
        <f ca="1">IF(Table1[[#This Row],[County]]="Northamptonshire",Table1[[#This Row],[income]],0)</f>
        <v>0</v>
      </c>
      <c r="CO96" s="20">
        <f ca="1">IF(Table1[[#This Row],[County]]="Northumberland",Table1[[#This Row],[income]],0)</f>
        <v>0</v>
      </c>
      <c r="CP96" s="20">
        <f ca="1">IF(Table1[[#This Row],[County]]="Wiltshire",Table1[[#This Row],[income]],0)</f>
        <v>0</v>
      </c>
      <c r="CQ96" s="20">
        <f ca="1">IF(Table1[[#This Row],[County]]="West Midlands",Table1[[#This Row],[income]],0)</f>
        <v>0</v>
      </c>
      <c r="CR96" s="20">
        <f ca="1">IF(Table1[[#This Row],[County]]="Warwickshire",Table1[[#This Row],[income]],0)</f>
        <v>0</v>
      </c>
      <c r="CS96" s="20">
        <f ca="1">IF(Table1[[#This Row],[County]]="Tyne and Wear",Table1[[#This Row],[income]],0)</f>
        <v>0</v>
      </c>
      <c r="CT96" s="20">
        <f ca="1">IF(Table1[[#This Row],[County]]="Worcestershire",Table1[[#This Row],[income]],0)</f>
        <v>0</v>
      </c>
      <c r="CU96" s="20">
        <f ca="1">IF(Table1[[#This Row],[County]]="Rutland",Table1[[#This Row],[income]],0)</f>
        <v>0</v>
      </c>
      <c r="CV96" s="20">
        <f ca="1">IF(Table1[[#This Row],[County]]="Shropshire",Table1[[#This Row],[income]],0)</f>
        <v>0</v>
      </c>
      <c r="CW96" s="20">
        <f ca="1">IF(Table1[[#This Row],[County]]="Dorset",Table1[[#This Row],[income]],0)</f>
        <v>0</v>
      </c>
      <c r="CX96" s="20">
        <f ca="1">IF(Table1[[#This Row],[County]]="Buckinghamshire",Table1[[#This Row],[income]],0)</f>
        <v>0</v>
      </c>
      <c r="CY96" s="20">
        <f ca="1">IF(Table1[[#This Row],[County]]="Suffolk",Table1[[#This Row],[income]],0)</f>
        <v>0</v>
      </c>
      <c r="CZ96" s="20">
        <f ca="1">IF(Table1[[#This Row],[County]]="North Yorkshire",Table1[[#This Row],[income]],0)</f>
        <v>0</v>
      </c>
      <c r="DA96" s="20">
        <f ca="1">IF(Table1[[#This Row],[County]]="Kent",Table1[[#This Row],[income]],0)</f>
        <v>0</v>
      </c>
      <c r="DB96" s="5">
        <f ca="1">IF(Table1[[#This Row],[County]]="Derbyshire",Table1[[#This Row],[income]],0)</f>
        <v>0</v>
      </c>
      <c r="DD96" s="6">
        <f ca="1">IF(Table1[[#This Row],[Column1]]="Health",Table1[[#This Row],[income]],0)</f>
        <v>0</v>
      </c>
      <c r="DE96" s="20">
        <f ca="1">IF(Table1[[#This Row],[Column1]]="Agriculture",Table1[[#This Row],[income]],0)</f>
        <v>0</v>
      </c>
      <c r="DF96" s="20">
        <f ca="1">IF(Table1[[#This Row],[Column1]]="Technology",Table1[[#This Row],[income]],0)</f>
        <v>45212</v>
      </c>
      <c r="DG96" s="20">
        <f ca="1">IF(Table1[[#This Row],[Column1]]="Social Service",Table1[[#This Row],[income]],0)</f>
        <v>0</v>
      </c>
      <c r="DH96" s="20">
        <f ca="1">IF(Table1[[#This Row],[Column1]]="Education",Table1[[#This Row],[income]],0)</f>
        <v>0</v>
      </c>
      <c r="DI96" s="5">
        <f ca="1">IF(Table1[[#This Row],[Column1]]="Construction",Table1[[#This Row],[income]],0)</f>
        <v>0</v>
      </c>
      <c r="DK96" s="6">
        <f ca="1">IF(Table1[[#This Row],[Value of Debts]]&gt;Table1[[#This Row],[income]],1,0)</f>
        <v>1</v>
      </c>
      <c r="DL96" s="20"/>
      <c r="DM96" s="20"/>
      <c r="DN96" s="5"/>
      <c r="DP96" s="6">
        <f ca="1">IF(Table1[[#This Row],[Net Worth (£)]]&gt;$DS$5,C96,0)</f>
        <v>0</v>
      </c>
      <c r="DQ96" s="20"/>
      <c r="DR96" s="20"/>
      <c r="DS96" s="5"/>
    </row>
    <row r="97" spans="1:123" x14ac:dyDescent="0.2">
      <c r="A97">
        <f t="shared" ca="1" si="4"/>
        <v>1</v>
      </c>
      <c r="B97" s="1" t="str">
        <f ca="1">IF(A97=1, "men", "women")</f>
        <v>men</v>
      </c>
      <c r="C97" s="1">
        <f ca="1">RANDBETWEEN(25,50)</f>
        <v>40</v>
      </c>
      <c r="D97">
        <f ca="1">RANDBETWEEN(1,6)</f>
        <v>1</v>
      </c>
      <c r="E97" t="str">
        <f ca="1">VLOOKUP(D97,$W$5:$X$10,2)</f>
        <v>Health</v>
      </c>
      <c r="F97">
        <f ca="1">RANDBETWEEN(1,5)</f>
        <v>5</v>
      </c>
      <c r="G97" t="str">
        <f ca="1">VLOOKUP(F97,$Y$5:$Z$9,2)</f>
        <v>Other</v>
      </c>
      <c r="H97">
        <f ca="1">RANDBETWEEN(0,4)</f>
        <v>1</v>
      </c>
      <c r="I97">
        <f ca="1">RANDBETWEEN(1,3)</f>
        <v>3</v>
      </c>
      <c r="J97">
        <f ca="1">RANDBETWEEN(30000,100000)</f>
        <v>37798</v>
      </c>
      <c r="K97">
        <f ca="1">RANDBETWEEN(1,48)</f>
        <v>29</v>
      </c>
      <c r="L97" t="str">
        <f ca="1">VLOOKUP(K97,$AA$5:$AB$52,2)</f>
        <v>Norfolk</v>
      </c>
      <c r="M97">
        <f ca="1">J97*(RANDBETWEEN(2,5))</f>
        <v>75596</v>
      </c>
      <c r="N97">
        <f ca="1">RAND()*M97</f>
        <v>69509.170644040729</v>
      </c>
      <c r="O97">
        <f ca="1">I97*RAND()*J97</f>
        <v>56052.722407674453</v>
      </c>
      <c r="P97">
        <f ca="1">RANDBETWEEN(0,O97)</f>
        <v>31213</v>
      </c>
      <c r="Q97">
        <f ca="1">RAND()*J97*2</f>
        <v>53487.419907610121</v>
      </c>
      <c r="R97">
        <f ca="1">RAND()*J97*1.5</f>
        <v>31684.239127820038</v>
      </c>
      <c r="S97">
        <f ca="1">J97+R97+O97</f>
        <v>125534.96153549448</v>
      </c>
      <c r="T97">
        <f ca="1">N97+P97+Q97</f>
        <v>154209.59055165085</v>
      </c>
      <c r="U97">
        <f ca="1">S97-T97</f>
        <v>-28674.629016156367</v>
      </c>
      <c r="AC97" s="6">
        <f ca="1">IF(Table1[[#This Row],[gender]]="men",1,0)</f>
        <v>1</v>
      </c>
      <c r="AD97">
        <f ca="1">IF(Table1[[#This Row],[gender]]="women",1,0)</f>
        <v>0</v>
      </c>
      <c r="AH97" s="5"/>
      <c r="AJ97" s="6">
        <f ca="1">IF(Table1[[#This Row],[Column1]]="Health",1,0)</f>
        <v>1</v>
      </c>
      <c r="AK97">
        <f ca="1">IF(Table1[[#This Row],[Column1]]="Construction",1,0)</f>
        <v>0</v>
      </c>
      <c r="AL97">
        <f ca="1">IF(Table1[[#This Row],[Column1]]="Technology",1,0)</f>
        <v>0</v>
      </c>
      <c r="AM97">
        <f ca="1">IF(Table1[[#This Row],[Column1]]="Education",1,0)</f>
        <v>0</v>
      </c>
      <c r="AN97">
        <f ca="1">IF(Table1[[#This Row],[Column1]]="Agriculture",1,0)</f>
        <v>0</v>
      </c>
      <c r="AO97">
        <f ca="1">IF(Table1[[#This Row],[Column1]]="Social Service", 1, 0)</f>
        <v>0</v>
      </c>
      <c r="AT97" s="5"/>
      <c r="AV97" s="17">
        <f t="shared" ca="1" si="3"/>
        <v>11212.393277122568</v>
      </c>
      <c r="AW97" s="5"/>
      <c r="AX97" s="6">
        <f ca="1">IF(Table1[[#This Row],[Value of Debts]]&gt;$AY$4,1,0)</f>
        <v>1</v>
      </c>
      <c r="AY97" s="20"/>
      <c r="AZ97" s="20"/>
      <c r="BA97" s="5"/>
      <c r="BB97" s="25">
        <f ca="1">Table1[[#This Row],[Mortage Left]]/Table1[[#This Row],[Value of House]]</f>
        <v>0.91948212397535223</v>
      </c>
      <c r="BC97" s="20">
        <f t="shared" ca="1" si="5"/>
        <v>0</v>
      </c>
      <c r="BD97" s="20"/>
      <c r="BE97" s="20"/>
      <c r="BF97" s="20"/>
      <c r="BG97" s="6">
        <f ca="1">IF(Table1[[#This Row],[County]]="Cumbria",Table1[[#This Row],[income]],0)</f>
        <v>0</v>
      </c>
      <c r="BH97" s="20">
        <f ca="1">IF(Table1[[#This Row],[County]]="Cheshire",Table1[[#This Row],[income]],0)</f>
        <v>0</v>
      </c>
      <c r="BI97" s="20">
        <f ca="1">IF(Table1[[#This Row],[County]]="Bristol",Table1[[#This Row],[income]],0)</f>
        <v>0</v>
      </c>
      <c r="BJ97" s="20">
        <f ca="1">IF(Table1[[#This Row],[County]]="Surrey",Table1[[#This Row],[income]],0)</f>
        <v>0</v>
      </c>
      <c r="BK97" s="20">
        <f ca="1">IF(Table1[[#This Row],[County]]="Norfolk",Table1[[#This Row],[income]],0)</f>
        <v>37798</v>
      </c>
      <c r="BL97" s="20">
        <f ca="1">IF(Table1[[#This Row],[County]]="Lincolnshire",Table1[[#This Row],[income]],0)</f>
        <v>0</v>
      </c>
      <c r="BM97" s="20">
        <f ca="1">IF(Table1[[#This Row],[County]]="Somerset",Table1[[#This Row],[income]],0)</f>
        <v>0</v>
      </c>
      <c r="BN97" s="20">
        <f ca="1">IF(Table1[[#This Row],[County]]="Cambridgeshire",Table1[[#This Row],[income]],0)</f>
        <v>0</v>
      </c>
      <c r="BO97" s="20">
        <f ca="1">IF(Table1[[#This Row],[County]]="South Yorkshire",Table1[[#This Row],[income]],0)</f>
        <v>0</v>
      </c>
      <c r="BP97" s="20">
        <f ca="1">IF(Table1[[#This Row],[County]]="Greater London",Table1[[#This Row],[income]],0)</f>
        <v>0</v>
      </c>
      <c r="BQ97" s="20">
        <f ca="1">IF(Table1[[#This Row],[County]]="Hampshire",Table1[[#This Row],[income]],0)</f>
        <v>0</v>
      </c>
      <c r="BR97" s="20">
        <f ca="1">IF(Table1[[#This Row],[County]]="Gloucestershire",Table1[[#This Row],[income]],0)</f>
        <v>0</v>
      </c>
      <c r="BS97" s="20">
        <f ca="1">IF(Table1[[#This Row],[County]]="West Sussex",Table1[[#This Row],[income]],0)</f>
        <v>0</v>
      </c>
      <c r="BT97" s="20">
        <f ca="1">IF(Table1[[#This Row],[County]]="Devon",Table1[[#This Row],[income]],0)</f>
        <v>0</v>
      </c>
      <c r="BU97" s="20">
        <f ca="1">IF(Table1[[#This Row],[County]]="Berkshire",Table1[[#This Row],[income]],0)</f>
        <v>0</v>
      </c>
      <c r="BV97" s="20">
        <f ca="1">IF(Table1[[#This Row],[County]]="Staffordshire",Table1[[#This Row],[income]],0)</f>
        <v>0</v>
      </c>
      <c r="BW97" s="20">
        <f ca="1">IF(Table1[[#This Row],[County]]="Leicestershire",Table1[[#This Row],[income]],0)</f>
        <v>0</v>
      </c>
      <c r="BX97" s="20">
        <f ca="1">IF(Table1[[#This Row],[County]]="Cornwall",Table1[[#This Row],[income]],0)</f>
        <v>0</v>
      </c>
      <c r="BY97" s="20">
        <f ca="1">IF(Table1[[#This Row],[County]]="Isle of Wight",Table1[[#This Row],[income]],0)</f>
        <v>0</v>
      </c>
      <c r="BZ97" s="20">
        <f ca="1">IF(Table1[[#This Row],[County]]="Surrey",Table1[[#This Row],[income]],0)</f>
        <v>0</v>
      </c>
      <c r="CA97" s="20">
        <f ca="1">IF(Table1[[#This Row],[County]]="Derbyshire",Table1[[#This Row],[income]],0)</f>
        <v>0</v>
      </c>
      <c r="CB97" s="20">
        <f ca="1">IF(Table1[[#This Row],[County]]="City of London",Table1[[#This Row],[income]],0)</f>
        <v>0</v>
      </c>
      <c r="CC97" s="20">
        <f ca="1">IF(Table1[[#This Row],[County]]="Bedfordshire",Table1[[#This Row],[income]],0)</f>
        <v>0</v>
      </c>
      <c r="CD97" s="20">
        <f ca="1">IF(Table1[[#This Row],[County]]="County Durham",Table1[[#This Row],[income]],0)</f>
        <v>0</v>
      </c>
      <c r="CE97" s="20">
        <f ca="1">IF(Table1[[#This Row],[County]]="East Riding of Yorkshire",Table1[[#This Row],[income]],0)</f>
        <v>0</v>
      </c>
      <c r="CF97" s="20">
        <f ca="1">IF(Table1[[#This Row],[County]]="West Yorkshire",Table1[[#This Row],[income]],0)</f>
        <v>0</v>
      </c>
      <c r="CG97" s="20">
        <f ca="1">IF(Table1[[#This Row],[County]]="Essex",Table1[[#This Row],[income]],0)</f>
        <v>0</v>
      </c>
      <c r="CH97" s="20">
        <f ca="1">IF(Table1[[#This Row],[County]]="East Sussex",Table1[[#This Row],[income]],0)</f>
        <v>0</v>
      </c>
      <c r="CI97" s="20">
        <f ca="1">IF(Table1[[#This Row],[County]]="Greater Manchester",Table1[[#This Row],[income]],0)</f>
        <v>0</v>
      </c>
      <c r="CJ97" s="20">
        <f ca="1">IF(Table1[[#This Row],[County]]="Hertfordshire",Table1[[#This Row],[income]],0)</f>
        <v>0</v>
      </c>
      <c r="CK97" s="20">
        <f ca="1">IF(Table1[[#This Row],[County]]="Herefordshire",Table1[[#This Row],[income]],0)</f>
        <v>0</v>
      </c>
      <c r="CL97" s="20">
        <f ca="1">IF(Table1[[#This Row],[County]]="Lancashire",Table1[[#This Row],[income]],0)</f>
        <v>0</v>
      </c>
      <c r="CM97" s="20">
        <f ca="1">IF(Table1[[#This Row],[County]]="Merseyside",Table1[[#This Row],[income]],0)</f>
        <v>0</v>
      </c>
      <c r="CN97" s="20">
        <f ca="1">IF(Table1[[#This Row],[County]]="Northamptonshire",Table1[[#This Row],[income]],0)</f>
        <v>0</v>
      </c>
      <c r="CO97" s="20">
        <f ca="1">IF(Table1[[#This Row],[County]]="Northumberland",Table1[[#This Row],[income]],0)</f>
        <v>0</v>
      </c>
      <c r="CP97" s="20">
        <f ca="1">IF(Table1[[#This Row],[County]]="Wiltshire",Table1[[#This Row],[income]],0)</f>
        <v>0</v>
      </c>
      <c r="CQ97" s="20">
        <f ca="1">IF(Table1[[#This Row],[County]]="West Midlands",Table1[[#This Row],[income]],0)</f>
        <v>0</v>
      </c>
      <c r="CR97" s="20">
        <f ca="1">IF(Table1[[#This Row],[County]]="Warwickshire",Table1[[#This Row],[income]],0)</f>
        <v>0</v>
      </c>
      <c r="CS97" s="20">
        <f ca="1">IF(Table1[[#This Row],[County]]="Tyne and Wear",Table1[[#This Row],[income]],0)</f>
        <v>0</v>
      </c>
      <c r="CT97" s="20">
        <f ca="1">IF(Table1[[#This Row],[County]]="Worcestershire",Table1[[#This Row],[income]],0)</f>
        <v>0</v>
      </c>
      <c r="CU97" s="20">
        <f ca="1">IF(Table1[[#This Row],[County]]="Rutland",Table1[[#This Row],[income]],0)</f>
        <v>0</v>
      </c>
      <c r="CV97" s="20">
        <f ca="1">IF(Table1[[#This Row],[County]]="Shropshire",Table1[[#This Row],[income]],0)</f>
        <v>0</v>
      </c>
      <c r="CW97" s="20">
        <f ca="1">IF(Table1[[#This Row],[County]]="Dorset",Table1[[#This Row],[income]],0)</f>
        <v>0</v>
      </c>
      <c r="CX97" s="20">
        <f ca="1">IF(Table1[[#This Row],[County]]="Buckinghamshire",Table1[[#This Row],[income]],0)</f>
        <v>0</v>
      </c>
      <c r="CY97" s="20">
        <f ca="1">IF(Table1[[#This Row],[County]]="Suffolk",Table1[[#This Row],[income]],0)</f>
        <v>0</v>
      </c>
      <c r="CZ97" s="20">
        <f ca="1">IF(Table1[[#This Row],[County]]="North Yorkshire",Table1[[#This Row],[income]],0)</f>
        <v>0</v>
      </c>
      <c r="DA97" s="20">
        <f ca="1">IF(Table1[[#This Row],[County]]="Kent",Table1[[#This Row],[income]],0)</f>
        <v>0</v>
      </c>
      <c r="DB97" s="5">
        <f ca="1">IF(Table1[[#This Row],[County]]="Derbyshire",Table1[[#This Row],[income]],0)</f>
        <v>0</v>
      </c>
      <c r="DD97" s="6">
        <f ca="1">IF(Table1[[#This Row],[Column1]]="Health",Table1[[#This Row],[income]],0)</f>
        <v>37798</v>
      </c>
      <c r="DE97" s="20">
        <f ca="1">IF(Table1[[#This Row],[Column1]]="Agriculture",Table1[[#This Row],[income]],0)</f>
        <v>0</v>
      </c>
      <c r="DF97" s="20">
        <f ca="1">IF(Table1[[#This Row],[Column1]]="Technology",Table1[[#This Row],[income]],0)</f>
        <v>0</v>
      </c>
      <c r="DG97" s="20">
        <f ca="1">IF(Table1[[#This Row],[Column1]]="Social Service",Table1[[#This Row],[income]],0)</f>
        <v>0</v>
      </c>
      <c r="DH97" s="20">
        <f ca="1">IF(Table1[[#This Row],[Column1]]="Education",Table1[[#This Row],[income]],0)</f>
        <v>0</v>
      </c>
      <c r="DI97" s="5">
        <f ca="1">IF(Table1[[#This Row],[Column1]]="Construction",Table1[[#This Row],[income]],0)</f>
        <v>0</v>
      </c>
      <c r="DK97" s="6">
        <f ca="1">IF(Table1[[#This Row],[Value of Debts]]&gt;Table1[[#This Row],[income]],1,0)</f>
        <v>1</v>
      </c>
      <c r="DL97" s="20"/>
      <c r="DM97" s="20"/>
      <c r="DN97" s="5"/>
      <c r="DP97" s="6">
        <f ca="1">IF(Table1[[#This Row],[Net Worth (£)]]&gt;$DS$5,C97,0)</f>
        <v>0</v>
      </c>
      <c r="DQ97" s="20"/>
      <c r="DR97" s="20"/>
      <c r="DS97" s="5"/>
    </row>
    <row r="98" spans="1:123" x14ac:dyDescent="0.2">
      <c r="A98">
        <f t="shared" ca="1" si="4"/>
        <v>1</v>
      </c>
      <c r="B98" s="1" t="str">
        <f ca="1">IF(A98=1, "men", "women")</f>
        <v>men</v>
      </c>
      <c r="C98" s="1">
        <f ca="1">RANDBETWEEN(25,50)</f>
        <v>38</v>
      </c>
      <c r="D98">
        <f ca="1">RANDBETWEEN(1,6)</f>
        <v>4</v>
      </c>
      <c r="E98" t="str">
        <f ca="1">VLOOKUP(D98,$W$5:$X$10,2)</f>
        <v>Technology</v>
      </c>
      <c r="F98">
        <f ca="1">RANDBETWEEN(1,5)</f>
        <v>3</v>
      </c>
      <c r="G98" t="str">
        <f ca="1">VLOOKUP(F98,$Y$5:$Z$9,2)</f>
        <v>University</v>
      </c>
      <c r="H98">
        <f ca="1">RANDBETWEEN(0,4)</f>
        <v>0</v>
      </c>
      <c r="I98">
        <f ca="1">RANDBETWEEN(1,3)</f>
        <v>1</v>
      </c>
      <c r="J98">
        <f ca="1">RANDBETWEEN(30000,100000)</f>
        <v>83282</v>
      </c>
      <c r="K98">
        <f ca="1">RANDBETWEEN(1,48)</f>
        <v>17</v>
      </c>
      <c r="L98" t="str">
        <f ca="1">VLOOKUP(K98,$AA$5:$AB$52,2)</f>
        <v>Gloucestershire</v>
      </c>
      <c r="M98">
        <f ca="1">J98*(RANDBETWEEN(2,5))</f>
        <v>333128</v>
      </c>
      <c r="N98">
        <f ca="1">RAND()*M98</f>
        <v>32102.105546544644</v>
      </c>
      <c r="O98">
        <f ca="1">I98*RAND()*J98</f>
        <v>11212.393277122568</v>
      </c>
      <c r="P98">
        <f ca="1">RANDBETWEEN(0,O98)</f>
        <v>5997</v>
      </c>
      <c r="Q98">
        <f ca="1">RAND()*J98*2</f>
        <v>33844.034716234135</v>
      </c>
      <c r="R98">
        <f ca="1">RAND()*J98*1.5</f>
        <v>118420.52039603375</v>
      </c>
      <c r="S98">
        <f ca="1">J98+R98+O98</f>
        <v>212914.91367315635</v>
      </c>
      <c r="T98">
        <f ca="1">N98+P98+Q98</f>
        <v>71943.140262778776</v>
      </c>
      <c r="U98">
        <f ca="1">S98-T98</f>
        <v>140971.77341037756</v>
      </c>
      <c r="AC98" s="6">
        <f ca="1">IF(Table1[[#This Row],[gender]]="men",1,0)</f>
        <v>1</v>
      </c>
      <c r="AD98">
        <f ca="1">IF(Table1[[#This Row],[gender]]="women",1,0)</f>
        <v>0</v>
      </c>
      <c r="AH98" s="5"/>
      <c r="AJ98" s="6">
        <f ca="1">IF(Table1[[#This Row],[Column1]]="Health",1,0)</f>
        <v>0</v>
      </c>
      <c r="AK98">
        <f ca="1">IF(Table1[[#This Row],[Column1]]="Construction",1,0)</f>
        <v>0</v>
      </c>
      <c r="AL98">
        <f ca="1">IF(Table1[[#This Row],[Column1]]="Technology",1,0)</f>
        <v>1</v>
      </c>
      <c r="AM98">
        <f ca="1">IF(Table1[[#This Row],[Column1]]="Education",1,0)</f>
        <v>0</v>
      </c>
      <c r="AN98">
        <f ca="1">IF(Table1[[#This Row],[Column1]]="Agriculture",1,0)</f>
        <v>0</v>
      </c>
      <c r="AO98">
        <f ca="1">IF(Table1[[#This Row],[Column1]]="Social Service", 1, 0)</f>
        <v>0</v>
      </c>
      <c r="AT98" s="5"/>
      <c r="AV98" s="17">
        <f t="shared" ca="1" si="3"/>
        <v>10050.310095959181</v>
      </c>
      <c r="AW98" s="5"/>
      <c r="AX98" s="6">
        <f ca="1">IF(Table1[[#This Row],[Value of Debts]]&gt;$AY$4,1,0)</f>
        <v>0</v>
      </c>
      <c r="AY98" s="20"/>
      <c r="AZ98" s="20"/>
      <c r="BA98" s="5"/>
      <c r="BB98" s="25">
        <f ca="1">Table1[[#This Row],[Mortage Left]]/Table1[[#This Row],[Value of House]]</f>
        <v>9.6365677897218616E-2</v>
      </c>
      <c r="BC98" s="20">
        <f t="shared" ca="1" si="5"/>
        <v>1</v>
      </c>
      <c r="BD98" s="20"/>
      <c r="BE98" s="20"/>
      <c r="BF98" s="20"/>
      <c r="BG98" s="6">
        <f ca="1">IF(Table1[[#This Row],[County]]="Cumbria",Table1[[#This Row],[income]],0)</f>
        <v>0</v>
      </c>
      <c r="BH98" s="20">
        <f ca="1">IF(Table1[[#This Row],[County]]="Cheshire",Table1[[#This Row],[income]],0)</f>
        <v>0</v>
      </c>
      <c r="BI98" s="20">
        <f ca="1">IF(Table1[[#This Row],[County]]="Bristol",Table1[[#This Row],[income]],0)</f>
        <v>0</v>
      </c>
      <c r="BJ98" s="20">
        <f ca="1">IF(Table1[[#This Row],[County]]="Surrey",Table1[[#This Row],[income]],0)</f>
        <v>0</v>
      </c>
      <c r="BK98" s="20">
        <f ca="1">IF(Table1[[#This Row],[County]]="Norfolk",Table1[[#This Row],[income]],0)</f>
        <v>0</v>
      </c>
      <c r="BL98" s="20">
        <f ca="1">IF(Table1[[#This Row],[County]]="Lincolnshire",Table1[[#This Row],[income]],0)</f>
        <v>0</v>
      </c>
      <c r="BM98" s="20">
        <f ca="1">IF(Table1[[#This Row],[County]]="Somerset",Table1[[#This Row],[income]],0)</f>
        <v>0</v>
      </c>
      <c r="BN98" s="20">
        <f ca="1">IF(Table1[[#This Row],[County]]="Cambridgeshire",Table1[[#This Row],[income]],0)</f>
        <v>0</v>
      </c>
      <c r="BO98" s="20">
        <f ca="1">IF(Table1[[#This Row],[County]]="South Yorkshire",Table1[[#This Row],[income]],0)</f>
        <v>0</v>
      </c>
      <c r="BP98" s="20">
        <f ca="1">IF(Table1[[#This Row],[County]]="Greater London",Table1[[#This Row],[income]],0)</f>
        <v>0</v>
      </c>
      <c r="BQ98" s="20">
        <f ca="1">IF(Table1[[#This Row],[County]]="Hampshire",Table1[[#This Row],[income]],0)</f>
        <v>0</v>
      </c>
      <c r="BR98" s="20">
        <f ca="1">IF(Table1[[#This Row],[County]]="Gloucestershire",Table1[[#This Row],[income]],0)</f>
        <v>83282</v>
      </c>
      <c r="BS98" s="20">
        <f ca="1">IF(Table1[[#This Row],[County]]="West Sussex",Table1[[#This Row],[income]],0)</f>
        <v>0</v>
      </c>
      <c r="BT98" s="20">
        <f ca="1">IF(Table1[[#This Row],[County]]="Devon",Table1[[#This Row],[income]],0)</f>
        <v>0</v>
      </c>
      <c r="BU98" s="20">
        <f ca="1">IF(Table1[[#This Row],[County]]="Berkshire",Table1[[#This Row],[income]],0)</f>
        <v>0</v>
      </c>
      <c r="BV98" s="20">
        <f ca="1">IF(Table1[[#This Row],[County]]="Staffordshire",Table1[[#This Row],[income]],0)</f>
        <v>0</v>
      </c>
      <c r="BW98" s="20">
        <f ca="1">IF(Table1[[#This Row],[County]]="Leicestershire",Table1[[#This Row],[income]],0)</f>
        <v>0</v>
      </c>
      <c r="BX98" s="20">
        <f ca="1">IF(Table1[[#This Row],[County]]="Cornwall",Table1[[#This Row],[income]],0)</f>
        <v>0</v>
      </c>
      <c r="BY98" s="20">
        <f ca="1">IF(Table1[[#This Row],[County]]="Isle of Wight",Table1[[#This Row],[income]],0)</f>
        <v>0</v>
      </c>
      <c r="BZ98" s="20">
        <f ca="1">IF(Table1[[#This Row],[County]]="Surrey",Table1[[#This Row],[income]],0)</f>
        <v>0</v>
      </c>
      <c r="CA98" s="20">
        <f ca="1">IF(Table1[[#This Row],[County]]="Derbyshire",Table1[[#This Row],[income]],0)</f>
        <v>0</v>
      </c>
      <c r="CB98" s="20">
        <f ca="1">IF(Table1[[#This Row],[County]]="City of London",Table1[[#This Row],[income]],0)</f>
        <v>0</v>
      </c>
      <c r="CC98" s="20">
        <f ca="1">IF(Table1[[#This Row],[County]]="Bedfordshire",Table1[[#This Row],[income]],0)</f>
        <v>0</v>
      </c>
      <c r="CD98" s="20">
        <f ca="1">IF(Table1[[#This Row],[County]]="County Durham",Table1[[#This Row],[income]],0)</f>
        <v>0</v>
      </c>
      <c r="CE98" s="20">
        <f ca="1">IF(Table1[[#This Row],[County]]="East Riding of Yorkshire",Table1[[#This Row],[income]],0)</f>
        <v>0</v>
      </c>
      <c r="CF98" s="20">
        <f ca="1">IF(Table1[[#This Row],[County]]="West Yorkshire",Table1[[#This Row],[income]],0)</f>
        <v>0</v>
      </c>
      <c r="CG98" s="20">
        <f ca="1">IF(Table1[[#This Row],[County]]="Essex",Table1[[#This Row],[income]],0)</f>
        <v>0</v>
      </c>
      <c r="CH98" s="20">
        <f ca="1">IF(Table1[[#This Row],[County]]="East Sussex",Table1[[#This Row],[income]],0)</f>
        <v>0</v>
      </c>
      <c r="CI98" s="20">
        <f ca="1">IF(Table1[[#This Row],[County]]="Greater Manchester",Table1[[#This Row],[income]],0)</f>
        <v>0</v>
      </c>
      <c r="CJ98" s="20">
        <f ca="1">IF(Table1[[#This Row],[County]]="Hertfordshire",Table1[[#This Row],[income]],0)</f>
        <v>0</v>
      </c>
      <c r="CK98" s="20">
        <f ca="1">IF(Table1[[#This Row],[County]]="Herefordshire",Table1[[#This Row],[income]],0)</f>
        <v>0</v>
      </c>
      <c r="CL98" s="20">
        <f ca="1">IF(Table1[[#This Row],[County]]="Lancashire",Table1[[#This Row],[income]],0)</f>
        <v>0</v>
      </c>
      <c r="CM98" s="20">
        <f ca="1">IF(Table1[[#This Row],[County]]="Merseyside",Table1[[#This Row],[income]],0)</f>
        <v>0</v>
      </c>
      <c r="CN98" s="20">
        <f ca="1">IF(Table1[[#This Row],[County]]="Northamptonshire",Table1[[#This Row],[income]],0)</f>
        <v>0</v>
      </c>
      <c r="CO98" s="20">
        <f ca="1">IF(Table1[[#This Row],[County]]="Northumberland",Table1[[#This Row],[income]],0)</f>
        <v>0</v>
      </c>
      <c r="CP98" s="20">
        <f ca="1">IF(Table1[[#This Row],[County]]="Wiltshire",Table1[[#This Row],[income]],0)</f>
        <v>0</v>
      </c>
      <c r="CQ98" s="20">
        <f ca="1">IF(Table1[[#This Row],[County]]="West Midlands",Table1[[#This Row],[income]],0)</f>
        <v>0</v>
      </c>
      <c r="CR98" s="20">
        <f ca="1">IF(Table1[[#This Row],[County]]="Warwickshire",Table1[[#This Row],[income]],0)</f>
        <v>0</v>
      </c>
      <c r="CS98" s="20">
        <f ca="1">IF(Table1[[#This Row],[County]]="Tyne and Wear",Table1[[#This Row],[income]],0)</f>
        <v>0</v>
      </c>
      <c r="CT98" s="20">
        <f ca="1">IF(Table1[[#This Row],[County]]="Worcestershire",Table1[[#This Row],[income]],0)</f>
        <v>0</v>
      </c>
      <c r="CU98" s="20">
        <f ca="1">IF(Table1[[#This Row],[County]]="Rutland",Table1[[#This Row],[income]],0)</f>
        <v>0</v>
      </c>
      <c r="CV98" s="20">
        <f ca="1">IF(Table1[[#This Row],[County]]="Shropshire",Table1[[#This Row],[income]],0)</f>
        <v>0</v>
      </c>
      <c r="CW98" s="20">
        <f ca="1">IF(Table1[[#This Row],[County]]="Dorset",Table1[[#This Row],[income]],0)</f>
        <v>0</v>
      </c>
      <c r="CX98" s="20">
        <f ca="1">IF(Table1[[#This Row],[County]]="Buckinghamshire",Table1[[#This Row],[income]],0)</f>
        <v>0</v>
      </c>
      <c r="CY98" s="20">
        <f ca="1">IF(Table1[[#This Row],[County]]="Suffolk",Table1[[#This Row],[income]],0)</f>
        <v>0</v>
      </c>
      <c r="CZ98" s="20">
        <f ca="1">IF(Table1[[#This Row],[County]]="North Yorkshire",Table1[[#This Row],[income]],0)</f>
        <v>0</v>
      </c>
      <c r="DA98" s="20">
        <f ca="1">IF(Table1[[#This Row],[County]]="Kent",Table1[[#This Row],[income]],0)</f>
        <v>0</v>
      </c>
      <c r="DB98" s="5">
        <f ca="1">IF(Table1[[#This Row],[County]]="Derbyshire",Table1[[#This Row],[income]],0)</f>
        <v>0</v>
      </c>
      <c r="DD98" s="6">
        <f ca="1">IF(Table1[[#This Row],[Column1]]="Health",Table1[[#This Row],[income]],0)</f>
        <v>0</v>
      </c>
      <c r="DE98" s="20">
        <f ca="1">IF(Table1[[#This Row],[Column1]]="Agriculture",Table1[[#This Row],[income]],0)</f>
        <v>0</v>
      </c>
      <c r="DF98" s="20">
        <f ca="1">IF(Table1[[#This Row],[Column1]]="Technology",Table1[[#This Row],[income]],0)</f>
        <v>83282</v>
      </c>
      <c r="DG98" s="20">
        <f ca="1">IF(Table1[[#This Row],[Column1]]="Social Service",Table1[[#This Row],[income]],0)</f>
        <v>0</v>
      </c>
      <c r="DH98" s="20">
        <f ca="1">IF(Table1[[#This Row],[Column1]]="Education",Table1[[#This Row],[income]],0)</f>
        <v>0</v>
      </c>
      <c r="DI98" s="5">
        <f ca="1">IF(Table1[[#This Row],[Column1]]="Construction",Table1[[#This Row],[income]],0)</f>
        <v>0</v>
      </c>
      <c r="DK98" s="6">
        <f ca="1">IF(Table1[[#This Row],[Value of Debts]]&gt;Table1[[#This Row],[income]],1,0)</f>
        <v>0</v>
      </c>
      <c r="DL98" s="20"/>
      <c r="DM98" s="20"/>
      <c r="DN98" s="5"/>
      <c r="DP98" s="6">
        <f ca="1">IF(Table1[[#This Row],[Net Worth (£)]]&gt;$DS$5,C98,0)</f>
        <v>38</v>
      </c>
      <c r="DQ98" s="20"/>
      <c r="DR98" s="20"/>
      <c r="DS98" s="5"/>
    </row>
    <row r="99" spans="1:123" x14ac:dyDescent="0.2">
      <c r="A99">
        <f t="shared" ca="1" si="4"/>
        <v>2</v>
      </c>
      <c r="B99" s="1" t="str">
        <f ca="1">IF(A99=1, "men", "women")</f>
        <v>women</v>
      </c>
      <c r="C99" s="1">
        <f ca="1">RANDBETWEEN(25,50)</f>
        <v>43</v>
      </c>
      <c r="D99">
        <f ca="1">RANDBETWEEN(1,6)</f>
        <v>1</v>
      </c>
      <c r="E99" t="str">
        <f ca="1">VLOOKUP(D99,$W$5:$X$10,2)</f>
        <v>Health</v>
      </c>
      <c r="F99">
        <f ca="1">RANDBETWEEN(1,5)</f>
        <v>5</v>
      </c>
      <c r="G99" t="str">
        <f ca="1">VLOOKUP(F99,$Y$5:$Z$9,2)</f>
        <v>Other</v>
      </c>
      <c r="H99">
        <f ca="1">RANDBETWEEN(0,4)</f>
        <v>2</v>
      </c>
      <c r="I99">
        <f ca="1">RANDBETWEEN(1,3)</f>
        <v>1</v>
      </c>
      <c r="J99">
        <f ca="1">RANDBETWEEN(30000,100000)</f>
        <v>91596</v>
      </c>
      <c r="K99">
        <f ca="1">RANDBETWEEN(1,48)</f>
        <v>23</v>
      </c>
      <c r="L99" t="str">
        <f ca="1">VLOOKUP(K99,$AA$5:$AB$52,2)</f>
        <v>Isle of Wight</v>
      </c>
      <c r="M99">
        <f ca="1">J99*(RANDBETWEEN(2,5))</f>
        <v>366384</v>
      </c>
      <c r="N99">
        <f ca="1">RAND()*M99</f>
        <v>8852.9880223289128</v>
      </c>
      <c r="O99">
        <f ca="1">I99*RAND()*J99</f>
        <v>10050.310095959181</v>
      </c>
      <c r="P99">
        <f ca="1">RANDBETWEEN(0,O99)</f>
        <v>3130</v>
      </c>
      <c r="Q99">
        <f ca="1">RAND()*J99*2</f>
        <v>79308.291902415236</v>
      </c>
      <c r="R99">
        <f ca="1">RAND()*J99*1.5</f>
        <v>103134.06709143968</v>
      </c>
      <c r="S99">
        <f ca="1">J99+R99+O99</f>
        <v>204780.37718739884</v>
      </c>
      <c r="T99">
        <f ca="1">N99+P99+Q99</f>
        <v>91291.279924744143</v>
      </c>
      <c r="U99">
        <f ca="1">S99-T99</f>
        <v>113489.0972626547</v>
      </c>
      <c r="AC99" s="6">
        <f ca="1">IF(Table1[[#This Row],[gender]]="men",1,0)</f>
        <v>0</v>
      </c>
      <c r="AD99">
        <f ca="1">IF(Table1[[#This Row],[gender]]="women",1,0)</f>
        <v>1</v>
      </c>
      <c r="AH99" s="5"/>
      <c r="AJ99" s="6">
        <f ca="1">IF(Table1[[#This Row],[Column1]]="Health",1,0)</f>
        <v>1</v>
      </c>
      <c r="AK99">
        <f ca="1">IF(Table1[[#This Row],[Column1]]="Construction",1,0)</f>
        <v>0</v>
      </c>
      <c r="AL99">
        <f ca="1">IF(Table1[[#This Row],[Column1]]="Technology",1,0)</f>
        <v>0</v>
      </c>
      <c r="AM99">
        <f ca="1">IF(Table1[[#This Row],[Column1]]="Education",1,0)</f>
        <v>0</v>
      </c>
      <c r="AN99">
        <f ca="1">IF(Table1[[#This Row],[Column1]]="Agriculture",1,0)</f>
        <v>0</v>
      </c>
      <c r="AO99">
        <f ca="1">IF(Table1[[#This Row],[Column1]]="Social Service", 1, 0)</f>
        <v>0</v>
      </c>
      <c r="AT99" s="5"/>
      <c r="AV99" s="17">
        <f t="shared" ca="1" si="3"/>
        <v>71340.657637664714</v>
      </c>
      <c r="AW99" s="5"/>
      <c r="AX99" s="6">
        <f ca="1">IF(Table1[[#This Row],[Value of Debts]]&gt;$AY$4,1,0)</f>
        <v>0</v>
      </c>
      <c r="AY99" s="20"/>
      <c r="AZ99" s="20"/>
      <c r="BA99" s="5"/>
      <c r="BB99" s="25">
        <f ca="1">Table1[[#This Row],[Mortage Left]]/Table1[[#This Row],[Value of House]]</f>
        <v>2.4163140372748027E-2</v>
      </c>
      <c r="BC99" s="20">
        <f t="shared" ca="1" si="5"/>
        <v>1</v>
      </c>
      <c r="BD99" s="20"/>
      <c r="BE99" s="20"/>
      <c r="BF99" s="20"/>
      <c r="BG99" s="6">
        <f ca="1">IF(Table1[[#This Row],[County]]="Cumbria",Table1[[#This Row],[income]],0)</f>
        <v>0</v>
      </c>
      <c r="BH99" s="20">
        <f ca="1">IF(Table1[[#This Row],[County]]="Cheshire",Table1[[#This Row],[income]],0)</f>
        <v>0</v>
      </c>
      <c r="BI99" s="20">
        <f ca="1">IF(Table1[[#This Row],[County]]="Bristol",Table1[[#This Row],[income]],0)</f>
        <v>0</v>
      </c>
      <c r="BJ99" s="20">
        <f ca="1">IF(Table1[[#This Row],[County]]="Surrey",Table1[[#This Row],[income]],0)</f>
        <v>0</v>
      </c>
      <c r="BK99" s="20">
        <f ca="1">IF(Table1[[#This Row],[County]]="Norfolk",Table1[[#This Row],[income]],0)</f>
        <v>0</v>
      </c>
      <c r="BL99" s="20">
        <f ca="1">IF(Table1[[#This Row],[County]]="Lincolnshire",Table1[[#This Row],[income]],0)</f>
        <v>0</v>
      </c>
      <c r="BM99" s="20">
        <f ca="1">IF(Table1[[#This Row],[County]]="Somerset",Table1[[#This Row],[income]],0)</f>
        <v>0</v>
      </c>
      <c r="BN99" s="20">
        <f ca="1">IF(Table1[[#This Row],[County]]="Cambridgeshire",Table1[[#This Row],[income]],0)</f>
        <v>0</v>
      </c>
      <c r="BO99" s="20">
        <f ca="1">IF(Table1[[#This Row],[County]]="South Yorkshire",Table1[[#This Row],[income]],0)</f>
        <v>0</v>
      </c>
      <c r="BP99" s="20">
        <f ca="1">IF(Table1[[#This Row],[County]]="Greater London",Table1[[#This Row],[income]],0)</f>
        <v>0</v>
      </c>
      <c r="BQ99" s="20">
        <f ca="1">IF(Table1[[#This Row],[County]]="Hampshire",Table1[[#This Row],[income]],0)</f>
        <v>0</v>
      </c>
      <c r="BR99" s="20">
        <f ca="1">IF(Table1[[#This Row],[County]]="Gloucestershire",Table1[[#This Row],[income]],0)</f>
        <v>0</v>
      </c>
      <c r="BS99" s="20">
        <f ca="1">IF(Table1[[#This Row],[County]]="West Sussex",Table1[[#This Row],[income]],0)</f>
        <v>0</v>
      </c>
      <c r="BT99" s="20">
        <f ca="1">IF(Table1[[#This Row],[County]]="Devon",Table1[[#This Row],[income]],0)</f>
        <v>0</v>
      </c>
      <c r="BU99" s="20">
        <f ca="1">IF(Table1[[#This Row],[County]]="Berkshire",Table1[[#This Row],[income]],0)</f>
        <v>0</v>
      </c>
      <c r="BV99" s="20">
        <f ca="1">IF(Table1[[#This Row],[County]]="Staffordshire",Table1[[#This Row],[income]],0)</f>
        <v>0</v>
      </c>
      <c r="BW99" s="20">
        <f ca="1">IF(Table1[[#This Row],[County]]="Leicestershire",Table1[[#This Row],[income]],0)</f>
        <v>0</v>
      </c>
      <c r="BX99" s="20">
        <f ca="1">IF(Table1[[#This Row],[County]]="Cornwall",Table1[[#This Row],[income]],0)</f>
        <v>0</v>
      </c>
      <c r="BY99" s="20">
        <f ca="1">IF(Table1[[#This Row],[County]]="Isle of Wight",Table1[[#This Row],[income]],0)</f>
        <v>91596</v>
      </c>
      <c r="BZ99" s="20">
        <f ca="1">IF(Table1[[#This Row],[County]]="Surrey",Table1[[#This Row],[income]],0)</f>
        <v>0</v>
      </c>
      <c r="CA99" s="20">
        <f ca="1">IF(Table1[[#This Row],[County]]="Derbyshire",Table1[[#This Row],[income]],0)</f>
        <v>0</v>
      </c>
      <c r="CB99" s="20">
        <f ca="1">IF(Table1[[#This Row],[County]]="City of London",Table1[[#This Row],[income]],0)</f>
        <v>0</v>
      </c>
      <c r="CC99" s="20">
        <f ca="1">IF(Table1[[#This Row],[County]]="Bedfordshire",Table1[[#This Row],[income]],0)</f>
        <v>0</v>
      </c>
      <c r="CD99" s="20">
        <f ca="1">IF(Table1[[#This Row],[County]]="County Durham",Table1[[#This Row],[income]],0)</f>
        <v>0</v>
      </c>
      <c r="CE99" s="20">
        <f ca="1">IF(Table1[[#This Row],[County]]="East Riding of Yorkshire",Table1[[#This Row],[income]],0)</f>
        <v>0</v>
      </c>
      <c r="CF99" s="20">
        <f ca="1">IF(Table1[[#This Row],[County]]="West Yorkshire",Table1[[#This Row],[income]],0)</f>
        <v>0</v>
      </c>
      <c r="CG99" s="20">
        <f ca="1">IF(Table1[[#This Row],[County]]="Essex",Table1[[#This Row],[income]],0)</f>
        <v>0</v>
      </c>
      <c r="CH99" s="20">
        <f ca="1">IF(Table1[[#This Row],[County]]="East Sussex",Table1[[#This Row],[income]],0)</f>
        <v>0</v>
      </c>
      <c r="CI99" s="20">
        <f ca="1">IF(Table1[[#This Row],[County]]="Greater Manchester",Table1[[#This Row],[income]],0)</f>
        <v>0</v>
      </c>
      <c r="CJ99" s="20">
        <f ca="1">IF(Table1[[#This Row],[County]]="Hertfordshire",Table1[[#This Row],[income]],0)</f>
        <v>0</v>
      </c>
      <c r="CK99" s="20">
        <f ca="1">IF(Table1[[#This Row],[County]]="Herefordshire",Table1[[#This Row],[income]],0)</f>
        <v>0</v>
      </c>
      <c r="CL99" s="20">
        <f ca="1">IF(Table1[[#This Row],[County]]="Lancashire",Table1[[#This Row],[income]],0)</f>
        <v>0</v>
      </c>
      <c r="CM99" s="20">
        <f ca="1">IF(Table1[[#This Row],[County]]="Merseyside",Table1[[#This Row],[income]],0)</f>
        <v>0</v>
      </c>
      <c r="CN99" s="20">
        <f ca="1">IF(Table1[[#This Row],[County]]="Northamptonshire",Table1[[#This Row],[income]],0)</f>
        <v>0</v>
      </c>
      <c r="CO99" s="20">
        <f ca="1">IF(Table1[[#This Row],[County]]="Northumberland",Table1[[#This Row],[income]],0)</f>
        <v>0</v>
      </c>
      <c r="CP99" s="20">
        <f ca="1">IF(Table1[[#This Row],[County]]="Wiltshire",Table1[[#This Row],[income]],0)</f>
        <v>0</v>
      </c>
      <c r="CQ99" s="20">
        <f ca="1">IF(Table1[[#This Row],[County]]="West Midlands",Table1[[#This Row],[income]],0)</f>
        <v>0</v>
      </c>
      <c r="CR99" s="20">
        <f ca="1">IF(Table1[[#This Row],[County]]="Warwickshire",Table1[[#This Row],[income]],0)</f>
        <v>0</v>
      </c>
      <c r="CS99" s="20">
        <f ca="1">IF(Table1[[#This Row],[County]]="Tyne and Wear",Table1[[#This Row],[income]],0)</f>
        <v>0</v>
      </c>
      <c r="CT99" s="20">
        <f ca="1">IF(Table1[[#This Row],[County]]="Worcestershire",Table1[[#This Row],[income]],0)</f>
        <v>0</v>
      </c>
      <c r="CU99" s="20">
        <f ca="1">IF(Table1[[#This Row],[County]]="Rutland",Table1[[#This Row],[income]],0)</f>
        <v>0</v>
      </c>
      <c r="CV99" s="20">
        <f ca="1">IF(Table1[[#This Row],[County]]="Shropshire",Table1[[#This Row],[income]],0)</f>
        <v>0</v>
      </c>
      <c r="CW99" s="20">
        <f ca="1">IF(Table1[[#This Row],[County]]="Dorset",Table1[[#This Row],[income]],0)</f>
        <v>0</v>
      </c>
      <c r="CX99" s="20">
        <f ca="1">IF(Table1[[#This Row],[County]]="Buckinghamshire",Table1[[#This Row],[income]],0)</f>
        <v>0</v>
      </c>
      <c r="CY99" s="20">
        <f ca="1">IF(Table1[[#This Row],[County]]="Suffolk",Table1[[#This Row],[income]],0)</f>
        <v>0</v>
      </c>
      <c r="CZ99" s="20">
        <f ca="1">IF(Table1[[#This Row],[County]]="North Yorkshire",Table1[[#This Row],[income]],0)</f>
        <v>0</v>
      </c>
      <c r="DA99" s="20">
        <f ca="1">IF(Table1[[#This Row],[County]]="Kent",Table1[[#This Row],[income]],0)</f>
        <v>0</v>
      </c>
      <c r="DB99" s="5">
        <f ca="1">IF(Table1[[#This Row],[County]]="Derbyshire",Table1[[#This Row],[income]],0)</f>
        <v>0</v>
      </c>
      <c r="DD99" s="6">
        <f ca="1">IF(Table1[[#This Row],[Column1]]="Health",Table1[[#This Row],[income]],0)</f>
        <v>91596</v>
      </c>
      <c r="DE99" s="20">
        <f ca="1">IF(Table1[[#This Row],[Column1]]="Agriculture",Table1[[#This Row],[income]],0)</f>
        <v>0</v>
      </c>
      <c r="DF99" s="20">
        <f ca="1">IF(Table1[[#This Row],[Column1]]="Technology",Table1[[#This Row],[income]],0)</f>
        <v>0</v>
      </c>
      <c r="DG99" s="20">
        <f ca="1">IF(Table1[[#This Row],[Column1]]="Social Service",Table1[[#This Row],[income]],0)</f>
        <v>0</v>
      </c>
      <c r="DH99" s="20">
        <f ca="1">IF(Table1[[#This Row],[Column1]]="Education",Table1[[#This Row],[income]],0)</f>
        <v>0</v>
      </c>
      <c r="DI99" s="5">
        <f ca="1">IF(Table1[[#This Row],[Column1]]="Construction",Table1[[#This Row],[income]],0)</f>
        <v>0</v>
      </c>
      <c r="DK99" s="6">
        <f ca="1">IF(Table1[[#This Row],[Value of Debts]]&gt;Table1[[#This Row],[income]],1,0)</f>
        <v>0</v>
      </c>
      <c r="DL99" s="20"/>
      <c r="DM99" s="20"/>
      <c r="DN99" s="5"/>
      <c r="DP99" s="6">
        <f ca="1">IF(Table1[[#This Row],[Net Worth (£)]]&gt;$DS$5,C99,0)</f>
        <v>43</v>
      </c>
      <c r="DQ99" s="20"/>
      <c r="DR99" s="20"/>
      <c r="DS99" s="5"/>
    </row>
    <row r="100" spans="1:123" x14ac:dyDescent="0.2">
      <c r="A100">
        <f t="shared" ca="1" si="4"/>
        <v>2</v>
      </c>
      <c r="B100" s="1" t="str">
        <f ca="1">IF(A100=1, "men", "women")</f>
        <v>women</v>
      </c>
      <c r="C100" s="1">
        <f ca="1">RANDBETWEEN(25,50)</f>
        <v>29</v>
      </c>
      <c r="D100">
        <f ca="1">RANDBETWEEN(1,6)</f>
        <v>2</v>
      </c>
      <c r="E100" t="str">
        <f ca="1">VLOOKUP(D100,$W$5:$X$10,2)</f>
        <v>Construction</v>
      </c>
      <c r="F100">
        <f ca="1">RANDBETWEEN(1,5)</f>
        <v>5</v>
      </c>
      <c r="G100" t="str">
        <f ca="1">VLOOKUP(F100,$Y$5:$Z$9,2)</f>
        <v>Other</v>
      </c>
      <c r="H100">
        <f ca="1">RANDBETWEEN(0,4)</f>
        <v>0</v>
      </c>
      <c r="I100">
        <f ca="1">RANDBETWEEN(1,3)</f>
        <v>1</v>
      </c>
      <c r="J100">
        <f ca="1">RANDBETWEEN(30000,100000)</f>
        <v>80261</v>
      </c>
      <c r="K100">
        <f ca="1">RANDBETWEEN(1,48)</f>
        <v>10</v>
      </c>
      <c r="L100" t="str">
        <f ca="1">VLOOKUP(K100,$AA$5:$AB$52,2)</f>
        <v>Derbyshire</v>
      </c>
      <c r="M100">
        <f ca="1">J100*(RANDBETWEEN(2,5))</f>
        <v>160522</v>
      </c>
      <c r="N100">
        <f ca="1">RAND()*M100</f>
        <v>142776.8781517024</v>
      </c>
      <c r="O100">
        <f ca="1">I100*RAND()*J100</f>
        <v>71340.657637664714</v>
      </c>
      <c r="P100">
        <f ca="1">RANDBETWEEN(0,O100)</f>
        <v>16131</v>
      </c>
      <c r="Q100">
        <f ca="1">RAND()*J100*2</f>
        <v>127611.27525814607</v>
      </c>
      <c r="R100">
        <f ca="1">RAND()*J100*1.5</f>
        <v>85162.820936194752</v>
      </c>
      <c r="S100">
        <f ca="1">J100+R100+O100</f>
        <v>236764.47857385944</v>
      </c>
      <c r="T100">
        <f ca="1">N100+P100+Q100</f>
        <v>286519.15340984846</v>
      </c>
      <c r="U100">
        <f ca="1">S100-T100</f>
        <v>-49754.674835989019</v>
      </c>
      <c r="AC100" s="6">
        <f ca="1">IF(Table1[[#This Row],[gender]]="men",1,0)</f>
        <v>0</v>
      </c>
      <c r="AD100">
        <f ca="1">IF(Table1[[#This Row],[gender]]="women",1,0)</f>
        <v>1</v>
      </c>
      <c r="AH100" s="5"/>
      <c r="AJ100" s="6">
        <f ca="1">IF(Table1[[#This Row],[Column1]]="Health",1,0)</f>
        <v>0</v>
      </c>
      <c r="AK100">
        <f ca="1">IF(Table1[[#This Row],[Column1]]="Construction",1,0)</f>
        <v>1</v>
      </c>
      <c r="AL100">
        <f ca="1">IF(Table1[[#This Row],[Column1]]="Technology",1,0)</f>
        <v>0</v>
      </c>
      <c r="AM100">
        <f ca="1">IF(Table1[[#This Row],[Column1]]="Education",1,0)</f>
        <v>0</v>
      </c>
      <c r="AN100">
        <f ca="1">IF(Table1[[#This Row],[Column1]]="Agriculture",1,0)</f>
        <v>0</v>
      </c>
      <c r="AO100">
        <f ca="1">IF(Table1[[#This Row],[Column1]]="Social Service", 1, 0)</f>
        <v>0</v>
      </c>
      <c r="AT100" s="5"/>
      <c r="AV100" s="17">
        <f t="shared" ca="1" si="3"/>
        <v>15927.508179092309</v>
      </c>
      <c r="AW100" s="5"/>
      <c r="AX100" s="6">
        <f ca="1">IF(Table1[[#This Row],[Value of Debts]]&gt;$AY$4,1,0)</f>
        <v>1</v>
      </c>
      <c r="AY100" s="20"/>
      <c r="AZ100" s="20"/>
      <c r="BA100" s="5"/>
      <c r="BB100" s="25">
        <f ca="1">Table1[[#This Row],[Mortage Left]]/Table1[[#This Row],[Value of House]]</f>
        <v>0.8894536459282989</v>
      </c>
      <c r="BC100" s="20">
        <f t="shared" ca="1" si="5"/>
        <v>0</v>
      </c>
      <c r="BD100" s="20"/>
      <c r="BE100" s="20"/>
      <c r="BF100" s="20"/>
      <c r="BG100" s="6">
        <f ca="1">IF(Table1[[#This Row],[County]]="Cumbria",Table1[[#This Row],[income]],0)</f>
        <v>0</v>
      </c>
      <c r="BH100" s="20">
        <f ca="1">IF(Table1[[#This Row],[County]]="Cheshire",Table1[[#This Row],[income]],0)</f>
        <v>0</v>
      </c>
      <c r="BI100" s="20">
        <f ca="1">IF(Table1[[#This Row],[County]]="Bristol",Table1[[#This Row],[income]],0)</f>
        <v>0</v>
      </c>
      <c r="BJ100" s="20">
        <f ca="1">IF(Table1[[#This Row],[County]]="Surrey",Table1[[#This Row],[income]],0)</f>
        <v>0</v>
      </c>
      <c r="BK100" s="20">
        <f ca="1">IF(Table1[[#This Row],[County]]="Norfolk",Table1[[#This Row],[income]],0)</f>
        <v>0</v>
      </c>
      <c r="BL100" s="20">
        <f ca="1">IF(Table1[[#This Row],[County]]="Lincolnshire",Table1[[#This Row],[income]],0)</f>
        <v>0</v>
      </c>
      <c r="BM100" s="20">
        <f ca="1">IF(Table1[[#This Row],[County]]="Somerset",Table1[[#This Row],[income]],0)</f>
        <v>0</v>
      </c>
      <c r="BN100" s="20">
        <f ca="1">IF(Table1[[#This Row],[County]]="Cambridgeshire",Table1[[#This Row],[income]],0)</f>
        <v>0</v>
      </c>
      <c r="BO100" s="20">
        <f ca="1">IF(Table1[[#This Row],[County]]="South Yorkshire",Table1[[#This Row],[income]],0)</f>
        <v>0</v>
      </c>
      <c r="BP100" s="20">
        <f ca="1">IF(Table1[[#This Row],[County]]="Greater London",Table1[[#This Row],[income]],0)</f>
        <v>0</v>
      </c>
      <c r="BQ100" s="20">
        <f ca="1">IF(Table1[[#This Row],[County]]="Hampshire",Table1[[#This Row],[income]],0)</f>
        <v>0</v>
      </c>
      <c r="BR100" s="20">
        <f ca="1">IF(Table1[[#This Row],[County]]="Gloucestershire",Table1[[#This Row],[income]],0)</f>
        <v>0</v>
      </c>
      <c r="BS100" s="20">
        <f ca="1">IF(Table1[[#This Row],[County]]="West Sussex",Table1[[#This Row],[income]],0)</f>
        <v>0</v>
      </c>
      <c r="BT100" s="20">
        <f ca="1">IF(Table1[[#This Row],[County]]="Devon",Table1[[#This Row],[income]],0)</f>
        <v>0</v>
      </c>
      <c r="BU100" s="20">
        <f ca="1">IF(Table1[[#This Row],[County]]="Berkshire",Table1[[#This Row],[income]],0)</f>
        <v>0</v>
      </c>
      <c r="BV100" s="20">
        <f ca="1">IF(Table1[[#This Row],[County]]="Staffordshire",Table1[[#This Row],[income]],0)</f>
        <v>0</v>
      </c>
      <c r="BW100" s="20">
        <f ca="1">IF(Table1[[#This Row],[County]]="Leicestershire",Table1[[#This Row],[income]],0)</f>
        <v>0</v>
      </c>
      <c r="BX100" s="20">
        <f ca="1">IF(Table1[[#This Row],[County]]="Cornwall",Table1[[#This Row],[income]],0)</f>
        <v>0</v>
      </c>
      <c r="BY100" s="20">
        <f ca="1">IF(Table1[[#This Row],[County]]="Isle of Wight",Table1[[#This Row],[income]],0)</f>
        <v>0</v>
      </c>
      <c r="BZ100" s="20">
        <f ca="1">IF(Table1[[#This Row],[County]]="Surrey",Table1[[#This Row],[income]],0)</f>
        <v>0</v>
      </c>
      <c r="CA100" s="20">
        <f ca="1">IF(Table1[[#This Row],[County]]="Derbyshire",Table1[[#This Row],[income]],0)</f>
        <v>80261</v>
      </c>
      <c r="CB100" s="20">
        <f ca="1">IF(Table1[[#This Row],[County]]="City of London",Table1[[#This Row],[income]],0)</f>
        <v>0</v>
      </c>
      <c r="CC100" s="20">
        <f ca="1">IF(Table1[[#This Row],[County]]="Bedfordshire",Table1[[#This Row],[income]],0)</f>
        <v>0</v>
      </c>
      <c r="CD100" s="20">
        <f ca="1">IF(Table1[[#This Row],[County]]="County Durham",Table1[[#This Row],[income]],0)</f>
        <v>0</v>
      </c>
      <c r="CE100" s="20">
        <f ca="1">IF(Table1[[#This Row],[County]]="East Riding of Yorkshire",Table1[[#This Row],[income]],0)</f>
        <v>0</v>
      </c>
      <c r="CF100" s="20">
        <f ca="1">IF(Table1[[#This Row],[County]]="West Yorkshire",Table1[[#This Row],[income]],0)</f>
        <v>0</v>
      </c>
      <c r="CG100" s="20">
        <f ca="1">IF(Table1[[#This Row],[County]]="Essex",Table1[[#This Row],[income]],0)</f>
        <v>0</v>
      </c>
      <c r="CH100" s="20">
        <f ca="1">IF(Table1[[#This Row],[County]]="East Sussex",Table1[[#This Row],[income]],0)</f>
        <v>0</v>
      </c>
      <c r="CI100" s="20">
        <f ca="1">IF(Table1[[#This Row],[County]]="Greater Manchester",Table1[[#This Row],[income]],0)</f>
        <v>0</v>
      </c>
      <c r="CJ100" s="20">
        <f ca="1">IF(Table1[[#This Row],[County]]="Hertfordshire",Table1[[#This Row],[income]],0)</f>
        <v>0</v>
      </c>
      <c r="CK100" s="20">
        <f ca="1">IF(Table1[[#This Row],[County]]="Herefordshire",Table1[[#This Row],[income]],0)</f>
        <v>0</v>
      </c>
      <c r="CL100" s="20">
        <f ca="1">IF(Table1[[#This Row],[County]]="Lancashire",Table1[[#This Row],[income]],0)</f>
        <v>0</v>
      </c>
      <c r="CM100" s="20">
        <f ca="1">IF(Table1[[#This Row],[County]]="Merseyside",Table1[[#This Row],[income]],0)</f>
        <v>0</v>
      </c>
      <c r="CN100" s="20">
        <f ca="1">IF(Table1[[#This Row],[County]]="Northamptonshire",Table1[[#This Row],[income]],0)</f>
        <v>0</v>
      </c>
      <c r="CO100" s="20">
        <f ca="1">IF(Table1[[#This Row],[County]]="Northumberland",Table1[[#This Row],[income]],0)</f>
        <v>0</v>
      </c>
      <c r="CP100" s="20">
        <f ca="1">IF(Table1[[#This Row],[County]]="Wiltshire",Table1[[#This Row],[income]],0)</f>
        <v>0</v>
      </c>
      <c r="CQ100" s="20">
        <f ca="1">IF(Table1[[#This Row],[County]]="West Midlands",Table1[[#This Row],[income]],0)</f>
        <v>0</v>
      </c>
      <c r="CR100" s="20">
        <f ca="1">IF(Table1[[#This Row],[County]]="Warwickshire",Table1[[#This Row],[income]],0)</f>
        <v>0</v>
      </c>
      <c r="CS100" s="20">
        <f ca="1">IF(Table1[[#This Row],[County]]="Tyne and Wear",Table1[[#This Row],[income]],0)</f>
        <v>0</v>
      </c>
      <c r="CT100" s="20">
        <f ca="1">IF(Table1[[#This Row],[County]]="Worcestershire",Table1[[#This Row],[income]],0)</f>
        <v>0</v>
      </c>
      <c r="CU100" s="20">
        <f ca="1">IF(Table1[[#This Row],[County]]="Rutland",Table1[[#This Row],[income]],0)</f>
        <v>0</v>
      </c>
      <c r="CV100" s="20">
        <f ca="1">IF(Table1[[#This Row],[County]]="Shropshire",Table1[[#This Row],[income]],0)</f>
        <v>0</v>
      </c>
      <c r="CW100" s="20">
        <f ca="1">IF(Table1[[#This Row],[County]]="Dorset",Table1[[#This Row],[income]],0)</f>
        <v>0</v>
      </c>
      <c r="CX100" s="20">
        <f ca="1">IF(Table1[[#This Row],[County]]="Buckinghamshire",Table1[[#This Row],[income]],0)</f>
        <v>0</v>
      </c>
      <c r="CY100" s="20">
        <f ca="1">IF(Table1[[#This Row],[County]]="Suffolk",Table1[[#This Row],[income]],0)</f>
        <v>0</v>
      </c>
      <c r="CZ100" s="20">
        <f ca="1">IF(Table1[[#This Row],[County]]="North Yorkshire",Table1[[#This Row],[income]],0)</f>
        <v>0</v>
      </c>
      <c r="DA100" s="20">
        <f ca="1">IF(Table1[[#This Row],[County]]="Kent",Table1[[#This Row],[income]],0)</f>
        <v>0</v>
      </c>
      <c r="DB100" s="5">
        <f ca="1">IF(Table1[[#This Row],[County]]="Derbyshire",Table1[[#This Row],[income]],0)</f>
        <v>80261</v>
      </c>
      <c r="DD100" s="6">
        <f ca="1">IF(Table1[[#This Row],[Column1]]="Health",Table1[[#This Row],[income]],0)</f>
        <v>0</v>
      </c>
      <c r="DE100" s="20">
        <f ca="1">IF(Table1[[#This Row],[Column1]]="Agriculture",Table1[[#This Row],[income]],0)</f>
        <v>0</v>
      </c>
      <c r="DF100" s="20">
        <f ca="1">IF(Table1[[#This Row],[Column1]]="Technology",Table1[[#This Row],[income]],0)</f>
        <v>0</v>
      </c>
      <c r="DG100" s="20">
        <f ca="1">IF(Table1[[#This Row],[Column1]]="Social Service",Table1[[#This Row],[income]],0)</f>
        <v>0</v>
      </c>
      <c r="DH100" s="20">
        <f ca="1">IF(Table1[[#This Row],[Column1]]="Education",Table1[[#This Row],[income]],0)</f>
        <v>0</v>
      </c>
      <c r="DI100" s="5">
        <f ca="1">IF(Table1[[#This Row],[Column1]]="Construction",Table1[[#This Row],[income]],0)</f>
        <v>80261</v>
      </c>
      <c r="DK100" s="6">
        <f ca="1">IF(Table1[[#This Row],[Value of Debts]]&gt;Table1[[#This Row],[income]],1,0)</f>
        <v>1</v>
      </c>
      <c r="DL100" s="20"/>
      <c r="DM100" s="20"/>
      <c r="DN100" s="5"/>
      <c r="DP100" s="6">
        <f ca="1">IF(Table1[[#This Row],[Net Worth (£)]]&gt;$DS$5,C100,0)</f>
        <v>0</v>
      </c>
      <c r="DQ100" s="20"/>
      <c r="DR100" s="20"/>
      <c r="DS100" s="5"/>
    </row>
    <row r="101" spans="1:123" x14ac:dyDescent="0.2">
      <c r="A101">
        <f t="shared" ca="1" si="4"/>
        <v>1</v>
      </c>
      <c r="B101" s="1" t="str">
        <f ca="1">IF(A101=1, "men", "women")</f>
        <v>men</v>
      </c>
      <c r="C101" s="1">
        <f ca="1">RANDBETWEEN(25,50)</f>
        <v>26</v>
      </c>
      <c r="D101">
        <f ca="1">RANDBETWEEN(1,6)</f>
        <v>5</v>
      </c>
      <c r="E101" t="str">
        <f ca="1">VLOOKUP(D101,$W$5:$X$10,2)</f>
        <v>Social Service</v>
      </c>
      <c r="F101">
        <f ca="1">RANDBETWEEN(1,5)</f>
        <v>1</v>
      </c>
      <c r="G101" t="str">
        <f ca="1">VLOOKUP(F101,$Y$5:$Z$9,2)</f>
        <v>High School</v>
      </c>
      <c r="H101">
        <f ca="1">RANDBETWEEN(0,4)</f>
        <v>2</v>
      </c>
      <c r="I101">
        <f ca="1">RANDBETWEEN(1,3)</f>
        <v>1</v>
      </c>
      <c r="J101">
        <f ca="1">RANDBETWEEN(30000,100000)</f>
        <v>66285</v>
      </c>
      <c r="K101">
        <f ca="1">RANDBETWEEN(1,48)</f>
        <v>44</v>
      </c>
      <c r="L101" t="str">
        <f ca="1">VLOOKUP(K101,$AA$5:$AB$52,2)</f>
        <v>West Midlands</v>
      </c>
      <c r="M101">
        <f ca="1">J101*(RANDBETWEEN(2,5))</f>
        <v>331425</v>
      </c>
      <c r="N101">
        <f ca="1">RAND()*M101</f>
        <v>294403.97845082526</v>
      </c>
      <c r="O101">
        <f ca="1">I101*RAND()*J101</f>
        <v>15927.508179092309</v>
      </c>
      <c r="P101">
        <f ca="1">RANDBETWEEN(0,O101)</f>
        <v>260</v>
      </c>
      <c r="Q101">
        <f ca="1">RAND()*J101*2</f>
        <v>114377.77905456496</v>
      </c>
      <c r="R101">
        <f ca="1">RAND()*J101*1.5</f>
        <v>61082.322531001846</v>
      </c>
      <c r="S101">
        <f ca="1">J101+R101+O101</f>
        <v>143294.83071009416</v>
      </c>
      <c r="T101">
        <f ca="1">N101+P101+Q101</f>
        <v>409041.75750539021</v>
      </c>
      <c r="U101">
        <f ca="1">S101-T101</f>
        <v>-265746.92679529602</v>
      </c>
      <c r="AC101" s="6">
        <f ca="1">IF(Table1[[#This Row],[gender]]="men",1,0)</f>
        <v>1</v>
      </c>
      <c r="AD101">
        <f ca="1">IF(Table1[[#This Row],[gender]]="women",1,0)</f>
        <v>0</v>
      </c>
      <c r="AH101" s="5"/>
      <c r="AJ101" s="6">
        <f ca="1">IF(Table1[[#This Row],[Column1]]="Health",1,0)</f>
        <v>0</v>
      </c>
      <c r="AK101">
        <f ca="1">IF(Table1[[#This Row],[Column1]]="Construction",1,0)</f>
        <v>0</v>
      </c>
      <c r="AL101">
        <f ca="1">IF(Table1[[#This Row],[Column1]]="Technology",1,0)</f>
        <v>0</v>
      </c>
      <c r="AM101">
        <f ca="1">IF(Table1[[#This Row],[Column1]]="Education",1,0)</f>
        <v>0</v>
      </c>
      <c r="AN101">
        <f ca="1">IF(Table1[[#This Row],[Column1]]="Agriculture",1,0)</f>
        <v>0</v>
      </c>
      <c r="AO101">
        <f ca="1">IF(Table1[[#This Row],[Column1]]="Social Service", 1, 0)</f>
        <v>1</v>
      </c>
      <c r="AT101" s="5"/>
      <c r="AV101" s="17">
        <f t="shared" ca="1" si="3"/>
        <v>50034.858696975461</v>
      </c>
      <c r="AW101" s="5"/>
      <c r="AX101" s="6">
        <f ca="1">IF(Table1[[#This Row],[Value of Debts]]&gt;$AY$4,1,0)</f>
        <v>1</v>
      </c>
      <c r="AY101" s="20"/>
      <c r="AZ101" s="20"/>
      <c r="BA101" s="5"/>
      <c r="BB101" s="25">
        <f ca="1">Table1[[#This Row],[Mortage Left]]/Table1[[#This Row],[Value of House]]</f>
        <v>0.88829743818609119</v>
      </c>
      <c r="BC101" s="20">
        <f t="shared" ca="1" si="5"/>
        <v>0</v>
      </c>
      <c r="BD101" s="20"/>
      <c r="BE101" s="20"/>
      <c r="BF101" s="20"/>
      <c r="BG101" s="6">
        <f ca="1">IF(Table1[[#This Row],[County]]="Cumbria",Table1[[#This Row],[income]],0)</f>
        <v>0</v>
      </c>
      <c r="BH101" s="20">
        <f ca="1">IF(Table1[[#This Row],[County]]="Cheshire",Table1[[#This Row],[income]],0)</f>
        <v>0</v>
      </c>
      <c r="BI101" s="20">
        <f ca="1">IF(Table1[[#This Row],[County]]="Bristol",Table1[[#This Row],[income]],0)</f>
        <v>0</v>
      </c>
      <c r="BJ101" s="20">
        <f ca="1">IF(Table1[[#This Row],[County]]="Surrey",Table1[[#This Row],[income]],0)</f>
        <v>0</v>
      </c>
      <c r="BK101" s="20">
        <f ca="1">IF(Table1[[#This Row],[County]]="Norfolk",Table1[[#This Row],[income]],0)</f>
        <v>0</v>
      </c>
      <c r="BL101" s="20">
        <f ca="1">IF(Table1[[#This Row],[County]]="Lincolnshire",Table1[[#This Row],[income]],0)</f>
        <v>0</v>
      </c>
      <c r="BM101" s="20">
        <f ca="1">IF(Table1[[#This Row],[County]]="Somerset",Table1[[#This Row],[income]],0)</f>
        <v>0</v>
      </c>
      <c r="BN101" s="20">
        <f ca="1">IF(Table1[[#This Row],[County]]="Cambridgeshire",Table1[[#This Row],[income]],0)</f>
        <v>0</v>
      </c>
      <c r="BO101" s="20">
        <f ca="1">IF(Table1[[#This Row],[County]]="South Yorkshire",Table1[[#This Row],[income]],0)</f>
        <v>0</v>
      </c>
      <c r="BP101" s="20">
        <f ca="1">IF(Table1[[#This Row],[County]]="Greater London",Table1[[#This Row],[income]],0)</f>
        <v>0</v>
      </c>
      <c r="BQ101" s="20">
        <f ca="1">IF(Table1[[#This Row],[County]]="Hampshire",Table1[[#This Row],[income]],0)</f>
        <v>0</v>
      </c>
      <c r="BR101" s="20">
        <f ca="1">IF(Table1[[#This Row],[County]]="Gloucestershire",Table1[[#This Row],[income]],0)</f>
        <v>0</v>
      </c>
      <c r="BS101" s="20">
        <f ca="1">IF(Table1[[#This Row],[County]]="West Sussex",Table1[[#This Row],[income]],0)</f>
        <v>0</v>
      </c>
      <c r="BT101" s="20">
        <f ca="1">IF(Table1[[#This Row],[County]]="Devon",Table1[[#This Row],[income]],0)</f>
        <v>0</v>
      </c>
      <c r="BU101" s="20">
        <f ca="1">IF(Table1[[#This Row],[County]]="Berkshire",Table1[[#This Row],[income]],0)</f>
        <v>0</v>
      </c>
      <c r="BV101" s="20">
        <f ca="1">IF(Table1[[#This Row],[County]]="Staffordshire",Table1[[#This Row],[income]],0)</f>
        <v>0</v>
      </c>
      <c r="BW101" s="20">
        <f ca="1">IF(Table1[[#This Row],[County]]="Leicestershire",Table1[[#This Row],[income]],0)</f>
        <v>0</v>
      </c>
      <c r="BX101" s="20">
        <f ca="1">IF(Table1[[#This Row],[County]]="Cornwall",Table1[[#This Row],[income]],0)</f>
        <v>0</v>
      </c>
      <c r="BY101" s="20">
        <f ca="1">IF(Table1[[#This Row],[County]]="Isle of Wight",Table1[[#This Row],[income]],0)</f>
        <v>0</v>
      </c>
      <c r="BZ101" s="20">
        <f ca="1">IF(Table1[[#This Row],[County]]="Surrey",Table1[[#This Row],[income]],0)</f>
        <v>0</v>
      </c>
      <c r="CA101" s="20">
        <f ca="1">IF(Table1[[#This Row],[County]]="Derbyshire",Table1[[#This Row],[income]],0)</f>
        <v>0</v>
      </c>
      <c r="CB101" s="20">
        <f ca="1">IF(Table1[[#This Row],[County]]="City of London",Table1[[#This Row],[income]],0)</f>
        <v>0</v>
      </c>
      <c r="CC101" s="20">
        <f ca="1">IF(Table1[[#This Row],[County]]="Bedfordshire",Table1[[#This Row],[income]],0)</f>
        <v>0</v>
      </c>
      <c r="CD101" s="20">
        <f ca="1">IF(Table1[[#This Row],[County]]="County Durham",Table1[[#This Row],[income]],0)</f>
        <v>0</v>
      </c>
      <c r="CE101" s="20">
        <f ca="1">IF(Table1[[#This Row],[County]]="East Riding of Yorkshire",Table1[[#This Row],[income]],0)</f>
        <v>0</v>
      </c>
      <c r="CF101" s="20">
        <f ca="1">IF(Table1[[#This Row],[County]]="West Yorkshire",Table1[[#This Row],[income]],0)</f>
        <v>0</v>
      </c>
      <c r="CG101" s="20">
        <f ca="1">IF(Table1[[#This Row],[County]]="Essex",Table1[[#This Row],[income]],0)</f>
        <v>0</v>
      </c>
      <c r="CH101" s="20">
        <f ca="1">IF(Table1[[#This Row],[County]]="East Sussex",Table1[[#This Row],[income]],0)</f>
        <v>0</v>
      </c>
      <c r="CI101" s="20">
        <f ca="1">IF(Table1[[#This Row],[County]]="Greater Manchester",Table1[[#This Row],[income]],0)</f>
        <v>0</v>
      </c>
      <c r="CJ101" s="20">
        <f ca="1">IF(Table1[[#This Row],[County]]="Hertfordshire",Table1[[#This Row],[income]],0)</f>
        <v>0</v>
      </c>
      <c r="CK101" s="20">
        <f ca="1">IF(Table1[[#This Row],[County]]="Herefordshire",Table1[[#This Row],[income]],0)</f>
        <v>0</v>
      </c>
      <c r="CL101" s="20">
        <f ca="1">IF(Table1[[#This Row],[County]]="Lancashire",Table1[[#This Row],[income]],0)</f>
        <v>0</v>
      </c>
      <c r="CM101" s="20">
        <f ca="1">IF(Table1[[#This Row],[County]]="Merseyside",Table1[[#This Row],[income]],0)</f>
        <v>0</v>
      </c>
      <c r="CN101" s="20">
        <f ca="1">IF(Table1[[#This Row],[County]]="Northamptonshire",Table1[[#This Row],[income]],0)</f>
        <v>0</v>
      </c>
      <c r="CO101" s="20">
        <f ca="1">IF(Table1[[#This Row],[County]]="Northumberland",Table1[[#This Row],[income]],0)</f>
        <v>0</v>
      </c>
      <c r="CP101" s="20">
        <f ca="1">IF(Table1[[#This Row],[County]]="Wiltshire",Table1[[#This Row],[income]],0)</f>
        <v>0</v>
      </c>
      <c r="CQ101" s="20">
        <f ca="1">IF(Table1[[#This Row],[County]]="West Midlands",Table1[[#This Row],[income]],0)</f>
        <v>66285</v>
      </c>
      <c r="CR101" s="20">
        <f ca="1">IF(Table1[[#This Row],[County]]="Warwickshire",Table1[[#This Row],[income]],0)</f>
        <v>0</v>
      </c>
      <c r="CS101" s="20">
        <f ca="1">IF(Table1[[#This Row],[County]]="Tyne and Wear",Table1[[#This Row],[income]],0)</f>
        <v>0</v>
      </c>
      <c r="CT101" s="20">
        <f ca="1">IF(Table1[[#This Row],[County]]="Worcestershire",Table1[[#This Row],[income]],0)</f>
        <v>0</v>
      </c>
      <c r="CU101" s="20">
        <f ca="1">IF(Table1[[#This Row],[County]]="Rutland",Table1[[#This Row],[income]],0)</f>
        <v>0</v>
      </c>
      <c r="CV101" s="20">
        <f ca="1">IF(Table1[[#This Row],[County]]="Shropshire",Table1[[#This Row],[income]],0)</f>
        <v>0</v>
      </c>
      <c r="CW101" s="20">
        <f ca="1">IF(Table1[[#This Row],[County]]="Dorset",Table1[[#This Row],[income]],0)</f>
        <v>0</v>
      </c>
      <c r="CX101" s="20">
        <f ca="1">IF(Table1[[#This Row],[County]]="Buckinghamshire",Table1[[#This Row],[income]],0)</f>
        <v>0</v>
      </c>
      <c r="CY101" s="20">
        <f ca="1">IF(Table1[[#This Row],[County]]="Suffolk",Table1[[#This Row],[income]],0)</f>
        <v>0</v>
      </c>
      <c r="CZ101" s="20">
        <f ca="1">IF(Table1[[#This Row],[County]]="North Yorkshire",Table1[[#This Row],[income]],0)</f>
        <v>0</v>
      </c>
      <c r="DA101" s="20">
        <f ca="1">IF(Table1[[#This Row],[County]]="Kent",Table1[[#This Row],[income]],0)</f>
        <v>0</v>
      </c>
      <c r="DB101" s="5">
        <f ca="1">IF(Table1[[#This Row],[County]]="Derbyshire",Table1[[#This Row],[income]],0)</f>
        <v>0</v>
      </c>
      <c r="DD101" s="6">
        <f ca="1">IF(Table1[[#This Row],[Column1]]="Health",Table1[[#This Row],[income]],0)</f>
        <v>0</v>
      </c>
      <c r="DE101" s="20">
        <f ca="1">IF(Table1[[#This Row],[Column1]]="Agriculture",Table1[[#This Row],[income]],0)</f>
        <v>0</v>
      </c>
      <c r="DF101" s="20">
        <f ca="1">IF(Table1[[#This Row],[Column1]]="Technology",Table1[[#This Row],[income]],0)</f>
        <v>0</v>
      </c>
      <c r="DG101" s="20">
        <f ca="1">IF(Table1[[#This Row],[Column1]]="Social Service",Table1[[#This Row],[income]],0)</f>
        <v>66285</v>
      </c>
      <c r="DH101" s="20">
        <f ca="1">IF(Table1[[#This Row],[Column1]]="Education",Table1[[#This Row],[income]],0)</f>
        <v>0</v>
      </c>
      <c r="DI101" s="5">
        <f ca="1">IF(Table1[[#This Row],[Column1]]="Construction",Table1[[#This Row],[income]],0)</f>
        <v>0</v>
      </c>
      <c r="DK101" s="6">
        <f ca="1">IF(Table1[[#This Row],[Value of Debts]]&gt;Table1[[#This Row],[income]],1,0)</f>
        <v>1</v>
      </c>
      <c r="DL101" s="20"/>
      <c r="DM101" s="20"/>
      <c r="DN101" s="5"/>
      <c r="DP101" s="6">
        <f ca="1">IF(Table1[[#This Row],[Net Worth (£)]]&gt;$DS$5,C101,0)</f>
        <v>0</v>
      </c>
      <c r="DQ101" s="20"/>
      <c r="DR101" s="20"/>
      <c r="DS101" s="5"/>
    </row>
    <row r="102" spans="1:123" x14ac:dyDescent="0.2">
      <c r="A102">
        <f t="shared" ca="1" si="4"/>
        <v>1</v>
      </c>
      <c r="B102" s="1" t="str">
        <f ca="1">IF(A102=1, "men", "women")</f>
        <v>men</v>
      </c>
      <c r="C102" s="1">
        <f ca="1">RANDBETWEEN(25,50)</f>
        <v>29</v>
      </c>
      <c r="D102">
        <f ca="1">RANDBETWEEN(1,6)</f>
        <v>3</v>
      </c>
      <c r="E102" t="str">
        <f ca="1">VLOOKUP(D102,$W$5:$X$10,2)</f>
        <v>Education</v>
      </c>
      <c r="F102">
        <f ca="1">RANDBETWEEN(1,5)</f>
        <v>5</v>
      </c>
      <c r="G102" t="str">
        <f ca="1">VLOOKUP(F102,$Y$5:$Z$9,2)</f>
        <v>Other</v>
      </c>
      <c r="H102">
        <f ca="1">RANDBETWEEN(0,4)</f>
        <v>0</v>
      </c>
      <c r="I102">
        <f ca="1">RANDBETWEEN(1,3)</f>
        <v>2</v>
      </c>
      <c r="J102">
        <f ca="1">RANDBETWEEN(30000,100000)</f>
        <v>73759</v>
      </c>
      <c r="K102">
        <f ca="1">RANDBETWEEN(1,48)</f>
        <v>37</v>
      </c>
      <c r="L102" t="str">
        <f ca="1">VLOOKUP(K102,$AA$5:$AB$52,2)</f>
        <v>Somerset</v>
      </c>
      <c r="M102">
        <f ca="1">J102*(RANDBETWEEN(2,5))</f>
        <v>147518</v>
      </c>
      <c r="N102">
        <f ca="1">RAND()*M102</f>
        <v>70386.9276115916</v>
      </c>
      <c r="O102">
        <f ca="1">I102*RAND()*J102</f>
        <v>100069.71739395092</v>
      </c>
      <c r="P102">
        <f ca="1">RANDBETWEEN(0,O102)</f>
        <v>8512</v>
      </c>
      <c r="Q102">
        <f ca="1">RAND()*J102*2</f>
        <v>60821.551503427472</v>
      </c>
      <c r="R102">
        <f ca="1">RAND()*J102*1.5</f>
        <v>61082.958249658564</v>
      </c>
      <c r="S102">
        <f ca="1">J102+R102+O102</f>
        <v>234911.67564360949</v>
      </c>
      <c r="T102">
        <f ca="1">N102+P102+Q102</f>
        <v>139720.47911501909</v>
      </c>
      <c r="U102">
        <f ca="1">S102-T102</f>
        <v>95191.196528590401</v>
      </c>
      <c r="AC102" s="6">
        <f ca="1">IF(Table1[[#This Row],[gender]]="men",1,0)</f>
        <v>1</v>
      </c>
      <c r="AD102">
        <f ca="1">IF(Table1[[#This Row],[gender]]="women",1,0)</f>
        <v>0</v>
      </c>
      <c r="AH102" s="5"/>
      <c r="AJ102" s="6">
        <f ca="1">IF(Table1[[#This Row],[Column1]]="Health",1,0)</f>
        <v>0</v>
      </c>
      <c r="AK102">
        <f ca="1">IF(Table1[[#This Row],[Column1]]="Construction",1,0)</f>
        <v>0</v>
      </c>
      <c r="AL102">
        <f ca="1">IF(Table1[[#This Row],[Column1]]="Technology",1,0)</f>
        <v>0</v>
      </c>
      <c r="AM102">
        <f ca="1">IF(Table1[[#This Row],[Column1]]="Education",1,0)</f>
        <v>1</v>
      </c>
      <c r="AN102">
        <f ca="1">IF(Table1[[#This Row],[Column1]]="Agriculture",1,0)</f>
        <v>0</v>
      </c>
      <c r="AO102">
        <f ca="1">IF(Table1[[#This Row],[Column1]]="Social Service", 1, 0)</f>
        <v>0</v>
      </c>
      <c r="AT102" s="5"/>
      <c r="AV102" s="17">
        <f t="shared" ca="1" si="3"/>
        <v>367.96796233457968</v>
      </c>
      <c r="AW102" s="5"/>
      <c r="AX102" s="6">
        <f ca="1">IF(Table1[[#This Row],[Value of Debts]]&gt;$AY$4,1,0)</f>
        <v>1</v>
      </c>
      <c r="AY102" s="20"/>
      <c r="AZ102" s="20"/>
      <c r="BA102" s="5"/>
      <c r="BB102" s="25">
        <f ca="1">Table1[[#This Row],[Mortage Left]]/Table1[[#This Row],[Value of House]]</f>
        <v>0.47714128182046667</v>
      </c>
      <c r="BC102" s="20">
        <f t="shared" ca="1" si="5"/>
        <v>0</v>
      </c>
      <c r="BD102" s="20"/>
      <c r="BE102" s="20"/>
      <c r="BF102" s="20"/>
      <c r="BG102" s="6">
        <f ca="1">IF(Table1[[#This Row],[County]]="Cumbria",Table1[[#This Row],[income]],0)</f>
        <v>0</v>
      </c>
      <c r="BH102" s="20">
        <f ca="1">IF(Table1[[#This Row],[County]]="Cheshire",Table1[[#This Row],[income]],0)</f>
        <v>0</v>
      </c>
      <c r="BI102" s="20">
        <f ca="1">IF(Table1[[#This Row],[County]]="Bristol",Table1[[#This Row],[income]],0)</f>
        <v>0</v>
      </c>
      <c r="BJ102" s="20">
        <f ca="1">IF(Table1[[#This Row],[County]]="Surrey",Table1[[#This Row],[income]],0)</f>
        <v>0</v>
      </c>
      <c r="BK102" s="20">
        <f ca="1">IF(Table1[[#This Row],[County]]="Norfolk",Table1[[#This Row],[income]],0)</f>
        <v>0</v>
      </c>
      <c r="BL102" s="20">
        <f ca="1">IF(Table1[[#This Row],[County]]="Lincolnshire",Table1[[#This Row],[income]],0)</f>
        <v>0</v>
      </c>
      <c r="BM102" s="20">
        <f ca="1">IF(Table1[[#This Row],[County]]="Somerset",Table1[[#This Row],[income]],0)</f>
        <v>73759</v>
      </c>
      <c r="BN102" s="20">
        <f ca="1">IF(Table1[[#This Row],[County]]="Cambridgeshire",Table1[[#This Row],[income]],0)</f>
        <v>0</v>
      </c>
      <c r="BO102" s="20">
        <f ca="1">IF(Table1[[#This Row],[County]]="South Yorkshire",Table1[[#This Row],[income]],0)</f>
        <v>0</v>
      </c>
      <c r="BP102" s="20">
        <f ca="1">IF(Table1[[#This Row],[County]]="Greater London",Table1[[#This Row],[income]],0)</f>
        <v>0</v>
      </c>
      <c r="BQ102" s="20">
        <f ca="1">IF(Table1[[#This Row],[County]]="Hampshire",Table1[[#This Row],[income]],0)</f>
        <v>0</v>
      </c>
      <c r="BR102" s="20">
        <f ca="1">IF(Table1[[#This Row],[County]]="Gloucestershire",Table1[[#This Row],[income]],0)</f>
        <v>0</v>
      </c>
      <c r="BS102" s="20">
        <f ca="1">IF(Table1[[#This Row],[County]]="West Sussex",Table1[[#This Row],[income]],0)</f>
        <v>0</v>
      </c>
      <c r="BT102" s="20">
        <f ca="1">IF(Table1[[#This Row],[County]]="Devon",Table1[[#This Row],[income]],0)</f>
        <v>0</v>
      </c>
      <c r="BU102" s="20">
        <f ca="1">IF(Table1[[#This Row],[County]]="Berkshire",Table1[[#This Row],[income]],0)</f>
        <v>0</v>
      </c>
      <c r="BV102" s="20">
        <f ca="1">IF(Table1[[#This Row],[County]]="Staffordshire",Table1[[#This Row],[income]],0)</f>
        <v>0</v>
      </c>
      <c r="BW102" s="20">
        <f ca="1">IF(Table1[[#This Row],[County]]="Leicestershire",Table1[[#This Row],[income]],0)</f>
        <v>0</v>
      </c>
      <c r="BX102" s="20">
        <f ca="1">IF(Table1[[#This Row],[County]]="Cornwall",Table1[[#This Row],[income]],0)</f>
        <v>0</v>
      </c>
      <c r="BY102" s="20">
        <f ca="1">IF(Table1[[#This Row],[County]]="Isle of Wight",Table1[[#This Row],[income]],0)</f>
        <v>0</v>
      </c>
      <c r="BZ102" s="20">
        <f ca="1">IF(Table1[[#This Row],[County]]="Surrey",Table1[[#This Row],[income]],0)</f>
        <v>0</v>
      </c>
      <c r="CA102" s="20">
        <f ca="1">IF(Table1[[#This Row],[County]]="Derbyshire",Table1[[#This Row],[income]],0)</f>
        <v>0</v>
      </c>
      <c r="CB102" s="20">
        <f ca="1">IF(Table1[[#This Row],[County]]="City of London",Table1[[#This Row],[income]],0)</f>
        <v>0</v>
      </c>
      <c r="CC102" s="20">
        <f ca="1">IF(Table1[[#This Row],[County]]="Bedfordshire",Table1[[#This Row],[income]],0)</f>
        <v>0</v>
      </c>
      <c r="CD102" s="20">
        <f ca="1">IF(Table1[[#This Row],[County]]="County Durham",Table1[[#This Row],[income]],0)</f>
        <v>0</v>
      </c>
      <c r="CE102" s="20">
        <f ca="1">IF(Table1[[#This Row],[County]]="East Riding of Yorkshire",Table1[[#This Row],[income]],0)</f>
        <v>0</v>
      </c>
      <c r="CF102" s="20">
        <f ca="1">IF(Table1[[#This Row],[County]]="West Yorkshire",Table1[[#This Row],[income]],0)</f>
        <v>0</v>
      </c>
      <c r="CG102" s="20">
        <f ca="1">IF(Table1[[#This Row],[County]]="Essex",Table1[[#This Row],[income]],0)</f>
        <v>0</v>
      </c>
      <c r="CH102" s="20">
        <f ca="1">IF(Table1[[#This Row],[County]]="East Sussex",Table1[[#This Row],[income]],0)</f>
        <v>0</v>
      </c>
      <c r="CI102" s="20">
        <f ca="1">IF(Table1[[#This Row],[County]]="Greater Manchester",Table1[[#This Row],[income]],0)</f>
        <v>0</v>
      </c>
      <c r="CJ102" s="20">
        <f ca="1">IF(Table1[[#This Row],[County]]="Hertfordshire",Table1[[#This Row],[income]],0)</f>
        <v>0</v>
      </c>
      <c r="CK102" s="20">
        <f ca="1">IF(Table1[[#This Row],[County]]="Herefordshire",Table1[[#This Row],[income]],0)</f>
        <v>0</v>
      </c>
      <c r="CL102" s="20">
        <f ca="1">IF(Table1[[#This Row],[County]]="Lancashire",Table1[[#This Row],[income]],0)</f>
        <v>0</v>
      </c>
      <c r="CM102" s="20">
        <f ca="1">IF(Table1[[#This Row],[County]]="Merseyside",Table1[[#This Row],[income]],0)</f>
        <v>0</v>
      </c>
      <c r="CN102" s="20">
        <f ca="1">IF(Table1[[#This Row],[County]]="Northamptonshire",Table1[[#This Row],[income]],0)</f>
        <v>0</v>
      </c>
      <c r="CO102" s="20">
        <f ca="1">IF(Table1[[#This Row],[County]]="Northumberland",Table1[[#This Row],[income]],0)</f>
        <v>0</v>
      </c>
      <c r="CP102" s="20">
        <f ca="1">IF(Table1[[#This Row],[County]]="Wiltshire",Table1[[#This Row],[income]],0)</f>
        <v>0</v>
      </c>
      <c r="CQ102" s="20">
        <f ca="1">IF(Table1[[#This Row],[County]]="West Midlands",Table1[[#This Row],[income]],0)</f>
        <v>0</v>
      </c>
      <c r="CR102" s="20">
        <f ca="1">IF(Table1[[#This Row],[County]]="Warwickshire",Table1[[#This Row],[income]],0)</f>
        <v>0</v>
      </c>
      <c r="CS102" s="20">
        <f ca="1">IF(Table1[[#This Row],[County]]="Tyne and Wear",Table1[[#This Row],[income]],0)</f>
        <v>0</v>
      </c>
      <c r="CT102" s="20">
        <f ca="1">IF(Table1[[#This Row],[County]]="Worcestershire",Table1[[#This Row],[income]],0)</f>
        <v>0</v>
      </c>
      <c r="CU102" s="20">
        <f ca="1">IF(Table1[[#This Row],[County]]="Rutland",Table1[[#This Row],[income]],0)</f>
        <v>0</v>
      </c>
      <c r="CV102" s="20">
        <f ca="1">IF(Table1[[#This Row],[County]]="Shropshire",Table1[[#This Row],[income]],0)</f>
        <v>0</v>
      </c>
      <c r="CW102" s="20">
        <f ca="1">IF(Table1[[#This Row],[County]]="Dorset",Table1[[#This Row],[income]],0)</f>
        <v>0</v>
      </c>
      <c r="CX102" s="20">
        <f ca="1">IF(Table1[[#This Row],[County]]="Buckinghamshire",Table1[[#This Row],[income]],0)</f>
        <v>0</v>
      </c>
      <c r="CY102" s="20">
        <f ca="1">IF(Table1[[#This Row],[County]]="Suffolk",Table1[[#This Row],[income]],0)</f>
        <v>0</v>
      </c>
      <c r="CZ102" s="20">
        <f ca="1">IF(Table1[[#This Row],[County]]="North Yorkshire",Table1[[#This Row],[income]],0)</f>
        <v>0</v>
      </c>
      <c r="DA102" s="20">
        <f ca="1">IF(Table1[[#This Row],[County]]="Kent",Table1[[#This Row],[income]],0)</f>
        <v>0</v>
      </c>
      <c r="DB102" s="5">
        <f ca="1">IF(Table1[[#This Row],[County]]="Derbyshire",Table1[[#This Row],[income]],0)</f>
        <v>0</v>
      </c>
      <c r="DD102" s="6">
        <f ca="1">IF(Table1[[#This Row],[Column1]]="Health",Table1[[#This Row],[income]],0)</f>
        <v>0</v>
      </c>
      <c r="DE102" s="20">
        <f ca="1">IF(Table1[[#This Row],[Column1]]="Agriculture",Table1[[#This Row],[income]],0)</f>
        <v>0</v>
      </c>
      <c r="DF102" s="20">
        <f ca="1">IF(Table1[[#This Row],[Column1]]="Technology",Table1[[#This Row],[income]],0)</f>
        <v>0</v>
      </c>
      <c r="DG102" s="20">
        <f ca="1">IF(Table1[[#This Row],[Column1]]="Social Service",Table1[[#This Row],[income]],0)</f>
        <v>0</v>
      </c>
      <c r="DH102" s="20">
        <f ca="1">IF(Table1[[#This Row],[Column1]]="Education",Table1[[#This Row],[income]],0)</f>
        <v>73759</v>
      </c>
      <c r="DI102" s="5">
        <f ca="1">IF(Table1[[#This Row],[Column1]]="Construction",Table1[[#This Row],[income]],0)</f>
        <v>0</v>
      </c>
      <c r="DK102" s="6">
        <f ca="1">IF(Table1[[#This Row],[Value of Debts]]&gt;Table1[[#This Row],[income]],1,0)</f>
        <v>1</v>
      </c>
      <c r="DL102" s="20"/>
      <c r="DM102" s="20"/>
      <c r="DN102" s="5"/>
      <c r="DP102" s="6">
        <f ca="1">IF(Table1[[#This Row],[Net Worth (£)]]&gt;$DS$5,C102,0)</f>
        <v>29</v>
      </c>
      <c r="DQ102" s="20"/>
      <c r="DR102" s="20"/>
      <c r="DS102" s="5"/>
    </row>
    <row r="103" spans="1:123" x14ac:dyDescent="0.2">
      <c r="A103">
        <f t="shared" ca="1" si="4"/>
        <v>1</v>
      </c>
      <c r="B103" s="1" t="str">
        <f ca="1">IF(A103=1, "men", "women")</f>
        <v>men</v>
      </c>
      <c r="C103" s="1">
        <f ca="1">RANDBETWEEN(25,50)</f>
        <v>27</v>
      </c>
      <c r="D103">
        <f ca="1">RANDBETWEEN(1,6)</f>
        <v>3</v>
      </c>
      <c r="E103" t="str">
        <f ca="1">VLOOKUP(D103,$W$5:$X$10,2)</f>
        <v>Education</v>
      </c>
      <c r="F103">
        <f ca="1">RANDBETWEEN(1,5)</f>
        <v>4</v>
      </c>
      <c r="G103" t="str">
        <f ca="1">VLOOKUP(F103,$Y$5:$Z$9,2)</f>
        <v xml:space="preserve">Technical </v>
      </c>
      <c r="H103">
        <f ca="1">RANDBETWEEN(0,4)</f>
        <v>0</v>
      </c>
      <c r="I103">
        <f ca="1">RANDBETWEEN(1,3)</f>
        <v>2</v>
      </c>
      <c r="J103">
        <f ca="1">RANDBETWEEN(30000,100000)</f>
        <v>46880</v>
      </c>
      <c r="K103">
        <f ca="1">RANDBETWEEN(1,48)</f>
        <v>25</v>
      </c>
      <c r="L103" t="str">
        <f ca="1">VLOOKUP(K103,$AA$5:$AB$52,2)</f>
        <v>Lancashire</v>
      </c>
      <c r="M103">
        <f ca="1">J103*(RANDBETWEEN(2,5))</f>
        <v>234400</v>
      </c>
      <c r="N103">
        <f ca="1">RAND()*M103</f>
        <v>25.849736307596505</v>
      </c>
      <c r="O103">
        <f ca="1">I103*RAND()*J103</f>
        <v>735.93592466915936</v>
      </c>
      <c r="P103">
        <f ca="1">RANDBETWEEN(0,O103)</f>
        <v>583</v>
      </c>
      <c r="Q103">
        <f ca="1">RAND()*J103*2</f>
        <v>41553.893520300866</v>
      </c>
      <c r="R103">
        <f ca="1">RAND()*J103*1.5</f>
        <v>17392.634891419242</v>
      </c>
      <c r="S103">
        <f ca="1">J103+R103+O103</f>
        <v>65008.570816088402</v>
      </c>
      <c r="T103">
        <f ca="1">N103+P103+Q103</f>
        <v>42162.743256608461</v>
      </c>
      <c r="U103">
        <f ca="1">S103-T103</f>
        <v>22845.827559479942</v>
      </c>
      <c r="AC103" s="6">
        <f ca="1">IF(Table1[[#This Row],[gender]]="men",1,0)</f>
        <v>1</v>
      </c>
      <c r="AD103">
        <f ca="1">IF(Table1[[#This Row],[gender]]="women",1,0)</f>
        <v>0</v>
      </c>
      <c r="AH103" s="5"/>
      <c r="AJ103" s="6">
        <f ca="1">IF(Table1[[#This Row],[Column1]]="Health",1,0)</f>
        <v>0</v>
      </c>
      <c r="AK103">
        <f ca="1">IF(Table1[[#This Row],[Column1]]="Construction",1,0)</f>
        <v>0</v>
      </c>
      <c r="AL103">
        <f ca="1">IF(Table1[[#This Row],[Column1]]="Technology",1,0)</f>
        <v>0</v>
      </c>
      <c r="AM103">
        <f ca="1">IF(Table1[[#This Row],[Column1]]="Education",1,0)</f>
        <v>1</v>
      </c>
      <c r="AN103">
        <f ca="1">IF(Table1[[#This Row],[Column1]]="Agriculture",1,0)</f>
        <v>0</v>
      </c>
      <c r="AO103">
        <f ca="1">IF(Table1[[#This Row],[Column1]]="Social Service", 1, 0)</f>
        <v>0</v>
      </c>
      <c r="AT103" s="5"/>
      <c r="AV103" s="17">
        <f t="shared" ca="1" si="3"/>
        <v>21406.676465138658</v>
      </c>
      <c r="AW103" s="5"/>
      <c r="AX103" s="6">
        <f ca="1">IF(Table1[[#This Row],[Value of Debts]]&gt;$AY$4,1,0)</f>
        <v>0</v>
      </c>
      <c r="AY103" s="20"/>
      <c r="AZ103" s="20"/>
      <c r="BA103" s="5"/>
      <c r="BB103" s="25">
        <f ca="1">Table1[[#This Row],[Mortage Left]]/Table1[[#This Row],[Value of House]]</f>
        <v>1.102804449982786E-4</v>
      </c>
      <c r="BC103" s="20">
        <f t="shared" ca="1" si="5"/>
        <v>1</v>
      </c>
      <c r="BD103" s="20"/>
      <c r="BE103" s="20"/>
      <c r="BF103" s="20"/>
      <c r="BG103" s="6">
        <f ca="1">IF(Table1[[#This Row],[County]]="Cumbria",Table1[[#This Row],[income]],0)</f>
        <v>0</v>
      </c>
      <c r="BH103" s="20">
        <f ca="1">IF(Table1[[#This Row],[County]]="Cheshire",Table1[[#This Row],[income]],0)</f>
        <v>0</v>
      </c>
      <c r="BI103" s="20">
        <f ca="1">IF(Table1[[#This Row],[County]]="Bristol",Table1[[#This Row],[income]],0)</f>
        <v>0</v>
      </c>
      <c r="BJ103" s="20">
        <f ca="1">IF(Table1[[#This Row],[County]]="Surrey",Table1[[#This Row],[income]],0)</f>
        <v>0</v>
      </c>
      <c r="BK103" s="20">
        <f ca="1">IF(Table1[[#This Row],[County]]="Norfolk",Table1[[#This Row],[income]],0)</f>
        <v>0</v>
      </c>
      <c r="BL103" s="20">
        <f ca="1">IF(Table1[[#This Row],[County]]="Lincolnshire",Table1[[#This Row],[income]],0)</f>
        <v>0</v>
      </c>
      <c r="BM103" s="20">
        <f ca="1">IF(Table1[[#This Row],[County]]="Somerset",Table1[[#This Row],[income]],0)</f>
        <v>0</v>
      </c>
      <c r="BN103" s="20">
        <f ca="1">IF(Table1[[#This Row],[County]]="Cambridgeshire",Table1[[#This Row],[income]],0)</f>
        <v>0</v>
      </c>
      <c r="BO103" s="20">
        <f ca="1">IF(Table1[[#This Row],[County]]="South Yorkshire",Table1[[#This Row],[income]],0)</f>
        <v>0</v>
      </c>
      <c r="BP103" s="20">
        <f ca="1">IF(Table1[[#This Row],[County]]="Greater London",Table1[[#This Row],[income]],0)</f>
        <v>0</v>
      </c>
      <c r="BQ103" s="20">
        <f ca="1">IF(Table1[[#This Row],[County]]="Hampshire",Table1[[#This Row],[income]],0)</f>
        <v>0</v>
      </c>
      <c r="BR103" s="20">
        <f ca="1">IF(Table1[[#This Row],[County]]="Gloucestershire",Table1[[#This Row],[income]],0)</f>
        <v>0</v>
      </c>
      <c r="BS103" s="20">
        <f ca="1">IF(Table1[[#This Row],[County]]="West Sussex",Table1[[#This Row],[income]],0)</f>
        <v>0</v>
      </c>
      <c r="BT103" s="20">
        <f ca="1">IF(Table1[[#This Row],[County]]="Devon",Table1[[#This Row],[income]],0)</f>
        <v>0</v>
      </c>
      <c r="BU103" s="20">
        <f ca="1">IF(Table1[[#This Row],[County]]="Berkshire",Table1[[#This Row],[income]],0)</f>
        <v>0</v>
      </c>
      <c r="BV103" s="20">
        <f ca="1">IF(Table1[[#This Row],[County]]="Staffordshire",Table1[[#This Row],[income]],0)</f>
        <v>0</v>
      </c>
      <c r="BW103" s="20">
        <f ca="1">IF(Table1[[#This Row],[County]]="Leicestershire",Table1[[#This Row],[income]],0)</f>
        <v>0</v>
      </c>
      <c r="BX103" s="20">
        <f ca="1">IF(Table1[[#This Row],[County]]="Cornwall",Table1[[#This Row],[income]],0)</f>
        <v>0</v>
      </c>
      <c r="BY103" s="20">
        <f ca="1">IF(Table1[[#This Row],[County]]="Isle of Wight",Table1[[#This Row],[income]],0)</f>
        <v>0</v>
      </c>
      <c r="BZ103" s="20">
        <f ca="1">IF(Table1[[#This Row],[County]]="Surrey",Table1[[#This Row],[income]],0)</f>
        <v>0</v>
      </c>
      <c r="CA103" s="20">
        <f ca="1">IF(Table1[[#This Row],[County]]="Derbyshire",Table1[[#This Row],[income]],0)</f>
        <v>0</v>
      </c>
      <c r="CB103" s="20">
        <f ca="1">IF(Table1[[#This Row],[County]]="City of London",Table1[[#This Row],[income]],0)</f>
        <v>0</v>
      </c>
      <c r="CC103" s="20">
        <f ca="1">IF(Table1[[#This Row],[County]]="Bedfordshire",Table1[[#This Row],[income]],0)</f>
        <v>0</v>
      </c>
      <c r="CD103" s="20">
        <f ca="1">IF(Table1[[#This Row],[County]]="County Durham",Table1[[#This Row],[income]],0)</f>
        <v>0</v>
      </c>
      <c r="CE103" s="20">
        <f ca="1">IF(Table1[[#This Row],[County]]="East Riding of Yorkshire",Table1[[#This Row],[income]],0)</f>
        <v>0</v>
      </c>
      <c r="CF103" s="20">
        <f ca="1">IF(Table1[[#This Row],[County]]="West Yorkshire",Table1[[#This Row],[income]],0)</f>
        <v>0</v>
      </c>
      <c r="CG103" s="20">
        <f ca="1">IF(Table1[[#This Row],[County]]="Essex",Table1[[#This Row],[income]],0)</f>
        <v>0</v>
      </c>
      <c r="CH103" s="20">
        <f ca="1">IF(Table1[[#This Row],[County]]="East Sussex",Table1[[#This Row],[income]],0)</f>
        <v>0</v>
      </c>
      <c r="CI103" s="20">
        <f ca="1">IF(Table1[[#This Row],[County]]="Greater Manchester",Table1[[#This Row],[income]],0)</f>
        <v>0</v>
      </c>
      <c r="CJ103" s="20">
        <f ca="1">IF(Table1[[#This Row],[County]]="Hertfordshire",Table1[[#This Row],[income]],0)</f>
        <v>0</v>
      </c>
      <c r="CK103" s="20">
        <f ca="1">IF(Table1[[#This Row],[County]]="Herefordshire",Table1[[#This Row],[income]],0)</f>
        <v>0</v>
      </c>
      <c r="CL103" s="20">
        <f ca="1">IF(Table1[[#This Row],[County]]="Lancashire",Table1[[#This Row],[income]],0)</f>
        <v>46880</v>
      </c>
      <c r="CM103" s="20">
        <f ca="1">IF(Table1[[#This Row],[County]]="Merseyside",Table1[[#This Row],[income]],0)</f>
        <v>0</v>
      </c>
      <c r="CN103" s="20">
        <f ca="1">IF(Table1[[#This Row],[County]]="Northamptonshire",Table1[[#This Row],[income]],0)</f>
        <v>0</v>
      </c>
      <c r="CO103" s="20">
        <f ca="1">IF(Table1[[#This Row],[County]]="Northumberland",Table1[[#This Row],[income]],0)</f>
        <v>0</v>
      </c>
      <c r="CP103" s="20">
        <f ca="1">IF(Table1[[#This Row],[County]]="Wiltshire",Table1[[#This Row],[income]],0)</f>
        <v>0</v>
      </c>
      <c r="CQ103" s="20">
        <f ca="1">IF(Table1[[#This Row],[County]]="West Midlands",Table1[[#This Row],[income]],0)</f>
        <v>0</v>
      </c>
      <c r="CR103" s="20">
        <f ca="1">IF(Table1[[#This Row],[County]]="Warwickshire",Table1[[#This Row],[income]],0)</f>
        <v>0</v>
      </c>
      <c r="CS103" s="20">
        <f ca="1">IF(Table1[[#This Row],[County]]="Tyne and Wear",Table1[[#This Row],[income]],0)</f>
        <v>0</v>
      </c>
      <c r="CT103" s="20">
        <f ca="1">IF(Table1[[#This Row],[County]]="Worcestershire",Table1[[#This Row],[income]],0)</f>
        <v>0</v>
      </c>
      <c r="CU103" s="20">
        <f ca="1">IF(Table1[[#This Row],[County]]="Rutland",Table1[[#This Row],[income]],0)</f>
        <v>0</v>
      </c>
      <c r="CV103" s="20">
        <f ca="1">IF(Table1[[#This Row],[County]]="Shropshire",Table1[[#This Row],[income]],0)</f>
        <v>0</v>
      </c>
      <c r="CW103" s="20">
        <f ca="1">IF(Table1[[#This Row],[County]]="Dorset",Table1[[#This Row],[income]],0)</f>
        <v>0</v>
      </c>
      <c r="CX103" s="20">
        <f ca="1">IF(Table1[[#This Row],[County]]="Buckinghamshire",Table1[[#This Row],[income]],0)</f>
        <v>0</v>
      </c>
      <c r="CY103" s="20">
        <f ca="1">IF(Table1[[#This Row],[County]]="Suffolk",Table1[[#This Row],[income]],0)</f>
        <v>0</v>
      </c>
      <c r="CZ103" s="20">
        <f ca="1">IF(Table1[[#This Row],[County]]="North Yorkshire",Table1[[#This Row],[income]],0)</f>
        <v>0</v>
      </c>
      <c r="DA103" s="20">
        <f ca="1">IF(Table1[[#This Row],[County]]="Kent",Table1[[#This Row],[income]],0)</f>
        <v>0</v>
      </c>
      <c r="DB103" s="5">
        <f ca="1">IF(Table1[[#This Row],[County]]="Derbyshire",Table1[[#This Row],[income]],0)</f>
        <v>0</v>
      </c>
      <c r="DD103" s="6">
        <f ca="1">IF(Table1[[#This Row],[Column1]]="Health",Table1[[#This Row],[income]],0)</f>
        <v>0</v>
      </c>
      <c r="DE103" s="20">
        <f ca="1">IF(Table1[[#This Row],[Column1]]="Agriculture",Table1[[#This Row],[income]],0)</f>
        <v>0</v>
      </c>
      <c r="DF103" s="20">
        <f ca="1">IF(Table1[[#This Row],[Column1]]="Technology",Table1[[#This Row],[income]],0)</f>
        <v>0</v>
      </c>
      <c r="DG103" s="20">
        <f ca="1">IF(Table1[[#This Row],[Column1]]="Social Service",Table1[[#This Row],[income]],0)</f>
        <v>0</v>
      </c>
      <c r="DH103" s="20">
        <f ca="1">IF(Table1[[#This Row],[Column1]]="Education",Table1[[#This Row],[income]],0)</f>
        <v>46880</v>
      </c>
      <c r="DI103" s="5">
        <f ca="1">IF(Table1[[#This Row],[Column1]]="Construction",Table1[[#This Row],[income]],0)</f>
        <v>0</v>
      </c>
      <c r="DK103" s="6">
        <f ca="1">IF(Table1[[#This Row],[Value of Debts]]&gt;Table1[[#This Row],[income]],1,0)</f>
        <v>0</v>
      </c>
      <c r="DL103" s="20"/>
      <c r="DM103" s="20"/>
      <c r="DN103" s="5"/>
      <c r="DP103" s="6">
        <f ca="1">IF(Table1[[#This Row],[Net Worth (£)]]&gt;$DS$5,C103,0)</f>
        <v>0</v>
      </c>
      <c r="DQ103" s="20"/>
      <c r="DR103" s="20"/>
      <c r="DS103" s="5"/>
    </row>
    <row r="104" spans="1:123" x14ac:dyDescent="0.2">
      <c r="A104">
        <f t="shared" ca="1" si="4"/>
        <v>2</v>
      </c>
      <c r="B104" s="1" t="str">
        <f ca="1">IF(A104=1, "men", "women")</f>
        <v>women</v>
      </c>
      <c r="C104" s="1">
        <f ca="1">RANDBETWEEN(25,50)</f>
        <v>25</v>
      </c>
      <c r="D104">
        <f ca="1">RANDBETWEEN(1,6)</f>
        <v>5</v>
      </c>
      <c r="E104" t="str">
        <f ca="1">VLOOKUP(D104,$W$5:$X$10,2)</f>
        <v>Social Service</v>
      </c>
      <c r="F104">
        <f ca="1">RANDBETWEEN(1,5)</f>
        <v>5</v>
      </c>
      <c r="G104" t="str">
        <f ca="1">VLOOKUP(F104,$Y$5:$Z$9,2)</f>
        <v>Other</v>
      </c>
      <c r="H104">
        <f ca="1">RANDBETWEEN(0,4)</f>
        <v>1</v>
      </c>
      <c r="I104">
        <f ca="1">RANDBETWEEN(1,3)</f>
        <v>2</v>
      </c>
      <c r="J104">
        <f ca="1">RANDBETWEEN(30000,100000)</f>
        <v>36588</v>
      </c>
      <c r="K104">
        <f ca="1">RANDBETWEEN(1,48)</f>
        <v>5</v>
      </c>
      <c r="L104" t="str">
        <f ca="1">VLOOKUP(K104,$AA$5:$AB$52,2)</f>
        <v>Cambridgeshire</v>
      </c>
      <c r="M104">
        <f ca="1">J104*(RANDBETWEEN(2,5))</f>
        <v>73176</v>
      </c>
      <c r="N104">
        <f ca="1">RAND()*M104</f>
        <v>68180.604007593662</v>
      </c>
      <c r="O104">
        <f ca="1">I104*RAND()*J104</f>
        <v>42813.352930277317</v>
      </c>
      <c r="P104">
        <f ca="1">RANDBETWEEN(0,O104)</f>
        <v>30117</v>
      </c>
      <c r="Q104">
        <f ca="1">RAND()*J104*2</f>
        <v>9350.5353460908773</v>
      </c>
      <c r="R104">
        <f ca="1">RAND()*J104*1.5</f>
        <v>45655.106106050502</v>
      </c>
      <c r="S104">
        <f ca="1">J104+R104+O104</f>
        <v>125056.45903632781</v>
      </c>
      <c r="T104">
        <f ca="1">N104+P104+Q104</f>
        <v>107648.13935368454</v>
      </c>
      <c r="U104">
        <f ca="1">S104-T104</f>
        <v>17408.319682643269</v>
      </c>
      <c r="AC104" s="6">
        <f ca="1">IF(Table1[[#This Row],[gender]]="men",1,0)</f>
        <v>0</v>
      </c>
      <c r="AD104">
        <f ca="1">IF(Table1[[#This Row],[gender]]="women",1,0)</f>
        <v>1</v>
      </c>
      <c r="AH104" s="5"/>
      <c r="AJ104" s="6">
        <f ca="1">IF(Table1[[#This Row],[Column1]]="Health",1,0)</f>
        <v>0</v>
      </c>
      <c r="AK104">
        <f ca="1">IF(Table1[[#This Row],[Column1]]="Construction",1,0)</f>
        <v>0</v>
      </c>
      <c r="AL104">
        <f ca="1">IF(Table1[[#This Row],[Column1]]="Technology",1,0)</f>
        <v>0</v>
      </c>
      <c r="AM104">
        <f ca="1">IF(Table1[[#This Row],[Column1]]="Education",1,0)</f>
        <v>0</v>
      </c>
      <c r="AN104">
        <f ca="1">IF(Table1[[#This Row],[Column1]]="Agriculture",1,0)</f>
        <v>0</v>
      </c>
      <c r="AO104">
        <f ca="1">IF(Table1[[#This Row],[Column1]]="Social Service", 1, 0)</f>
        <v>1</v>
      </c>
      <c r="AT104" s="5"/>
      <c r="AV104" s="17">
        <f t="shared" ca="1" si="3"/>
        <v>42680.555615318939</v>
      </c>
      <c r="AW104" s="5"/>
      <c r="AX104" s="6">
        <f ca="1">IF(Table1[[#This Row],[Value of Debts]]&gt;$AY$4,1,0)</f>
        <v>1</v>
      </c>
      <c r="AY104" s="20"/>
      <c r="AZ104" s="20"/>
      <c r="BA104" s="5"/>
      <c r="BB104" s="25">
        <f ca="1">Table1[[#This Row],[Mortage Left]]/Table1[[#This Row],[Value of House]]</f>
        <v>0.9317345032195482</v>
      </c>
      <c r="BC104" s="20">
        <f t="shared" ca="1" si="5"/>
        <v>0</v>
      </c>
      <c r="BD104" s="20"/>
      <c r="BE104" s="20"/>
      <c r="BF104" s="20"/>
      <c r="BG104" s="6">
        <f ca="1">IF(Table1[[#This Row],[County]]="Cumbria",Table1[[#This Row],[income]],0)</f>
        <v>0</v>
      </c>
      <c r="BH104" s="20">
        <f ca="1">IF(Table1[[#This Row],[County]]="Cheshire",Table1[[#This Row],[income]],0)</f>
        <v>0</v>
      </c>
      <c r="BI104" s="20">
        <f ca="1">IF(Table1[[#This Row],[County]]="Bristol",Table1[[#This Row],[income]],0)</f>
        <v>0</v>
      </c>
      <c r="BJ104" s="20">
        <f ca="1">IF(Table1[[#This Row],[County]]="Surrey",Table1[[#This Row],[income]],0)</f>
        <v>0</v>
      </c>
      <c r="BK104" s="20">
        <f ca="1">IF(Table1[[#This Row],[County]]="Norfolk",Table1[[#This Row],[income]],0)</f>
        <v>0</v>
      </c>
      <c r="BL104" s="20">
        <f ca="1">IF(Table1[[#This Row],[County]]="Lincolnshire",Table1[[#This Row],[income]],0)</f>
        <v>0</v>
      </c>
      <c r="BM104" s="20">
        <f ca="1">IF(Table1[[#This Row],[County]]="Somerset",Table1[[#This Row],[income]],0)</f>
        <v>0</v>
      </c>
      <c r="BN104" s="20">
        <f ca="1">IF(Table1[[#This Row],[County]]="Cambridgeshire",Table1[[#This Row],[income]],0)</f>
        <v>36588</v>
      </c>
      <c r="BO104" s="20">
        <f ca="1">IF(Table1[[#This Row],[County]]="South Yorkshire",Table1[[#This Row],[income]],0)</f>
        <v>0</v>
      </c>
      <c r="BP104" s="20">
        <f ca="1">IF(Table1[[#This Row],[County]]="Greater London",Table1[[#This Row],[income]],0)</f>
        <v>0</v>
      </c>
      <c r="BQ104" s="20">
        <f ca="1">IF(Table1[[#This Row],[County]]="Hampshire",Table1[[#This Row],[income]],0)</f>
        <v>0</v>
      </c>
      <c r="BR104" s="20">
        <f ca="1">IF(Table1[[#This Row],[County]]="Gloucestershire",Table1[[#This Row],[income]],0)</f>
        <v>0</v>
      </c>
      <c r="BS104" s="20">
        <f ca="1">IF(Table1[[#This Row],[County]]="West Sussex",Table1[[#This Row],[income]],0)</f>
        <v>0</v>
      </c>
      <c r="BT104" s="20">
        <f ca="1">IF(Table1[[#This Row],[County]]="Devon",Table1[[#This Row],[income]],0)</f>
        <v>0</v>
      </c>
      <c r="BU104" s="20">
        <f ca="1">IF(Table1[[#This Row],[County]]="Berkshire",Table1[[#This Row],[income]],0)</f>
        <v>0</v>
      </c>
      <c r="BV104" s="20">
        <f ca="1">IF(Table1[[#This Row],[County]]="Staffordshire",Table1[[#This Row],[income]],0)</f>
        <v>0</v>
      </c>
      <c r="BW104" s="20">
        <f ca="1">IF(Table1[[#This Row],[County]]="Leicestershire",Table1[[#This Row],[income]],0)</f>
        <v>0</v>
      </c>
      <c r="BX104" s="20">
        <f ca="1">IF(Table1[[#This Row],[County]]="Cornwall",Table1[[#This Row],[income]],0)</f>
        <v>0</v>
      </c>
      <c r="BY104" s="20">
        <f ca="1">IF(Table1[[#This Row],[County]]="Isle of Wight",Table1[[#This Row],[income]],0)</f>
        <v>0</v>
      </c>
      <c r="BZ104" s="20">
        <f ca="1">IF(Table1[[#This Row],[County]]="Surrey",Table1[[#This Row],[income]],0)</f>
        <v>0</v>
      </c>
      <c r="CA104" s="20">
        <f ca="1">IF(Table1[[#This Row],[County]]="Derbyshire",Table1[[#This Row],[income]],0)</f>
        <v>0</v>
      </c>
      <c r="CB104" s="20">
        <f ca="1">IF(Table1[[#This Row],[County]]="City of London",Table1[[#This Row],[income]],0)</f>
        <v>0</v>
      </c>
      <c r="CC104" s="20">
        <f ca="1">IF(Table1[[#This Row],[County]]="Bedfordshire",Table1[[#This Row],[income]],0)</f>
        <v>0</v>
      </c>
      <c r="CD104" s="20">
        <f ca="1">IF(Table1[[#This Row],[County]]="County Durham",Table1[[#This Row],[income]],0)</f>
        <v>0</v>
      </c>
      <c r="CE104" s="20">
        <f ca="1">IF(Table1[[#This Row],[County]]="East Riding of Yorkshire",Table1[[#This Row],[income]],0)</f>
        <v>0</v>
      </c>
      <c r="CF104" s="20">
        <f ca="1">IF(Table1[[#This Row],[County]]="West Yorkshire",Table1[[#This Row],[income]],0)</f>
        <v>0</v>
      </c>
      <c r="CG104" s="20">
        <f ca="1">IF(Table1[[#This Row],[County]]="Essex",Table1[[#This Row],[income]],0)</f>
        <v>0</v>
      </c>
      <c r="CH104" s="20">
        <f ca="1">IF(Table1[[#This Row],[County]]="East Sussex",Table1[[#This Row],[income]],0)</f>
        <v>0</v>
      </c>
      <c r="CI104" s="20">
        <f ca="1">IF(Table1[[#This Row],[County]]="Greater Manchester",Table1[[#This Row],[income]],0)</f>
        <v>0</v>
      </c>
      <c r="CJ104" s="20">
        <f ca="1">IF(Table1[[#This Row],[County]]="Hertfordshire",Table1[[#This Row],[income]],0)</f>
        <v>0</v>
      </c>
      <c r="CK104" s="20">
        <f ca="1">IF(Table1[[#This Row],[County]]="Herefordshire",Table1[[#This Row],[income]],0)</f>
        <v>0</v>
      </c>
      <c r="CL104" s="20">
        <f ca="1">IF(Table1[[#This Row],[County]]="Lancashire",Table1[[#This Row],[income]],0)</f>
        <v>0</v>
      </c>
      <c r="CM104" s="20">
        <f ca="1">IF(Table1[[#This Row],[County]]="Merseyside",Table1[[#This Row],[income]],0)</f>
        <v>0</v>
      </c>
      <c r="CN104" s="20">
        <f ca="1">IF(Table1[[#This Row],[County]]="Northamptonshire",Table1[[#This Row],[income]],0)</f>
        <v>0</v>
      </c>
      <c r="CO104" s="20">
        <f ca="1">IF(Table1[[#This Row],[County]]="Northumberland",Table1[[#This Row],[income]],0)</f>
        <v>0</v>
      </c>
      <c r="CP104" s="20">
        <f ca="1">IF(Table1[[#This Row],[County]]="Wiltshire",Table1[[#This Row],[income]],0)</f>
        <v>0</v>
      </c>
      <c r="CQ104" s="20">
        <f ca="1">IF(Table1[[#This Row],[County]]="West Midlands",Table1[[#This Row],[income]],0)</f>
        <v>0</v>
      </c>
      <c r="CR104" s="20">
        <f ca="1">IF(Table1[[#This Row],[County]]="Warwickshire",Table1[[#This Row],[income]],0)</f>
        <v>0</v>
      </c>
      <c r="CS104" s="20">
        <f ca="1">IF(Table1[[#This Row],[County]]="Tyne and Wear",Table1[[#This Row],[income]],0)</f>
        <v>0</v>
      </c>
      <c r="CT104" s="20">
        <f ca="1">IF(Table1[[#This Row],[County]]="Worcestershire",Table1[[#This Row],[income]],0)</f>
        <v>0</v>
      </c>
      <c r="CU104" s="20">
        <f ca="1">IF(Table1[[#This Row],[County]]="Rutland",Table1[[#This Row],[income]],0)</f>
        <v>0</v>
      </c>
      <c r="CV104" s="20">
        <f ca="1">IF(Table1[[#This Row],[County]]="Shropshire",Table1[[#This Row],[income]],0)</f>
        <v>0</v>
      </c>
      <c r="CW104" s="20">
        <f ca="1">IF(Table1[[#This Row],[County]]="Dorset",Table1[[#This Row],[income]],0)</f>
        <v>0</v>
      </c>
      <c r="CX104" s="20">
        <f ca="1">IF(Table1[[#This Row],[County]]="Buckinghamshire",Table1[[#This Row],[income]],0)</f>
        <v>0</v>
      </c>
      <c r="CY104" s="20">
        <f ca="1">IF(Table1[[#This Row],[County]]="Suffolk",Table1[[#This Row],[income]],0)</f>
        <v>0</v>
      </c>
      <c r="CZ104" s="20">
        <f ca="1">IF(Table1[[#This Row],[County]]="North Yorkshire",Table1[[#This Row],[income]],0)</f>
        <v>0</v>
      </c>
      <c r="DA104" s="20">
        <f ca="1">IF(Table1[[#This Row],[County]]="Kent",Table1[[#This Row],[income]],0)</f>
        <v>0</v>
      </c>
      <c r="DB104" s="5">
        <f ca="1">IF(Table1[[#This Row],[County]]="Derbyshire",Table1[[#This Row],[income]],0)</f>
        <v>0</v>
      </c>
      <c r="DD104" s="6">
        <f ca="1">IF(Table1[[#This Row],[Column1]]="Health",Table1[[#This Row],[income]],0)</f>
        <v>0</v>
      </c>
      <c r="DE104" s="20">
        <f ca="1">IF(Table1[[#This Row],[Column1]]="Agriculture",Table1[[#This Row],[income]],0)</f>
        <v>0</v>
      </c>
      <c r="DF104" s="20">
        <f ca="1">IF(Table1[[#This Row],[Column1]]="Technology",Table1[[#This Row],[income]],0)</f>
        <v>0</v>
      </c>
      <c r="DG104" s="20">
        <f ca="1">IF(Table1[[#This Row],[Column1]]="Social Service",Table1[[#This Row],[income]],0)</f>
        <v>36588</v>
      </c>
      <c r="DH104" s="20">
        <f ca="1">IF(Table1[[#This Row],[Column1]]="Education",Table1[[#This Row],[income]],0)</f>
        <v>0</v>
      </c>
      <c r="DI104" s="5">
        <f ca="1">IF(Table1[[#This Row],[Column1]]="Construction",Table1[[#This Row],[income]],0)</f>
        <v>0</v>
      </c>
      <c r="DK104" s="6">
        <f ca="1">IF(Table1[[#This Row],[Value of Debts]]&gt;Table1[[#This Row],[income]],1,0)</f>
        <v>1</v>
      </c>
      <c r="DL104" s="20"/>
      <c r="DM104" s="20"/>
      <c r="DN104" s="5"/>
      <c r="DP104" s="6">
        <f ca="1">IF(Table1[[#This Row],[Net Worth (£)]]&gt;$DS$5,C104,0)</f>
        <v>0</v>
      </c>
      <c r="DQ104" s="20"/>
      <c r="DR104" s="20"/>
      <c r="DS104" s="5"/>
    </row>
    <row r="105" spans="1:123" x14ac:dyDescent="0.2">
      <c r="A105">
        <f t="shared" ca="1" si="4"/>
        <v>2</v>
      </c>
      <c r="B105" s="1" t="str">
        <f ca="1">IF(A105=1, "men", "women")</f>
        <v>women</v>
      </c>
      <c r="C105" s="1">
        <f ca="1">RANDBETWEEN(25,50)</f>
        <v>33</v>
      </c>
      <c r="D105">
        <f ca="1">RANDBETWEEN(1,6)</f>
        <v>4</v>
      </c>
      <c r="E105" t="str">
        <f ca="1">VLOOKUP(D105,$W$5:$X$10,2)</f>
        <v>Technology</v>
      </c>
      <c r="F105">
        <f ca="1">RANDBETWEEN(1,5)</f>
        <v>3</v>
      </c>
      <c r="G105" t="str">
        <f ca="1">VLOOKUP(F105,$Y$5:$Z$9,2)</f>
        <v>University</v>
      </c>
      <c r="H105">
        <f ca="1">RANDBETWEEN(0,4)</f>
        <v>3</v>
      </c>
      <c r="I105">
        <f ca="1">RANDBETWEEN(1,3)</f>
        <v>2</v>
      </c>
      <c r="J105">
        <f ca="1">RANDBETWEEN(30000,100000)</f>
        <v>42695</v>
      </c>
      <c r="K105">
        <f ca="1">RANDBETWEEN(1,48)</f>
        <v>37</v>
      </c>
      <c r="L105" t="str">
        <f ca="1">VLOOKUP(K105,$AA$5:$AB$52,2)</f>
        <v>Somerset</v>
      </c>
      <c r="M105">
        <f ca="1">J105*(RANDBETWEEN(2,5))</f>
        <v>213475</v>
      </c>
      <c r="N105">
        <f ca="1">RAND()*M105</f>
        <v>202630.38545886162</v>
      </c>
      <c r="O105">
        <f ca="1">I105*RAND()*J105</f>
        <v>85361.111230637878</v>
      </c>
      <c r="P105">
        <f ca="1">RANDBETWEEN(0,O105)</f>
        <v>54863</v>
      </c>
      <c r="Q105">
        <f ca="1">RAND()*J105*2</f>
        <v>2199.802506006587</v>
      </c>
      <c r="R105">
        <f ca="1">RAND()*J105*1.5</f>
        <v>42311.235657272729</v>
      </c>
      <c r="S105">
        <f ca="1">J105+R105+O105</f>
        <v>170367.34688791062</v>
      </c>
      <c r="T105">
        <f ca="1">N105+P105+Q105</f>
        <v>259693.18796486821</v>
      </c>
      <c r="U105">
        <f ca="1">S105-T105</f>
        <v>-89325.841076957586</v>
      </c>
      <c r="AC105" s="6">
        <f ca="1">IF(Table1[[#This Row],[gender]]="men",1,0)</f>
        <v>0</v>
      </c>
      <c r="AD105">
        <f ca="1">IF(Table1[[#This Row],[gender]]="women",1,0)</f>
        <v>1</v>
      </c>
      <c r="AH105" s="5"/>
      <c r="AJ105" s="6">
        <f ca="1">IF(Table1[[#This Row],[Column1]]="Health",1,0)</f>
        <v>0</v>
      </c>
      <c r="AK105">
        <f ca="1">IF(Table1[[#This Row],[Column1]]="Construction",1,0)</f>
        <v>0</v>
      </c>
      <c r="AL105">
        <f ca="1">IF(Table1[[#This Row],[Column1]]="Technology",1,0)</f>
        <v>1</v>
      </c>
      <c r="AM105">
        <f ca="1">IF(Table1[[#This Row],[Column1]]="Education",1,0)</f>
        <v>0</v>
      </c>
      <c r="AN105">
        <f ca="1">IF(Table1[[#This Row],[Column1]]="Agriculture",1,0)</f>
        <v>0</v>
      </c>
      <c r="AO105">
        <f ca="1">IF(Table1[[#This Row],[Column1]]="Social Service", 1, 0)</f>
        <v>0</v>
      </c>
      <c r="AT105" s="5"/>
      <c r="AV105" s="17">
        <f t="shared" ca="1" si="3"/>
        <v>5378.2766262948053</v>
      </c>
      <c r="AW105" s="5"/>
      <c r="AX105" s="6">
        <f ca="1">IF(Table1[[#This Row],[Value of Debts]]&gt;$AY$4,1,0)</f>
        <v>1</v>
      </c>
      <c r="AY105" s="20"/>
      <c r="AZ105" s="20"/>
      <c r="BA105" s="5"/>
      <c r="BB105" s="25">
        <f ca="1">Table1[[#This Row],[Mortage Left]]/Table1[[#This Row],[Value of House]]</f>
        <v>0.94919960397639824</v>
      </c>
      <c r="BC105" s="20">
        <f t="shared" ca="1" si="5"/>
        <v>0</v>
      </c>
      <c r="BD105" s="20"/>
      <c r="BE105" s="20"/>
      <c r="BF105" s="20"/>
      <c r="BG105" s="6">
        <f ca="1">IF(Table1[[#This Row],[County]]="Cumbria",Table1[[#This Row],[income]],0)</f>
        <v>0</v>
      </c>
      <c r="BH105" s="20">
        <f ca="1">IF(Table1[[#This Row],[County]]="Cheshire",Table1[[#This Row],[income]],0)</f>
        <v>0</v>
      </c>
      <c r="BI105" s="20">
        <f ca="1">IF(Table1[[#This Row],[County]]="Bristol",Table1[[#This Row],[income]],0)</f>
        <v>0</v>
      </c>
      <c r="BJ105" s="20">
        <f ca="1">IF(Table1[[#This Row],[County]]="Surrey",Table1[[#This Row],[income]],0)</f>
        <v>0</v>
      </c>
      <c r="BK105" s="20">
        <f ca="1">IF(Table1[[#This Row],[County]]="Norfolk",Table1[[#This Row],[income]],0)</f>
        <v>0</v>
      </c>
      <c r="BL105" s="20">
        <f ca="1">IF(Table1[[#This Row],[County]]="Lincolnshire",Table1[[#This Row],[income]],0)</f>
        <v>0</v>
      </c>
      <c r="BM105" s="20">
        <f ca="1">IF(Table1[[#This Row],[County]]="Somerset",Table1[[#This Row],[income]],0)</f>
        <v>42695</v>
      </c>
      <c r="BN105" s="20">
        <f ca="1">IF(Table1[[#This Row],[County]]="Cambridgeshire",Table1[[#This Row],[income]],0)</f>
        <v>0</v>
      </c>
      <c r="BO105" s="20">
        <f ca="1">IF(Table1[[#This Row],[County]]="South Yorkshire",Table1[[#This Row],[income]],0)</f>
        <v>0</v>
      </c>
      <c r="BP105" s="20">
        <f ca="1">IF(Table1[[#This Row],[County]]="Greater London",Table1[[#This Row],[income]],0)</f>
        <v>0</v>
      </c>
      <c r="BQ105" s="20">
        <f ca="1">IF(Table1[[#This Row],[County]]="Hampshire",Table1[[#This Row],[income]],0)</f>
        <v>0</v>
      </c>
      <c r="BR105" s="20">
        <f ca="1">IF(Table1[[#This Row],[County]]="Gloucestershire",Table1[[#This Row],[income]],0)</f>
        <v>0</v>
      </c>
      <c r="BS105" s="20">
        <f ca="1">IF(Table1[[#This Row],[County]]="West Sussex",Table1[[#This Row],[income]],0)</f>
        <v>0</v>
      </c>
      <c r="BT105" s="20">
        <f ca="1">IF(Table1[[#This Row],[County]]="Devon",Table1[[#This Row],[income]],0)</f>
        <v>0</v>
      </c>
      <c r="BU105" s="20">
        <f ca="1">IF(Table1[[#This Row],[County]]="Berkshire",Table1[[#This Row],[income]],0)</f>
        <v>0</v>
      </c>
      <c r="BV105" s="20">
        <f ca="1">IF(Table1[[#This Row],[County]]="Staffordshire",Table1[[#This Row],[income]],0)</f>
        <v>0</v>
      </c>
      <c r="BW105" s="20">
        <f ca="1">IF(Table1[[#This Row],[County]]="Leicestershire",Table1[[#This Row],[income]],0)</f>
        <v>0</v>
      </c>
      <c r="BX105" s="20">
        <f ca="1">IF(Table1[[#This Row],[County]]="Cornwall",Table1[[#This Row],[income]],0)</f>
        <v>0</v>
      </c>
      <c r="BY105" s="20">
        <f ca="1">IF(Table1[[#This Row],[County]]="Isle of Wight",Table1[[#This Row],[income]],0)</f>
        <v>0</v>
      </c>
      <c r="BZ105" s="20">
        <f ca="1">IF(Table1[[#This Row],[County]]="Surrey",Table1[[#This Row],[income]],0)</f>
        <v>0</v>
      </c>
      <c r="CA105" s="20">
        <f ca="1">IF(Table1[[#This Row],[County]]="Derbyshire",Table1[[#This Row],[income]],0)</f>
        <v>0</v>
      </c>
      <c r="CB105" s="20">
        <f ca="1">IF(Table1[[#This Row],[County]]="City of London",Table1[[#This Row],[income]],0)</f>
        <v>0</v>
      </c>
      <c r="CC105" s="20">
        <f ca="1">IF(Table1[[#This Row],[County]]="Bedfordshire",Table1[[#This Row],[income]],0)</f>
        <v>0</v>
      </c>
      <c r="CD105" s="20">
        <f ca="1">IF(Table1[[#This Row],[County]]="County Durham",Table1[[#This Row],[income]],0)</f>
        <v>0</v>
      </c>
      <c r="CE105" s="20">
        <f ca="1">IF(Table1[[#This Row],[County]]="East Riding of Yorkshire",Table1[[#This Row],[income]],0)</f>
        <v>0</v>
      </c>
      <c r="CF105" s="20">
        <f ca="1">IF(Table1[[#This Row],[County]]="West Yorkshire",Table1[[#This Row],[income]],0)</f>
        <v>0</v>
      </c>
      <c r="CG105" s="20">
        <f ca="1">IF(Table1[[#This Row],[County]]="Essex",Table1[[#This Row],[income]],0)</f>
        <v>0</v>
      </c>
      <c r="CH105" s="20">
        <f ca="1">IF(Table1[[#This Row],[County]]="East Sussex",Table1[[#This Row],[income]],0)</f>
        <v>0</v>
      </c>
      <c r="CI105" s="20">
        <f ca="1">IF(Table1[[#This Row],[County]]="Greater Manchester",Table1[[#This Row],[income]],0)</f>
        <v>0</v>
      </c>
      <c r="CJ105" s="20">
        <f ca="1">IF(Table1[[#This Row],[County]]="Hertfordshire",Table1[[#This Row],[income]],0)</f>
        <v>0</v>
      </c>
      <c r="CK105" s="20">
        <f ca="1">IF(Table1[[#This Row],[County]]="Herefordshire",Table1[[#This Row],[income]],0)</f>
        <v>0</v>
      </c>
      <c r="CL105" s="20">
        <f ca="1">IF(Table1[[#This Row],[County]]="Lancashire",Table1[[#This Row],[income]],0)</f>
        <v>0</v>
      </c>
      <c r="CM105" s="20">
        <f ca="1">IF(Table1[[#This Row],[County]]="Merseyside",Table1[[#This Row],[income]],0)</f>
        <v>0</v>
      </c>
      <c r="CN105" s="20">
        <f ca="1">IF(Table1[[#This Row],[County]]="Northamptonshire",Table1[[#This Row],[income]],0)</f>
        <v>0</v>
      </c>
      <c r="CO105" s="20">
        <f ca="1">IF(Table1[[#This Row],[County]]="Northumberland",Table1[[#This Row],[income]],0)</f>
        <v>0</v>
      </c>
      <c r="CP105" s="20">
        <f ca="1">IF(Table1[[#This Row],[County]]="Wiltshire",Table1[[#This Row],[income]],0)</f>
        <v>0</v>
      </c>
      <c r="CQ105" s="20">
        <f ca="1">IF(Table1[[#This Row],[County]]="West Midlands",Table1[[#This Row],[income]],0)</f>
        <v>0</v>
      </c>
      <c r="CR105" s="20">
        <f ca="1">IF(Table1[[#This Row],[County]]="Warwickshire",Table1[[#This Row],[income]],0)</f>
        <v>0</v>
      </c>
      <c r="CS105" s="20">
        <f ca="1">IF(Table1[[#This Row],[County]]="Tyne and Wear",Table1[[#This Row],[income]],0)</f>
        <v>0</v>
      </c>
      <c r="CT105" s="20">
        <f ca="1">IF(Table1[[#This Row],[County]]="Worcestershire",Table1[[#This Row],[income]],0)</f>
        <v>0</v>
      </c>
      <c r="CU105" s="20">
        <f ca="1">IF(Table1[[#This Row],[County]]="Rutland",Table1[[#This Row],[income]],0)</f>
        <v>0</v>
      </c>
      <c r="CV105" s="20">
        <f ca="1">IF(Table1[[#This Row],[County]]="Shropshire",Table1[[#This Row],[income]],0)</f>
        <v>0</v>
      </c>
      <c r="CW105" s="20">
        <f ca="1">IF(Table1[[#This Row],[County]]="Dorset",Table1[[#This Row],[income]],0)</f>
        <v>0</v>
      </c>
      <c r="CX105" s="20">
        <f ca="1">IF(Table1[[#This Row],[County]]="Buckinghamshire",Table1[[#This Row],[income]],0)</f>
        <v>0</v>
      </c>
      <c r="CY105" s="20">
        <f ca="1">IF(Table1[[#This Row],[County]]="Suffolk",Table1[[#This Row],[income]],0)</f>
        <v>0</v>
      </c>
      <c r="CZ105" s="20">
        <f ca="1">IF(Table1[[#This Row],[County]]="North Yorkshire",Table1[[#This Row],[income]],0)</f>
        <v>0</v>
      </c>
      <c r="DA105" s="20">
        <f ca="1">IF(Table1[[#This Row],[County]]="Kent",Table1[[#This Row],[income]],0)</f>
        <v>0</v>
      </c>
      <c r="DB105" s="5">
        <f ca="1">IF(Table1[[#This Row],[County]]="Derbyshire",Table1[[#This Row],[income]],0)</f>
        <v>0</v>
      </c>
      <c r="DD105" s="6">
        <f ca="1">IF(Table1[[#This Row],[Column1]]="Health",Table1[[#This Row],[income]],0)</f>
        <v>0</v>
      </c>
      <c r="DE105" s="20">
        <f ca="1">IF(Table1[[#This Row],[Column1]]="Agriculture",Table1[[#This Row],[income]],0)</f>
        <v>0</v>
      </c>
      <c r="DF105" s="20">
        <f ca="1">IF(Table1[[#This Row],[Column1]]="Technology",Table1[[#This Row],[income]],0)</f>
        <v>42695</v>
      </c>
      <c r="DG105" s="20">
        <f ca="1">IF(Table1[[#This Row],[Column1]]="Social Service",Table1[[#This Row],[income]],0)</f>
        <v>0</v>
      </c>
      <c r="DH105" s="20">
        <f ca="1">IF(Table1[[#This Row],[Column1]]="Education",Table1[[#This Row],[income]],0)</f>
        <v>0</v>
      </c>
      <c r="DI105" s="5">
        <f ca="1">IF(Table1[[#This Row],[Column1]]="Construction",Table1[[#This Row],[income]],0)</f>
        <v>0</v>
      </c>
      <c r="DK105" s="6">
        <f ca="1">IF(Table1[[#This Row],[Value of Debts]]&gt;Table1[[#This Row],[income]],1,0)</f>
        <v>1</v>
      </c>
      <c r="DL105" s="20"/>
      <c r="DM105" s="20"/>
      <c r="DN105" s="5"/>
      <c r="DP105" s="6">
        <f ca="1">IF(Table1[[#This Row],[Net Worth (£)]]&gt;$DS$5,C105,0)</f>
        <v>0</v>
      </c>
      <c r="DQ105" s="20"/>
      <c r="DR105" s="20"/>
      <c r="DS105" s="5"/>
    </row>
    <row r="106" spans="1:123" x14ac:dyDescent="0.2">
      <c r="A106">
        <f t="shared" ca="1" si="4"/>
        <v>2</v>
      </c>
      <c r="B106" s="1" t="str">
        <f ca="1">IF(A106=1, "men", "women")</f>
        <v>women</v>
      </c>
      <c r="C106" s="1">
        <f ca="1">RANDBETWEEN(25,50)</f>
        <v>43</v>
      </c>
      <c r="D106">
        <f ca="1">RANDBETWEEN(1,6)</f>
        <v>6</v>
      </c>
      <c r="E106" t="str">
        <f ca="1">VLOOKUP(D106,$W$5:$X$10,2)</f>
        <v>Agriculture</v>
      </c>
      <c r="F106">
        <f ca="1">RANDBETWEEN(1,5)</f>
        <v>2</v>
      </c>
      <c r="G106" t="str">
        <f ca="1">VLOOKUP(F106,$Y$5:$Z$9,2)</f>
        <v>College</v>
      </c>
      <c r="H106">
        <f ca="1">RANDBETWEEN(0,4)</f>
        <v>4</v>
      </c>
      <c r="I106">
        <f ca="1">RANDBETWEEN(1,3)</f>
        <v>2</v>
      </c>
      <c r="J106">
        <f ca="1">RANDBETWEEN(30000,100000)</f>
        <v>74750</v>
      </c>
      <c r="K106">
        <f ca="1">RANDBETWEEN(1,48)</f>
        <v>44</v>
      </c>
      <c r="L106" t="str">
        <f ca="1">VLOOKUP(K106,$AA$5:$AB$52,2)</f>
        <v>West Midlands</v>
      </c>
      <c r="M106">
        <f ca="1">J106*(RANDBETWEEN(2,5))</f>
        <v>299000</v>
      </c>
      <c r="N106">
        <f ca="1">RAND()*M106</f>
        <v>123170.43766874436</v>
      </c>
      <c r="O106">
        <f ca="1">I106*RAND()*J106</f>
        <v>10756.553252589611</v>
      </c>
      <c r="P106">
        <f ca="1">RANDBETWEEN(0,O106)</f>
        <v>556</v>
      </c>
      <c r="Q106">
        <f ca="1">RAND()*J106*2</f>
        <v>52947.994523181274</v>
      </c>
      <c r="R106">
        <f ca="1">RAND()*J106*1.5</f>
        <v>27750.034411679942</v>
      </c>
      <c r="S106">
        <f ca="1">J106+R106+O106</f>
        <v>113256.58766426955</v>
      </c>
      <c r="T106">
        <f ca="1">N106+P106+Q106</f>
        <v>176674.43219192565</v>
      </c>
      <c r="U106">
        <f ca="1">S106-T106</f>
        <v>-63417.844527656096</v>
      </c>
      <c r="AC106" s="6">
        <f ca="1">IF(Table1[[#This Row],[gender]]="men",1,0)</f>
        <v>0</v>
      </c>
      <c r="AD106">
        <f ca="1">IF(Table1[[#This Row],[gender]]="women",1,0)</f>
        <v>1</v>
      </c>
      <c r="AH106" s="5"/>
      <c r="AJ106" s="6">
        <f ca="1">IF(Table1[[#This Row],[Column1]]="Health",1,0)</f>
        <v>0</v>
      </c>
      <c r="AK106">
        <f ca="1">IF(Table1[[#This Row],[Column1]]="Construction",1,0)</f>
        <v>0</v>
      </c>
      <c r="AL106">
        <f ca="1">IF(Table1[[#This Row],[Column1]]="Technology",1,0)</f>
        <v>0</v>
      </c>
      <c r="AM106">
        <f ca="1">IF(Table1[[#This Row],[Column1]]="Education",1,0)</f>
        <v>0</v>
      </c>
      <c r="AN106">
        <f ca="1">IF(Table1[[#This Row],[Column1]]="Agriculture",1,0)</f>
        <v>1</v>
      </c>
      <c r="AO106">
        <f ca="1">IF(Table1[[#This Row],[Column1]]="Social Service", 1, 0)</f>
        <v>0</v>
      </c>
      <c r="AT106" s="5"/>
      <c r="AV106" s="17">
        <f t="shared" ca="1" si="3"/>
        <v>27668.103733526026</v>
      </c>
      <c r="AW106" s="5"/>
      <c r="AX106" s="6">
        <f ca="1">IF(Table1[[#This Row],[Value of Debts]]&gt;$AY$4,1,0)</f>
        <v>1</v>
      </c>
      <c r="AY106" s="20"/>
      <c r="AZ106" s="20"/>
      <c r="BA106" s="5"/>
      <c r="BB106" s="25">
        <f ca="1">Table1[[#This Row],[Mortage Left]]/Table1[[#This Row],[Value of House]]</f>
        <v>0.41194126310616841</v>
      </c>
      <c r="BC106" s="20">
        <f t="shared" ca="1" si="5"/>
        <v>0</v>
      </c>
      <c r="BD106" s="20"/>
      <c r="BE106" s="20"/>
      <c r="BF106" s="20"/>
      <c r="BG106" s="6">
        <f ca="1">IF(Table1[[#This Row],[County]]="Cumbria",Table1[[#This Row],[income]],0)</f>
        <v>0</v>
      </c>
      <c r="BH106" s="20">
        <f ca="1">IF(Table1[[#This Row],[County]]="Cheshire",Table1[[#This Row],[income]],0)</f>
        <v>0</v>
      </c>
      <c r="BI106" s="20">
        <f ca="1">IF(Table1[[#This Row],[County]]="Bristol",Table1[[#This Row],[income]],0)</f>
        <v>0</v>
      </c>
      <c r="BJ106" s="20">
        <f ca="1">IF(Table1[[#This Row],[County]]="Surrey",Table1[[#This Row],[income]],0)</f>
        <v>0</v>
      </c>
      <c r="BK106" s="20">
        <f ca="1">IF(Table1[[#This Row],[County]]="Norfolk",Table1[[#This Row],[income]],0)</f>
        <v>0</v>
      </c>
      <c r="BL106" s="20">
        <f ca="1">IF(Table1[[#This Row],[County]]="Lincolnshire",Table1[[#This Row],[income]],0)</f>
        <v>0</v>
      </c>
      <c r="BM106" s="20">
        <f ca="1">IF(Table1[[#This Row],[County]]="Somerset",Table1[[#This Row],[income]],0)</f>
        <v>0</v>
      </c>
      <c r="BN106" s="20">
        <f ca="1">IF(Table1[[#This Row],[County]]="Cambridgeshire",Table1[[#This Row],[income]],0)</f>
        <v>0</v>
      </c>
      <c r="BO106" s="20">
        <f ca="1">IF(Table1[[#This Row],[County]]="South Yorkshire",Table1[[#This Row],[income]],0)</f>
        <v>0</v>
      </c>
      <c r="BP106" s="20">
        <f ca="1">IF(Table1[[#This Row],[County]]="Greater London",Table1[[#This Row],[income]],0)</f>
        <v>0</v>
      </c>
      <c r="BQ106" s="20">
        <f ca="1">IF(Table1[[#This Row],[County]]="Hampshire",Table1[[#This Row],[income]],0)</f>
        <v>0</v>
      </c>
      <c r="BR106" s="20">
        <f ca="1">IF(Table1[[#This Row],[County]]="Gloucestershire",Table1[[#This Row],[income]],0)</f>
        <v>0</v>
      </c>
      <c r="BS106" s="20">
        <f ca="1">IF(Table1[[#This Row],[County]]="West Sussex",Table1[[#This Row],[income]],0)</f>
        <v>0</v>
      </c>
      <c r="BT106" s="20">
        <f ca="1">IF(Table1[[#This Row],[County]]="Devon",Table1[[#This Row],[income]],0)</f>
        <v>0</v>
      </c>
      <c r="BU106" s="20">
        <f ca="1">IF(Table1[[#This Row],[County]]="Berkshire",Table1[[#This Row],[income]],0)</f>
        <v>0</v>
      </c>
      <c r="BV106" s="20">
        <f ca="1">IF(Table1[[#This Row],[County]]="Staffordshire",Table1[[#This Row],[income]],0)</f>
        <v>0</v>
      </c>
      <c r="BW106" s="20">
        <f ca="1">IF(Table1[[#This Row],[County]]="Leicestershire",Table1[[#This Row],[income]],0)</f>
        <v>0</v>
      </c>
      <c r="BX106" s="20">
        <f ca="1">IF(Table1[[#This Row],[County]]="Cornwall",Table1[[#This Row],[income]],0)</f>
        <v>0</v>
      </c>
      <c r="BY106" s="20">
        <f ca="1">IF(Table1[[#This Row],[County]]="Isle of Wight",Table1[[#This Row],[income]],0)</f>
        <v>0</v>
      </c>
      <c r="BZ106" s="20">
        <f ca="1">IF(Table1[[#This Row],[County]]="Surrey",Table1[[#This Row],[income]],0)</f>
        <v>0</v>
      </c>
      <c r="CA106" s="20">
        <f ca="1">IF(Table1[[#This Row],[County]]="Derbyshire",Table1[[#This Row],[income]],0)</f>
        <v>0</v>
      </c>
      <c r="CB106" s="20">
        <f ca="1">IF(Table1[[#This Row],[County]]="City of London",Table1[[#This Row],[income]],0)</f>
        <v>0</v>
      </c>
      <c r="CC106" s="20">
        <f ca="1">IF(Table1[[#This Row],[County]]="Bedfordshire",Table1[[#This Row],[income]],0)</f>
        <v>0</v>
      </c>
      <c r="CD106" s="20">
        <f ca="1">IF(Table1[[#This Row],[County]]="County Durham",Table1[[#This Row],[income]],0)</f>
        <v>0</v>
      </c>
      <c r="CE106" s="20">
        <f ca="1">IF(Table1[[#This Row],[County]]="East Riding of Yorkshire",Table1[[#This Row],[income]],0)</f>
        <v>0</v>
      </c>
      <c r="CF106" s="20">
        <f ca="1">IF(Table1[[#This Row],[County]]="West Yorkshire",Table1[[#This Row],[income]],0)</f>
        <v>0</v>
      </c>
      <c r="CG106" s="20">
        <f ca="1">IF(Table1[[#This Row],[County]]="Essex",Table1[[#This Row],[income]],0)</f>
        <v>0</v>
      </c>
      <c r="CH106" s="20">
        <f ca="1">IF(Table1[[#This Row],[County]]="East Sussex",Table1[[#This Row],[income]],0)</f>
        <v>0</v>
      </c>
      <c r="CI106" s="20">
        <f ca="1">IF(Table1[[#This Row],[County]]="Greater Manchester",Table1[[#This Row],[income]],0)</f>
        <v>0</v>
      </c>
      <c r="CJ106" s="20">
        <f ca="1">IF(Table1[[#This Row],[County]]="Hertfordshire",Table1[[#This Row],[income]],0)</f>
        <v>0</v>
      </c>
      <c r="CK106" s="20">
        <f ca="1">IF(Table1[[#This Row],[County]]="Herefordshire",Table1[[#This Row],[income]],0)</f>
        <v>0</v>
      </c>
      <c r="CL106" s="20">
        <f ca="1">IF(Table1[[#This Row],[County]]="Lancashire",Table1[[#This Row],[income]],0)</f>
        <v>0</v>
      </c>
      <c r="CM106" s="20">
        <f ca="1">IF(Table1[[#This Row],[County]]="Merseyside",Table1[[#This Row],[income]],0)</f>
        <v>0</v>
      </c>
      <c r="CN106" s="20">
        <f ca="1">IF(Table1[[#This Row],[County]]="Northamptonshire",Table1[[#This Row],[income]],0)</f>
        <v>0</v>
      </c>
      <c r="CO106" s="20">
        <f ca="1">IF(Table1[[#This Row],[County]]="Northumberland",Table1[[#This Row],[income]],0)</f>
        <v>0</v>
      </c>
      <c r="CP106" s="20">
        <f ca="1">IF(Table1[[#This Row],[County]]="Wiltshire",Table1[[#This Row],[income]],0)</f>
        <v>0</v>
      </c>
      <c r="CQ106" s="20">
        <f ca="1">IF(Table1[[#This Row],[County]]="West Midlands",Table1[[#This Row],[income]],0)</f>
        <v>74750</v>
      </c>
      <c r="CR106" s="20">
        <f ca="1">IF(Table1[[#This Row],[County]]="Warwickshire",Table1[[#This Row],[income]],0)</f>
        <v>0</v>
      </c>
      <c r="CS106" s="20">
        <f ca="1">IF(Table1[[#This Row],[County]]="Tyne and Wear",Table1[[#This Row],[income]],0)</f>
        <v>0</v>
      </c>
      <c r="CT106" s="20">
        <f ca="1">IF(Table1[[#This Row],[County]]="Worcestershire",Table1[[#This Row],[income]],0)</f>
        <v>0</v>
      </c>
      <c r="CU106" s="20">
        <f ca="1">IF(Table1[[#This Row],[County]]="Rutland",Table1[[#This Row],[income]],0)</f>
        <v>0</v>
      </c>
      <c r="CV106" s="20">
        <f ca="1">IF(Table1[[#This Row],[County]]="Shropshire",Table1[[#This Row],[income]],0)</f>
        <v>0</v>
      </c>
      <c r="CW106" s="20">
        <f ca="1">IF(Table1[[#This Row],[County]]="Dorset",Table1[[#This Row],[income]],0)</f>
        <v>0</v>
      </c>
      <c r="CX106" s="20">
        <f ca="1">IF(Table1[[#This Row],[County]]="Buckinghamshire",Table1[[#This Row],[income]],0)</f>
        <v>0</v>
      </c>
      <c r="CY106" s="20">
        <f ca="1">IF(Table1[[#This Row],[County]]="Suffolk",Table1[[#This Row],[income]],0)</f>
        <v>0</v>
      </c>
      <c r="CZ106" s="20">
        <f ca="1">IF(Table1[[#This Row],[County]]="North Yorkshire",Table1[[#This Row],[income]],0)</f>
        <v>0</v>
      </c>
      <c r="DA106" s="20">
        <f ca="1">IF(Table1[[#This Row],[County]]="Kent",Table1[[#This Row],[income]],0)</f>
        <v>0</v>
      </c>
      <c r="DB106" s="5">
        <f ca="1">IF(Table1[[#This Row],[County]]="Derbyshire",Table1[[#This Row],[income]],0)</f>
        <v>0</v>
      </c>
      <c r="DD106" s="6">
        <f ca="1">IF(Table1[[#This Row],[Column1]]="Health",Table1[[#This Row],[income]],0)</f>
        <v>0</v>
      </c>
      <c r="DE106" s="20">
        <f ca="1">IF(Table1[[#This Row],[Column1]]="Agriculture",Table1[[#This Row],[income]],0)</f>
        <v>74750</v>
      </c>
      <c r="DF106" s="20">
        <f ca="1">IF(Table1[[#This Row],[Column1]]="Technology",Table1[[#This Row],[income]],0)</f>
        <v>0</v>
      </c>
      <c r="DG106" s="20">
        <f ca="1">IF(Table1[[#This Row],[Column1]]="Social Service",Table1[[#This Row],[income]],0)</f>
        <v>0</v>
      </c>
      <c r="DH106" s="20">
        <f ca="1">IF(Table1[[#This Row],[Column1]]="Education",Table1[[#This Row],[income]],0)</f>
        <v>0</v>
      </c>
      <c r="DI106" s="5">
        <f ca="1">IF(Table1[[#This Row],[Column1]]="Construction",Table1[[#This Row],[income]],0)</f>
        <v>0</v>
      </c>
      <c r="DK106" s="6">
        <f ca="1">IF(Table1[[#This Row],[Value of Debts]]&gt;Table1[[#This Row],[income]],1,0)</f>
        <v>1</v>
      </c>
      <c r="DL106" s="20"/>
      <c r="DM106" s="20"/>
      <c r="DN106" s="5"/>
      <c r="DP106" s="6">
        <f ca="1">IF(Table1[[#This Row],[Net Worth (£)]]&gt;$DS$5,C106,0)</f>
        <v>0</v>
      </c>
      <c r="DQ106" s="20"/>
      <c r="DR106" s="20"/>
      <c r="DS106" s="5"/>
    </row>
    <row r="107" spans="1:123" x14ac:dyDescent="0.2">
      <c r="A107">
        <f t="shared" ca="1" si="4"/>
        <v>2</v>
      </c>
      <c r="B107" s="1" t="str">
        <f ca="1">IF(A107=1, "men", "women")</f>
        <v>women</v>
      </c>
      <c r="C107" s="1">
        <f ca="1">RANDBETWEEN(25,50)</f>
        <v>34</v>
      </c>
      <c r="D107">
        <f ca="1">RANDBETWEEN(1,6)</f>
        <v>4</v>
      </c>
      <c r="E107" t="str">
        <f ca="1">VLOOKUP(D107,$W$5:$X$10,2)</f>
        <v>Technology</v>
      </c>
      <c r="F107">
        <f ca="1">RANDBETWEEN(1,5)</f>
        <v>4</v>
      </c>
      <c r="G107" t="str">
        <f ca="1">VLOOKUP(F107,$Y$5:$Z$9,2)</f>
        <v xml:space="preserve">Technical </v>
      </c>
      <c r="H107">
        <f ca="1">RANDBETWEEN(0,4)</f>
        <v>1</v>
      </c>
      <c r="I107">
        <f ca="1">RANDBETWEEN(1,3)</f>
        <v>2</v>
      </c>
      <c r="J107">
        <f ca="1">RANDBETWEEN(30000,100000)</f>
        <v>67753</v>
      </c>
      <c r="K107">
        <f ca="1">RANDBETWEEN(1,48)</f>
        <v>16</v>
      </c>
      <c r="L107" t="str">
        <f ca="1">VLOOKUP(K107,$AA$5:$AB$52,2)</f>
        <v>Essex</v>
      </c>
      <c r="M107">
        <f ca="1">J107*(RANDBETWEEN(2,5))</f>
        <v>135506</v>
      </c>
      <c r="N107">
        <f ca="1">RAND()*M107</f>
        <v>103215.20884503741</v>
      </c>
      <c r="O107">
        <f ca="1">I107*RAND()*J107</f>
        <v>55336.207467052052</v>
      </c>
      <c r="P107">
        <f ca="1">RANDBETWEEN(0,O107)</f>
        <v>34034</v>
      </c>
      <c r="Q107">
        <f ca="1">RAND()*J107*2</f>
        <v>32592.084672491015</v>
      </c>
      <c r="R107">
        <f ca="1">RAND()*J107*1.5</f>
        <v>61385.304654332765</v>
      </c>
      <c r="S107">
        <f ca="1">J107+R107+O107</f>
        <v>184474.51212138482</v>
      </c>
      <c r="T107">
        <f ca="1">N107+P107+Q107</f>
        <v>169841.29351752842</v>
      </c>
      <c r="U107">
        <f ca="1">S107-T107</f>
        <v>14633.218603856396</v>
      </c>
      <c r="AC107" s="6">
        <f ca="1">IF(Table1[[#This Row],[gender]]="men",1,0)</f>
        <v>0</v>
      </c>
      <c r="AD107">
        <f ca="1">IF(Table1[[#This Row],[gender]]="women",1,0)</f>
        <v>1</v>
      </c>
      <c r="AH107" s="5"/>
      <c r="AJ107" s="6">
        <f ca="1">IF(Table1[[#This Row],[Column1]]="Health",1,0)</f>
        <v>0</v>
      </c>
      <c r="AK107">
        <f ca="1">IF(Table1[[#This Row],[Column1]]="Construction",1,0)</f>
        <v>0</v>
      </c>
      <c r="AL107">
        <f ca="1">IF(Table1[[#This Row],[Column1]]="Technology",1,0)</f>
        <v>1</v>
      </c>
      <c r="AM107">
        <f ca="1">IF(Table1[[#This Row],[Column1]]="Education",1,0)</f>
        <v>0</v>
      </c>
      <c r="AN107">
        <f ca="1">IF(Table1[[#This Row],[Column1]]="Agriculture",1,0)</f>
        <v>0</v>
      </c>
      <c r="AO107">
        <f ca="1">IF(Table1[[#This Row],[Column1]]="Social Service", 1, 0)</f>
        <v>0</v>
      </c>
      <c r="AT107" s="5"/>
      <c r="AV107" s="17">
        <f t="shared" ca="1" si="3"/>
        <v>22734.117497873776</v>
      </c>
      <c r="AW107" s="5"/>
      <c r="AX107" s="6">
        <f ca="1">IF(Table1[[#This Row],[Value of Debts]]&gt;$AY$4,1,0)</f>
        <v>1</v>
      </c>
      <c r="AY107" s="20"/>
      <c r="AZ107" s="20"/>
      <c r="BA107" s="5"/>
      <c r="BB107" s="25">
        <f ca="1">Table1[[#This Row],[Mortage Left]]/Table1[[#This Row],[Value of House]]</f>
        <v>0.76170213012735533</v>
      </c>
      <c r="BC107" s="20">
        <f t="shared" ca="1" si="5"/>
        <v>0</v>
      </c>
      <c r="BD107" s="20"/>
      <c r="BE107" s="20"/>
      <c r="BF107" s="20"/>
      <c r="BG107" s="6">
        <f ca="1">IF(Table1[[#This Row],[County]]="Cumbria",Table1[[#This Row],[income]],0)</f>
        <v>0</v>
      </c>
      <c r="BH107" s="20">
        <f ca="1">IF(Table1[[#This Row],[County]]="Cheshire",Table1[[#This Row],[income]],0)</f>
        <v>0</v>
      </c>
      <c r="BI107" s="20">
        <f ca="1">IF(Table1[[#This Row],[County]]="Bristol",Table1[[#This Row],[income]],0)</f>
        <v>0</v>
      </c>
      <c r="BJ107" s="20">
        <f ca="1">IF(Table1[[#This Row],[County]]="Surrey",Table1[[#This Row],[income]],0)</f>
        <v>0</v>
      </c>
      <c r="BK107" s="20">
        <f ca="1">IF(Table1[[#This Row],[County]]="Norfolk",Table1[[#This Row],[income]],0)</f>
        <v>0</v>
      </c>
      <c r="BL107" s="20">
        <f ca="1">IF(Table1[[#This Row],[County]]="Lincolnshire",Table1[[#This Row],[income]],0)</f>
        <v>0</v>
      </c>
      <c r="BM107" s="20">
        <f ca="1">IF(Table1[[#This Row],[County]]="Somerset",Table1[[#This Row],[income]],0)</f>
        <v>0</v>
      </c>
      <c r="BN107" s="20">
        <f ca="1">IF(Table1[[#This Row],[County]]="Cambridgeshire",Table1[[#This Row],[income]],0)</f>
        <v>0</v>
      </c>
      <c r="BO107" s="20">
        <f ca="1">IF(Table1[[#This Row],[County]]="South Yorkshire",Table1[[#This Row],[income]],0)</f>
        <v>0</v>
      </c>
      <c r="BP107" s="20">
        <f ca="1">IF(Table1[[#This Row],[County]]="Greater London",Table1[[#This Row],[income]],0)</f>
        <v>0</v>
      </c>
      <c r="BQ107" s="20">
        <f ca="1">IF(Table1[[#This Row],[County]]="Hampshire",Table1[[#This Row],[income]],0)</f>
        <v>0</v>
      </c>
      <c r="BR107" s="20">
        <f ca="1">IF(Table1[[#This Row],[County]]="Gloucestershire",Table1[[#This Row],[income]],0)</f>
        <v>0</v>
      </c>
      <c r="BS107" s="20">
        <f ca="1">IF(Table1[[#This Row],[County]]="West Sussex",Table1[[#This Row],[income]],0)</f>
        <v>0</v>
      </c>
      <c r="BT107" s="20">
        <f ca="1">IF(Table1[[#This Row],[County]]="Devon",Table1[[#This Row],[income]],0)</f>
        <v>0</v>
      </c>
      <c r="BU107" s="20">
        <f ca="1">IF(Table1[[#This Row],[County]]="Berkshire",Table1[[#This Row],[income]],0)</f>
        <v>0</v>
      </c>
      <c r="BV107" s="20">
        <f ca="1">IF(Table1[[#This Row],[County]]="Staffordshire",Table1[[#This Row],[income]],0)</f>
        <v>0</v>
      </c>
      <c r="BW107" s="20">
        <f ca="1">IF(Table1[[#This Row],[County]]="Leicestershire",Table1[[#This Row],[income]],0)</f>
        <v>0</v>
      </c>
      <c r="BX107" s="20">
        <f ca="1">IF(Table1[[#This Row],[County]]="Cornwall",Table1[[#This Row],[income]],0)</f>
        <v>0</v>
      </c>
      <c r="BY107" s="20">
        <f ca="1">IF(Table1[[#This Row],[County]]="Isle of Wight",Table1[[#This Row],[income]],0)</f>
        <v>0</v>
      </c>
      <c r="BZ107" s="20">
        <f ca="1">IF(Table1[[#This Row],[County]]="Surrey",Table1[[#This Row],[income]],0)</f>
        <v>0</v>
      </c>
      <c r="CA107" s="20">
        <f ca="1">IF(Table1[[#This Row],[County]]="Derbyshire",Table1[[#This Row],[income]],0)</f>
        <v>0</v>
      </c>
      <c r="CB107" s="20">
        <f ca="1">IF(Table1[[#This Row],[County]]="City of London",Table1[[#This Row],[income]],0)</f>
        <v>0</v>
      </c>
      <c r="CC107" s="20">
        <f ca="1">IF(Table1[[#This Row],[County]]="Bedfordshire",Table1[[#This Row],[income]],0)</f>
        <v>0</v>
      </c>
      <c r="CD107" s="20">
        <f ca="1">IF(Table1[[#This Row],[County]]="County Durham",Table1[[#This Row],[income]],0)</f>
        <v>0</v>
      </c>
      <c r="CE107" s="20">
        <f ca="1">IF(Table1[[#This Row],[County]]="East Riding of Yorkshire",Table1[[#This Row],[income]],0)</f>
        <v>0</v>
      </c>
      <c r="CF107" s="20">
        <f ca="1">IF(Table1[[#This Row],[County]]="West Yorkshire",Table1[[#This Row],[income]],0)</f>
        <v>0</v>
      </c>
      <c r="CG107" s="20">
        <f ca="1">IF(Table1[[#This Row],[County]]="Essex",Table1[[#This Row],[income]],0)</f>
        <v>67753</v>
      </c>
      <c r="CH107" s="20">
        <f ca="1">IF(Table1[[#This Row],[County]]="East Sussex",Table1[[#This Row],[income]],0)</f>
        <v>0</v>
      </c>
      <c r="CI107" s="20">
        <f ca="1">IF(Table1[[#This Row],[County]]="Greater Manchester",Table1[[#This Row],[income]],0)</f>
        <v>0</v>
      </c>
      <c r="CJ107" s="20">
        <f ca="1">IF(Table1[[#This Row],[County]]="Hertfordshire",Table1[[#This Row],[income]],0)</f>
        <v>0</v>
      </c>
      <c r="CK107" s="20">
        <f ca="1">IF(Table1[[#This Row],[County]]="Herefordshire",Table1[[#This Row],[income]],0)</f>
        <v>0</v>
      </c>
      <c r="CL107" s="20">
        <f ca="1">IF(Table1[[#This Row],[County]]="Lancashire",Table1[[#This Row],[income]],0)</f>
        <v>0</v>
      </c>
      <c r="CM107" s="20">
        <f ca="1">IF(Table1[[#This Row],[County]]="Merseyside",Table1[[#This Row],[income]],0)</f>
        <v>0</v>
      </c>
      <c r="CN107" s="20">
        <f ca="1">IF(Table1[[#This Row],[County]]="Northamptonshire",Table1[[#This Row],[income]],0)</f>
        <v>0</v>
      </c>
      <c r="CO107" s="20">
        <f ca="1">IF(Table1[[#This Row],[County]]="Northumberland",Table1[[#This Row],[income]],0)</f>
        <v>0</v>
      </c>
      <c r="CP107" s="20">
        <f ca="1">IF(Table1[[#This Row],[County]]="Wiltshire",Table1[[#This Row],[income]],0)</f>
        <v>0</v>
      </c>
      <c r="CQ107" s="20">
        <f ca="1">IF(Table1[[#This Row],[County]]="West Midlands",Table1[[#This Row],[income]],0)</f>
        <v>0</v>
      </c>
      <c r="CR107" s="20">
        <f ca="1">IF(Table1[[#This Row],[County]]="Warwickshire",Table1[[#This Row],[income]],0)</f>
        <v>0</v>
      </c>
      <c r="CS107" s="20">
        <f ca="1">IF(Table1[[#This Row],[County]]="Tyne and Wear",Table1[[#This Row],[income]],0)</f>
        <v>0</v>
      </c>
      <c r="CT107" s="20">
        <f ca="1">IF(Table1[[#This Row],[County]]="Worcestershire",Table1[[#This Row],[income]],0)</f>
        <v>0</v>
      </c>
      <c r="CU107" s="20">
        <f ca="1">IF(Table1[[#This Row],[County]]="Rutland",Table1[[#This Row],[income]],0)</f>
        <v>0</v>
      </c>
      <c r="CV107" s="20">
        <f ca="1">IF(Table1[[#This Row],[County]]="Shropshire",Table1[[#This Row],[income]],0)</f>
        <v>0</v>
      </c>
      <c r="CW107" s="20">
        <f ca="1">IF(Table1[[#This Row],[County]]="Dorset",Table1[[#This Row],[income]],0)</f>
        <v>0</v>
      </c>
      <c r="CX107" s="20">
        <f ca="1">IF(Table1[[#This Row],[County]]="Buckinghamshire",Table1[[#This Row],[income]],0)</f>
        <v>0</v>
      </c>
      <c r="CY107" s="20">
        <f ca="1">IF(Table1[[#This Row],[County]]="Suffolk",Table1[[#This Row],[income]],0)</f>
        <v>0</v>
      </c>
      <c r="CZ107" s="20">
        <f ca="1">IF(Table1[[#This Row],[County]]="North Yorkshire",Table1[[#This Row],[income]],0)</f>
        <v>0</v>
      </c>
      <c r="DA107" s="20">
        <f ca="1">IF(Table1[[#This Row],[County]]="Kent",Table1[[#This Row],[income]],0)</f>
        <v>0</v>
      </c>
      <c r="DB107" s="5">
        <f ca="1">IF(Table1[[#This Row],[County]]="Derbyshire",Table1[[#This Row],[income]],0)</f>
        <v>0</v>
      </c>
      <c r="DD107" s="6">
        <f ca="1">IF(Table1[[#This Row],[Column1]]="Health",Table1[[#This Row],[income]],0)</f>
        <v>0</v>
      </c>
      <c r="DE107" s="20">
        <f ca="1">IF(Table1[[#This Row],[Column1]]="Agriculture",Table1[[#This Row],[income]],0)</f>
        <v>0</v>
      </c>
      <c r="DF107" s="20">
        <f ca="1">IF(Table1[[#This Row],[Column1]]="Technology",Table1[[#This Row],[income]],0)</f>
        <v>67753</v>
      </c>
      <c r="DG107" s="20">
        <f ca="1">IF(Table1[[#This Row],[Column1]]="Social Service",Table1[[#This Row],[income]],0)</f>
        <v>0</v>
      </c>
      <c r="DH107" s="20">
        <f ca="1">IF(Table1[[#This Row],[Column1]]="Education",Table1[[#This Row],[income]],0)</f>
        <v>0</v>
      </c>
      <c r="DI107" s="5">
        <f ca="1">IF(Table1[[#This Row],[Column1]]="Construction",Table1[[#This Row],[income]],0)</f>
        <v>0</v>
      </c>
      <c r="DK107" s="6">
        <f ca="1">IF(Table1[[#This Row],[Value of Debts]]&gt;Table1[[#This Row],[income]],1,0)</f>
        <v>1</v>
      </c>
      <c r="DL107" s="20"/>
      <c r="DM107" s="20"/>
      <c r="DN107" s="5"/>
      <c r="DP107" s="6">
        <f ca="1">IF(Table1[[#This Row],[Net Worth (£)]]&gt;$DS$5,C107,0)</f>
        <v>0</v>
      </c>
      <c r="DQ107" s="20"/>
      <c r="DR107" s="20"/>
      <c r="DS107" s="5"/>
    </row>
    <row r="108" spans="1:123" x14ac:dyDescent="0.2">
      <c r="A108">
        <f t="shared" ca="1" si="4"/>
        <v>1</v>
      </c>
      <c r="B108" s="1" t="str">
        <f ca="1">IF(A108=1, "men", "women")</f>
        <v>men</v>
      </c>
      <c r="C108" s="1">
        <f ca="1">RANDBETWEEN(25,50)</f>
        <v>45</v>
      </c>
      <c r="D108">
        <f ca="1">RANDBETWEEN(1,6)</f>
        <v>5</v>
      </c>
      <c r="E108" t="str">
        <f ca="1">VLOOKUP(D108,$W$5:$X$10,2)</f>
        <v>Social Service</v>
      </c>
      <c r="F108">
        <f ca="1">RANDBETWEEN(1,5)</f>
        <v>2</v>
      </c>
      <c r="G108" t="str">
        <f ca="1">VLOOKUP(F108,$Y$5:$Z$9,2)</f>
        <v>College</v>
      </c>
      <c r="H108">
        <f ca="1">RANDBETWEEN(0,4)</f>
        <v>3</v>
      </c>
      <c r="I108">
        <f ca="1">RANDBETWEEN(1,3)</f>
        <v>1</v>
      </c>
      <c r="J108">
        <f ca="1">RANDBETWEEN(30000,100000)</f>
        <v>55019</v>
      </c>
      <c r="K108">
        <f ca="1">RANDBETWEEN(1,48)</f>
        <v>34</v>
      </c>
      <c r="L108" t="str">
        <f ca="1">VLOOKUP(K108,$AA$5:$AB$52,2)</f>
        <v>Oxfordshire</v>
      </c>
      <c r="M108">
        <f ca="1">J108*(RANDBETWEEN(2,5))</f>
        <v>110038</v>
      </c>
      <c r="N108">
        <f ca="1">RAND()*M108</f>
        <v>52870.92155944636</v>
      </c>
      <c r="O108">
        <f ca="1">I108*RAND()*J108</f>
        <v>22734.117497873776</v>
      </c>
      <c r="P108">
        <f ca="1">RANDBETWEEN(0,O108)</f>
        <v>15851</v>
      </c>
      <c r="Q108">
        <f ca="1">RAND()*J108*2</f>
        <v>82114.23877195151</v>
      </c>
      <c r="R108">
        <f ca="1">RAND()*J108*1.5</f>
        <v>46574.284519131979</v>
      </c>
      <c r="S108">
        <f ca="1">J108+R108+O108</f>
        <v>124327.40201700575</v>
      </c>
      <c r="T108">
        <f ca="1">N108+P108+Q108</f>
        <v>150836.16033139787</v>
      </c>
      <c r="U108">
        <f ca="1">S108-T108</f>
        <v>-26508.758314392122</v>
      </c>
      <c r="AC108" s="6">
        <f ca="1">IF(Table1[[#This Row],[gender]]="men",1,0)</f>
        <v>1</v>
      </c>
      <c r="AD108">
        <f ca="1">IF(Table1[[#This Row],[gender]]="women",1,0)</f>
        <v>0</v>
      </c>
      <c r="AH108" s="5"/>
      <c r="AJ108" s="6">
        <f ca="1">IF(Table1[[#This Row],[Column1]]="Health",1,0)</f>
        <v>0</v>
      </c>
      <c r="AK108">
        <f ca="1">IF(Table1[[#This Row],[Column1]]="Construction",1,0)</f>
        <v>0</v>
      </c>
      <c r="AL108">
        <f ca="1">IF(Table1[[#This Row],[Column1]]="Technology",1,0)</f>
        <v>0</v>
      </c>
      <c r="AM108">
        <f ca="1">IF(Table1[[#This Row],[Column1]]="Education",1,0)</f>
        <v>0</v>
      </c>
      <c r="AN108">
        <f ca="1">IF(Table1[[#This Row],[Column1]]="Agriculture",1,0)</f>
        <v>0</v>
      </c>
      <c r="AO108">
        <f ca="1">IF(Table1[[#This Row],[Column1]]="Social Service", 1, 0)</f>
        <v>1</v>
      </c>
      <c r="AT108" s="5"/>
      <c r="AV108" s="17">
        <f t="shared" ca="1" si="3"/>
        <v>690.01490748506137</v>
      </c>
      <c r="AW108" s="5"/>
      <c r="AX108" s="6">
        <f ca="1">IF(Table1[[#This Row],[Value of Debts]]&gt;$AY$4,1,0)</f>
        <v>1</v>
      </c>
      <c r="AY108" s="20"/>
      <c r="AZ108" s="20"/>
      <c r="BA108" s="5"/>
      <c r="BB108" s="25">
        <f ca="1">Table1[[#This Row],[Mortage Left]]/Table1[[#This Row],[Value of House]]</f>
        <v>0.48047875787860883</v>
      </c>
      <c r="BC108" s="20">
        <f t="shared" ca="1" si="5"/>
        <v>0</v>
      </c>
      <c r="BD108" s="20"/>
      <c r="BE108" s="20"/>
      <c r="BF108" s="20"/>
      <c r="BG108" s="6">
        <f ca="1">IF(Table1[[#This Row],[County]]="Cumbria",Table1[[#This Row],[income]],0)</f>
        <v>0</v>
      </c>
      <c r="BH108" s="20">
        <f ca="1">IF(Table1[[#This Row],[County]]="Cheshire",Table1[[#This Row],[income]],0)</f>
        <v>0</v>
      </c>
      <c r="BI108" s="20">
        <f ca="1">IF(Table1[[#This Row],[County]]="Bristol",Table1[[#This Row],[income]],0)</f>
        <v>0</v>
      </c>
      <c r="BJ108" s="20">
        <f ca="1">IF(Table1[[#This Row],[County]]="Surrey",Table1[[#This Row],[income]],0)</f>
        <v>0</v>
      </c>
      <c r="BK108" s="20">
        <f ca="1">IF(Table1[[#This Row],[County]]="Norfolk",Table1[[#This Row],[income]],0)</f>
        <v>0</v>
      </c>
      <c r="BL108" s="20">
        <f ca="1">IF(Table1[[#This Row],[County]]="Lincolnshire",Table1[[#This Row],[income]],0)</f>
        <v>0</v>
      </c>
      <c r="BM108" s="20">
        <f ca="1">IF(Table1[[#This Row],[County]]="Somerset",Table1[[#This Row],[income]],0)</f>
        <v>0</v>
      </c>
      <c r="BN108" s="20">
        <f ca="1">IF(Table1[[#This Row],[County]]="Cambridgeshire",Table1[[#This Row],[income]],0)</f>
        <v>0</v>
      </c>
      <c r="BO108" s="20">
        <f ca="1">IF(Table1[[#This Row],[County]]="South Yorkshire",Table1[[#This Row],[income]],0)</f>
        <v>0</v>
      </c>
      <c r="BP108" s="20">
        <f ca="1">IF(Table1[[#This Row],[County]]="Greater London",Table1[[#This Row],[income]],0)</f>
        <v>0</v>
      </c>
      <c r="BQ108" s="20">
        <f ca="1">IF(Table1[[#This Row],[County]]="Hampshire",Table1[[#This Row],[income]],0)</f>
        <v>0</v>
      </c>
      <c r="BR108" s="20">
        <f ca="1">IF(Table1[[#This Row],[County]]="Gloucestershire",Table1[[#This Row],[income]],0)</f>
        <v>0</v>
      </c>
      <c r="BS108" s="20">
        <f ca="1">IF(Table1[[#This Row],[County]]="West Sussex",Table1[[#This Row],[income]],0)</f>
        <v>0</v>
      </c>
      <c r="BT108" s="20">
        <f ca="1">IF(Table1[[#This Row],[County]]="Devon",Table1[[#This Row],[income]],0)</f>
        <v>0</v>
      </c>
      <c r="BU108" s="20">
        <f ca="1">IF(Table1[[#This Row],[County]]="Berkshire",Table1[[#This Row],[income]],0)</f>
        <v>0</v>
      </c>
      <c r="BV108" s="20">
        <f ca="1">IF(Table1[[#This Row],[County]]="Staffordshire",Table1[[#This Row],[income]],0)</f>
        <v>0</v>
      </c>
      <c r="BW108" s="20">
        <f ca="1">IF(Table1[[#This Row],[County]]="Leicestershire",Table1[[#This Row],[income]],0)</f>
        <v>0</v>
      </c>
      <c r="BX108" s="20">
        <f ca="1">IF(Table1[[#This Row],[County]]="Cornwall",Table1[[#This Row],[income]],0)</f>
        <v>0</v>
      </c>
      <c r="BY108" s="20">
        <f ca="1">IF(Table1[[#This Row],[County]]="Isle of Wight",Table1[[#This Row],[income]],0)</f>
        <v>0</v>
      </c>
      <c r="BZ108" s="20">
        <f ca="1">IF(Table1[[#This Row],[County]]="Surrey",Table1[[#This Row],[income]],0)</f>
        <v>0</v>
      </c>
      <c r="CA108" s="20">
        <f ca="1">IF(Table1[[#This Row],[County]]="Derbyshire",Table1[[#This Row],[income]],0)</f>
        <v>0</v>
      </c>
      <c r="CB108" s="20">
        <f ca="1">IF(Table1[[#This Row],[County]]="City of London",Table1[[#This Row],[income]],0)</f>
        <v>0</v>
      </c>
      <c r="CC108" s="20">
        <f ca="1">IF(Table1[[#This Row],[County]]="Bedfordshire",Table1[[#This Row],[income]],0)</f>
        <v>0</v>
      </c>
      <c r="CD108" s="20">
        <f ca="1">IF(Table1[[#This Row],[County]]="County Durham",Table1[[#This Row],[income]],0)</f>
        <v>0</v>
      </c>
      <c r="CE108" s="20">
        <f ca="1">IF(Table1[[#This Row],[County]]="East Riding of Yorkshire",Table1[[#This Row],[income]],0)</f>
        <v>0</v>
      </c>
      <c r="CF108" s="20">
        <f ca="1">IF(Table1[[#This Row],[County]]="West Yorkshire",Table1[[#This Row],[income]],0)</f>
        <v>0</v>
      </c>
      <c r="CG108" s="20">
        <f ca="1">IF(Table1[[#This Row],[County]]="Essex",Table1[[#This Row],[income]],0)</f>
        <v>0</v>
      </c>
      <c r="CH108" s="20">
        <f ca="1">IF(Table1[[#This Row],[County]]="East Sussex",Table1[[#This Row],[income]],0)</f>
        <v>0</v>
      </c>
      <c r="CI108" s="20">
        <f ca="1">IF(Table1[[#This Row],[County]]="Greater Manchester",Table1[[#This Row],[income]],0)</f>
        <v>0</v>
      </c>
      <c r="CJ108" s="20">
        <f ca="1">IF(Table1[[#This Row],[County]]="Hertfordshire",Table1[[#This Row],[income]],0)</f>
        <v>0</v>
      </c>
      <c r="CK108" s="20">
        <f ca="1">IF(Table1[[#This Row],[County]]="Herefordshire",Table1[[#This Row],[income]],0)</f>
        <v>0</v>
      </c>
      <c r="CL108" s="20">
        <f ca="1">IF(Table1[[#This Row],[County]]="Lancashire",Table1[[#This Row],[income]],0)</f>
        <v>0</v>
      </c>
      <c r="CM108" s="20">
        <f ca="1">IF(Table1[[#This Row],[County]]="Merseyside",Table1[[#This Row],[income]],0)</f>
        <v>0</v>
      </c>
      <c r="CN108" s="20">
        <f ca="1">IF(Table1[[#This Row],[County]]="Northamptonshire",Table1[[#This Row],[income]],0)</f>
        <v>0</v>
      </c>
      <c r="CO108" s="20">
        <f ca="1">IF(Table1[[#This Row],[County]]="Northumberland",Table1[[#This Row],[income]],0)</f>
        <v>0</v>
      </c>
      <c r="CP108" s="20">
        <f ca="1">IF(Table1[[#This Row],[County]]="Wiltshire",Table1[[#This Row],[income]],0)</f>
        <v>0</v>
      </c>
      <c r="CQ108" s="20">
        <f ca="1">IF(Table1[[#This Row],[County]]="West Midlands",Table1[[#This Row],[income]],0)</f>
        <v>0</v>
      </c>
      <c r="CR108" s="20">
        <f ca="1">IF(Table1[[#This Row],[County]]="Warwickshire",Table1[[#This Row],[income]],0)</f>
        <v>0</v>
      </c>
      <c r="CS108" s="20">
        <f ca="1">IF(Table1[[#This Row],[County]]="Tyne and Wear",Table1[[#This Row],[income]],0)</f>
        <v>0</v>
      </c>
      <c r="CT108" s="20">
        <f ca="1">IF(Table1[[#This Row],[County]]="Worcestershire",Table1[[#This Row],[income]],0)</f>
        <v>0</v>
      </c>
      <c r="CU108" s="20">
        <f ca="1">IF(Table1[[#This Row],[County]]="Rutland",Table1[[#This Row],[income]],0)</f>
        <v>0</v>
      </c>
      <c r="CV108" s="20">
        <f ca="1">IF(Table1[[#This Row],[County]]="Shropshire",Table1[[#This Row],[income]],0)</f>
        <v>0</v>
      </c>
      <c r="CW108" s="20">
        <f ca="1">IF(Table1[[#This Row],[County]]="Dorset",Table1[[#This Row],[income]],0)</f>
        <v>0</v>
      </c>
      <c r="CX108" s="20">
        <f ca="1">IF(Table1[[#This Row],[County]]="Buckinghamshire",Table1[[#This Row],[income]],0)</f>
        <v>0</v>
      </c>
      <c r="CY108" s="20">
        <f ca="1">IF(Table1[[#This Row],[County]]="Suffolk",Table1[[#This Row],[income]],0)</f>
        <v>0</v>
      </c>
      <c r="CZ108" s="20">
        <f ca="1">IF(Table1[[#This Row],[County]]="North Yorkshire",Table1[[#This Row],[income]],0)</f>
        <v>0</v>
      </c>
      <c r="DA108" s="20">
        <f ca="1">IF(Table1[[#This Row],[County]]="Kent",Table1[[#This Row],[income]],0)</f>
        <v>0</v>
      </c>
      <c r="DB108" s="5">
        <f ca="1">IF(Table1[[#This Row],[County]]="Derbyshire",Table1[[#This Row],[income]],0)</f>
        <v>0</v>
      </c>
      <c r="DD108" s="6">
        <f ca="1">IF(Table1[[#This Row],[Column1]]="Health",Table1[[#This Row],[income]],0)</f>
        <v>0</v>
      </c>
      <c r="DE108" s="20">
        <f ca="1">IF(Table1[[#This Row],[Column1]]="Agriculture",Table1[[#This Row],[income]],0)</f>
        <v>0</v>
      </c>
      <c r="DF108" s="20">
        <f ca="1">IF(Table1[[#This Row],[Column1]]="Technology",Table1[[#This Row],[income]],0)</f>
        <v>0</v>
      </c>
      <c r="DG108" s="20">
        <f ca="1">IF(Table1[[#This Row],[Column1]]="Social Service",Table1[[#This Row],[income]],0)</f>
        <v>55019</v>
      </c>
      <c r="DH108" s="20">
        <f ca="1">IF(Table1[[#This Row],[Column1]]="Education",Table1[[#This Row],[income]],0)</f>
        <v>0</v>
      </c>
      <c r="DI108" s="5">
        <f ca="1">IF(Table1[[#This Row],[Column1]]="Construction",Table1[[#This Row],[income]],0)</f>
        <v>0</v>
      </c>
      <c r="DK108" s="6">
        <f ca="1">IF(Table1[[#This Row],[Value of Debts]]&gt;Table1[[#This Row],[income]],1,0)</f>
        <v>1</v>
      </c>
      <c r="DL108" s="20"/>
      <c r="DM108" s="20"/>
      <c r="DN108" s="5"/>
      <c r="DP108" s="6">
        <f ca="1">IF(Table1[[#This Row],[Net Worth (£)]]&gt;$DS$5,C108,0)</f>
        <v>0</v>
      </c>
      <c r="DQ108" s="20"/>
      <c r="DR108" s="20"/>
      <c r="DS108" s="5"/>
    </row>
    <row r="109" spans="1:123" x14ac:dyDescent="0.2">
      <c r="A109">
        <f t="shared" ca="1" si="4"/>
        <v>1</v>
      </c>
      <c r="B109" s="1" t="str">
        <f ca="1">IF(A109=1, "men", "women")</f>
        <v>men</v>
      </c>
      <c r="C109" s="1">
        <f ca="1">RANDBETWEEN(25,50)</f>
        <v>25</v>
      </c>
      <c r="D109">
        <f ca="1">RANDBETWEEN(1,6)</f>
        <v>1</v>
      </c>
      <c r="E109" t="str">
        <f ca="1">VLOOKUP(D109,$W$5:$X$10,2)</f>
        <v>Health</v>
      </c>
      <c r="F109">
        <f ca="1">RANDBETWEEN(1,5)</f>
        <v>4</v>
      </c>
      <c r="G109" t="str">
        <f ca="1">VLOOKUP(F109,$Y$5:$Z$9,2)</f>
        <v xml:space="preserve">Technical </v>
      </c>
      <c r="H109">
        <f ca="1">RANDBETWEEN(0,4)</f>
        <v>0</v>
      </c>
      <c r="I109">
        <f ca="1">RANDBETWEEN(1,3)</f>
        <v>3</v>
      </c>
      <c r="J109">
        <f ca="1">RANDBETWEEN(30000,100000)</f>
        <v>36801</v>
      </c>
      <c r="K109">
        <f ca="1">RANDBETWEEN(1,48)</f>
        <v>28</v>
      </c>
      <c r="L109" t="str">
        <f ca="1">VLOOKUP(K109,$AA$5:$AB$52,2)</f>
        <v>Lincolnshire</v>
      </c>
      <c r="M109">
        <f ca="1">J109*(RANDBETWEEN(2,5))</f>
        <v>110403</v>
      </c>
      <c r="N109">
        <f ca="1">RAND()*M109</f>
        <v>94087.467702886977</v>
      </c>
      <c r="O109">
        <f ca="1">I109*RAND()*J109</f>
        <v>2070.044722455184</v>
      </c>
      <c r="P109">
        <f ca="1">RANDBETWEEN(0,O109)</f>
        <v>758</v>
      </c>
      <c r="Q109">
        <f ca="1">RAND()*J109*2</f>
        <v>9037.5730870761381</v>
      </c>
      <c r="R109">
        <f ca="1">RAND()*J109*1.5</f>
        <v>22310.346710518057</v>
      </c>
      <c r="S109">
        <f ca="1">J109+R109+O109</f>
        <v>61181.391432973243</v>
      </c>
      <c r="T109">
        <f ca="1">N109+P109+Q109</f>
        <v>103883.04078996311</v>
      </c>
      <c r="U109">
        <f ca="1">S109-T109</f>
        <v>-42701.649356989867</v>
      </c>
      <c r="AC109" s="6">
        <f ca="1">IF(Table1[[#This Row],[gender]]="men",1,0)</f>
        <v>1</v>
      </c>
      <c r="AD109">
        <f ca="1">IF(Table1[[#This Row],[gender]]="women",1,0)</f>
        <v>0</v>
      </c>
      <c r="AH109" s="5"/>
      <c r="AJ109" s="6">
        <f ca="1">IF(Table1[[#This Row],[Column1]]="Health",1,0)</f>
        <v>1</v>
      </c>
      <c r="AK109">
        <f ca="1">IF(Table1[[#This Row],[Column1]]="Construction",1,0)</f>
        <v>0</v>
      </c>
      <c r="AL109">
        <f ca="1">IF(Table1[[#This Row],[Column1]]="Technology",1,0)</f>
        <v>0</v>
      </c>
      <c r="AM109">
        <f ca="1">IF(Table1[[#This Row],[Column1]]="Education",1,0)</f>
        <v>0</v>
      </c>
      <c r="AN109">
        <f ca="1">IF(Table1[[#This Row],[Column1]]="Agriculture",1,0)</f>
        <v>0</v>
      </c>
      <c r="AO109">
        <f ca="1">IF(Table1[[#This Row],[Column1]]="Social Service", 1, 0)</f>
        <v>0</v>
      </c>
      <c r="AT109" s="5"/>
      <c r="AV109" s="17">
        <f t="shared" ca="1" si="3"/>
        <v>4980.7814875053491</v>
      </c>
      <c r="AW109" s="5"/>
      <c r="AX109" s="6">
        <f ca="1">IF(Table1[[#This Row],[Value of Debts]]&gt;$AY$4,1,0)</f>
        <v>1</v>
      </c>
      <c r="AY109" s="20"/>
      <c r="AZ109" s="20"/>
      <c r="BA109" s="5"/>
      <c r="BB109" s="25">
        <f ca="1">Table1[[#This Row],[Mortage Left]]/Table1[[#This Row],[Value of House]]</f>
        <v>0.85221839717115455</v>
      </c>
      <c r="BC109" s="20">
        <f t="shared" ca="1" si="5"/>
        <v>0</v>
      </c>
      <c r="BD109" s="20"/>
      <c r="BE109" s="20"/>
      <c r="BF109" s="20"/>
      <c r="BG109" s="6">
        <f ca="1">IF(Table1[[#This Row],[County]]="Cumbria",Table1[[#This Row],[income]],0)</f>
        <v>0</v>
      </c>
      <c r="BH109" s="20">
        <f ca="1">IF(Table1[[#This Row],[County]]="Cheshire",Table1[[#This Row],[income]],0)</f>
        <v>0</v>
      </c>
      <c r="BI109" s="20">
        <f ca="1">IF(Table1[[#This Row],[County]]="Bristol",Table1[[#This Row],[income]],0)</f>
        <v>0</v>
      </c>
      <c r="BJ109" s="20">
        <f ca="1">IF(Table1[[#This Row],[County]]="Surrey",Table1[[#This Row],[income]],0)</f>
        <v>0</v>
      </c>
      <c r="BK109" s="20">
        <f ca="1">IF(Table1[[#This Row],[County]]="Norfolk",Table1[[#This Row],[income]],0)</f>
        <v>0</v>
      </c>
      <c r="BL109" s="20">
        <f ca="1">IF(Table1[[#This Row],[County]]="Lincolnshire",Table1[[#This Row],[income]],0)</f>
        <v>36801</v>
      </c>
      <c r="BM109" s="20">
        <f ca="1">IF(Table1[[#This Row],[County]]="Somerset",Table1[[#This Row],[income]],0)</f>
        <v>0</v>
      </c>
      <c r="BN109" s="20">
        <f ca="1">IF(Table1[[#This Row],[County]]="Cambridgeshire",Table1[[#This Row],[income]],0)</f>
        <v>0</v>
      </c>
      <c r="BO109" s="20">
        <f ca="1">IF(Table1[[#This Row],[County]]="South Yorkshire",Table1[[#This Row],[income]],0)</f>
        <v>0</v>
      </c>
      <c r="BP109" s="20">
        <f ca="1">IF(Table1[[#This Row],[County]]="Greater London",Table1[[#This Row],[income]],0)</f>
        <v>0</v>
      </c>
      <c r="BQ109" s="20">
        <f ca="1">IF(Table1[[#This Row],[County]]="Hampshire",Table1[[#This Row],[income]],0)</f>
        <v>0</v>
      </c>
      <c r="BR109" s="20">
        <f ca="1">IF(Table1[[#This Row],[County]]="Gloucestershire",Table1[[#This Row],[income]],0)</f>
        <v>0</v>
      </c>
      <c r="BS109" s="20">
        <f ca="1">IF(Table1[[#This Row],[County]]="West Sussex",Table1[[#This Row],[income]],0)</f>
        <v>0</v>
      </c>
      <c r="BT109" s="20">
        <f ca="1">IF(Table1[[#This Row],[County]]="Devon",Table1[[#This Row],[income]],0)</f>
        <v>0</v>
      </c>
      <c r="BU109" s="20">
        <f ca="1">IF(Table1[[#This Row],[County]]="Berkshire",Table1[[#This Row],[income]],0)</f>
        <v>0</v>
      </c>
      <c r="BV109" s="20">
        <f ca="1">IF(Table1[[#This Row],[County]]="Staffordshire",Table1[[#This Row],[income]],0)</f>
        <v>0</v>
      </c>
      <c r="BW109" s="20">
        <f ca="1">IF(Table1[[#This Row],[County]]="Leicestershire",Table1[[#This Row],[income]],0)</f>
        <v>0</v>
      </c>
      <c r="BX109" s="20">
        <f ca="1">IF(Table1[[#This Row],[County]]="Cornwall",Table1[[#This Row],[income]],0)</f>
        <v>0</v>
      </c>
      <c r="BY109" s="20">
        <f ca="1">IF(Table1[[#This Row],[County]]="Isle of Wight",Table1[[#This Row],[income]],0)</f>
        <v>0</v>
      </c>
      <c r="BZ109" s="20">
        <f ca="1">IF(Table1[[#This Row],[County]]="Surrey",Table1[[#This Row],[income]],0)</f>
        <v>0</v>
      </c>
      <c r="CA109" s="20">
        <f ca="1">IF(Table1[[#This Row],[County]]="Derbyshire",Table1[[#This Row],[income]],0)</f>
        <v>0</v>
      </c>
      <c r="CB109" s="20">
        <f ca="1">IF(Table1[[#This Row],[County]]="City of London",Table1[[#This Row],[income]],0)</f>
        <v>0</v>
      </c>
      <c r="CC109" s="20">
        <f ca="1">IF(Table1[[#This Row],[County]]="Bedfordshire",Table1[[#This Row],[income]],0)</f>
        <v>0</v>
      </c>
      <c r="CD109" s="20">
        <f ca="1">IF(Table1[[#This Row],[County]]="County Durham",Table1[[#This Row],[income]],0)</f>
        <v>0</v>
      </c>
      <c r="CE109" s="20">
        <f ca="1">IF(Table1[[#This Row],[County]]="East Riding of Yorkshire",Table1[[#This Row],[income]],0)</f>
        <v>0</v>
      </c>
      <c r="CF109" s="20">
        <f ca="1">IF(Table1[[#This Row],[County]]="West Yorkshire",Table1[[#This Row],[income]],0)</f>
        <v>0</v>
      </c>
      <c r="CG109" s="20">
        <f ca="1">IF(Table1[[#This Row],[County]]="Essex",Table1[[#This Row],[income]],0)</f>
        <v>0</v>
      </c>
      <c r="CH109" s="20">
        <f ca="1">IF(Table1[[#This Row],[County]]="East Sussex",Table1[[#This Row],[income]],0)</f>
        <v>0</v>
      </c>
      <c r="CI109" s="20">
        <f ca="1">IF(Table1[[#This Row],[County]]="Greater Manchester",Table1[[#This Row],[income]],0)</f>
        <v>0</v>
      </c>
      <c r="CJ109" s="20">
        <f ca="1">IF(Table1[[#This Row],[County]]="Hertfordshire",Table1[[#This Row],[income]],0)</f>
        <v>0</v>
      </c>
      <c r="CK109" s="20">
        <f ca="1">IF(Table1[[#This Row],[County]]="Herefordshire",Table1[[#This Row],[income]],0)</f>
        <v>0</v>
      </c>
      <c r="CL109" s="20">
        <f ca="1">IF(Table1[[#This Row],[County]]="Lancashire",Table1[[#This Row],[income]],0)</f>
        <v>0</v>
      </c>
      <c r="CM109" s="20">
        <f ca="1">IF(Table1[[#This Row],[County]]="Merseyside",Table1[[#This Row],[income]],0)</f>
        <v>0</v>
      </c>
      <c r="CN109" s="20">
        <f ca="1">IF(Table1[[#This Row],[County]]="Northamptonshire",Table1[[#This Row],[income]],0)</f>
        <v>0</v>
      </c>
      <c r="CO109" s="20">
        <f ca="1">IF(Table1[[#This Row],[County]]="Northumberland",Table1[[#This Row],[income]],0)</f>
        <v>0</v>
      </c>
      <c r="CP109" s="20">
        <f ca="1">IF(Table1[[#This Row],[County]]="Wiltshire",Table1[[#This Row],[income]],0)</f>
        <v>0</v>
      </c>
      <c r="CQ109" s="20">
        <f ca="1">IF(Table1[[#This Row],[County]]="West Midlands",Table1[[#This Row],[income]],0)</f>
        <v>0</v>
      </c>
      <c r="CR109" s="20">
        <f ca="1">IF(Table1[[#This Row],[County]]="Warwickshire",Table1[[#This Row],[income]],0)</f>
        <v>0</v>
      </c>
      <c r="CS109" s="20">
        <f ca="1">IF(Table1[[#This Row],[County]]="Tyne and Wear",Table1[[#This Row],[income]],0)</f>
        <v>0</v>
      </c>
      <c r="CT109" s="20">
        <f ca="1">IF(Table1[[#This Row],[County]]="Worcestershire",Table1[[#This Row],[income]],0)</f>
        <v>0</v>
      </c>
      <c r="CU109" s="20">
        <f ca="1">IF(Table1[[#This Row],[County]]="Rutland",Table1[[#This Row],[income]],0)</f>
        <v>0</v>
      </c>
      <c r="CV109" s="20">
        <f ca="1">IF(Table1[[#This Row],[County]]="Shropshire",Table1[[#This Row],[income]],0)</f>
        <v>0</v>
      </c>
      <c r="CW109" s="20">
        <f ca="1">IF(Table1[[#This Row],[County]]="Dorset",Table1[[#This Row],[income]],0)</f>
        <v>0</v>
      </c>
      <c r="CX109" s="20">
        <f ca="1">IF(Table1[[#This Row],[County]]="Buckinghamshire",Table1[[#This Row],[income]],0)</f>
        <v>0</v>
      </c>
      <c r="CY109" s="20">
        <f ca="1">IF(Table1[[#This Row],[County]]="Suffolk",Table1[[#This Row],[income]],0)</f>
        <v>0</v>
      </c>
      <c r="CZ109" s="20">
        <f ca="1">IF(Table1[[#This Row],[County]]="North Yorkshire",Table1[[#This Row],[income]],0)</f>
        <v>0</v>
      </c>
      <c r="DA109" s="20">
        <f ca="1">IF(Table1[[#This Row],[County]]="Kent",Table1[[#This Row],[income]],0)</f>
        <v>0</v>
      </c>
      <c r="DB109" s="5">
        <f ca="1">IF(Table1[[#This Row],[County]]="Derbyshire",Table1[[#This Row],[income]],0)</f>
        <v>0</v>
      </c>
      <c r="DD109" s="6">
        <f ca="1">IF(Table1[[#This Row],[Column1]]="Health",Table1[[#This Row],[income]],0)</f>
        <v>36801</v>
      </c>
      <c r="DE109" s="20">
        <f ca="1">IF(Table1[[#This Row],[Column1]]="Agriculture",Table1[[#This Row],[income]],0)</f>
        <v>0</v>
      </c>
      <c r="DF109" s="20">
        <f ca="1">IF(Table1[[#This Row],[Column1]]="Technology",Table1[[#This Row],[income]],0)</f>
        <v>0</v>
      </c>
      <c r="DG109" s="20">
        <f ca="1">IF(Table1[[#This Row],[Column1]]="Social Service",Table1[[#This Row],[income]],0)</f>
        <v>0</v>
      </c>
      <c r="DH109" s="20">
        <f ca="1">IF(Table1[[#This Row],[Column1]]="Education",Table1[[#This Row],[income]],0)</f>
        <v>0</v>
      </c>
      <c r="DI109" s="5">
        <f ca="1">IF(Table1[[#This Row],[Column1]]="Construction",Table1[[#This Row],[income]],0)</f>
        <v>0</v>
      </c>
      <c r="DK109" s="6">
        <f ca="1">IF(Table1[[#This Row],[Value of Debts]]&gt;Table1[[#This Row],[income]],1,0)</f>
        <v>1</v>
      </c>
      <c r="DL109" s="20"/>
      <c r="DM109" s="20"/>
      <c r="DN109" s="5"/>
      <c r="DP109" s="6">
        <f ca="1">IF(Table1[[#This Row],[Net Worth (£)]]&gt;$DS$5,C109,0)</f>
        <v>0</v>
      </c>
      <c r="DQ109" s="20"/>
      <c r="DR109" s="20"/>
      <c r="DS109" s="5"/>
    </row>
    <row r="110" spans="1:123" x14ac:dyDescent="0.2">
      <c r="A110">
        <f t="shared" ca="1" si="4"/>
        <v>1</v>
      </c>
      <c r="B110" s="1" t="str">
        <f ca="1">IF(A110=1, "men", "women")</f>
        <v>men</v>
      </c>
      <c r="C110" s="1">
        <f ca="1">RANDBETWEEN(25,50)</f>
        <v>27</v>
      </c>
      <c r="D110">
        <f ca="1">RANDBETWEEN(1,6)</f>
        <v>3</v>
      </c>
      <c r="E110" t="str">
        <f ca="1">VLOOKUP(D110,$W$5:$X$10,2)</f>
        <v>Education</v>
      </c>
      <c r="F110">
        <f ca="1">RANDBETWEEN(1,5)</f>
        <v>2</v>
      </c>
      <c r="G110" t="str">
        <f ca="1">VLOOKUP(F110,$Y$5:$Z$9,2)</f>
        <v>College</v>
      </c>
      <c r="H110">
        <f ca="1">RANDBETWEEN(0,4)</f>
        <v>2</v>
      </c>
      <c r="I110">
        <f ca="1">RANDBETWEEN(1,3)</f>
        <v>3</v>
      </c>
      <c r="J110">
        <f ca="1">RANDBETWEEN(30000,100000)</f>
        <v>73827</v>
      </c>
      <c r="K110">
        <f ca="1">RANDBETWEEN(1,48)</f>
        <v>19</v>
      </c>
      <c r="L110" t="str">
        <f ca="1">VLOOKUP(K110,$AA$5:$AB$52,2)</f>
        <v>Greater Manchester</v>
      </c>
      <c r="M110">
        <f ca="1">J110*(RANDBETWEEN(2,5))</f>
        <v>369135</v>
      </c>
      <c r="N110">
        <f ca="1">RAND()*M110</f>
        <v>239693.73483817195</v>
      </c>
      <c r="O110">
        <f ca="1">I110*RAND()*J110</f>
        <v>14942.344462516048</v>
      </c>
      <c r="P110">
        <f ca="1">RANDBETWEEN(0,O110)</f>
        <v>364</v>
      </c>
      <c r="Q110">
        <f ca="1">RAND()*J110*2</f>
        <v>55153.950217816317</v>
      </c>
      <c r="R110">
        <f ca="1">RAND()*J110*1.5</f>
        <v>70492.944623513817</v>
      </c>
      <c r="S110">
        <f ca="1">J110+R110+O110</f>
        <v>159262.28908602986</v>
      </c>
      <c r="T110">
        <f ca="1">N110+P110+Q110</f>
        <v>295211.68505598826</v>
      </c>
      <c r="U110">
        <f ca="1">S110-T110</f>
        <v>-135949.39596995839</v>
      </c>
      <c r="AC110" s="6">
        <f ca="1">IF(Table1[[#This Row],[gender]]="men",1,0)</f>
        <v>1</v>
      </c>
      <c r="AD110">
        <f ca="1">IF(Table1[[#This Row],[gender]]="women",1,0)</f>
        <v>0</v>
      </c>
      <c r="AH110" s="5"/>
      <c r="AJ110" s="6">
        <f ca="1">IF(Table1[[#This Row],[Column1]]="Health",1,0)</f>
        <v>0</v>
      </c>
      <c r="AK110">
        <f ca="1">IF(Table1[[#This Row],[Column1]]="Construction",1,0)</f>
        <v>0</v>
      </c>
      <c r="AL110">
        <f ca="1">IF(Table1[[#This Row],[Column1]]="Technology",1,0)</f>
        <v>0</v>
      </c>
      <c r="AM110">
        <f ca="1">IF(Table1[[#This Row],[Column1]]="Education",1,0)</f>
        <v>1</v>
      </c>
      <c r="AN110">
        <f ca="1">IF(Table1[[#This Row],[Column1]]="Agriculture",1,0)</f>
        <v>0</v>
      </c>
      <c r="AO110">
        <f ca="1">IF(Table1[[#This Row],[Column1]]="Social Service", 1, 0)</f>
        <v>0</v>
      </c>
      <c r="AT110" s="5"/>
      <c r="AV110" s="17">
        <f t="shared" ca="1" si="3"/>
        <v>75428.673156686564</v>
      </c>
      <c r="AW110" s="5"/>
      <c r="AX110" s="6">
        <f ca="1">IF(Table1[[#This Row],[Value of Debts]]&gt;$AY$4,1,0)</f>
        <v>1</v>
      </c>
      <c r="AY110" s="20"/>
      <c r="AZ110" s="20"/>
      <c r="BA110" s="5"/>
      <c r="BB110" s="25">
        <f ca="1">Table1[[#This Row],[Mortage Left]]/Table1[[#This Row],[Value of House]]</f>
        <v>0.64933895414461362</v>
      </c>
      <c r="BC110" s="20">
        <f t="shared" ca="1" si="5"/>
        <v>0</v>
      </c>
      <c r="BD110" s="20"/>
      <c r="BE110" s="20"/>
      <c r="BF110" s="20"/>
      <c r="BG110" s="6">
        <f ca="1">IF(Table1[[#This Row],[County]]="Cumbria",Table1[[#This Row],[income]],0)</f>
        <v>0</v>
      </c>
      <c r="BH110" s="20">
        <f ca="1">IF(Table1[[#This Row],[County]]="Cheshire",Table1[[#This Row],[income]],0)</f>
        <v>0</v>
      </c>
      <c r="BI110" s="20">
        <f ca="1">IF(Table1[[#This Row],[County]]="Bristol",Table1[[#This Row],[income]],0)</f>
        <v>0</v>
      </c>
      <c r="BJ110" s="20">
        <f ca="1">IF(Table1[[#This Row],[County]]="Surrey",Table1[[#This Row],[income]],0)</f>
        <v>0</v>
      </c>
      <c r="BK110" s="20">
        <f ca="1">IF(Table1[[#This Row],[County]]="Norfolk",Table1[[#This Row],[income]],0)</f>
        <v>0</v>
      </c>
      <c r="BL110" s="20">
        <f ca="1">IF(Table1[[#This Row],[County]]="Lincolnshire",Table1[[#This Row],[income]],0)</f>
        <v>0</v>
      </c>
      <c r="BM110" s="20">
        <f ca="1">IF(Table1[[#This Row],[County]]="Somerset",Table1[[#This Row],[income]],0)</f>
        <v>0</v>
      </c>
      <c r="BN110" s="20">
        <f ca="1">IF(Table1[[#This Row],[County]]="Cambridgeshire",Table1[[#This Row],[income]],0)</f>
        <v>0</v>
      </c>
      <c r="BO110" s="20">
        <f ca="1">IF(Table1[[#This Row],[County]]="South Yorkshire",Table1[[#This Row],[income]],0)</f>
        <v>0</v>
      </c>
      <c r="BP110" s="20">
        <f ca="1">IF(Table1[[#This Row],[County]]="Greater London",Table1[[#This Row],[income]],0)</f>
        <v>0</v>
      </c>
      <c r="BQ110" s="20">
        <f ca="1">IF(Table1[[#This Row],[County]]="Hampshire",Table1[[#This Row],[income]],0)</f>
        <v>0</v>
      </c>
      <c r="BR110" s="20">
        <f ca="1">IF(Table1[[#This Row],[County]]="Gloucestershire",Table1[[#This Row],[income]],0)</f>
        <v>0</v>
      </c>
      <c r="BS110" s="20">
        <f ca="1">IF(Table1[[#This Row],[County]]="West Sussex",Table1[[#This Row],[income]],0)</f>
        <v>0</v>
      </c>
      <c r="BT110" s="20">
        <f ca="1">IF(Table1[[#This Row],[County]]="Devon",Table1[[#This Row],[income]],0)</f>
        <v>0</v>
      </c>
      <c r="BU110" s="20">
        <f ca="1">IF(Table1[[#This Row],[County]]="Berkshire",Table1[[#This Row],[income]],0)</f>
        <v>0</v>
      </c>
      <c r="BV110" s="20">
        <f ca="1">IF(Table1[[#This Row],[County]]="Staffordshire",Table1[[#This Row],[income]],0)</f>
        <v>0</v>
      </c>
      <c r="BW110" s="20">
        <f ca="1">IF(Table1[[#This Row],[County]]="Leicestershire",Table1[[#This Row],[income]],0)</f>
        <v>0</v>
      </c>
      <c r="BX110" s="20">
        <f ca="1">IF(Table1[[#This Row],[County]]="Cornwall",Table1[[#This Row],[income]],0)</f>
        <v>0</v>
      </c>
      <c r="BY110" s="20">
        <f ca="1">IF(Table1[[#This Row],[County]]="Isle of Wight",Table1[[#This Row],[income]],0)</f>
        <v>0</v>
      </c>
      <c r="BZ110" s="20">
        <f ca="1">IF(Table1[[#This Row],[County]]="Surrey",Table1[[#This Row],[income]],0)</f>
        <v>0</v>
      </c>
      <c r="CA110" s="20">
        <f ca="1">IF(Table1[[#This Row],[County]]="Derbyshire",Table1[[#This Row],[income]],0)</f>
        <v>0</v>
      </c>
      <c r="CB110" s="20">
        <f ca="1">IF(Table1[[#This Row],[County]]="City of London",Table1[[#This Row],[income]],0)</f>
        <v>0</v>
      </c>
      <c r="CC110" s="20">
        <f ca="1">IF(Table1[[#This Row],[County]]="Bedfordshire",Table1[[#This Row],[income]],0)</f>
        <v>0</v>
      </c>
      <c r="CD110" s="20">
        <f ca="1">IF(Table1[[#This Row],[County]]="County Durham",Table1[[#This Row],[income]],0)</f>
        <v>0</v>
      </c>
      <c r="CE110" s="20">
        <f ca="1">IF(Table1[[#This Row],[County]]="East Riding of Yorkshire",Table1[[#This Row],[income]],0)</f>
        <v>0</v>
      </c>
      <c r="CF110" s="20">
        <f ca="1">IF(Table1[[#This Row],[County]]="West Yorkshire",Table1[[#This Row],[income]],0)</f>
        <v>0</v>
      </c>
      <c r="CG110" s="20">
        <f ca="1">IF(Table1[[#This Row],[County]]="Essex",Table1[[#This Row],[income]],0)</f>
        <v>0</v>
      </c>
      <c r="CH110" s="20">
        <f ca="1">IF(Table1[[#This Row],[County]]="East Sussex",Table1[[#This Row],[income]],0)</f>
        <v>0</v>
      </c>
      <c r="CI110" s="20">
        <f ca="1">IF(Table1[[#This Row],[County]]="Greater Manchester",Table1[[#This Row],[income]],0)</f>
        <v>73827</v>
      </c>
      <c r="CJ110" s="20">
        <f ca="1">IF(Table1[[#This Row],[County]]="Hertfordshire",Table1[[#This Row],[income]],0)</f>
        <v>0</v>
      </c>
      <c r="CK110" s="20">
        <f ca="1">IF(Table1[[#This Row],[County]]="Herefordshire",Table1[[#This Row],[income]],0)</f>
        <v>0</v>
      </c>
      <c r="CL110" s="20">
        <f ca="1">IF(Table1[[#This Row],[County]]="Lancashire",Table1[[#This Row],[income]],0)</f>
        <v>0</v>
      </c>
      <c r="CM110" s="20">
        <f ca="1">IF(Table1[[#This Row],[County]]="Merseyside",Table1[[#This Row],[income]],0)</f>
        <v>0</v>
      </c>
      <c r="CN110" s="20">
        <f ca="1">IF(Table1[[#This Row],[County]]="Northamptonshire",Table1[[#This Row],[income]],0)</f>
        <v>0</v>
      </c>
      <c r="CO110" s="20">
        <f ca="1">IF(Table1[[#This Row],[County]]="Northumberland",Table1[[#This Row],[income]],0)</f>
        <v>0</v>
      </c>
      <c r="CP110" s="20">
        <f ca="1">IF(Table1[[#This Row],[County]]="Wiltshire",Table1[[#This Row],[income]],0)</f>
        <v>0</v>
      </c>
      <c r="CQ110" s="20">
        <f ca="1">IF(Table1[[#This Row],[County]]="West Midlands",Table1[[#This Row],[income]],0)</f>
        <v>0</v>
      </c>
      <c r="CR110" s="20">
        <f ca="1">IF(Table1[[#This Row],[County]]="Warwickshire",Table1[[#This Row],[income]],0)</f>
        <v>0</v>
      </c>
      <c r="CS110" s="20">
        <f ca="1">IF(Table1[[#This Row],[County]]="Tyne and Wear",Table1[[#This Row],[income]],0)</f>
        <v>0</v>
      </c>
      <c r="CT110" s="20">
        <f ca="1">IF(Table1[[#This Row],[County]]="Worcestershire",Table1[[#This Row],[income]],0)</f>
        <v>0</v>
      </c>
      <c r="CU110" s="20">
        <f ca="1">IF(Table1[[#This Row],[County]]="Rutland",Table1[[#This Row],[income]],0)</f>
        <v>0</v>
      </c>
      <c r="CV110" s="20">
        <f ca="1">IF(Table1[[#This Row],[County]]="Shropshire",Table1[[#This Row],[income]],0)</f>
        <v>0</v>
      </c>
      <c r="CW110" s="20">
        <f ca="1">IF(Table1[[#This Row],[County]]="Dorset",Table1[[#This Row],[income]],0)</f>
        <v>0</v>
      </c>
      <c r="CX110" s="20">
        <f ca="1">IF(Table1[[#This Row],[County]]="Buckinghamshire",Table1[[#This Row],[income]],0)</f>
        <v>0</v>
      </c>
      <c r="CY110" s="20">
        <f ca="1">IF(Table1[[#This Row],[County]]="Suffolk",Table1[[#This Row],[income]],0)</f>
        <v>0</v>
      </c>
      <c r="CZ110" s="20">
        <f ca="1">IF(Table1[[#This Row],[County]]="North Yorkshire",Table1[[#This Row],[income]],0)</f>
        <v>0</v>
      </c>
      <c r="DA110" s="20">
        <f ca="1">IF(Table1[[#This Row],[County]]="Kent",Table1[[#This Row],[income]],0)</f>
        <v>0</v>
      </c>
      <c r="DB110" s="5">
        <f ca="1">IF(Table1[[#This Row],[County]]="Derbyshire",Table1[[#This Row],[income]],0)</f>
        <v>0</v>
      </c>
      <c r="DD110" s="6">
        <f ca="1">IF(Table1[[#This Row],[Column1]]="Health",Table1[[#This Row],[income]],0)</f>
        <v>0</v>
      </c>
      <c r="DE110" s="20">
        <f ca="1">IF(Table1[[#This Row],[Column1]]="Agriculture",Table1[[#This Row],[income]],0)</f>
        <v>0</v>
      </c>
      <c r="DF110" s="20">
        <f ca="1">IF(Table1[[#This Row],[Column1]]="Technology",Table1[[#This Row],[income]],0)</f>
        <v>0</v>
      </c>
      <c r="DG110" s="20">
        <f ca="1">IF(Table1[[#This Row],[Column1]]="Social Service",Table1[[#This Row],[income]],0)</f>
        <v>0</v>
      </c>
      <c r="DH110" s="20">
        <f ca="1">IF(Table1[[#This Row],[Column1]]="Education",Table1[[#This Row],[income]],0)</f>
        <v>73827</v>
      </c>
      <c r="DI110" s="5">
        <f ca="1">IF(Table1[[#This Row],[Column1]]="Construction",Table1[[#This Row],[income]],0)</f>
        <v>0</v>
      </c>
      <c r="DK110" s="6">
        <f ca="1">IF(Table1[[#This Row],[Value of Debts]]&gt;Table1[[#This Row],[income]],1,0)</f>
        <v>1</v>
      </c>
      <c r="DL110" s="20"/>
      <c r="DM110" s="20"/>
      <c r="DN110" s="5"/>
      <c r="DP110" s="6">
        <f ca="1">IF(Table1[[#This Row],[Net Worth (£)]]&gt;$DS$5,C110,0)</f>
        <v>0</v>
      </c>
      <c r="DQ110" s="20"/>
      <c r="DR110" s="20"/>
      <c r="DS110" s="5"/>
    </row>
    <row r="111" spans="1:123" hidden="1" x14ac:dyDescent="0.2">
      <c r="A111">
        <f t="shared" ca="1" si="4"/>
        <v>1</v>
      </c>
      <c r="B111" s="1" t="str">
        <f ca="1">IF(A111=1, "men", "women")</f>
        <v>men</v>
      </c>
      <c r="C111" s="1">
        <f ca="1">RANDBETWEEN(25,50)</f>
        <v>27</v>
      </c>
      <c r="D111">
        <f ca="1">RANDBETWEEN(1,6)</f>
        <v>4</v>
      </c>
      <c r="E111" t="str">
        <f ca="1">VLOOKUP(D111,$W$5:$X$10,2)</f>
        <v>Technology</v>
      </c>
      <c r="F111">
        <f ca="1">RANDBETWEEN(1,5)</f>
        <v>5</v>
      </c>
      <c r="G111" t="str">
        <f ca="1">VLOOKUP(F111,$Y$5:$Z$9,2)</f>
        <v>Other</v>
      </c>
      <c r="H111">
        <f ca="1">RANDBETWEEN(0,4)</f>
        <v>0</v>
      </c>
      <c r="I111">
        <f ca="1">RANDBETWEEN(1,3)</f>
        <v>1</v>
      </c>
      <c r="J111">
        <f ca="1">RANDBETWEEN(30000,100000)</f>
        <v>76664</v>
      </c>
      <c r="K111">
        <f ca="1">RANDBETWEEN(1,48)</f>
        <v>18</v>
      </c>
      <c r="L111" t="str">
        <f ca="1">VLOOKUP(K111,$AA$5:$AB$52,2)</f>
        <v>Greater London</v>
      </c>
      <c r="M111">
        <f ca="1">J111*(RANDBETWEEN(2,5))</f>
        <v>383320</v>
      </c>
      <c r="N111">
        <f ca="1">RAND()*M111</f>
        <v>368370.6314061149</v>
      </c>
      <c r="O111">
        <f ca="1">I111*RAND()*J111</f>
        <v>75428.673156686564</v>
      </c>
      <c r="P111">
        <f ca="1">RANDBETWEEN(0,O111)</f>
        <v>46312</v>
      </c>
      <c r="Q111">
        <f ca="1">RAND()*J111*2</f>
        <v>142806.93815016848</v>
      </c>
      <c r="R111">
        <f ca="1">RAND()*J111*1.5</f>
        <v>106665.75540218642</v>
      </c>
      <c r="S111">
        <f ca="1">J111+R111+O111</f>
        <v>258758.42855887298</v>
      </c>
      <c r="T111">
        <f ca="1">N111+P111+Q111</f>
        <v>557489.56955628342</v>
      </c>
      <c r="U111">
        <f ca="1">S111-T111</f>
        <v>-298731.1409974104</v>
      </c>
      <c r="AC111" s="6">
        <f ca="1">IF(Table1[[#This Row],[gender]]="men",1,0)</f>
        <v>1</v>
      </c>
      <c r="AD111">
        <f ca="1">IF(Table1[[#This Row],[gender]]="women",1,0)</f>
        <v>0</v>
      </c>
      <c r="AH111" s="5"/>
      <c r="AJ111" s="6">
        <f ca="1">IF(Table1[[#This Row],[Column1]]="Health",1,0)</f>
        <v>0</v>
      </c>
      <c r="AK111">
        <f ca="1">IF(Table1[[#This Row],[Column1]]="Construction",1,0)</f>
        <v>0</v>
      </c>
      <c r="AL111">
        <f ca="1">IF(Table1[[#This Row],[Column1]]="Technology",1,0)</f>
        <v>1</v>
      </c>
      <c r="AM111">
        <f ca="1">IF(Table1[[#This Row],[Column1]]="Education",1,0)</f>
        <v>0</v>
      </c>
      <c r="AN111">
        <f ca="1">IF(Table1[[#This Row],[Column1]]="Agriculture",1,0)</f>
        <v>0</v>
      </c>
      <c r="AO111">
        <f ca="1">IF(Table1[[#This Row],[Column1]]="Social Service", 1, 0)</f>
        <v>0</v>
      </c>
      <c r="AT111" s="5"/>
      <c r="AV111" s="17">
        <f t="shared" ca="1" si="3"/>
        <v>26608.020365890421</v>
      </c>
      <c r="AW111" s="5"/>
      <c r="AX111" s="6">
        <f ca="1">IF(Table1[[#This Row],[Value of Debts]]&gt;$AY$4,1,0)</f>
        <v>1</v>
      </c>
      <c r="AY111" s="20"/>
      <c r="AZ111" s="20"/>
      <c r="BA111" s="5"/>
      <c r="BB111" s="25">
        <f ca="1">Table1[[#This Row],[Mortage Left]]/Table1[[#This Row],[Value of House]]</f>
        <v>0.96100029063475656</v>
      </c>
      <c r="BC111" s="20">
        <f t="shared" ca="1" si="5"/>
        <v>0</v>
      </c>
      <c r="BD111" s="20"/>
      <c r="BE111" s="20"/>
      <c r="BF111" s="20"/>
      <c r="BG111" s="6">
        <f ca="1">IF(Table1[[#This Row],[County]]="Cumbria",Table1[[#This Row],[income]],0)</f>
        <v>0</v>
      </c>
      <c r="BH111" s="20">
        <f ca="1">IF(Table1[[#This Row],[County]]="Cheshire",Table1[[#This Row],[income]],0)</f>
        <v>0</v>
      </c>
      <c r="BI111" s="20">
        <f ca="1">IF(Table1[[#This Row],[County]]="Bristol",Table1[[#This Row],[income]],0)</f>
        <v>0</v>
      </c>
      <c r="BJ111" s="20">
        <f ca="1">IF(Table1[[#This Row],[County]]="Surrey",Table1[[#This Row],[income]],0)</f>
        <v>0</v>
      </c>
      <c r="BK111" s="20">
        <f ca="1">IF(Table1[[#This Row],[County]]="Norfolk",Table1[[#This Row],[income]],0)</f>
        <v>0</v>
      </c>
      <c r="BL111" s="20">
        <f ca="1">IF(Table1[[#This Row],[County]]="Lincolnshire",Table1[[#This Row],[income]],0)</f>
        <v>0</v>
      </c>
      <c r="BM111" s="20">
        <f ca="1">IF(Table1[[#This Row],[County]]="Somerset",Table1[[#This Row],[income]],0)</f>
        <v>0</v>
      </c>
      <c r="BN111" s="20">
        <f ca="1">IF(Table1[[#This Row],[County]]="Cambridgeshire",Table1[[#This Row],[income]],0)</f>
        <v>0</v>
      </c>
      <c r="BO111" s="20">
        <f ca="1">IF(Table1[[#This Row],[County]]="South Yorkshire",Table1[[#This Row],[income]],0)</f>
        <v>0</v>
      </c>
      <c r="BP111" s="20">
        <f ca="1">IF(Table1[[#This Row],[County]]="Greater London",Table1[[#This Row],[income]],0)</f>
        <v>76664</v>
      </c>
      <c r="BQ111" s="20">
        <f ca="1">IF(Table1[[#This Row],[County]]="Hampshire",Table1[[#This Row],[income]],0)</f>
        <v>0</v>
      </c>
      <c r="BR111" s="20">
        <f ca="1">IF(Table1[[#This Row],[County]]="Gloucestershire",Table1[[#This Row],[income]],0)</f>
        <v>0</v>
      </c>
      <c r="BS111" s="20">
        <f ca="1">IF(Table1[[#This Row],[County]]="West Sussex",Table1[[#This Row],[income]],0)</f>
        <v>0</v>
      </c>
      <c r="BT111" s="20">
        <f ca="1">IF(Table1[[#This Row],[County]]="Devon",Table1[[#This Row],[income]],0)</f>
        <v>0</v>
      </c>
      <c r="BU111" s="20">
        <f ca="1">IF(Table1[[#This Row],[County]]="Berkshire",Table1[[#This Row],[income]],0)</f>
        <v>0</v>
      </c>
      <c r="BV111" s="20">
        <f ca="1">IF(Table1[[#This Row],[County]]="Staffordshire",Table1[[#This Row],[income]],0)</f>
        <v>0</v>
      </c>
      <c r="BW111" s="20">
        <f ca="1">IF(Table1[[#This Row],[County]]="Leicestershire",Table1[[#This Row],[income]],0)</f>
        <v>0</v>
      </c>
      <c r="BX111" s="20">
        <f ca="1">IF(Table1[[#This Row],[County]]="Cornwall",Table1[[#This Row],[income]],0)</f>
        <v>0</v>
      </c>
      <c r="BY111" s="20">
        <f ca="1">IF(Table1[[#This Row],[County]]="Isle of Wight",Table1[[#This Row],[income]],0)</f>
        <v>0</v>
      </c>
      <c r="BZ111" s="20">
        <f ca="1">IF(Table1[[#This Row],[County]]="Surrey",Table1[[#This Row],[income]],0)</f>
        <v>0</v>
      </c>
      <c r="CA111" s="20">
        <f ca="1">IF(Table1[[#This Row],[County]]="Derbyshire",Table1[[#This Row],[income]],0)</f>
        <v>0</v>
      </c>
      <c r="CB111" s="20">
        <f ca="1">IF(Table1[[#This Row],[County]]="City of London",Table1[[#This Row],[income]],0)</f>
        <v>0</v>
      </c>
      <c r="CC111" s="20">
        <f ca="1">IF(Table1[[#This Row],[County]]="Bedfordshire",Table1[[#This Row],[income]],0)</f>
        <v>0</v>
      </c>
      <c r="CD111" s="20">
        <f ca="1">IF(Table1[[#This Row],[County]]="County Durham",Table1[[#This Row],[income]],0)</f>
        <v>0</v>
      </c>
      <c r="CE111" s="20">
        <f ca="1">IF(Table1[[#This Row],[County]]="East Riding of Yorkshire",Table1[[#This Row],[income]],0)</f>
        <v>0</v>
      </c>
      <c r="CF111" s="20">
        <f ca="1">IF(Table1[[#This Row],[County]]="West Yorkshire",Table1[[#This Row],[income]],0)</f>
        <v>0</v>
      </c>
      <c r="CG111" s="20">
        <f ca="1">IF(Table1[[#This Row],[County]]="Essex",Table1[[#This Row],[income]],0)</f>
        <v>0</v>
      </c>
      <c r="CH111" s="20">
        <f ca="1">IF(Table1[[#This Row],[County]]="East Sussex",Table1[[#This Row],[income]],0)</f>
        <v>0</v>
      </c>
      <c r="CI111" s="20">
        <f ca="1">IF(Table1[[#This Row],[County]]="Greater Manchester",Table1[[#This Row],[income]],0)</f>
        <v>0</v>
      </c>
      <c r="CJ111" s="20">
        <f ca="1">IF(Table1[[#This Row],[County]]="Hertfordshire",Table1[[#This Row],[income]],0)</f>
        <v>0</v>
      </c>
      <c r="CK111" s="20">
        <f ca="1">IF(Table1[[#This Row],[County]]="Herefordshire",Table1[[#This Row],[income]],0)</f>
        <v>0</v>
      </c>
      <c r="CL111" s="20">
        <f ca="1">IF(Table1[[#This Row],[County]]="Lancashire",Table1[[#This Row],[income]],0)</f>
        <v>0</v>
      </c>
      <c r="CM111" s="20">
        <f ca="1">IF(Table1[[#This Row],[County]]="Merseyside",Table1[[#This Row],[income]],0)</f>
        <v>0</v>
      </c>
      <c r="CN111" s="20">
        <f ca="1">IF(Table1[[#This Row],[County]]="Northamptonshire",Table1[[#This Row],[income]],0)</f>
        <v>0</v>
      </c>
      <c r="CO111" s="20">
        <f ca="1">IF(Table1[[#This Row],[County]]="Northumberland",Table1[[#This Row],[income]],0)</f>
        <v>0</v>
      </c>
      <c r="CP111" s="20">
        <f ca="1">IF(Table1[[#This Row],[County]]="Wiltshire",Table1[[#This Row],[income]],0)</f>
        <v>0</v>
      </c>
      <c r="CQ111" s="20">
        <f ca="1">IF(Table1[[#This Row],[County]]="West Midlands",Table1[[#This Row],[income]],0)</f>
        <v>0</v>
      </c>
      <c r="CR111" s="20">
        <f ca="1">IF(Table1[[#This Row],[County]]="Warwickshire",Table1[[#This Row],[income]],0)</f>
        <v>0</v>
      </c>
      <c r="CS111" s="20">
        <f ca="1">IF(Table1[[#This Row],[County]]="Tyne and Wear",Table1[[#This Row],[income]],0)</f>
        <v>0</v>
      </c>
      <c r="CT111" s="20">
        <f ca="1">IF(Table1[[#This Row],[County]]="Worcestershire",Table1[[#This Row],[income]],0)</f>
        <v>0</v>
      </c>
      <c r="CU111" s="20">
        <f ca="1">IF(Table1[[#This Row],[County]]="Rutland",Table1[[#This Row],[income]],0)</f>
        <v>0</v>
      </c>
      <c r="CV111" s="20">
        <f ca="1">IF(Table1[[#This Row],[County]]="Shropshire",Table1[[#This Row],[income]],0)</f>
        <v>0</v>
      </c>
      <c r="CW111" s="20">
        <f ca="1">IF(Table1[[#This Row],[County]]="Dorset",Table1[[#This Row],[income]],0)</f>
        <v>0</v>
      </c>
      <c r="CX111" s="20">
        <f ca="1">IF(Table1[[#This Row],[County]]="Buckinghamshire",Table1[[#This Row],[income]],0)</f>
        <v>0</v>
      </c>
      <c r="CY111" s="20">
        <f ca="1">IF(Table1[[#This Row],[County]]="Suffolk",Table1[[#This Row],[income]],0)</f>
        <v>0</v>
      </c>
      <c r="CZ111" s="20">
        <f ca="1">IF(Table1[[#This Row],[County]]="North Yorkshire",Table1[[#This Row],[income]],0)</f>
        <v>0</v>
      </c>
      <c r="DA111" s="20">
        <f ca="1">IF(Table1[[#This Row],[County]]="Kent",Table1[[#This Row],[income]],0)</f>
        <v>0</v>
      </c>
      <c r="DB111" s="5">
        <f ca="1">IF(Table1[[#This Row],[County]]="Derbyshire",Table1[[#This Row],[income]],0)</f>
        <v>0</v>
      </c>
      <c r="DD111" s="6">
        <f ca="1">IF(Table1[[#This Row],[Column1]]="Health",Table1[[#This Row],[income]],0)</f>
        <v>0</v>
      </c>
      <c r="DE111" s="20">
        <f ca="1">IF(Table1[[#This Row],[Column1]]="Agriculture",Table1[[#This Row],[income]],0)</f>
        <v>0</v>
      </c>
      <c r="DF111" s="20">
        <f ca="1">IF(Table1[[#This Row],[Column1]]="Technology",Table1[[#This Row],[income]],0)</f>
        <v>76664</v>
      </c>
      <c r="DG111" s="20">
        <f ca="1">IF(Table1[[#This Row],[Column1]]="Social Service",Table1[[#This Row],[income]],0)</f>
        <v>0</v>
      </c>
      <c r="DH111" s="20">
        <f ca="1">IF(Table1[[#This Row],[Column1]]="Education",Table1[[#This Row],[income]],0)</f>
        <v>0</v>
      </c>
      <c r="DI111" s="5">
        <f ca="1">IF(Table1[[#This Row],[Column1]]="Construction",Table1[[#This Row],[income]],0)</f>
        <v>0</v>
      </c>
      <c r="DK111" s="6">
        <f ca="1">IF(Table1[[#This Row],[Value of Debts]]&gt;Table1[[#This Row],[income]],1,0)</f>
        <v>1</v>
      </c>
      <c r="DL111" s="20"/>
      <c r="DM111" s="20"/>
      <c r="DN111" s="5"/>
      <c r="DP111" s="6">
        <f ca="1">IF(Table1[[#This Row],[Net Worth (£)]]&gt;$DS$5,C111,0)</f>
        <v>0</v>
      </c>
      <c r="DQ111" s="20"/>
      <c r="DR111" s="20"/>
      <c r="DS111" s="5"/>
    </row>
    <row r="112" spans="1:123" x14ac:dyDescent="0.2">
      <c r="A112">
        <f t="shared" ca="1" si="4"/>
        <v>2</v>
      </c>
      <c r="B112" s="1" t="str">
        <f ca="1">IF(A112=1, "men", "women")</f>
        <v>women</v>
      </c>
      <c r="C112" s="1">
        <f ca="1">RANDBETWEEN(25,50)</f>
        <v>38</v>
      </c>
      <c r="D112">
        <f ca="1">RANDBETWEEN(1,6)</f>
        <v>5</v>
      </c>
      <c r="E112" t="str">
        <f ca="1">VLOOKUP(D112,$W$5:$X$10,2)</f>
        <v>Social Service</v>
      </c>
      <c r="F112">
        <f ca="1">RANDBETWEEN(1,5)</f>
        <v>2</v>
      </c>
      <c r="G112" t="str">
        <f ca="1">VLOOKUP(F112,$Y$5:$Z$9,2)</f>
        <v>College</v>
      </c>
      <c r="H112">
        <f ca="1">RANDBETWEEN(0,4)</f>
        <v>2</v>
      </c>
      <c r="I112">
        <f ca="1">RANDBETWEEN(1,3)</f>
        <v>3</v>
      </c>
      <c r="J112">
        <f ca="1">RANDBETWEEN(30000,100000)</f>
        <v>50007</v>
      </c>
      <c r="K112">
        <f ca="1">RANDBETWEEN(1,48)</f>
        <v>4</v>
      </c>
      <c r="L112" t="str">
        <f ca="1">VLOOKUP(K112,$AA$5:$AB$52,2)</f>
        <v>Buckinghamshire</v>
      </c>
      <c r="M112">
        <f ca="1">J112*(RANDBETWEEN(2,5))</f>
        <v>250035</v>
      </c>
      <c r="N112">
        <f ca="1">RAND()*M112</f>
        <v>104107.04720792493</v>
      </c>
      <c r="O112">
        <f ca="1">I112*RAND()*J112</f>
        <v>79824.061097671263</v>
      </c>
      <c r="P112">
        <f ca="1">RANDBETWEEN(0,O112)</f>
        <v>11724</v>
      </c>
      <c r="Q112">
        <f ca="1">RAND()*J112*2</f>
        <v>44676.53889596388</v>
      </c>
      <c r="R112">
        <f ca="1">RAND()*J112*1.5</f>
        <v>19213.35377492362</v>
      </c>
      <c r="S112">
        <f ca="1">J112+R112+O112</f>
        <v>149044.41487259488</v>
      </c>
      <c r="T112">
        <f ca="1">N112+P112+Q112</f>
        <v>160507.58610388881</v>
      </c>
      <c r="U112">
        <f ca="1">S112-T112</f>
        <v>-11463.171231293934</v>
      </c>
      <c r="AC112" s="6">
        <f ca="1">IF(Table1[[#This Row],[gender]]="men",1,0)</f>
        <v>0</v>
      </c>
      <c r="AD112">
        <f ca="1">IF(Table1[[#This Row],[gender]]="women",1,0)</f>
        <v>1</v>
      </c>
      <c r="AH112" s="5"/>
      <c r="AJ112" s="6">
        <f ca="1">IF(Table1[[#This Row],[Column1]]="Health",1,0)</f>
        <v>0</v>
      </c>
      <c r="AK112">
        <f ca="1">IF(Table1[[#This Row],[Column1]]="Construction",1,0)</f>
        <v>0</v>
      </c>
      <c r="AL112">
        <f ca="1">IF(Table1[[#This Row],[Column1]]="Technology",1,0)</f>
        <v>0</v>
      </c>
      <c r="AM112">
        <f ca="1">IF(Table1[[#This Row],[Column1]]="Education",1,0)</f>
        <v>0</v>
      </c>
      <c r="AN112">
        <f ca="1">IF(Table1[[#This Row],[Column1]]="Agriculture",1,0)</f>
        <v>0</v>
      </c>
      <c r="AO112">
        <f ca="1">IF(Table1[[#This Row],[Column1]]="Social Service", 1, 0)</f>
        <v>1</v>
      </c>
      <c r="AT112" s="5"/>
      <c r="AV112" s="17">
        <f t="shared" ca="1" si="3"/>
        <v>39506.480071280232</v>
      </c>
      <c r="AW112" s="5"/>
      <c r="AX112" s="6">
        <f ca="1">IF(Table1[[#This Row],[Value of Debts]]&gt;$AY$4,1,0)</f>
        <v>1</v>
      </c>
      <c r="AY112" s="20"/>
      <c r="AZ112" s="20"/>
      <c r="BA112" s="5"/>
      <c r="BB112" s="25">
        <f ca="1">Table1[[#This Row],[Mortage Left]]/Table1[[#This Row],[Value of House]]</f>
        <v>0.41636989704611327</v>
      </c>
      <c r="BC112" s="20">
        <f t="shared" ca="1" si="5"/>
        <v>0</v>
      </c>
      <c r="BD112" s="20"/>
      <c r="BE112" s="20"/>
      <c r="BF112" s="20"/>
      <c r="BG112" s="6">
        <f ca="1">IF(Table1[[#This Row],[County]]="Cumbria",Table1[[#This Row],[income]],0)</f>
        <v>0</v>
      </c>
      <c r="BH112" s="20">
        <f ca="1">IF(Table1[[#This Row],[County]]="Cheshire",Table1[[#This Row],[income]],0)</f>
        <v>0</v>
      </c>
      <c r="BI112" s="20">
        <f ca="1">IF(Table1[[#This Row],[County]]="Bristol",Table1[[#This Row],[income]],0)</f>
        <v>0</v>
      </c>
      <c r="BJ112" s="20">
        <f ca="1">IF(Table1[[#This Row],[County]]="Surrey",Table1[[#This Row],[income]],0)</f>
        <v>0</v>
      </c>
      <c r="BK112" s="20">
        <f ca="1">IF(Table1[[#This Row],[County]]="Norfolk",Table1[[#This Row],[income]],0)</f>
        <v>0</v>
      </c>
      <c r="BL112" s="20">
        <f ca="1">IF(Table1[[#This Row],[County]]="Lincolnshire",Table1[[#This Row],[income]],0)</f>
        <v>0</v>
      </c>
      <c r="BM112" s="20">
        <f ca="1">IF(Table1[[#This Row],[County]]="Somerset",Table1[[#This Row],[income]],0)</f>
        <v>0</v>
      </c>
      <c r="BN112" s="20">
        <f ca="1">IF(Table1[[#This Row],[County]]="Cambridgeshire",Table1[[#This Row],[income]],0)</f>
        <v>0</v>
      </c>
      <c r="BO112" s="20">
        <f ca="1">IF(Table1[[#This Row],[County]]="South Yorkshire",Table1[[#This Row],[income]],0)</f>
        <v>0</v>
      </c>
      <c r="BP112" s="20">
        <f ca="1">IF(Table1[[#This Row],[County]]="Greater London",Table1[[#This Row],[income]],0)</f>
        <v>0</v>
      </c>
      <c r="BQ112" s="20">
        <f ca="1">IF(Table1[[#This Row],[County]]="Hampshire",Table1[[#This Row],[income]],0)</f>
        <v>0</v>
      </c>
      <c r="BR112" s="20">
        <f ca="1">IF(Table1[[#This Row],[County]]="Gloucestershire",Table1[[#This Row],[income]],0)</f>
        <v>0</v>
      </c>
      <c r="BS112" s="20">
        <f ca="1">IF(Table1[[#This Row],[County]]="West Sussex",Table1[[#This Row],[income]],0)</f>
        <v>0</v>
      </c>
      <c r="BT112" s="20">
        <f ca="1">IF(Table1[[#This Row],[County]]="Devon",Table1[[#This Row],[income]],0)</f>
        <v>0</v>
      </c>
      <c r="BU112" s="20">
        <f ca="1">IF(Table1[[#This Row],[County]]="Berkshire",Table1[[#This Row],[income]],0)</f>
        <v>0</v>
      </c>
      <c r="BV112" s="20">
        <f ca="1">IF(Table1[[#This Row],[County]]="Staffordshire",Table1[[#This Row],[income]],0)</f>
        <v>0</v>
      </c>
      <c r="BW112" s="20">
        <f ca="1">IF(Table1[[#This Row],[County]]="Leicestershire",Table1[[#This Row],[income]],0)</f>
        <v>0</v>
      </c>
      <c r="BX112" s="20">
        <f ca="1">IF(Table1[[#This Row],[County]]="Cornwall",Table1[[#This Row],[income]],0)</f>
        <v>0</v>
      </c>
      <c r="BY112" s="20">
        <f ca="1">IF(Table1[[#This Row],[County]]="Isle of Wight",Table1[[#This Row],[income]],0)</f>
        <v>0</v>
      </c>
      <c r="BZ112" s="20">
        <f ca="1">IF(Table1[[#This Row],[County]]="Surrey",Table1[[#This Row],[income]],0)</f>
        <v>0</v>
      </c>
      <c r="CA112" s="20">
        <f ca="1">IF(Table1[[#This Row],[County]]="Derbyshire",Table1[[#This Row],[income]],0)</f>
        <v>0</v>
      </c>
      <c r="CB112" s="20">
        <f ca="1">IF(Table1[[#This Row],[County]]="City of London",Table1[[#This Row],[income]],0)</f>
        <v>0</v>
      </c>
      <c r="CC112" s="20">
        <f ca="1">IF(Table1[[#This Row],[County]]="Bedfordshire",Table1[[#This Row],[income]],0)</f>
        <v>0</v>
      </c>
      <c r="CD112" s="20">
        <f ca="1">IF(Table1[[#This Row],[County]]="County Durham",Table1[[#This Row],[income]],0)</f>
        <v>0</v>
      </c>
      <c r="CE112" s="20">
        <f ca="1">IF(Table1[[#This Row],[County]]="East Riding of Yorkshire",Table1[[#This Row],[income]],0)</f>
        <v>0</v>
      </c>
      <c r="CF112" s="20">
        <f ca="1">IF(Table1[[#This Row],[County]]="West Yorkshire",Table1[[#This Row],[income]],0)</f>
        <v>0</v>
      </c>
      <c r="CG112" s="20">
        <f ca="1">IF(Table1[[#This Row],[County]]="Essex",Table1[[#This Row],[income]],0)</f>
        <v>0</v>
      </c>
      <c r="CH112" s="20">
        <f ca="1">IF(Table1[[#This Row],[County]]="East Sussex",Table1[[#This Row],[income]],0)</f>
        <v>0</v>
      </c>
      <c r="CI112" s="20">
        <f ca="1">IF(Table1[[#This Row],[County]]="Greater Manchester",Table1[[#This Row],[income]],0)</f>
        <v>0</v>
      </c>
      <c r="CJ112" s="20">
        <f ca="1">IF(Table1[[#This Row],[County]]="Hertfordshire",Table1[[#This Row],[income]],0)</f>
        <v>0</v>
      </c>
      <c r="CK112" s="20">
        <f ca="1">IF(Table1[[#This Row],[County]]="Herefordshire",Table1[[#This Row],[income]],0)</f>
        <v>0</v>
      </c>
      <c r="CL112" s="20">
        <f ca="1">IF(Table1[[#This Row],[County]]="Lancashire",Table1[[#This Row],[income]],0)</f>
        <v>0</v>
      </c>
      <c r="CM112" s="20">
        <f ca="1">IF(Table1[[#This Row],[County]]="Merseyside",Table1[[#This Row],[income]],0)</f>
        <v>0</v>
      </c>
      <c r="CN112" s="20">
        <f ca="1">IF(Table1[[#This Row],[County]]="Northamptonshire",Table1[[#This Row],[income]],0)</f>
        <v>0</v>
      </c>
      <c r="CO112" s="20">
        <f ca="1">IF(Table1[[#This Row],[County]]="Northumberland",Table1[[#This Row],[income]],0)</f>
        <v>0</v>
      </c>
      <c r="CP112" s="20">
        <f ca="1">IF(Table1[[#This Row],[County]]="Wiltshire",Table1[[#This Row],[income]],0)</f>
        <v>0</v>
      </c>
      <c r="CQ112" s="20">
        <f ca="1">IF(Table1[[#This Row],[County]]="West Midlands",Table1[[#This Row],[income]],0)</f>
        <v>0</v>
      </c>
      <c r="CR112" s="20">
        <f ca="1">IF(Table1[[#This Row],[County]]="Warwickshire",Table1[[#This Row],[income]],0)</f>
        <v>0</v>
      </c>
      <c r="CS112" s="20">
        <f ca="1">IF(Table1[[#This Row],[County]]="Tyne and Wear",Table1[[#This Row],[income]],0)</f>
        <v>0</v>
      </c>
      <c r="CT112" s="20">
        <f ca="1">IF(Table1[[#This Row],[County]]="Worcestershire",Table1[[#This Row],[income]],0)</f>
        <v>0</v>
      </c>
      <c r="CU112" s="20">
        <f ca="1">IF(Table1[[#This Row],[County]]="Rutland",Table1[[#This Row],[income]],0)</f>
        <v>0</v>
      </c>
      <c r="CV112" s="20">
        <f ca="1">IF(Table1[[#This Row],[County]]="Shropshire",Table1[[#This Row],[income]],0)</f>
        <v>0</v>
      </c>
      <c r="CW112" s="20">
        <f ca="1">IF(Table1[[#This Row],[County]]="Dorset",Table1[[#This Row],[income]],0)</f>
        <v>0</v>
      </c>
      <c r="CX112" s="20">
        <f ca="1">IF(Table1[[#This Row],[County]]="Buckinghamshire",Table1[[#This Row],[income]],0)</f>
        <v>50007</v>
      </c>
      <c r="CY112" s="20">
        <f ca="1">IF(Table1[[#This Row],[County]]="Suffolk",Table1[[#This Row],[income]],0)</f>
        <v>0</v>
      </c>
      <c r="CZ112" s="20">
        <f ca="1">IF(Table1[[#This Row],[County]]="North Yorkshire",Table1[[#This Row],[income]],0)</f>
        <v>0</v>
      </c>
      <c r="DA112" s="20">
        <f ca="1">IF(Table1[[#This Row],[County]]="Kent",Table1[[#This Row],[income]],0)</f>
        <v>0</v>
      </c>
      <c r="DB112" s="5">
        <f ca="1">IF(Table1[[#This Row],[County]]="Derbyshire",Table1[[#This Row],[income]],0)</f>
        <v>0</v>
      </c>
      <c r="DD112" s="6">
        <f ca="1">IF(Table1[[#This Row],[Column1]]="Health",Table1[[#This Row],[income]],0)</f>
        <v>0</v>
      </c>
      <c r="DE112" s="20">
        <f ca="1">IF(Table1[[#This Row],[Column1]]="Agriculture",Table1[[#This Row],[income]],0)</f>
        <v>0</v>
      </c>
      <c r="DF112" s="20">
        <f ca="1">IF(Table1[[#This Row],[Column1]]="Technology",Table1[[#This Row],[income]],0)</f>
        <v>0</v>
      </c>
      <c r="DG112" s="20">
        <f ca="1">IF(Table1[[#This Row],[Column1]]="Social Service",Table1[[#This Row],[income]],0)</f>
        <v>50007</v>
      </c>
      <c r="DH112" s="20">
        <f ca="1">IF(Table1[[#This Row],[Column1]]="Education",Table1[[#This Row],[income]],0)</f>
        <v>0</v>
      </c>
      <c r="DI112" s="5">
        <f ca="1">IF(Table1[[#This Row],[Column1]]="Construction",Table1[[#This Row],[income]],0)</f>
        <v>0</v>
      </c>
      <c r="DK112" s="6">
        <f ca="1">IF(Table1[[#This Row],[Value of Debts]]&gt;Table1[[#This Row],[income]],1,0)</f>
        <v>1</v>
      </c>
      <c r="DL112" s="20"/>
      <c r="DM112" s="20"/>
      <c r="DN112" s="5"/>
      <c r="DP112" s="6">
        <f ca="1">IF(Table1[[#This Row],[Net Worth (£)]]&gt;$DS$5,C112,0)</f>
        <v>0</v>
      </c>
      <c r="DQ112" s="20"/>
      <c r="DR112" s="20"/>
      <c r="DS112" s="5"/>
    </row>
    <row r="113" spans="1:123" x14ac:dyDescent="0.2">
      <c r="A113">
        <f t="shared" ca="1" si="4"/>
        <v>1</v>
      </c>
      <c r="B113" s="1" t="str">
        <f ca="1">IF(A113=1, "men", "women")</f>
        <v>men</v>
      </c>
      <c r="C113" s="1">
        <f ca="1">RANDBETWEEN(25,50)</f>
        <v>28</v>
      </c>
      <c r="D113">
        <f ca="1">RANDBETWEEN(1,6)</f>
        <v>4</v>
      </c>
      <c r="E113" t="str">
        <f ca="1">VLOOKUP(D113,$W$5:$X$10,2)</f>
        <v>Technology</v>
      </c>
      <c r="F113">
        <f ca="1">RANDBETWEEN(1,5)</f>
        <v>3</v>
      </c>
      <c r="G113" t="str">
        <f ca="1">VLOOKUP(F113,$Y$5:$Z$9,2)</f>
        <v>University</v>
      </c>
      <c r="H113">
        <f ca="1">RANDBETWEEN(0,4)</f>
        <v>4</v>
      </c>
      <c r="I113">
        <f ca="1">RANDBETWEEN(1,3)</f>
        <v>1</v>
      </c>
      <c r="J113">
        <f ca="1">RANDBETWEEN(30000,100000)</f>
        <v>76160</v>
      </c>
      <c r="K113">
        <f ca="1">RANDBETWEEN(1,48)</f>
        <v>38</v>
      </c>
      <c r="L113" t="str">
        <f ca="1">VLOOKUP(K113,$AA$5:$AB$52,2)</f>
        <v>South Yorkshire</v>
      </c>
      <c r="M113">
        <f ca="1">J113*(RANDBETWEEN(2,5))</f>
        <v>304640</v>
      </c>
      <c r="N113">
        <f ca="1">RAND()*M113</f>
        <v>76257.731573077675</v>
      </c>
      <c r="O113">
        <f ca="1">I113*RAND()*J113</f>
        <v>39506.480071280232</v>
      </c>
      <c r="P113">
        <f ca="1">RANDBETWEEN(0,O113)</f>
        <v>38416</v>
      </c>
      <c r="Q113">
        <f ca="1">RAND()*J113*2</f>
        <v>140425.41005955674</v>
      </c>
      <c r="R113">
        <f ca="1">RAND()*J113*1.5</f>
        <v>48922.546487166699</v>
      </c>
      <c r="S113">
        <f ca="1">J113+R113+O113</f>
        <v>164589.02655844693</v>
      </c>
      <c r="T113">
        <f ca="1">N113+P113+Q113</f>
        <v>255099.14163263442</v>
      </c>
      <c r="U113">
        <f ca="1">S113-T113</f>
        <v>-90510.115074187488</v>
      </c>
      <c r="AC113" s="6">
        <f ca="1">IF(Table1[[#This Row],[gender]]="men",1,0)</f>
        <v>1</v>
      </c>
      <c r="AD113">
        <f ca="1">IF(Table1[[#This Row],[gender]]="women",1,0)</f>
        <v>0</v>
      </c>
      <c r="AH113" s="5"/>
      <c r="AJ113" s="6">
        <f ca="1">IF(Table1[[#This Row],[Column1]]="Health",1,0)</f>
        <v>0</v>
      </c>
      <c r="AK113">
        <f ca="1">IF(Table1[[#This Row],[Column1]]="Construction",1,0)</f>
        <v>0</v>
      </c>
      <c r="AL113">
        <f ca="1">IF(Table1[[#This Row],[Column1]]="Technology",1,0)</f>
        <v>1</v>
      </c>
      <c r="AM113">
        <f ca="1">IF(Table1[[#This Row],[Column1]]="Education",1,0)</f>
        <v>0</v>
      </c>
      <c r="AN113">
        <f ca="1">IF(Table1[[#This Row],[Column1]]="Agriculture",1,0)</f>
        <v>0</v>
      </c>
      <c r="AO113">
        <f ca="1">IF(Table1[[#This Row],[Column1]]="Social Service", 1, 0)</f>
        <v>0</v>
      </c>
      <c r="AT113" s="5"/>
      <c r="AV113" s="17">
        <f t="shared" ca="1" si="3"/>
        <v>26298.289461771496</v>
      </c>
      <c r="AW113" s="5"/>
      <c r="AX113" s="6">
        <f ca="1">IF(Table1[[#This Row],[Value of Debts]]&gt;$AY$4,1,0)</f>
        <v>1</v>
      </c>
      <c r="AY113" s="20"/>
      <c r="AZ113" s="20"/>
      <c r="BA113" s="5"/>
      <c r="BB113" s="25">
        <f ca="1">Table1[[#This Row],[Mortage Left]]/Table1[[#This Row],[Value of House]]</f>
        <v>0.25032081004818041</v>
      </c>
      <c r="BC113" s="20">
        <f t="shared" ca="1" si="5"/>
        <v>1</v>
      </c>
      <c r="BD113" s="20"/>
      <c r="BE113" s="20"/>
      <c r="BF113" s="20"/>
      <c r="BG113" s="6">
        <f ca="1">IF(Table1[[#This Row],[County]]="Cumbria",Table1[[#This Row],[income]],0)</f>
        <v>0</v>
      </c>
      <c r="BH113" s="20">
        <f ca="1">IF(Table1[[#This Row],[County]]="Cheshire",Table1[[#This Row],[income]],0)</f>
        <v>0</v>
      </c>
      <c r="BI113" s="20">
        <f ca="1">IF(Table1[[#This Row],[County]]="Bristol",Table1[[#This Row],[income]],0)</f>
        <v>0</v>
      </c>
      <c r="BJ113" s="20">
        <f ca="1">IF(Table1[[#This Row],[County]]="Surrey",Table1[[#This Row],[income]],0)</f>
        <v>0</v>
      </c>
      <c r="BK113" s="20">
        <f ca="1">IF(Table1[[#This Row],[County]]="Norfolk",Table1[[#This Row],[income]],0)</f>
        <v>0</v>
      </c>
      <c r="BL113" s="20">
        <f ca="1">IF(Table1[[#This Row],[County]]="Lincolnshire",Table1[[#This Row],[income]],0)</f>
        <v>0</v>
      </c>
      <c r="BM113" s="20">
        <f ca="1">IF(Table1[[#This Row],[County]]="Somerset",Table1[[#This Row],[income]],0)</f>
        <v>0</v>
      </c>
      <c r="BN113" s="20">
        <f ca="1">IF(Table1[[#This Row],[County]]="Cambridgeshire",Table1[[#This Row],[income]],0)</f>
        <v>0</v>
      </c>
      <c r="BO113" s="20">
        <f ca="1">IF(Table1[[#This Row],[County]]="South Yorkshire",Table1[[#This Row],[income]],0)</f>
        <v>76160</v>
      </c>
      <c r="BP113" s="20">
        <f ca="1">IF(Table1[[#This Row],[County]]="Greater London",Table1[[#This Row],[income]],0)</f>
        <v>0</v>
      </c>
      <c r="BQ113" s="20">
        <f ca="1">IF(Table1[[#This Row],[County]]="Hampshire",Table1[[#This Row],[income]],0)</f>
        <v>0</v>
      </c>
      <c r="BR113" s="20">
        <f ca="1">IF(Table1[[#This Row],[County]]="Gloucestershire",Table1[[#This Row],[income]],0)</f>
        <v>0</v>
      </c>
      <c r="BS113" s="20">
        <f ca="1">IF(Table1[[#This Row],[County]]="West Sussex",Table1[[#This Row],[income]],0)</f>
        <v>0</v>
      </c>
      <c r="BT113" s="20">
        <f ca="1">IF(Table1[[#This Row],[County]]="Devon",Table1[[#This Row],[income]],0)</f>
        <v>0</v>
      </c>
      <c r="BU113" s="20">
        <f ca="1">IF(Table1[[#This Row],[County]]="Berkshire",Table1[[#This Row],[income]],0)</f>
        <v>0</v>
      </c>
      <c r="BV113" s="20">
        <f ca="1">IF(Table1[[#This Row],[County]]="Staffordshire",Table1[[#This Row],[income]],0)</f>
        <v>0</v>
      </c>
      <c r="BW113" s="20">
        <f ca="1">IF(Table1[[#This Row],[County]]="Leicestershire",Table1[[#This Row],[income]],0)</f>
        <v>0</v>
      </c>
      <c r="BX113" s="20">
        <f ca="1">IF(Table1[[#This Row],[County]]="Cornwall",Table1[[#This Row],[income]],0)</f>
        <v>0</v>
      </c>
      <c r="BY113" s="20">
        <f ca="1">IF(Table1[[#This Row],[County]]="Isle of Wight",Table1[[#This Row],[income]],0)</f>
        <v>0</v>
      </c>
      <c r="BZ113" s="20">
        <f ca="1">IF(Table1[[#This Row],[County]]="Surrey",Table1[[#This Row],[income]],0)</f>
        <v>0</v>
      </c>
      <c r="CA113" s="20">
        <f ca="1">IF(Table1[[#This Row],[County]]="Derbyshire",Table1[[#This Row],[income]],0)</f>
        <v>0</v>
      </c>
      <c r="CB113" s="20">
        <f ca="1">IF(Table1[[#This Row],[County]]="City of London",Table1[[#This Row],[income]],0)</f>
        <v>0</v>
      </c>
      <c r="CC113" s="20">
        <f ca="1">IF(Table1[[#This Row],[County]]="Bedfordshire",Table1[[#This Row],[income]],0)</f>
        <v>0</v>
      </c>
      <c r="CD113" s="20">
        <f ca="1">IF(Table1[[#This Row],[County]]="County Durham",Table1[[#This Row],[income]],0)</f>
        <v>0</v>
      </c>
      <c r="CE113" s="20">
        <f ca="1">IF(Table1[[#This Row],[County]]="East Riding of Yorkshire",Table1[[#This Row],[income]],0)</f>
        <v>0</v>
      </c>
      <c r="CF113" s="20">
        <f ca="1">IF(Table1[[#This Row],[County]]="West Yorkshire",Table1[[#This Row],[income]],0)</f>
        <v>0</v>
      </c>
      <c r="CG113" s="20">
        <f ca="1">IF(Table1[[#This Row],[County]]="Essex",Table1[[#This Row],[income]],0)</f>
        <v>0</v>
      </c>
      <c r="CH113" s="20">
        <f ca="1">IF(Table1[[#This Row],[County]]="East Sussex",Table1[[#This Row],[income]],0)</f>
        <v>0</v>
      </c>
      <c r="CI113" s="20">
        <f ca="1">IF(Table1[[#This Row],[County]]="Greater Manchester",Table1[[#This Row],[income]],0)</f>
        <v>0</v>
      </c>
      <c r="CJ113" s="20">
        <f ca="1">IF(Table1[[#This Row],[County]]="Hertfordshire",Table1[[#This Row],[income]],0)</f>
        <v>0</v>
      </c>
      <c r="CK113" s="20">
        <f ca="1">IF(Table1[[#This Row],[County]]="Herefordshire",Table1[[#This Row],[income]],0)</f>
        <v>0</v>
      </c>
      <c r="CL113" s="20">
        <f ca="1">IF(Table1[[#This Row],[County]]="Lancashire",Table1[[#This Row],[income]],0)</f>
        <v>0</v>
      </c>
      <c r="CM113" s="20">
        <f ca="1">IF(Table1[[#This Row],[County]]="Merseyside",Table1[[#This Row],[income]],0)</f>
        <v>0</v>
      </c>
      <c r="CN113" s="20">
        <f ca="1">IF(Table1[[#This Row],[County]]="Northamptonshire",Table1[[#This Row],[income]],0)</f>
        <v>0</v>
      </c>
      <c r="CO113" s="20">
        <f ca="1">IF(Table1[[#This Row],[County]]="Northumberland",Table1[[#This Row],[income]],0)</f>
        <v>0</v>
      </c>
      <c r="CP113" s="20">
        <f ca="1">IF(Table1[[#This Row],[County]]="Wiltshire",Table1[[#This Row],[income]],0)</f>
        <v>0</v>
      </c>
      <c r="CQ113" s="20">
        <f ca="1">IF(Table1[[#This Row],[County]]="West Midlands",Table1[[#This Row],[income]],0)</f>
        <v>0</v>
      </c>
      <c r="CR113" s="20">
        <f ca="1">IF(Table1[[#This Row],[County]]="Warwickshire",Table1[[#This Row],[income]],0)</f>
        <v>0</v>
      </c>
      <c r="CS113" s="20">
        <f ca="1">IF(Table1[[#This Row],[County]]="Tyne and Wear",Table1[[#This Row],[income]],0)</f>
        <v>0</v>
      </c>
      <c r="CT113" s="20">
        <f ca="1">IF(Table1[[#This Row],[County]]="Worcestershire",Table1[[#This Row],[income]],0)</f>
        <v>0</v>
      </c>
      <c r="CU113" s="20">
        <f ca="1">IF(Table1[[#This Row],[County]]="Rutland",Table1[[#This Row],[income]],0)</f>
        <v>0</v>
      </c>
      <c r="CV113" s="20">
        <f ca="1">IF(Table1[[#This Row],[County]]="Shropshire",Table1[[#This Row],[income]],0)</f>
        <v>0</v>
      </c>
      <c r="CW113" s="20">
        <f ca="1">IF(Table1[[#This Row],[County]]="Dorset",Table1[[#This Row],[income]],0)</f>
        <v>0</v>
      </c>
      <c r="CX113" s="20">
        <f ca="1">IF(Table1[[#This Row],[County]]="Buckinghamshire",Table1[[#This Row],[income]],0)</f>
        <v>0</v>
      </c>
      <c r="CY113" s="20">
        <f ca="1">IF(Table1[[#This Row],[County]]="Suffolk",Table1[[#This Row],[income]],0)</f>
        <v>0</v>
      </c>
      <c r="CZ113" s="20">
        <f ca="1">IF(Table1[[#This Row],[County]]="North Yorkshire",Table1[[#This Row],[income]],0)</f>
        <v>0</v>
      </c>
      <c r="DA113" s="20">
        <f ca="1">IF(Table1[[#This Row],[County]]="Kent",Table1[[#This Row],[income]],0)</f>
        <v>0</v>
      </c>
      <c r="DB113" s="5">
        <f ca="1">IF(Table1[[#This Row],[County]]="Derbyshire",Table1[[#This Row],[income]],0)</f>
        <v>0</v>
      </c>
      <c r="DD113" s="6">
        <f ca="1">IF(Table1[[#This Row],[Column1]]="Health",Table1[[#This Row],[income]],0)</f>
        <v>0</v>
      </c>
      <c r="DE113" s="20">
        <f ca="1">IF(Table1[[#This Row],[Column1]]="Agriculture",Table1[[#This Row],[income]],0)</f>
        <v>0</v>
      </c>
      <c r="DF113" s="20">
        <f ca="1">IF(Table1[[#This Row],[Column1]]="Technology",Table1[[#This Row],[income]],0)</f>
        <v>76160</v>
      </c>
      <c r="DG113" s="20">
        <f ca="1">IF(Table1[[#This Row],[Column1]]="Social Service",Table1[[#This Row],[income]],0)</f>
        <v>0</v>
      </c>
      <c r="DH113" s="20">
        <f ca="1">IF(Table1[[#This Row],[Column1]]="Education",Table1[[#This Row],[income]],0)</f>
        <v>0</v>
      </c>
      <c r="DI113" s="5">
        <f ca="1">IF(Table1[[#This Row],[Column1]]="Construction",Table1[[#This Row],[income]],0)</f>
        <v>0</v>
      </c>
      <c r="DK113" s="6">
        <f ca="1">IF(Table1[[#This Row],[Value of Debts]]&gt;Table1[[#This Row],[income]],1,0)</f>
        <v>1</v>
      </c>
      <c r="DL113" s="20"/>
      <c r="DM113" s="20"/>
      <c r="DN113" s="5"/>
      <c r="DP113" s="6">
        <f ca="1">IF(Table1[[#This Row],[Net Worth (£)]]&gt;$DS$5,C113,0)</f>
        <v>0</v>
      </c>
      <c r="DQ113" s="20"/>
      <c r="DR113" s="20"/>
      <c r="DS113" s="5"/>
    </row>
    <row r="114" spans="1:123" x14ac:dyDescent="0.2">
      <c r="A114">
        <f t="shared" ca="1" si="4"/>
        <v>2</v>
      </c>
      <c r="B114" s="1" t="str">
        <f ca="1">IF(A114=1, "men", "women")</f>
        <v>women</v>
      </c>
      <c r="C114" s="1">
        <f ca="1">RANDBETWEEN(25,50)</f>
        <v>28</v>
      </c>
      <c r="D114">
        <f ca="1">RANDBETWEEN(1,6)</f>
        <v>3</v>
      </c>
      <c r="E114" t="str">
        <f ca="1">VLOOKUP(D114,$W$5:$X$10,2)</f>
        <v>Education</v>
      </c>
      <c r="F114">
        <f ca="1">RANDBETWEEN(1,5)</f>
        <v>3</v>
      </c>
      <c r="G114" t="str">
        <f ca="1">VLOOKUP(F114,$Y$5:$Z$9,2)</f>
        <v>University</v>
      </c>
      <c r="H114">
        <f ca="1">RANDBETWEEN(0,4)</f>
        <v>4</v>
      </c>
      <c r="I114">
        <f ca="1">RANDBETWEEN(1,3)</f>
        <v>3</v>
      </c>
      <c r="J114">
        <f ca="1">RANDBETWEEN(30000,100000)</f>
        <v>33282</v>
      </c>
      <c r="K114">
        <f ca="1">RANDBETWEEN(1,48)</f>
        <v>6</v>
      </c>
      <c r="L114" t="str">
        <f ca="1">VLOOKUP(K114,$AA$5:$AB$52,2)</f>
        <v>Cheshire</v>
      </c>
      <c r="M114">
        <f ca="1">J114*(RANDBETWEEN(2,5))</f>
        <v>66564</v>
      </c>
      <c r="N114">
        <f ca="1">RAND()*M114</f>
        <v>6840.0450391853174</v>
      </c>
      <c r="O114">
        <f ca="1">I114*RAND()*J114</f>
        <v>78894.86838531449</v>
      </c>
      <c r="P114">
        <f ca="1">RANDBETWEEN(0,O114)</f>
        <v>54113</v>
      </c>
      <c r="Q114">
        <f ca="1">RAND()*J114*2</f>
        <v>54420.260983638611</v>
      </c>
      <c r="R114">
        <f ca="1">RAND()*J114*1.5</f>
        <v>37044.565782633872</v>
      </c>
      <c r="S114">
        <f ca="1">J114+R114+O114</f>
        <v>149221.43416794838</v>
      </c>
      <c r="T114">
        <f ca="1">N114+P114+Q114</f>
        <v>115373.30602282393</v>
      </c>
      <c r="U114">
        <f ca="1">S114-T114</f>
        <v>33848.128145124443</v>
      </c>
      <c r="AC114" s="6">
        <f ca="1">IF(Table1[[#This Row],[gender]]="men",1,0)</f>
        <v>0</v>
      </c>
      <c r="AD114">
        <f ca="1">IF(Table1[[#This Row],[gender]]="women",1,0)</f>
        <v>1</v>
      </c>
      <c r="AH114" s="5"/>
      <c r="AJ114" s="6">
        <f ca="1">IF(Table1[[#This Row],[Column1]]="Health",1,0)</f>
        <v>0</v>
      </c>
      <c r="AK114">
        <f ca="1">IF(Table1[[#This Row],[Column1]]="Construction",1,0)</f>
        <v>0</v>
      </c>
      <c r="AL114">
        <f ca="1">IF(Table1[[#This Row],[Column1]]="Technology",1,0)</f>
        <v>0</v>
      </c>
      <c r="AM114">
        <f ca="1">IF(Table1[[#This Row],[Column1]]="Education",1,0)</f>
        <v>1</v>
      </c>
      <c r="AN114">
        <f ca="1">IF(Table1[[#This Row],[Column1]]="Agriculture",1,0)</f>
        <v>0</v>
      </c>
      <c r="AO114">
        <f ca="1">IF(Table1[[#This Row],[Column1]]="Social Service", 1, 0)</f>
        <v>0</v>
      </c>
      <c r="AT114" s="5"/>
      <c r="AV114" s="17">
        <f t="shared" ca="1" si="3"/>
        <v>29818.37058682126</v>
      </c>
      <c r="AW114" s="5"/>
      <c r="AX114" s="6">
        <f ca="1">IF(Table1[[#This Row],[Value of Debts]]&gt;$AY$4,1,0)</f>
        <v>1</v>
      </c>
      <c r="AY114" s="20"/>
      <c r="AZ114" s="20"/>
      <c r="BA114" s="5"/>
      <c r="BB114" s="25">
        <f ca="1">Table1[[#This Row],[Mortage Left]]/Table1[[#This Row],[Value of House]]</f>
        <v>0.10275892433124989</v>
      </c>
      <c r="BC114" s="20">
        <f t="shared" ca="1" si="5"/>
        <v>1</v>
      </c>
      <c r="BD114" s="20"/>
      <c r="BE114" s="20"/>
      <c r="BF114" s="20"/>
      <c r="BG114" s="6">
        <f ca="1">IF(Table1[[#This Row],[County]]="Cumbria",Table1[[#This Row],[income]],0)</f>
        <v>0</v>
      </c>
      <c r="BH114" s="20">
        <f ca="1">IF(Table1[[#This Row],[County]]="Cheshire",Table1[[#This Row],[income]],0)</f>
        <v>33282</v>
      </c>
      <c r="BI114" s="20">
        <f ca="1">IF(Table1[[#This Row],[County]]="Bristol",Table1[[#This Row],[income]],0)</f>
        <v>0</v>
      </c>
      <c r="BJ114" s="20">
        <f ca="1">IF(Table1[[#This Row],[County]]="Surrey",Table1[[#This Row],[income]],0)</f>
        <v>0</v>
      </c>
      <c r="BK114" s="20">
        <f ca="1">IF(Table1[[#This Row],[County]]="Norfolk",Table1[[#This Row],[income]],0)</f>
        <v>0</v>
      </c>
      <c r="BL114" s="20">
        <f ca="1">IF(Table1[[#This Row],[County]]="Lincolnshire",Table1[[#This Row],[income]],0)</f>
        <v>0</v>
      </c>
      <c r="BM114" s="20">
        <f ca="1">IF(Table1[[#This Row],[County]]="Somerset",Table1[[#This Row],[income]],0)</f>
        <v>0</v>
      </c>
      <c r="BN114" s="20">
        <f ca="1">IF(Table1[[#This Row],[County]]="Cambridgeshire",Table1[[#This Row],[income]],0)</f>
        <v>0</v>
      </c>
      <c r="BO114" s="20">
        <f ca="1">IF(Table1[[#This Row],[County]]="South Yorkshire",Table1[[#This Row],[income]],0)</f>
        <v>0</v>
      </c>
      <c r="BP114" s="20">
        <f ca="1">IF(Table1[[#This Row],[County]]="Greater London",Table1[[#This Row],[income]],0)</f>
        <v>0</v>
      </c>
      <c r="BQ114" s="20">
        <f ca="1">IF(Table1[[#This Row],[County]]="Hampshire",Table1[[#This Row],[income]],0)</f>
        <v>0</v>
      </c>
      <c r="BR114" s="20">
        <f ca="1">IF(Table1[[#This Row],[County]]="Gloucestershire",Table1[[#This Row],[income]],0)</f>
        <v>0</v>
      </c>
      <c r="BS114" s="20">
        <f ca="1">IF(Table1[[#This Row],[County]]="West Sussex",Table1[[#This Row],[income]],0)</f>
        <v>0</v>
      </c>
      <c r="BT114" s="20">
        <f ca="1">IF(Table1[[#This Row],[County]]="Devon",Table1[[#This Row],[income]],0)</f>
        <v>0</v>
      </c>
      <c r="BU114" s="20">
        <f ca="1">IF(Table1[[#This Row],[County]]="Berkshire",Table1[[#This Row],[income]],0)</f>
        <v>0</v>
      </c>
      <c r="BV114" s="20">
        <f ca="1">IF(Table1[[#This Row],[County]]="Staffordshire",Table1[[#This Row],[income]],0)</f>
        <v>0</v>
      </c>
      <c r="BW114" s="20">
        <f ca="1">IF(Table1[[#This Row],[County]]="Leicestershire",Table1[[#This Row],[income]],0)</f>
        <v>0</v>
      </c>
      <c r="BX114" s="20">
        <f ca="1">IF(Table1[[#This Row],[County]]="Cornwall",Table1[[#This Row],[income]],0)</f>
        <v>0</v>
      </c>
      <c r="BY114" s="20">
        <f ca="1">IF(Table1[[#This Row],[County]]="Isle of Wight",Table1[[#This Row],[income]],0)</f>
        <v>0</v>
      </c>
      <c r="BZ114" s="20">
        <f ca="1">IF(Table1[[#This Row],[County]]="Surrey",Table1[[#This Row],[income]],0)</f>
        <v>0</v>
      </c>
      <c r="CA114" s="20">
        <f ca="1">IF(Table1[[#This Row],[County]]="Derbyshire",Table1[[#This Row],[income]],0)</f>
        <v>0</v>
      </c>
      <c r="CB114" s="20">
        <f ca="1">IF(Table1[[#This Row],[County]]="City of London",Table1[[#This Row],[income]],0)</f>
        <v>0</v>
      </c>
      <c r="CC114" s="20">
        <f ca="1">IF(Table1[[#This Row],[County]]="Bedfordshire",Table1[[#This Row],[income]],0)</f>
        <v>0</v>
      </c>
      <c r="CD114" s="20">
        <f ca="1">IF(Table1[[#This Row],[County]]="County Durham",Table1[[#This Row],[income]],0)</f>
        <v>0</v>
      </c>
      <c r="CE114" s="20">
        <f ca="1">IF(Table1[[#This Row],[County]]="East Riding of Yorkshire",Table1[[#This Row],[income]],0)</f>
        <v>0</v>
      </c>
      <c r="CF114" s="20">
        <f ca="1">IF(Table1[[#This Row],[County]]="West Yorkshire",Table1[[#This Row],[income]],0)</f>
        <v>0</v>
      </c>
      <c r="CG114" s="20">
        <f ca="1">IF(Table1[[#This Row],[County]]="Essex",Table1[[#This Row],[income]],0)</f>
        <v>0</v>
      </c>
      <c r="CH114" s="20">
        <f ca="1">IF(Table1[[#This Row],[County]]="East Sussex",Table1[[#This Row],[income]],0)</f>
        <v>0</v>
      </c>
      <c r="CI114" s="20">
        <f ca="1">IF(Table1[[#This Row],[County]]="Greater Manchester",Table1[[#This Row],[income]],0)</f>
        <v>0</v>
      </c>
      <c r="CJ114" s="20">
        <f ca="1">IF(Table1[[#This Row],[County]]="Hertfordshire",Table1[[#This Row],[income]],0)</f>
        <v>0</v>
      </c>
      <c r="CK114" s="20">
        <f ca="1">IF(Table1[[#This Row],[County]]="Herefordshire",Table1[[#This Row],[income]],0)</f>
        <v>0</v>
      </c>
      <c r="CL114" s="20">
        <f ca="1">IF(Table1[[#This Row],[County]]="Lancashire",Table1[[#This Row],[income]],0)</f>
        <v>0</v>
      </c>
      <c r="CM114" s="20">
        <f ca="1">IF(Table1[[#This Row],[County]]="Merseyside",Table1[[#This Row],[income]],0)</f>
        <v>0</v>
      </c>
      <c r="CN114" s="20">
        <f ca="1">IF(Table1[[#This Row],[County]]="Northamptonshire",Table1[[#This Row],[income]],0)</f>
        <v>0</v>
      </c>
      <c r="CO114" s="20">
        <f ca="1">IF(Table1[[#This Row],[County]]="Northumberland",Table1[[#This Row],[income]],0)</f>
        <v>0</v>
      </c>
      <c r="CP114" s="20">
        <f ca="1">IF(Table1[[#This Row],[County]]="Wiltshire",Table1[[#This Row],[income]],0)</f>
        <v>0</v>
      </c>
      <c r="CQ114" s="20">
        <f ca="1">IF(Table1[[#This Row],[County]]="West Midlands",Table1[[#This Row],[income]],0)</f>
        <v>0</v>
      </c>
      <c r="CR114" s="20">
        <f ca="1">IF(Table1[[#This Row],[County]]="Warwickshire",Table1[[#This Row],[income]],0)</f>
        <v>0</v>
      </c>
      <c r="CS114" s="20">
        <f ca="1">IF(Table1[[#This Row],[County]]="Tyne and Wear",Table1[[#This Row],[income]],0)</f>
        <v>0</v>
      </c>
      <c r="CT114" s="20">
        <f ca="1">IF(Table1[[#This Row],[County]]="Worcestershire",Table1[[#This Row],[income]],0)</f>
        <v>0</v>
      </c>
      <c r="CU114" s="20">
        <f ca="1">IF(Table1[[#This Row],[County]]="Rutland",Table1[[#This Row],[income]],0)</f>
        <v>0</v>
      </c>
      <c r="CV114" s="20">
        <f ca="1">IF(Table1[[#This Row],[County]]="Shropshire",Table1[[#This Row],[income]],0)</f>
        <v>0</v>
      </c>
      <c r="CW114" s="20">
        <f ca="1">IF(Table1[[#This Row],[County]]="Dorset",Table1[[#This Row],[income]],0)</f>
        <v>0</v>
      </c>
      <c r="CX114" s="20">
        <f ca="1">IF(Table1[[#This Row],[County]]="Buckinghamshire",Table1[[#This Row],[income]],0)</f>
        <v>0</v>
      </c>
      <c r="CY114" s="20">
        <f ca="1">IF(Table1[[#This Row],[County]]="Suffolk",Table1[[#This Row],[income]],0)</f>
        <v>0</v>
      </c>
      <c r="CZ114" s="20">
        <f ca="1">IF(Table1[[#This Row],[County]]="North Yorkshire",Table1[[#This Row],[income]],0)</f>
        <v>0</v>
      </c>
      <c r="DA114" s="20">
        <f ca="1">IF(Table1[[#This Row],[County]]="Kent",Table1[[#This Row],[income]],0)</f>
        <v>0</v>
      </c>
      <c r="DB114" s="5">
        <f ca="1">IF(Table1[[#This Row],[County]]="Derbyshire",Table1[[#This Row],[income]],0)</f>
        <v>0</v>
      </c>
      <c r="DD114" s="6">
        <f ca="1">IF(Table1[[#This Row],[Column1]]="Health",Table1[[#This Row],[income]],0)</f>
        <v>0</v>
      </c>
      <c r="DE114" s="20">
        <f ca="1">IF(Table1[[#This Row],[Column1]]="Agriculture",Table1[[#This Row],[income]],0)</f>
        <v>0</v>
      </c>
      <c r="DF114" s="20">
        <f ca="1">IF(Table1[[#This Row],[Column1]]="Technology",Table1[[#This Row],[income]],0)</f>
        <v>0</v>
      </c>
      <c r="DG114" s="20">
        <f ca="1">IF(Table1[[#This Row],[Column1]]="Social Service",Table1[[#This Row],[income]],0)</f>
        <v>0</v>
      </c>
      <c r="DH114" s="20">
        <f ca="1">IF(Table1[[#This Row],[Column1]]="Education",Table1[[#This Row],[income]],0)</f>
        <v>33282</v>
      </c>
      <c r="DI114" s="5">
        <f ca="1">IF(Table1[[#This Row],[Column1]]="Construction",Table1[[#This Row],[income]],0)</f>
        <v>0</v>
      </c>
      <c r="DK114" s="6">
        <f ca="1">IF(Table1[[#This Row],[Value of Debts]]&gt;Table1[[#This Row],[income]],1,0)</f>
        <v>1</v>
      </c>
      <c r="DL114" s="20"/>
      <c r="DM114" s="20"/>
      <c r="DN114" s="5"/>
      <c r="DP114" s="6">
        <f ca="1">IF(Table1[[#This Row],[Net Worth (£)]]&gt;$DS$5,C114,0)</f>
        <v>0</v>
      </c>
      <c r="DQ114" s="20"/>
      <c r="DR114" s="20"/>
      <c r="DS114" s="5"/>
    </row>
    <row r="115" spans="1:123" x14ac:dyDescent="0.2">
      <c r="A115">
        <f t="shared" ca="1" si="4"/>
        <v>1</v>
      </c>
      <c r="B115" s="1" t="str">
        <f ca="1">IF(A115=1, "men", "women")</f>
        <v>men</v>
      </c>
      <c r="C115" s="1">
        <f ca="1">RANDBETWEEN(25,50)</f>
        <v>38</v>
      </c>
      <c r="D115">
        <f ca="1">RANDBETWEEN(1,6)</f>
        <v>2</v>
      </c>
      <c r="E115" t="str">
        <f ca="1">VLOOKUP(D115,$W$5:$X$10,2)</f>
        <v>Construction</v>
      </c>
      <c r="F115">
        <f ca="1">RANDBETWEEN(1,5)</f>
        <v>4</v>
      </c>
      <c r="G115" t="str">
        <f ca="1">VLOOKUP(F115,$Y$5:$Z$9,2)</f>
        <v xml:space="preserve">Technical </v>
      </c>
      <c r="H115">
        <f ca="1">RANDBETWEEN(0,4)</f>
        <v>4</v>
      </c>
      <c r="I115">
        <f ca="1">RANDBETWEEN(1,3)</f>
        <v>2</v>
      </c>
      <c r="J115">
        <f ca="1">RANDBETWEEN(30000,100000)</f>
        <v>39554</v>
      </c>
      <c r="K115">
        <f ca="1">RANDBETWEEN(1,48)</f>
        <v>11</v>
      </c>
      <c r="L115" t="str">
        <f ca="1">VLOOKUP(K115,$AA$5:$AB$52,2)</f>
        <v>Devon</v>
      </c>
      <c r="M115">
        <f ca="1">J115*(RANDBETWEEN(2,5))</f>
        <v>79108</v>
      </c>
      <c r="N115">
        <f ca="1">RAND()*M115</f>
        <v>10927.187736428801</v>
      </c>
      <c r="O115">
        <f ca="1">I115*RAND()*J115</f>
        <v>59636.74117364252</v>
      </c>
      <c r="P115">
        <f ca="1">RANDBETWEEN(0,O115)</f>
        <v>56094</v>
      </c>
      <c r="Q115">
        <f ca="1">RAND()*J115*2</f>
        <v>18446.060271395731</v>
      </c>
      <c r="R115">
        <f ca="1">RAND()*J115*1.5</f>
        <v>45538.655687093531</v>
      </c>
      <c r="S115">
        <f ca="1">J115+R115+O115</f>
        <v>144729.39686073604</v>
      </c>
      <c r="T115">
        <f ca="1">N115+P115+Q115</f>
        <v>85467.248007824543</v>
      </c>
      <c r="U115">
        <f ca="1">S115-T115</f>
        <v>59262.148852911501</v>
      </c>
      <c r="AC115" s="6">
        <f ca="1">IF(Table1[[#This Row],[gender]]="men",1,0)</f>
        <v>1</v>
      </c>
      <c r="AD115">
        <f ca="1">IF(Table1[[#This Row],[gender]]="women",1,0)</f>
        <v>0</v>
      </c>
      <c r="AH115" s="5"/>
      <c r="AJ115" s="6">
        <f ca="1">IF(Table1[[#This Row],[Column1]]="Health",1,0)</f>
        <v>0</v>
      </c>
      <c r="AK115">
        <f ca="1">IF(Table1[[#This Row],[Column1]]="Construction",1,0)</f>
        <v>1</v>
      </c>
      <c r="AL115">
        <f ca="1">IF(Table1[[#This Row],[Column1]]="Technology",1,0)</f>
        <v>0</v>
      </c>
      <c r="AM115">
        <f ca="1">IF(Table1[[#This Row],[Column1]]="Education",1,0)</f>
        <v>0</v>
      </c>
      <c r="AN115">
        <f ca="1">IF(Table1[[#This Row],[Column1]]="Agriculture",1,0)</f>
        <v>0</v>
      </c>
      <c r="AO115">
        <f ca="1">IF(Table1[[#This Row],[Column1]]="Social Service", 1, 0)</f>
        <v>0</v>
      </c>
      <c r="AT115" s="5"/>
      <c r="AV115" s="17">
        <f t="shared" ca="1" si="3"/>
        <v>12880.213730317668</v>
      </c>
      <c r="AW115" s="5"/>
      <c r="AX115" s="6">
        <f ca="1">IF(Table1[[#This Row],[Value of Debts]]&gt;$AY$4,1,0)</f>
        <v>0</v>
      </c>
      <c r="AY115" s="20"/>
      <c r="AZ115" s="20"/>
      <c r="BA115" s="5"/>
      <c r="BB115" s="25">
        <f ca="1">Table1[[#This Row],[Mortage Left]]/Table1[[#This Row],[Value of House]]</f>
        <v>0.13812999616257271</v>
      </c>
      <c r="BC115" s="20">
        <f t="shared" ca="1" si="5"/>
        <v>1</v>
      </c>
      <c r="BD115" s="20"/>
      <c r="BE115" s="20"/>
      <c r="BF115" s="20"/>
      <c r="BG115" s="6">
        <f ca="1">IF(Table1[[#This Row],[County]]="Cumbria",Table1[[#This Row],[income]],0)</f>
        <v>0</v>
      </c>
      <c r="BH115" s="20">
        <f ca="1">IF(Table1[[#This Row],[County]]="Cheshire",Table1[[#This Row],[income]],0)</f>
        <v>0</v>
      </c>
      <c r="BI115" s="20">
        <f ca="1">IF(Table1[[#This Row],[County]]="Bristol",Table1[[#This Row],[income]],0)</f>
        <v>0</v>
      </c>
      <c r="BJ115" s="20">
        <f ca="1">IF(Table1[[#This Row],[County]]="Surrey",Table1[[#This Row],[income]],0)</f>
        <v>0</v>
      </c>
      <c r="BK115" s="20">
        <f ca="1">IF(Table1[[#This Row],[County]]="Norfolk",Table1[[#This Row],[income]],0)</f>
        <v>0</v>
      </c>
      <c r="BL115" s="20">
        <f ca="1">IF(Table1[[#This Row],[County]]="Lincolnshire",Table1[[#This Row],[income]],0)</f>
        <v>0</v>
      </c>
      <c r="BM115" s="20">
        <f ca="1">IF(Table1[[#This Row],[County]]="Somerset",Table1[[#This Row],[income]],0)</f>
        <v>0</v>
      </c>
      <c r="BN115" s="20">
        <f ca="1">IF(Table1[[#This Row],[County]]="Cambridgeshire",Table1[[#This Row],[income]],0)</f>
        <v>0</v>
      </c>
      <c r="BO115" s="20">
        <f ca="1">IF(Table1[[#This Row],[County]]="South Yorkshire",Table1[[#This Row],[income]],0)</f>
        <v>0</v>
      </c>
      <c r="BP115" s="20">
        <f ca="1">IF(Table1[[#This Row],[County]]="Greater London",Table1[[#This Row],[income]],0)</f>
        <v>0</v>
      </c>
      <c r="BQ115" s="20">
        <f ca="1">IF(Table1[[#This Row],[County]]="Hampshire",Table1[[#This Row],[income]],0)</f>
        <v>0</v>
      </c>
      <c r="BR115" s="20">
        <f ca="1">IF(Table1[[#This Row],[County]]="Gloucestershire",Table1[[#This Row],[income]],0)</f>
        <v>0</v>
      </c>
      <c r="BS115" s="20">
        <f ca="1">IF(Table1[[#This Row],[County]]="West Sussex",Table1[[#This Row],[income]],0)</f>
        <v>0</v>
      </c>
      <c r="BT115" s="20">
        <f ca="1">IF(Table1[[#This Row],[County]]="Devon",Table1[[#This Row],[income]],0)</f>
        <v>39554</v>
      </c>
      <c r="BU115" s="20">
        <f ca="1">IF(Table1[[#This Row],[County]]="Berkshire",Table1[[#This Row],[income]],0)</f>
        <v>0</v>
      </c>
      <c r="BV115" s="20">
        <f ca="1">IF(Table1[[#This Row],[County]]="Staffordshire",Table1[[#This Row],[income]],0)</f>
        <v>0</v>
      </c>
      <c r="BW115" s="20">
        <f ca="1">IF(Table1[[#This Row],[County]]="Leicestershire",Table1[[#This Row],[income]],0)</f>
        <v>0</v>
      </c>
      <c r="BX115" s="20">
        <f ca="1">IF(Table1[[#This Row],[County]]="Cornwall",Table1[[#This Row],[income]],0)</f>
        <v>0</v>
      </c>
      <c r="BY115" s="20">
        <f ca="1">IF(Table1[[#This Row],[County]]="Isle of Wight",Table1[[#This Row],[income]],0)</f>
        <v>0</v>
      </c>
      <c r="BZ115" s="20">
        <f ca="1">IF(Table1[[#This Row],[County]]="Surrey",Table1[[#This Row],[income]],0)</f>
        <v>0</v>
      </c>
      <c r="CA115" s="20">
        <f ca="1">IF(Table1[[#This Row],[County]]="Derbyshire",Table1[[#This Row],[income]],0)</f>
        <v>0</v>
      </c>
      <c r="CB115" s="20">
        <f ca="1">IF(Table1[[#This Row],[County]]="City of London",Table1[[#This Row],[income]],0)</f>
        <v>0</v>
      </c>
      <c r="CC115" s="20">
        <f ca="1">IF(Table1[[#This Row],[County]]="Bedfordshire",Table1[[#This Row],[income]],0)</f>
        <v>0</v>
      </c>
      <c r="CD115" s="20">
        <f ca="1">IF(Table1[[#This Row],[County]]="County Durham",Table1[[#This Row],[income]],0)</f>
        <v>0</v>
      </c>
      <c r="CE115" s="20">
        <f ca="1">IF(Table1[[#This Row],[County]]="East Riding of Yorkshire",Table1[[#This Row],[income]],0)</f>
        <v>0</v>
      </c>
      <c r="CF115" s="20">
        <f ca="1">IF(Table1[[#This Row],[County]]="West Yorkshire",Table1[[#This Row],[income]],0)</f>
        <v>0</v>
      </c>
      <c r="CG115" s="20">
        <f ca="1">IF(Table1[[#This Row],[County]]="Essex",Table1[[#This Row],[income]],0)</f>
        <v>0</v>
      </c>
      <c r="CH115" s="20">
        <f ca="1">IF(Table1[[#This Row],[County]]="East Sussex",Table1[[#This Row],[income]],0)</f>
        <v>0</v>
      </c>
      <c r="CI115" s="20">
        <f ca="1">IF(Table1[[#This Row],[County]]="Greater Manchester",Table1[[#This Row],[income]],0)</f>
        <v>0</v>
      </c>
      <c r="CJ115" s="20">
        <f ca="1">IF(Table1[[#This Row],[County]]="Hertfordshire",Table1[[#This Row],[income]],0)</f>
        <v>0</v>
      </c>
      <c r="CK115" s="20">
        <f ca="1">IF(Table1[[#This Row],[County]]="Herefordshire",Table1[[#This Row],[income]],0)</f>
        <v>0</v>
      </c>
      <c r="CL115" s="20">
        <f ca="1">IF(Table1[[#This Row],[County]]="Lancashire",Table1[[#This Row],[income]],0)</f>
        <v>0</v>
      </c>
      <c r="CM115" s="20">
        <f ca="1">IF(Table1[[#This Row],[County]]="Merseyside",Table1[[#This Row],[income]],0)</f>
        <v>0</v>
      </c>
      <c r="CN115" s="20">
        <f ca="1">IF(Table1[[#This Row],[County]]="Northamptonshire",Table1[[#This Row],[income]],0)</f>
        <v>0</v>
      </c>
      <c r="CO115" s="20">
        <f ca="1">IF(Table1[[#This Row],[County]]="Northumberland",Table1[[#This Row],[income]],0)</f>
        <v>0</v>
      </c>
      <c r="CP115" s="20">
        <f ca="1">IF(Table1[[#This Row],[County]]="Wiltshire",Table1[[#This Row],[income]],0)</f>
        <v>0</v>
      </c>
      <c r="CQ115" s="20">
        <f ca="1">IF(Table1[[#This Row],[County]]="West Midlands",Table1[[#This Row],[income]],0)</f>
        <v>0</v>
      </c>
      <c r="CR115" s="20">
        <f ca="1">IF(Table1[[#This Row],[County]]="Warwickshire",Table1[[#This Row],[income]],0)</f>
        <v>0</v>
      </c>
      <c r="CS115" s="20">
        <f ca="1">IF(Table1[[#This Row],[County]]="Tyne and Wear",Table1[[#This Row],[income]],0)</f>
        <v>0</v>
      </c>
      <c r="CT115" s="20">
        <f ca="1">IF(Table1[[#This Row],[County]]="Worcestershire",Table1[[#This Row],[income]],0)</f>
        <v>0</v>
      </c>
      <c r="CU115" s="20">
        <f ca="1">IF(Table1[[#This Row],[County]]="Rutland",Table1[[#This Row],[income]],0)</f>
        <v>0</v>
      </c>
      <c r="CV115" s="20">
        <f ca="1">IF(Table1[[#This Row],[County]]="Shropshire",Table1[[#This Row],[income]],0)</f>
        <v>0</v>
      </c>
      <c r="CW115" s="20">
        <f ca="1">IF(Table1[[#This Row],[County]]="Dorset",Table1[[#This Row],[income]],0)</f>
        <v>0</v>
      </c>
      <c r="CX115" s="20">
        <f ca="1">IF(Table1[[#This Row],[County]]="Buckinghamshire",Table1[[#This Row],[income]],0)</f>
        <v>0</v>
      </c>
      <c r="CY115" s="20">
        <f ca="1">IF(Table1[[#This Row],[County]]="Suffolk",Table1[[#This Row],[income]],0)</f>
        <v>0</v>
      </c>
      <c r="CZ115" s="20">
        <f ca="1">IF(Table1[[#This Row],[County]]="North Yorkshire",Table1[[#This Row],[income]],0)</f>
        <v>0</v>
      </c>
      <c r="DA115" s="20">
        <f ca="1">IF(Table1[[#This Row],[County]]="Kent",Table1[[#This Row],[income]],0)</f>
        <v>0</v>
      </c>
      <c r="DB115" s="5">
        <f ca="1">IF(Table1[[#This Row],[County]]="Derbyshire",Table1[[#This Row],[income]],0)</f>
        <v>0</v>
      </c>
      <c r="DD115" s="6">
        <f ca="1">IF(Table1[[#This Row],[Column1]]="Health",Table1[[#This Row],[income]],0)</f>
        <v>0</v>
      </c>
      <c r="DE115" s="20">
        <f ca="1">IF(Table1[[#This Row],[Column1]]="Agriculture",Table1[[#This Row],[income]],0)</f>
        <v>0</v>
      </c>
      <c r="DF115" s="20">
        <f ca="1">IF(Table1[[#This Row],[Column1]]="Technology",Table1[[#This Row],[income]],0)</f>
        <v>0</v>
      </c>
      <c r="DG115" s="20">
        <f ca="1">IF(Table1[[#This Row],[Column1]]="Social Service",Table1[[#This Row],[income]],0)</f>
        <v>0</v>
      </c>
      <c r="DH115" s="20">
        <f ca="1">IF(Table1[[#This Row],[Column1]]="Education",Table1[[#This Row],[income]],0)</f>
        <v>0</v>
      </c>
      <c r="DI115" s="5">
        <f ca="1">IF(Table1[[#This Row],[Column1]]="Construction",Table1[[#This Row],[income]],0)</f>
        <v>39554</v>
      </c>
      <c r="DK115" s="6">
        <f ca="1">IF(Table1[[#This Row],[Value of Debts]]&gt;Table1[[#This Row],[income]],1,0)</f>
        <v>1</v>
      </c>
      <c r="DL115" s="20"/>
      <c r="DM115" s="20"/>
      <c r="DN115" s="5"/>
      <c r="DP115" s="6">
        <f ca="1">IF(Table1[[#This Row],[Net Worth (£)]]&gt;$DS$5,C115,0)</f>
        <v>38</v>
      </c>
      <c r="DQ115" s="20"/>
      <c r="DR115" s="20"/>
      <c r="DS115" s="5"/>
    </row>
    <row r="116" spans="1:123" x14ac:dyDescent="0.2">
      <c r="A116">
        <f t="shared" ca="1" si="4"/>
        <v>1</v>
      </c>
      <c r="B116" s="1" t="str">
        <f ca="1">IF(A116=1, "men", "women")</f>
        <v>men</v>
      </c>
      <c r="C116" s="1">
        <f ca="1">RANDBETWEEN(25,50)</f>
        <v>42</v>
      </c>
      <c r="D116">
        <f ca="1">RANDBETWEEN(1,6)</f>
        <v>1</v>
      </c>
      <c r="E116" t="str">
        <f ca="1">VLOOKUP(D116,$W$5:$X$10,2)</f>
        <v>Health</v>
      </c>
      <c r="F116">
        <f ca="1">RANDBETWEEN(1,5)</f>
        <v>4</v>
      </c>
      <c r="G116" t="str">
        <f ca="1">VLOOKUP(F116,$Y$5:$Z$9,2)</f>
        <v xml:space="preserve">Technical </v>
      </c>
      <c r="H116">
        <f ca="1">RANDBETWEEN(0,4)</f>
        <v>0</v>
      </c>
      <c r="I116">
        <f ca="1">RANDBETWEEN(1,3)</f>
        <v>2</v>
      </c>
      <c r="J116">
        <f ca="1">RANDBETWEEN(30000,100000)</f>
        <v>70786</v>
      </c>
      <c r="K116">
        <f ca="1">RANDBETWEEN(1,48)</f>
        <v>15</v>
      </c>
      <c r="L116" t="str">
        <f ca="1">VLOOKUP(K116,$AA$5:$AB$52,2)</f>
        <v>East Sussex</v>
      </c>
      <c r="M116">
        <f ca="1">J116*(RANDBETWEEN(2,5))</f>
        <v>141572</v>
      </c>
      <c r="N116">
        <f ca="1">RAND()*M116</f>
        <v>120854.69147825864</v>
      </c>
      <c r="O116">
        <f ca="1">I116*RAND()*J116</f>
        <v>25760.427460635336</v>
      </c>
      <c r="P116">
        <f ca="1">RANDBETWEEN(0,O116)</f>
        <v>6782</v>
      </c>
      <c r="Q116">
        <f ca="1">RAND()*J116*2</f>
        <v>106168.12884137567</v>
      </c>
      <c r="R116">
        <f ca="1">RAND()*J116*1.5</f>
        <v>79732.848638226962</v>
      </c>
      <c r="S116">
        <f ca="1">J116+R116+O116</f>
        <v>176279.27609886232</v>
      </c>
      <c r="T116">
        <f ca="1">N116+P116+Q116</f>
        <v>233804.82031963431</v>
      </c>
      <c r="U116">
        <f ca="1">S116-T116</f>
        <v>-57525.54422077199</v>
      </c>
      <c r="AC116" s="6">
        <f ca="1">IF(Table1[[#This Row],[gender]]="men",1,0)</f>
        <v>1</v>
      </c>
      <c r="AD116">
        <f ca="1">IF(Table1[[#This Row],[gender]]="women",1,0)</f>
        <v>0</v>
      </c>
      <c r="AH116" s="5"/>
      <c r="AJ116" s="6">
        <f ca="1">IF(Table1[[#This Row],[Column1]]="Health",1,0)</f>
        <v>1</v>
      </c>
      <c r="AK116">
        <f ca="1">IF(Table1[[#This Row],[Column1]]="Construction",1,0)</f>
        <v>0</v>
      </c>
      <c r="AL116">
        <f ca="1">IF(Table1[[#This Row],[Column1]]="Technology",1,0)</f>
        <v>0</v>
      </c>
      <c r="AM116">
        <f ca="1">IF(Table1[[#This Row],[Column1]]="Education",1,0)</f>
        <v>0</v>
      </c>
      <c r="AN116">
        <f ca="1">IF(Table1[[#This Row],[Column1]]="Agriculture",1,0)</f>
        <v>0</v>
      </c>
      <c r="AO116">
        <f ca="1">IF(Table1[[#This Row],[Column1]]="Social Service", 1, 0)</f>
        <v>0</v>
      </c>
      <c r="AT116" s="5"/>
      <c r="AV116" s="17">
        <f t="shared" ca="1" si="3"/>
        <v>12503.123832021256</v>
      </c>
      <c r="AW116" s="5"/>
      <c r="AX116" s="6">
        <f ca="1">IF(Table1[[#This Row],[Value of Debts]]&gt;$AY$4,1,0)</f>
        <v>1</v>
      </c>
      <c r="AY116" s="20"/>
      <c r="AZ116" s="20"/>
      <c r="BA116" s="5"/>
      <c r="BB116" s="25">
        <f ca="1">Table1[[#This Row],[Mortage Left]]/Table1[[#This Row],[Value of House]]</f>
        <v>0.85366238718290788</v>
      </c>
      <c r="BC116" s="20">
        <f t="shared" ca="1" si="5"/>
        <v>0</v>
      </c>
      <c r="BD116" s="20"/>
      <c r="BE116" s="20"/>
      <c r="BF116" s="20"/>
      <c r="BG116" s="6">
        <f ca="1">IF(Table1[[#This Row],[County]]="Cumbria",Table1[[#This Row],[income]],0)</f>
        <v>0</v>
      </c>
      <c r="BH116" s="20">
        <f ca="1">IF(Table1[[#This Row],[County]]="Cheshire",Table1[[#This Row],[income]],0)</f>
        <v>0</v>
      </c>
      <c r="BI116" s="20">
        <f ca="1">IF(Table1[[#This Row],[County]]="Bristol",Table1[[#This Row],[income]],0)</f>
        <v>0</v>
      </c>
      <c r="BJ116" s="20">
        <f ca="1">IF(Table1[[#This Row],[County]]="Surrey",Table1[[#This Row],[income]],0)</f>
        <v>0</v>
      </c>
      <c r="BK116" s="20">
        <f ca="1">IF(Table1[[#This Row],[County]]="Norfolk",Table1[[#This Row],[income]],0)</f>
        <v>0</v>
      </c>
      <c r="BL116" s="20">
        <f ca="1">IF(Table1[[#This Row],[County]]="Lincolnshire",Table1[[#This Row],[income]],0)</f>
        <v>0</v>
      </c>
      <c r="BM116" s="20">
        <f ca="1">IF(Table1[[#This Row],[County]]="Somerset",Table1[[#This Row],[income]],0)</f>
        <v>0</v>
      </c>
      <c r="BN116" s="20">
        <f ca="1">IF(Table1[[#This Row],[County]]="Cambridgeshire",Table1[[#This Row],[income]],0)</f>
        <v>0</v>
      </c>
      <c r="BO116" s="20">
        <f ca="1">IF(Table1[[#This Row],[County]]="South Yorkshire",Table1[[#This Row],[income]],0)</f>
        <v>0</v>
      </c>
      <c r="BP116" s="20">
        <f ca="1">IF(Table1[[#This Row],[County]]="Greater London",Table1[[#This Row],[income]],0)</f>
        <v>0</v>
      </c>
      <c r="BQ116" s="20">
        <f ca="1">IF(Table1[[#This Row],[County]]="Hampshire",Table1[[#This Row],[income]],0)</f>
        <v>0</v>
      </c>
      <c r="BR116" s="20">
        <f ca="1">IF(Table1[[#This Row],[County]]="Gloucestershire",Table1[[#This Row],[income]],0)</f>
        <v>0</v>
      </c>
      <c r="BS116" s="20">
        <f ca="1">IF(Table1[[#This Row],[County]]="West Sussex",Table1[[#This Row],[income]],0)</f>
        <v>0</v>
      </c>
      <c r="BT116" s="20">
        <f ca="1">IF(Table1[[#This Row],[County]]="Devon",Table1[[#This Row],[income]],0)</f>
        <v>0</v>
      </c>
      <c r="BU116" s="20">
        <f ca="1">IF(Table1[[#This Row],[County]]="Berkshire",Table1[[#This Row],[income]],0)</f>
        <v>0</v>
      </c>
      <c r="BV116" s="20">
        <f ca="1">IF(Table1[[#This Row],[County]]="Staffordshire",Table1[[#This Row],[income]],0)</f>
        <v>0</v>
      </c>
      <c r="BW116" s="20">
        <f ca="1">IF(Table1[[#This Row],[County]]="Leicestershire",Table1[[#This Row],[income]],0)</f>
        <v>0</v>
      </c>
      <c r="BX116" s="20">
        <f ca="1">IF(Table1[[#This Row],[County]]="Cornwall",Table1[[#This Row],[income]],0)</f>
        <v>0</v>
      </c>
      <c r="BY116" s="20">
        <f ca="1">IF(Table1[[#This Row],[County]]="Isle of Wight",Table1[[#This Row],[income]],0)</f>
        <v>0</v>
      </c>
      <c r="BZ116" s="20">
        <f ca="1">IF(Table1[[#This Row],[County]]="Surrey",Table1[[#This Row],[income]],0)</f>
        <v>0</v>
      </c>
      <c r="CA116" s="20">
        <f ca="1">IF(Table1[[#This Row],[County]]="Derbyshire",Table1[[#This Row],[income]],0)</f>
        <v>0</v>
      </c>
      <c r="CB116" s="20">
        <f ca="1">IF(Table1[[#This Row],[County]]="City of London",Table1[[#This Row],[income]],0)</f>
        <v>0</v>
      </c>
      <c r="CC116" s="20">
        <f ca="1">IF(Table1[[#This Row],[County]]="Bedfordshire",Table1[[#This Row],[income]],0)</f>
        <v>0</v>
      </c>
      <c r="CD116" s="20">
        <f ca="1">IF(Table1[[#This Row],[County]]="County Durham",Table1[[#This Row],[income]],0)</f>
        <v>0</v>
      </c>
      <c r="CE116" s="20">
        <f ca="1">IF(Table1[[#This Row],[County]]="East Riding of Yorkshire",Table1[[#This Row],[income]],0)</f>
        <v>0</v>
      </c>
      <c r="CF116" s="20">
        <f ca="1">IF(Table1[[#This Row],[County]]="West Yorkshire",Table1[[#This Row],[income]],0)</f>
        <v>0</v>
      </c>
      <c r="CG116" s="20">
        <f ca="1">IF(Table1[[#This Row],[County]]="Essex",Table1[[#This Row],[income]],0)</f>
        <v>0</v>
      </c>
      <c r="CH116" s="20">
        <f ca="1">IF(Table1[[#This Row],[County]]="East Sussex",Table1[[#This Row],[income]],0)</f>
        <v>70786</v>
      </c>
      <c r="CI116" s="20">
        <f ca="1">IF(Table1[[#This Row],[County]]="Greater Manchester",Table1[[#This Row],[income]],0)</f>
        <v>0</v>
      </c>
      <c r="CJ116" s="20">
        <f ca="1">IF(Table1[[#This Row],[County]]="Hertfordshire",Table1[[#This Row],[income]],0)</f>
        <v>0</v>
      </c>
      <c r="CK116" s="20">
        <f ca="1">IF(Table1[[#This Row],[County]]="Herefordshire",Table1[[#This Row],[income]],0)</f>
        <v>0</v>
      </c>
      <c r="CL116" s="20">
        <f ca="1">IF(Table1[[#This Row],[County]]="Lancashire",Table1[[#This Row],[income]],0)</f>
        <v>0</v>
      </c>
      <c r="CM116" s="20">
        <f ca="1">IF(Table1[[#This Row],[County]]="Merseyside",Table1[[#This Row],[income]],0)</f>
        <v>0</v>
      </c>
      <c r="CN116" s="20">
        <f ca="1">IF(Table1[[#This Row],[County]]="Northamptonshire",Table1[[#This Row],[income]],0)</f>
        <v>0</v>
      </c>
      <c r="CO116" s="20">
        <f ca="1">IF(Table1[[#This Row],[County]]="Northumberland",Table1[[#This Row],[income]],0)</f>
        <v>0</v>
      </c>
      <c r="CP116" s="20">
        <f ca="1">IF(Table1[[#This Row],[County]]="Wiltshire",Table1[[#This Row],[income]],0)</f>
        <v>0</v>
      </c>
      <c r="CQ116" s="20">
        <f ca="1">IF(Table1[[#This Row],[County]]="West Midlands",Table1[[#This Row],[income]],0)</f>
        <v>0</v>
      </c>
      <c r="CR116" s="20">
        <f ca="1">IF(Table1[[#This Row],[County]]="Warwickshire",Table1[[#This Row],[income]],0)</f>
        <v>0</v>
      </c>
      <c r="CS116" s="20">
        <f ca="1">IF(Table1[[#This Row],[County]]="Tyne and Wear",Table1[[#This Row],[income]],0)</f>
        <v>0</v>
      </c>
      <c r="CT116" s="20">
        <f ca="1">IF(Table1[[#This Row],[County]]="Worcestershire",Table1[[#This Row],[income]],0)</f>
        <v>0</v>
      </c>
      <c r="CU116" s="20">
        <f ca="1">IF(Table1[[#This Row],[County]]="Rutland",Table1[[#This Row],[income]],0)</f>
        <v>0</v>
      </c>
      <c r="CV116" s="20">
        <f ca="1">IF(Table1[[#This Row],[County]]="Shropshire",Table1[[#This Row],[income]],0)</f>
        <v>0</v>
      </c>
      <c r="CW116" s="20">
        <f ca="1">IF(Table1[[#This Row],[County]]="Dorset",Table1[[#This Row],[income]],0)</f>
        <v>0</v>
      </c>
      <c r="CX116" s="20">
        <f ca="1">IF(Table1[[#This Row],[County]]="Buckinghamshire",Table1[[#This Row],[income]],0)</f>
        <v>0</v>
      </c>
      <c r="CY116" s="20">
        <f ca="1">IF(Table1[[#This Row],[County]]="Suffolk",Table1[[#This Row],[income]],0)</f>
        <v>0</v>
      </c>
      <c r="CZ116" s="20">
        <f ca="1">IF(Table1[[#This Row],[County]]="North Yorkshire",Table1[[#This Row],[income]],0)</f>
        <v>0</v>
      </c>
      <c r="DA116" s="20">
        <f ca="1">IF(Table1[[#This Row],[County]]="Kent",Table1[[#This Row],[income]],0)</f>
        <v>0</v>
      </c>
      <c r="DB116" s="5">
        <f ca="1">IF(Table1[[#This Row],[County]]="Derbyshire",Table1[[#This Row],[income]],0)</f>
        <v>0</v>
      </c>
      <c r="DD116" s="6">
        <f ca="1">IF(Table1[[#This Row],[Column1]]="Health",Table1[[#This Row],[income]],0)</f>
        <v>70786</v>
      </c>
      <c r="DE116" s="20">
        <f ca="1">IF(Table1[[#This Row],[Column1]]="Agriculture",Table1[[#This Row],[income]],0)</f>
        <v>0</v>
      </c>
      <c r="DF116" s="20">
        <f ca="1">IF(Table1[[#This Row],[Column1]]="Technology",Table1[[#This Row],[income]],0)</f>
        <v>0</v>
      </c>
      <c r="DG116" s="20">
        <f ca="1">IF(Table1[[#This Row],[Column1]]="Social Service",Table1[[#This Row],[income]],0)</f>
        <v>0</v>
      </c>
      <c r="DH116" s="20">
        <f ca="1">IF(Table1[[#This Row],[Column1]]="Education",Table1[[#This Row],[income]],0)</f>
        <v>0</v>
      </c>
      <c r="DI116" s="5">
        <f ca="1">IF(Table1[[#This Row],[Column1]]="Construction",Table1[[#This Row],[income]],0)</f>
        <v>0</v>
      </c>
      <c r="DK116" s="6">
        <f ca="1">IF(Table1[[#This Row],[Value of Debts]]&gt;Table1[[#This Row],[income]],1,0)</f>
        <v>1</v>
      </c>
      <c r="DL116" s="20"/>
      <c r="DM116" s="20"/>
      <c r="DN116" s="5"/>
      <c r="DP116" s="6">
        <f ca="1">IF(Table1[[#This Row],[Net Worth (£)]]&gt;$DS$5,C116,0)</f>
        <v>0</v>
      </c>
      <c r="DQ116" s="20"/>
      <c r="DR116" s="20"/>
      <c r="DS116" s="5"/>
    </row>
    <row r="117" spans="1:123" x14ac:dyDescent="0.2">
      <c r="A117">
        <f t="shared" ca="1" si="4"/>
        <v>1</v>
      </c>
      <c r="B117" s="1" t="str">
        <f ca="1">IF(A117=1, "men", "women")</f>
        <v>men</v>
      </c>
      <c r="C117" s="1">
        <f ca="1">RANDBETWEEN(25,50)</f>
        <v>41</v>
      </c>
      <c r="D117">
        <f ca="1">RANDBETWEEN(1,6)</f>
        <v>3</v>
      </c>
      <c r="E117" t="str">
        <f ca="1">VLOOKUP(D117,$W$5:$X$10,2)</f>
        <v>Education</v>
      </c>
      <c r="F117">
        <f ca="1">RANDBETWEEN(1,5)</f>
        <v>3</v>
      </c>
      <c r="G117" t="str">
        <f ca="1">VLOOKUP(F117,$Y$5:$Z$9,2)</f>
        <v>University</v>
      </c>
      <c r="H117">
        <f ca="1">RANDBETWEEN(0,4)</f>
        <v>4</v>
      </c>
      <c r="I117">
        <f ca="1">RANDBETWEEN(1,3)</f>
        <v>1</v>
      </c>
      <c r="J117">
        <f ca="1">RANDBETWEEN(30000,100000)</f>
        <v>99202</v>
      </c>
      <c r="K117">
        <f ca="1">RANDBETWEEN(1,48)</f>
        <v>28</v>
      </c>
      <c r="L117" t="str">
        <f ca="1">VLOOKUP(K117,$AA$5:$AB$52,2)</f>
        <v>Lincolnshire</v>
      </c>
      <c r="M117">
        <f ca="1">J117*(RANDBETWEEN(2,5))</f>
        <v>496010</v>
      </c>
      <c r="N117">
        <f ca="1">RAND()*M117</f>
        <v>375482.57840396243</v>
      </c>
      <c r="O117">
        <f ca="1">I117*RAND()*J117</f>
        <v>12503.123832021256</v>
      </c>
      <c r="P117">
        <f ca="1">RANDBETWEEN(0,O117)</f>
        <v>10893</v>
      </c>
      <c r="Q117">
        <f ca="1">RAND()*J117*2</f>
        <v>74812.859564681014</v>
      </c>
      <c r="R117">
        <f ca="1">RAND()*J117*1.5</f>
        <v>51428.984944483782</v>
      </c>
      <c r="S117">
        <f ca="1">J117+R117+O117</f>
        <v>163134.10877650505</v>
      </c>
      <c r="T117">
        <f ca="1">N117+P117+Q117</f>
        <v>461188.43796864344</v>
      </c>
      <c r="U117">
        <f ca="1">S117-T117</f>
        <v>-298054.32919213839</v>
      </c>
      <c r="AC117" s="6">
        <f ca="1">IF(Table1[[#This Row],[gender]]="men",1,0)</f>
        <v>1</v>
      </c>
      <c r="AD117">
        <f ca="1">IF(Table1[[#This Row],[gender]]="women",1,0)</f>
        <v>0</v>
      </c>
      <c r="AH117" s="5"/>
      <c r="AJ117" s="6">
        <f ca="1">IF(Table1[[#This Row],[Column1]]="Health",1,0)</f>
        <v>0</v>
      </c>
      <c r="AK117">
        <f ca="1">IF(Table1[[#This Row],[Column1]]="Construction",1,0)</f>
        <v>0</v>
      </c>
      <c r="AL117">
        <f ca="1">IF(Table1[[#This Row],[Column1]]="Technology",1,0)</f>
        <v>0</v>
      </c>
      <c r="AM117">
        <f ca="1">IF(Table1[[#This Row],[Column1]]="Education",1,0)</f>
        <v>1</v>
      </c>
      <c r="AN117">
        <f ca="1">IF(Table1[[#This Row],[Column1]]="Agriculture",1,0)</f>
        <v>0</v>
      </c>
      <c r="AO117">
        <f ca="1">IF(Table1[[#This Row],[Column1]]="Social Service", 1, 0)</f>
        <v>0</v>
      </c>
      <c r="AT117" s="5"/>
      <c r="AV117" s="17">
        <f t="shared" ca="1" si="3"/>
        <v>36440.743388649978</v>
      </c>
      <c r="AW117" s="5"/>
      <c r="AX117" s="6">
        <f ca="1">IF(Table1[[#This Row],[Value of Debts]]&gt;$AY$4,1,0)</f>
        <v>1</v>
      </c>
      <c r="AY117" s="20"/>
      <c r="AZ117" s="20"/>
      <c r="BA117" s="5"/>
      <c r="BB117" s="25">
        <f ca="1">Table1[[#This Row],[Mortage Left]]/Table1[[#This Row],[Value of House]]</f>
        <v>0.75700606520828695</v>
      </c>
      <c r="BC117" s="20">
        <f t="shared" ca="1" si="5"/>
        <v>0</v>
      </c>
      <c r="BD117" s="20"/>
      <c r="BE117" s="20"/>
      <c r="BF117" s="20"/>
      <c r="BG117" s="6">
        <f ca="1">IF(Table1[[#This Row],[County]]="Cumbria",Table1[[#This Row],[income]],0)</f>
        <v>0</v>
      </c>
      <c r="BH117" s="20">
        <f ca="1">IF(Table1[[#This Row],[County]]="Cheshire",Table1[[#This Row],[income]],0)</f>
        <v>0</v>
      </c>
      <c r="BI117" s="20">
        <f ca="1">IF(Table1[[#This Row],[County]]="Bristol",Table1[[#This Row],[income]],0)</f>
        <v>0</v>
      </c>
      <c r="BJ117" s="20">
        <f ca="1">IF(Table1[[#This Row],[County]]="Surrey",Table1[[#This Row],[income]],0)</f>
        <v>0</v>
      </c>
      <c r="BK117" s="20">
        <f ca="1">IF(Table1[[#This Row],[County]]="Norfolk",Table1[[#This Row],[income]],0)</f>
        <v>0</v>
      </c>
      <c r="BL117" s="20">
        <f ca="1">IF(Table1[[#This Row],[County]]="Lincolnshire",Table1[[#This Row],[income]],0)</f>
        <v>99202</v>
      </c>
      <c r="BM117" s="20">
        <f ca="1">IF(Table1[[#This Row],[County]]="Somerset",Table1[[#This Row],[income]],0)</f>
        <v>0</v>
      </c>
      <c r="BN117" s="20">
        <f ca="1">IF(Table1[[#This Row],[County]]="Cambridgeshire",Table1[[#This Row],[income]],0)</f>
        <v>0</v>
      </c>
      <c r="BO117" s="20">
        <f ca="1">IF(Table1[[#This Row],[County]]="South Yorkshire",Table1[[#This Row],[income]],0)</f>
        <v>0</v>
      </c>
      <c r="BP117" s="20">
        <f ca="1">IF(Table1[[#This Row],[County]]="Greater London",Table1[[#This Row],[income]],0)</f>
        <v>0</v>
      </c>
      <c r="BQ117" s="20">
        <f ca="1">IF(Table1[[#This Row],[County]]="Hampshire",Table1[[#This Row],[income]],0)</f>
        <v>0</v>
      </c>
      <c r="BR117" s="20">
        <f ca="1">IF(Table1[[#This Row],[County]]="Gloucestershire",Table1[[#This Row],[income]],0)</f>
        <v>0</v>
      </c>
      <c r="BS117" s="20">
        <f ca="1">IF(Table1[[#This Row],[County]]="West Sussex",Table1[[#This Row],[income]],0)</f>
        <v>0</v>
      </c>
      <c r="BT117" s="20">
        <f ca="1">IF(Table1[[#This Row],[County]]="Devon",Table1[[#This Row],[income]],0)</f>
        <v>0</v>
      </c>
      <c r="BU117" s="20">
        <f ca="1">IF(Table1[[#This Row],[County]]="Berkshire",Table1[[#This Row],[income]],0)</f>
        <v>0</v>
      </c>
      <c r="BV117" s="20">
        <f ca="1">IF(Table1[[#This Row],[County]]="Staffordshire",Table1[[#This Row],[income]],0)</f>
        <v>0</v>
      </c>
      <c r="BW117" s="20">
        <f ca="1">IF(Table1[[#This Row],[County]]="Leicestershire",Table1[[#This Row],[income]],0)</f>
        <v>0</v>
      </c>
      <c r="BX117" s="20">
        <f ca="1">IF(Table1[[#This Row],[County]]="Cornwall",Table1[[#This Row],[income]],0)</f>
        <v>0</v>
      </c>
      <c r="BY117" s="20">
        <f ca="1">IF(Table1[[#This Row],[County]]="Isle of Wight",Table1[[#This Row],[income]],0)</f>
        <v>0</v>
      </c>
      <c r="BZ117" s="20">
        <f ca="1">IF(Table1[[#This Row],[County]]="Surrey",Table1[[#This Row],[income]],0)</f>
        <v>0</v>
      </c>
      <c r="CA117" s="20">
        <f ca="1">IF(Table1[[#This Row],[County]]="Derbyshire",Table1[[#This Row],[income]],0)</f>
        <v>0</v>
      </c>
      <c r="CB117" s="20">
        <f ca="1">IF(Table1[[#This Row],[County]]="City of London",Table1[[#This Row],[income]],0)</f>
        <v>0</v>
      </c>
      <c r="CC117" s="20">
        <f ca="1">IF(Table1[[#This Row],[County]]="Bedfordshire",Table1[[#This Row],[income]],0)</f>
        <v>0</v>
      </c>
      <c r="CD117" s="20">
        <f ca="1">IF(Table1[[#This Row],[County]]="County Durham",Table1[[#This Row],[income]],0)</f>
        <v>0</v>
      </c>
      <c r="CE117" s="20">
        <f ca="1">IF(Table1[[#This Row],[County]]="East Riding of Yorkshire",Table1[[#This Row],[income]],0)</f>
        <v>0</v>
      </c>
      <c r="CF117" s="20">
        <f ca="1">IF(Table1[[#This Row],[County]]="West Yorkshire",Table1[[#This Row],[income]],0)</f>
        <v>0</v>
      </c>
      <c r="CG117" s="20">
        <f ca="1">IF(Table1[[#This Row],[County]]="Essex",Table1[[#This Row],[income]],0)</f>
        <v>0</v>
      </c>
      <c r="CH117" s="20">
        <f ca="1">IF(Table1[[#This Row],[County]]="East Sussex",Table1[[#This Row],[income]],0)</f>
        <v>0</v>
      </c>
      <c r="CI117" s="20">
        <f ca="1">IF(Table1[[#This Row],[County]]="Greater Manchester",Table1[[#This Row],[income]],0)</f>
        <v>0</v>
      </c>
      <c r="CJ117" s="20">
        <f ca="1">IF(Table1[[#This Row],[County]]="Hertfordshire",Table1[[#This Row],[income]],0)</f>
        <v>0</v>
      </c>
      <c r="CK117" s="20">
        <f ca="1">IF(Table1[[#This Row],[County]]="Herefordshire",Table1[[#This Row],[income]],0)</f>
        <v>0</v>
      </c>
      <c r="CL117" s="20">
        <f ca="1">IF(Table1[[#This Row],[County]]="Lancashire",Table1[[#This Row],[income]],0)</f>
        <v>0</v>
      </c>
      <c r="CM117" s="20">
        <f ca="1">IF(Table1[[#This Row],[County]]="Merseyside",Table1[[#This Row],[income]],0)</f>
        <v>0</v>
      </c>
      <c r="CN117" s="20">
        <f ca="1">IF(Table1[[#This Row],[County]]="Northamptonshire",Table1[[#This Row],[income]],0)</f>
        <v>0</v>
      </c>
      <c r="CO117" s="20">
        <f ca="1">IF(Table1[[#This Row],[County]]="Northumberland",Table1[[#This Row],[income]],0)</f>
        <v>0</v>
      </c>
      <c r="CP117" s="20">
        <f ca="1">IF(Table1[[#This Row],[County]]="Wiltshire",Table1[[#This Row],[income]],0)</f>
        <v>0</v>
      </c>
      <c r="CQ117" s="20">
        <f ca="1">IF(Table1[[#This Row],[County]]="West Midlands",Table1[[#This Row],[income]],0)</f>
        <v>0</v>
      </c>
      <c r="CR117" s="20">
        <f ca="1">IF(Table1[[#This Row],[County]]="Warwickshire",Table1[[#This Row],[income]],0)</f>
        <v>0</v>
      </c>
      <c r="CS117" s="20">
        <f ca="1">IF(Table1[[#This Row],[County]]="Tyne and Wear",Table1[[#This Row],[income]],0)</f>
        <v>0</v>
      </c>
      <c r="CT117" s="20">
        <f ca="1">IF(Table1[[#This Row],[County]]="Worcestershire",Table1[[#This Row],[income]],0)</f>
        <v>0</v>
      </c>
      <c r="CU117" s="20">
        <f ca="1">IF(Table1[[#This Row],[County]]="Rutland",Table1[[#This Row],[income]],0)</f>
        <v>0</v>
      </c>
      <c r="CV117" s="20">
        <f ca="1">IF(Table1[[#This Row],[County]]="Shropshire",Table1[[#This Row],[income]],0)</f>
        <v>0</v>
      </c>
      <c r="CW117" s="20">
        <f ca="1">IF(Table1[[#This Row],[County]]="Dorset",Table1[[#This Row],[income]],0)</f>
        <v>0</v>
      </c>
      <c r="CX117" s="20">
        <f ca="1">IF(Table1[[#This Row],[County]]="Buckinghamshire",Table1[[#This Row],[income]],0)</f>
        <v>0</v>
      </c>
      <c r="CY117" s="20">
        <f ca="1">IF(Table1[[#This Row],[County]]="Suffolk",Table1[[#This Row],[income]],0)</f>
        <v>0</v>
      </c>
      <c r="CZ117" s="20">
        <f ca="1">IF(Table1[[#This Row],[County]]="North Yorkshire",Table1[[#This Row],[income]],0)</f>
        <v>0</v>
      </c>
      <c r="DA117" s="20">
        <f ca="1">IF(Table1[[#This Row],[County]]="Kent",Table1[[#This Row],[income]],0)</f>
        <v>0</v>
      </c>
      <c r="DB117" s="5">
        <f ca="1">IF(Table1[[#This Row],[County]]="Derbyshire",Table1[[#This Row],[income]],0)</f>
        <v>0</v>
      </c>
      <c r="DD117" s="6">
        <f ca="1">IF(Table1[[#This Row],[Column1]]="Health",Table1[[#This Row],[income]],0)</f>
        <v>0</v>
      </c>
      <c r="DE117" s="20">
        <f ca="1">IF(Table1[[#This Row],[Column1]]="Agriculture",Table1[[#This Row],[income]],0)</f>
        <v>0</v>
      </c>
      <c r="DF117" s="20">
        <f ca="1">IF(Table1[[#This Row],[Column1]]="Technology",Table1[[#This Row],[income]],0)</f>
        <v>0</v>
      </c>
      <c r="DG117" s="20">
        <f ca="1">IF(Table1[[#This Row],[Column1]]="Social Service",Table1[[#This Row],[income]],0)</f>
        <v>0</v>
      </c>
      <c r="DH117" s="20">
        <f ca="1">IF(Table1[[#This Row],[Column1]]="Education",Table1[[#This Row],[income]],0)</f>
        <v>99202</v>
      </c>
      <c r="DI117" s="5">
        <f ca="1">IF(Table1[[#This Row],[Column1]]="Construction",Table1[[#This Row],[income]],0)</f>
        <v>0</v>
      </c>
      <c r="DK117" s="6">
        <f ca="1">IF(Table1[[#This Row],[Value of Debts]]&gt;Table1[[#This Row],[income]],1,0)</f>
        <v>1</v>
      </c>
      <c r="DL117" s="20"/>
      <c r="DM117" s="20"/>
      <c r="DN117" s="5"/>
      <c r="DP117" s="6">
        <f ca="1">IF(Table1[[#This Row],[Net Worth (£)]]&gt;$DS$5,C117,0)</f>
        <v>0</v>
      </c>
      <c r="DQ117" s="20"/>
      <c r="DR117" s="20"/>
      <c r="DS117" s="5"/>
    </row>
    <row r="118" spans="1:123" x14ac:dyDescent="0.2">
      <c r="A118">
        <f t="shared" ca="1" si="4"/>
        <v>1</v>
      </c>
      <c r="B118" s="1" t="str">
        <f ca="1">IF(A118=1, "men", "women")</f>
        <v>men</v>
      </c>
      <c r="C118" s="1">
        <f ca="1">RANDBETWEEN(25,50)</f>
        <v>45</v>
      </c>
      <c r="D118">
        <f ca="1">RANDBETWEEN(1,6)</f>
        <v>6</v>
      </c>
      <c r="E118" t="str">
        <f ca="1">VLOOKUP(D118,$W$5:$X$10,2)</f>
        <v>Agriculture</v>
      </c>
      <c r="F118">
        <f ca="1">RANDBETWEEN(1,5)</f>
        <v>2</v>
      </c>
      <c r="G118" t="str">
        <f ca="1">VLOOKUP(F118,$Y$5:$Z$9,2)</f>
        <v>College</v>
      </c>
      <c r="H118">
        <f ca="1">RANDBETWEEN(0,4)</f>
        <v>2</v>
      </c>
      <c r="I118">
        <f ca="1">RANDBETWEEN(1,3)</f>
        <v>3</v>
      </c>
      <c r="J118">
        <f ca="1">RANDBETWEEN(30000,100000)</f>
        <v>44429</v>
      </c>
      <c r="K118">
        <f ca="1">RANDBETWEEN(1,48)</f>
        <v>22</v>
      </c>
      <c r="L118" t="str">
        <f ca="1">VLOOKUP(K118,$AA$5:$AB$52,2)</f>
        <v>Hertfordshire</v>
      </c>
      <c r="M118">
        <f ca="1">J118*(RANDBETWEEN(2,5))</f>
        <v>222145</v>
      </c>
      <c r="N118">
        <f ca="1">RAND()*M118</f>
        <v>78483.735819068184</v>
      </c>
      <c r="O118">
        <f ca="1">I118*RAND()*J118</f>
        <v>109322.23016594994</v>
      </c>
      <c r="P118">
        <f ca="1">RANDBETWEEN(0,O118)</f>
        <v>12560</v>
      </c>
      <c r="Q118">
        <f ca="1">RAND()*J118*2</f>
        <v>49617.929715978666</v>
      </c>
      <c r="R118">
        <f ca="1">RAND()*J118*1.5</f>
        <v>39093.071285969505</v>
      </c>
      <c r="S118">
        <f ca="1">J118+R118+O118</f>
        <v>192844.30145191943</v>
      </c>
      <c r="T118">
        <f ca="1">N118+P118+Q118</f>
        <v>140661.66553504684</v>
      </c>
      <c r="U118">
        <f ca="1">S118-T118</f>
        <v>52182.63591687259</v>
      </c>
      <c r="AC118" s="6">
        <f ca="1">IF(Table1[[#This Row],[gender]]="men",1,0)</f>
        <v>1</v>
      </c>
      <c r="AD118">
        <f ca="1">IF(Table1[[#This Row],[gender]]="women",1,0)</f>
        <v>0</v>
      </c>
      <c r="AH118" s="5"/>
      <c r="AJ118" s="6">
        <f ca="1">IF(Table1[[#This Row],[Column1]]="Health",1,0)</f>
        <v>0</v>
      </c>
      <c r="AK118">
        <f ca="1">IF(Table1[[#This Row],[Column1]]="Construction",1,0)</f>
        <v>0</v>
      </c>
      <c r="AL118">
        <f ca="1">IF(Table1[[#This Row],[Column1]]="Technology",1,0)</f>
        <v>0</v>
      </c>
      <c r="AM118">
        <f ca="1">IF(Table1[[#This Row],[Column1]]="Education",1,0)</f>
        <v>0</v>
      </c>
      <c r="AN118">
        <f ca="1">IF(Table1[[#This Row],[Column1]]="Agriculture",1,0)</f>
        <v>1</v>
      </c>
      <c r="AO118">
        <f ca="1">IF(Table1[[#This Row],[Column1]]="Social Service", 1, 0)</f>
        <v>0</v>
      </c>
      <c r="AT118" s="5"/>
      <c r="AV118" s="17">
        <f t="shared" ca="1" si="3"/>
        <v>3605.2514105355367</v>
      </c>
      <c r="AW118" s="5"/>
      <c r="AX118" s="6">
        <f ca="1">IF(Table1[[#This Row],[Value of Debts]]&gt;$AY$4,1,0)</f>
        <v>1</v>
      </c>
      <c r="AY118" s="20"/>
      <c r="AZ118" s="20"/>
      <c r="BA118" s="5"/>
      <c r="BB118" s="25">
        <f ca="1">Table1[[#This Row],[Mortage Left]]/Table1[[#This Row],[Value of House]]</f>
        <v>0.35329958279082663</v>
      </c>
      <c r="BC118" s="20">
        <f t="shared" ca="1" si="5"/>
        <v>0</v>
      </c>
      <c r="BD118" s="20"/>
      <c r="BE118" s="20"/>
      <c r="BF118" s="20"/>
      <c r="BG118" s="6">
        <f ca="1">IF(Table1[[#This Row],[County]]="Cumbria",Table1[[#This Row],[income]],0)</f>
        <v>0</v>
      </c>
      <c r="BH118" s="20">
        <f ca="1">IF(Table1[[#This Row],[County]]="Cheshire",Table1[[#This Row],[income]],0)</f>
        <v>0</v>
      </c>
      <c r="BI118" s="20">
        <f ca="1">IF(Table1[[#This Row],[County]]="Bristol",Table1[[#This Row],[income]],0)</f>
        <v>0</v>
      </c>
      <c r="BJ118" s="20">
        <f ca="1">IF(Table1[[#This Row],[County]]="Surrey",Table1[[#This Row],[income]],0)</f>
        <v>0</v>
      </c>
      <c r="BK118" s="20">
        <f ca="1">IF(Table1[[#This Row],[County]]="Norfolk",Table1[[#This Row],[income]],0)</f>
        <v>0</v>
      </c>
      <c r="BL118" s="20">
        <f ca="1">IF(Table1[[#This Row],[County]]="Lincolnshire",Table1[[#This Row],[income]],0)</f>
        <v>0</v>
      </c>
      <c r="BM118" s="20">
        <f ca="1">IF(Table1[[#This Row],[County]]="Somerset",Table1[[#This Row],[income]],0)</f>
        <v>0</v>
      </c>
      <c r="BN118" s="20">
        <f ca="1">IF(Table1[[#This Row],[County]]="Cambridgeshire",Table1[[#This Row],[income]],0)</f>
        <v>0</v>
      </c>
      <c r="BO118" s="20">
        <f ca="1">IF(Table1[[#This Row],[County]]="South Yorkshire",Table1[[#This Row],[income]],0)</f>
        <v>0</v>
      </c>
      <c r="BP118" s="20">
        <f ca="1">IF(Table1[[#This Row],[County]]="Greater London",Table1[[#This Row],[income]],0)</f>
        <v>0</v>
      </c>
      <c r="BQ118" s="20">
        <f ca="1">IF(Table1[[#This Row],[County]]="Hampshire",Table1[[#This Row],[income]],0)</f>
        <v>0</v>
      </c>
      <c r="BR118" s="20">
        <f ca="1">IF(Table1[[#This Row],[County]]="Gloucestershire",Table1[[#This Row],[income]],0)</f>
        <v>0</v>
      </c>
      <c r="BS118" s="20">
        <f ca="1">IF(Table1[[#This Row],[County]]="West Sussex",Table1[[#This Row],[income]],0)</f>
        <v>0</v>
      </c>
      <c r="BT118" s="20">
        <f ca="1">IF(Table1[[#This Row],[County]]="Devon",Table1[[#This Row],[income]],0)</f>
        <v>0</v>
      </c>
      <c r="BU118" s="20">
        <f ca="1">IF(Table1[[#This Row],[County]]="Berkshire",Table1[[#This Row],[income]],0)</f>
        <v>0</v>
      </c>
      <c r="BV118" s="20">
        <f ca="1">IF(Table1[[#This Row],[County]]="Staffordshire",Table1[[#This Row],[income]],0)</f>
        <v>0</v>
      </c>
      <c r="BW118" s="20">
        <f ca="1">IF(Table1[[#This Row],[County]]="Leicestershire",Table1[[#This Row],[income]],0)</f>
        <v>0</v>
      </c>
      <c r="BX118" s="20">
        <f ca="1">IF(Table1[[#This Row],[County]]="Cornwall",Table1[[#This Row],[income]],0)</f>
        <v>0</v>
      </c>
      <c r="BY118" s="20">
        <f ca="1">IF(Table1[[#This Row],[County]]="Isle of Wight",Table1[[#This Row],[income]],0)</f>
        <v>0</v>
      </c>
      <c r="BZ118" s="20">
        <f ca="1">IF(Table1[[#This Row],[County]]="Surrey",Table1[[#This Row],[income]],0)</f>
        <v>0</v>
      </c>
      <c r="CA118" s="20">
        <f ca="1">IF(Table1[[#This Row],[County]]="Derbyshire",Table1[[#This Row],[income]],0)</f>
        <v>0</v>
      </c>
      <c r="CB118" s="20">
        <f ca="1">IF(Table1[[#This Row],[County]]="City of London",Table1[[#This Row],[income]],0)</f>
        <v>0</v>
      </c>
      <c r="CC118" s="20">
        <f ca="1">IF(Table1[[#This Row],[County]]="Bedfordshire",Table1[[#This Row],[income]],0)</f>
        <v>0</v>
      </c>
      <c r="CD118" s="20">
        <f ca="1">IF(Table1[[#This Row],[County]]="County Durham",Table1[[#This Row],[income]],0)</f>
        <v>0</v>
      </c>
      <c r="CE118" s="20">
        <f ca="1">IF(Table1[[#This Row],[County]]="East Riding of Yorkshire",Table1[[#This Row],[income]],0)</f>
        <v>0</v>
      </c>
      <c r="CF118" s="20">
        <f ca="1">IF(Table1[[#This Row],[County]]="West Yorkshire",Table1[[#This Row],[income]],0)</f>
        <v>0</v>
      </c>
      <c r="CG118" s="20">
        <f ca="1">IF(Table1[[#This Row],[County]]="Essex",Table1[[#This Row],[income]],0)</f>
        <v>0</v>
      </c>
      <c r="CH118" s="20">
        <f ca="1">IF(Table1[[#This Row],[County]]="East Sussex",Table1[[#This Row],[income]],0)</f>
        <v>0</v>
      </c>
      <c r="CI118" s="20">
        <f ca="1">IF(Table1[[#This Row],[County]]="Greater Manchester",Table1[[#This Row],[income]],0)</f>
        <v>0</v>
      </c>
      <c r="CJ118" s="20">
        <f ca="1">IF(Table1[[#This Row],[County]]="Hertfordshire",Table1[[#This Row],[income]],0)</f>
        <v>44429</v>
      </c>
      <c r="CK118" s="20">
        <f ca="1">IF(Table1[[#This Row],[County]]="Herefordshire",Table1[[#This Row],[income]],0)</f>
        <v>0</v>
      </c>
      <c r="CL118" s="20">
        <f ca="1">IF(Table1[[#This Row],[County]]="Lancashire",Table1[[#This Row],[income]],0)</f>
        <v>0</v>
      </c>
      <c r="CM118" s="20">
        <f ca="1">IF(Table1[[#This Row],[County]]="Merseyside",Table1[[#This Row],[income]],0)</f>
        <v>0</v>
      </c>
      <c r="CN118" s="20">
        <f ca="1">IF(Table1[[#This Row],[County]]="Northamptonshire",Table1[[#This Row],[income]],0)</f>
        <v>0</v>
      </c>
      <c r="CO118" s="20">
        <f ca="1">IF(Table1[[#This Row],[County]]="Northumberland",Table1[[#This Row],[income]],0)</f>
        <v>0</v>
      </c>
      <c r="CP118" s="20">
        <f ca="1">IF(Table1[[#This Row],[County]]="Wiltshire",Table1[[#This Row],[income]],0)</f>
        <v>0</v>
      </c>
      <c r="CQ118" s="20">
        <f ca="1">IF(Table1[[#This Row],[County]]="West Midlands",Table1[[#This Row],[income]],0)</f>
        <v>0</v>
      </c>
      <c r="CR118" s="20">
        <f ca="1">IF(Table1[[#This Row],[County]]="Warwickshire",Table1[[#This Row],[income]],0)</f>
        <v>0</v>
      </c>
      <c r="CS118" s="20">
        <f ca="1">IF(Table1[[#This Row],[County]]="Tyne and Wear",Table1[[#This Row],[income]],0)</f>
        <v>0</v>
      </c>
      <c r="CT118" s="20">
        <f ca="1">IF(Table1[[#This Row],[County]]="Worcestershire",Table1[[#This Row],[income]],0)</f>
        <v>0</v>
      </c>
      <c r="CU118" s="20">
        <f ca="1">IF(Table1[[#This Row],[County]]="Rutland",Table1[[#This Row],[income]],0)</f>
        <v>0</v>
      </c>
      <c r="CV118" s="20">
        <f ca="1">IF(Table1[[#This Row],[County]]="Shropshire",Table1[[#This Row],[income]],0)</f>
        <v>0</v>
      </c>
      <c r="CW118" s="20">
        <f ca="1">IF(Table1[[#This Row],[County]]="Dorset",Table1[[#This Row],[income]],0)</f>
        <v>0</v>
      </c>
      <c r="CX118" s="20">
        <f ca="1">IF(Table1[[#This Row],[County]]="Buckinghamshire",Table1[[#This Row],[income]],0)</f>
        <v>0</v>
      </c>
      <c r="CY118" s="20">
        <f ca="1">IF(Table1[[#This Row],[County]]="Suffolk",Table1[[#This Row],[income]],0)</f>
        <v>0</v>
      </c>
      <c r="CZ118" s="20">
        <f ca="1">IF(Table1[[#This Row],[County]]="North Yorkshire",Table1[[#This Row],[income]],0)</f>
        <v>0</v>
      </c>
      <c r="DA118" s="20">
        <f ca="1">IF(Table1[[#This Row],[County]]="Kent",Table1[[#This Row],[income]],0)</f>
        <v>0</v>
      </c>
      <c r="DB118" s="5">
        <f ca="1">IF(Table1[[#This Row],[County]]="Derbyshire",Table1[[#This Row],[income]],0)</f>
        <v>0</v>
      </c>
      <c r="DD118" s="6">
        <f ca="1">IF(Table1[[#This Row],[Column1]]="Health",Table1[[#This Row],[income]],0)</f>
        <v>0</v>
      </c>
      <c r="DE118" s="20">
        <f ca="1">IF(Table1[[#This Row],[Column1]]="Agriculture",Table1[[#This Row],[income]],0)</f>
        <v>44429</v>
      </c>
      <c r="DF118" s="20">
        <f ca="1">IF(Table1[[#This Row],[Column1]]="Technology",Table1[[#This Row],[income]],0)</f>
        <v>0</v>
      </c>
      <c r="DG118" s="20">
        <f ca="1">IF(Table1[[#This Row],[Column1]]="Social Service",Table1[[#This Row],[income]],0)</f>
        <v>0</v>
      </c>
      <c r="DH118" s="20">
        <f ca="1">IF(Table1[[#This Row],[Column1]]="Education",Table1[[#This Row],[income]],0)</f>
        <v>0</v>
      </c>
      <c r="DI118" s="5">
        <f ca="1">IF(Table1[[#This Row],[Column1]]="Construction",Table1[[#This Row],[income]],0)</f>
        <v>0</v>
      </c>
      <c r="DK118" s="6">
        <f ca="1">IF(Table1[[#This Row],[Value of Debts]]&gt;Table1[[#This Row],[income]],1,0)</f>
        <v>1</v>
      </c>
      <c r="DL118" s="20"/>
      <c r="DM118" s="20"/>
      <c r="DN118" s="5"/>
      <c r="DP118" s="6">
        <f ca="1">IF(Table1[[#This Row],[Net Worth (£)]]&gt;$DS$5,C118,0)</f>
        <v>45</v>
      </c>
      <c r="DQ118" s="20"/>
      <c r="DR118" s="20"/>
      <c r="DS118" s="5"/>
    </row>
    <row r="119" spans="1:123" x14ac:dyDescent="0.2">
      <c r="A119">
        <f t="shared" ca="1" si="4"/>
        <v>1</v>
      </c>
      <c r="B119" s="1" t="str">
        <f ca="1">IF(A119=1, "men", "women")</f>
        <v>men</v>
      </c>
      <c r="C119" s="1">
        <f ca="1">RANDBETWEEN(25,50)</f>
        <v>49</v>
      </c>
      <c r="D119">
        <f ca="1">RANDBETWEEN(1,6)</f>
        <v>6</v>
      </c>
      <c r="E119" t="str">
        <f ca="1">VLOOKUP(D119,$W$5:$X$10,2)</f>
        <v>Agriculture</v>
      </c>
      <c r="F119">
        <f ca="1">RANDBETWEEN(1,5)</f>
        <v>3</v>
      </c>
      <c r="G119" t="str">
        <f ca="1">VLOOKUP(F119,$Y$5:$Z$9,2)</f>
        <v>University</v>
      </c>
      <c r="H119">
        <f ca="1">RANDBETWEEN(0,4)</f>
        <v>4</v>
      </c>
      <c r="I119">
        <f ca="1">RANDBETWEEN(1,3)</f>
        <v>1</v>
      </c>
      <c r="J119">
        <f ca="1">RANDBETWEEN(30000,100000)</f>
        <v>79276</v>
      </c>
      <c r="K119">
        <f ca="1">RANDBETWEEN(1,48)</f>
        <v>39</v>
      </c>
      <c r="L119" t="str">
        <f ca="1">VLOOKUP(K119,$AA$5:$AB$52,2)</f>
        <v>Staffordshire</v>
      </c>
      <c r="M119">
        <f ca="1">J119*(RANDBETWEEN(2,5))</f>
        <v>158552</v>
      </c>
      <c r="N119">
        <f ca="1">RAND()*M119</f>
        <v>45435.573399259069</v>
      </c>
      <c r="O119">
        <f ca="1">I119*RAND()*J119</f>
        <v>3605.2514105355367</v>
      </c>
      <c r="P119">
        <f ca="1">RANDBETWEEN(0,O119)</f>
        <v>1144</v>
      </c>
      <c r="Q119">
        <f ca="1">RAND()*J119*2</f>
        <v>68349.388952117515</v>
      </c>
      <c r="R119">
        <f ca="1">RAND()*J119*1.5</f>
        <v>114835.14392162512</v>
      </c>
      <c r="S119">
        <f ca="1">J119+R119+O119</f>
        <v>197716.39533216064</v>
      </c>
      <c r="T119">
        <f ca="1">N119+P119+Q119</f>
        <v>114928.96235137658</v>
      </c>
      <c r="U119">
        <f ca="1">S119-T119</f>
        <v>82787.432980784055</v>
      </c>
      <c r="AC119" s="6">
        <f ca="1">IF(Table1[[#This Row],[gender]]="men",1,0)</f>
        <v>1</v>
      </c>
      <c r="AD119">
        <f ca="1">IF(Table1[[#This Row],[gender]]="women",1,0)</f>
        <v>0</v>
      </c>
      <c r="AH119" s="5"/>
      <c r="AJ119" s="6">
        <f ca="1">IF(Table1[[#This Row],[Column1]]="Health",1,0)</f>
        <v>0</v>
      </c>
      <c r="AK119">
        <f ca="1">IF(Table1[[#This Row],[Column1]]="Construction",1,0)</f>
        <v>0</v>
      </c>
      <c r="AL119">
        <f ca="1">IF(Table1[[#This Row],[Column1]]="Technology",1,0)</f>
        <v>0</v>
      </c>
      <c r="AM119">
        <f ca="1">IF(Table1[[#This Row],[Column1]]="Education",1,0)</f>
        <v>0</v>
      </c>
      <c r="AN119">
        <f ca="1">IF(Table1[[#This Row],[Column1]]="Agriculture",1,0)</f>
        <v>1</v>
      </c>
      <c r="AO119">
        <f ca="1">IF(Table1[[#This Row],[Column1]]="Social Service", 1, 0)</f>
        <v>0</v>
      </c>
      <c r="AT119" s="5"/>
      <c r="AV119" s="17">
        <f t="shared" ca="1" si="3"/>
        <v>39175.175327453479</v>
      </c>
      <c r="AW119" s="5"/>
      <c r="AX119" s="6">
        <f ca="1">IF(Table1[[#This Row],[Value of Debts]]&gt;$AY$4,1,0)</f>
        <v>1</v>
      </c>
      <c r="AY119" s="20"/>
      <c r="AZ119" s="20"/>
      <c r="BA119" s="5"/>
      <c r="BB119" s="25">
        <f ca="1">Table1[[#This Row],[Mortage Left]]/Table1[[#This Row],[Value of House]]</f>
        <v>0.28656575381741678</v>
      </c>
      <c r="BC119" s="20">
        <f t="shared" ca="1" si="5"/>
        <v>1</v>
      </c>
      <c r="BD119" s="20"/>
      <c r="BE119" s="20"/>
      <c r="BF119" s="20"/>
      <c r="BG119" s="6">
        <f ca="1">IF(Table1[[#This Row],[County]]="Cumbria",Table1[[#This Row],[income]],0)</f>
        <v>0</v>
      </c>
      <c r="BH119" s="20">
        <f ca="1">IF(Table1[[#This Row],[County]]="Cheshire",Table1[[#This Row],[income]],0)</f>
        <v>0</v>
      </c>
      <c r="BI119" s="20">
        <f ca="1">IF(Table1[[#This Row],[County]]="Bristol",Table1[[#This Row],[income]],0)</f>
        <v>0</v>
      </c>
      <c r="BJ119" s="20">
        <f ca="1">IF(Table1[[#This Row],[County]]="Surrey",Table1[[#This Row],[income]],0)</f>
        <v>0</v>
      </c>
      <c r="BK119" s="20">
        <f ca="1">IF(Table1[[#This Row],[County]]="Norfolk",Table1[[#This Row],[income]],0)</f>
        <v>0</v>
      </c>
      <c r="BL119" s="20">
        <f ca="1">IF(Table1[[#This Row],[County]]="Lincolnshire",Table1[[#This Row],[income]],0)</f>
        <v>0</v>
      </c>
      <c r="BM119" s="20">
        <f ca="1">IF(Table1[[#This Row],[County]]="Somerset",Table1[[#This Row],[income]],0)</f>
        <v>0</v>
      </c>
      <c r="BN119" s="20">
        <f ca="1">IF(Table1[[#This Row],[County]]="Cambridgeshire",Table1[[#This Row],[income]],0)</f>
        <v>0</v>
      </c>
      <c r="BO119" s="20">
        <f ca="1">IF(Table1[[#This Row],[County]]="South Yorkshire",Table1[[#This Row],[income]],0)</f>
        <v>0</v>
      </c>
      <c r="BP119" s="20">
        <f ca="1">IF(Table1[[#This Row],[County]]="Greater London",Table1[[#This Row],[income]],0)</f>
        <v>0</v>
      </c>
      <c r="BQ119" s="20">
        <f ca="1">IF(Table1[[#This Row],[County]]="Hampshire",Table1[[#This Row],[income]],0)</f>
        <v>0</v>
      </c>
      <c r="BR119" s="20">
        <f ca="1">IF(Table1[[#This Row],[County]]="Gloucestershire",Table1[[#This Row],[income]],0)</f>
        <v>0</v>
      </c>
      <c r="BS119" s="20">
        <f ca="1">IF(Table1[[#This Row],[County]]="West Sussex",Table1[[#This Row],[income]],0)</f>
        <v>0</v>
      </c>
      <c r="BT119" s="20">
        <f ca="1">IF(Table1[[#This Row],[County]]="Devon",Table1[[#This Row],[income]],0)</f>
        <v>0</v>
      </c>
      <c r="BU119" s="20">
        <f ca="1">IF(Table1[[#This Row],[County]]="Berkshire",Table1[[#This Row],[income]],0)</f>
        <v>0</v>
      </c>
      <c r="BV119" s="20">
        <f ca="1">IF(Table1[[#This Row],[County]]="Staffordshire",Table1[[#This Row],[income]],0)</f>
        <v>79276</v>
      </c>
      <c r="BW119" s="20">
        <f ca="1">IF(Table1[[#This Row],[County]]="Leicestershire",Table1[[#This Row],[income]],0)</f>
        <v>0</v>
      </c>
      <c r="BX119" s="20">
        <f ca="1">IF(Table1[[#This Row],[County]]="Cornwall",Table1[[#This Row],[income]],0)</f>
        <v>0</v>
      </c>
      <c r="BY119" s="20">
        <f ca="1">IF(Table1[[#This Row],[County]]="Isle of Wight",Table1[[#This Row],[income]],0)</f>
        <v>0</v>
      </c>
      <c r="BZ119" s="20">
        <f ca="1">IF(Table1[[#This Row],[County]]="Surrey",Table1[[#This Row],[income]],0)</f>
        <v>0</v>
      </c>
      <c r="CA119" s="20">
        <f ca="1">IF(Table1[[#This Row],[County]]="Derbyshire",Table1[[#This Row],[income]],0)</f>
        <v>0</v>
      </c>
      <c r="CB119" s="20">
        <f ca="1">IF(Table1[[#This Row],[County]]="City of London",Table1[[#This Row],[income]],0)</f>
        <v>0</v>
      </c>
      <c r="CC119" s="20">
        <f ca="1">IF(Table1[[#This Row],[County]]="Bedfordshire",Table1[[#This Row],[income]],0)</f>
        <v>0</v>
      </c>
      <c r="CD119" s="20">
        <f ca="1">IF(Table1[[#This Row],[County]]="County Durham",Table1[[#This Row],[income]],0)</f>
        <v>0</v>
      </c>
      <c r="CE119" s="20">
        <f ca="1">IF(Table1[[#This Row],[County]]="East Riding of Yorkshire",Table1[[#This Row],[income]],0)</f>
        <v>0</v>
      </c>
      <c r="CF119" s="20">
        <f ca="1">IF(Table1[[#This Row],[County]]="West Yorkshire",Table1[[#This Row],[income]],0)</f>
        <v>0</v>
      </c>
      <c r="CG119" s="20">
        <f ca="1">IF(Table1[[#This Row],[County]]="Essex",Table1[[#This Row],[income]],0)</f>
        <v>0</v>
      </c>
      <c r="CH119" s="20">
        <f ca="1">IF(Table1[[#This Row],[County]]="East Sussex",Table1[[#This Row],[income]],0)</f>
        <v>0</v>
      </c>
      <c r="CI119" s="20">
        <f ca="1">IF(Table1[[#This Row],[County]]="Greater Manchester",Table1[[#This Row],[income]],0)</f>
        <v>0</v>
      </c>
      <c r="CJ119" s="20">
        <f ca="1">IF(Table1[[#This Row],[County]]="Hertfordshire",Table1[[#This Row],[income]],0)</f>
        <v>0</v>
      </c>
      <c r="CK119" s="20">
        <f ca="1">IF(Table1[[#This Row],[County]]="Herefordshire",Table1[[#This Row],[income]],0)</f>
        <v>0</v>
      </c>
      <c r="CL119" s="20">
        <f ca="1">IF(Table1[[#This Row],[County]]="Lancashire",Table1[[#This Row],[income]],0)</f>
        <v>0</v>
      </c>
      <c r="CM119" s="20">
        <f ca="1">IF(Table1[[#This Row],[County]]="Merseyside",Table1[[#This Row],[income]],0)</f>
        <v>0</v>
      </c>
      <c r="CN119" s="20">
        <f ca="1">IF(Table1[[#This Row],[County]]="Northamptonshire",Table1[[#This Row],[income]],0)</f>
        <v>0</v>
      </c>
      <c r="CO119" s="20">
        <f ca="1">IF(Table1[[#This Row],[County]]="Northumberland",Table1[[#This Row],[income]],0)</f>
        <v>0</v>
      </c>
      <c r="CP119" s="20">
        <f ca="1">IF(Table1[[#This Row],[County]]="Wiltshire",Table1[[#This Row],[income]],0)</f>
        <v>0</v>
      </c>
      <c r="CQ119" s="20">
        <f ca="1">IF(Table1[[#This Row],[County]]="West Midlands",Table1[[#This Row],[income]],0)</f>
        <v>0</v>
      </c>
      <c r="CR119" s="20">
        <f ca="1">IF(Table1[[#This Row],[County]]="Warwickshire",Table1[[#This Row],[income]],0)</f>
        <v>0</v>
      </c>
      <c r="CS119" s="20">
        <f ca="1">IF(Table1[[#This Row],[County]]="Tyne and Wear",Table1[[#This Row],[income]],0)</f>
        <v>0</v>
      </c>
      <c r="CT119" s="20">
        <f ca="1">IF(Table1[[#This Row],[County]]="Worcestershire",Table1[[#This Row],[income]],0)</f>
        <v>0</v>
      </c>
      <c r="CU119" s="20">
        <f ca="1">IF(Table1[[#This Row],[County]]="Rutland",Table1[[#This Row],[income]],0)</f>
        <v>0</v>
      </c>
      <c r="CV119" s="20">
        <f ca="1">IF(Table1[[#This Row],[County]]="Shropshire",Table1[[#This Row],[income]],0)</f>
        <v>0</v>
      </c>
      <c r="CW119" s="20">
        <f ca="1">IF(Table1[[#This Row],[County]]="Dorset",Table1[[#This Row],[income]],0)</f>
        <v>0</v>
      </c>
      <c r="CX119" s="20">
        <f ca="1">IF(Table1[[#This Row],[County]]="Buckinghamshire",Table1[[#This Row],[income]],0)</f>
        <v>0</v>
      </c>
      <c r="CY119" s="20">
        <f ca="1">IF(Table1[[#This Row],[County]]="Suffolk",Table1[[#This Row],[income]],0)</f>
        <v>0</v>
      </c>
      <c r="CZ119" s="20">
        <f ca="1">IF(Table1[[#This Row],[County]]="North Yorkshire",Table1[[#This Row],[income]],0)</f>
        <v>0</v>
      </c>
      <c r="DA119" s="20">
        <f ca="1">IF(Table1[[#This Row],[County]]="Kent",Table1[[#This Row],[income]],0)</f>
        <v>0</v>
      </c>
      <c r="DB119" s="5">
        <f ca="1">IF(Table1[[#This Row],[County]]="Derbyshire",Table1[[#This Row],[income]],0)</f>
        <v>0</v>
      </c>
      <c r="DD119" s="6">
        <f ca="1">IF(Table1[[#This Row],[Column1]]="Health",Table1[[#This Row],[income]],0)</f>
        <v>0</v>
      </c>
      <c r="DE119" s="20">
        <f ca="1">IF(Table1[[#This Row],[Column1]]="Agriculture",Table1[[#This Row],[income]],0)</f>
        <v>79276</v>
      </c>
      <c r="DF119" s="20">
        <f ca="1">IF(Table1[[#This Row],[Column1]]="Technology",Table1[[#This Row],[income]],0)</f>
        <v>0</v>
      </c>
      <c r="DG119" s="20">
        <f ca="1">IF(Table1[[#This Row],[Column1]]="Social Service",Table1[[#This Row],[income]],0)</f>
        <v>0</v>
      </c>
      <c r="DH119" s="20">
        <f ca="1">IF(Table1[[#This Row],[Column1]]="Education",Table1[[#This Row],[income]],0)</f>
        <v>0</v>
      </c>
      <c r="DI119" s="5">
        <f ca="1">IF(Table1[[#This Row],[Column1]]="Construction",Table1[[#This Row],[income]],0)</f>
        <v>0</v>
      </c>
      <c r="DK119" s="6">
        <f ca="1">IF(Table1[[#This Row],[Value of Debts]]&gt;Table1[[#This Row],[income]],1,0)</f>
        <v>1</v>
      </c>
      <c r="DL119" s="20"/>
      <c r="DM119" s="20"/>
      <c r="DN119" s="5"/>
      <c r="DP119" s="6">
        <f ca="1">IF(Table1[[#This Row],[Net Worth (£)]]&gt;$DS$5,C119,0)</f>
        <v>49</v>
      </c>
      <c r="DQ119" s="20"/>
      <c r="DR119" s="20"/>
      <c r="DS119" s="5"/>
    </row>
    <row r="120" spans="1:123" x14ac:dyDescent="0.2">
      <c r="A120">
        <f t="shared" ca="1" si="4"/>
        <v>2</v>
      </c>
      <c r="B120" s="1" t="str">
        <f ca="1">IF(A120=1, "men", "women")</f>
        <v>women</v>
      </c>
      <c r="C120" s="1">
        <f ca="1">RANDBETWEEN(25,50)</f>
        <v>44</v>
      </c>
      <c r="D120">
        <f ca="1">RANDBETWEEN(1,6)</f>
        <v>5</v>
      </c>
      <c r="E120" t="str">
        <f ca="1">VLOOKUP(D120,$W$5:$X$10,2)</f>
        <v>Social Service</v>
      </c>
      <c r="F120">
        <f ca="1">RANDBETWEEN(1,5)</f>
        <v>1</v>
      </c>
      <c r="G120" t="str">
        <f ca="1">VLOOKUP(F120,$Y$5:$Z$9,2)</f>
        <v>High School</v>
      </c>
      <c r="H120">
        <f ca="1">RANDBETWEEN(0,4)</f>
        <v>3</v>
      </c>
      <c r="I120">
        <f ca="1">RANDBETWEEN(1,3)</f>
        <v>1</v>
      </c>
      <c r="J120">
        <f ca="1">RANDBETWEEN(30000,100000)</f>
        <v>81102</v>
      </c>
      <c r="K120">
        <f ca="1">RANDBETWEEN(1,48)</f>
        <v>32</v>
      </c>
      <c r="L120" t="str">
        <f ca="1">VLOOKUP(K120,$AA$5:$AB$52,2)</f>
        <v>Northumberland</v>
      </c>
      <c r="M120">
        <f ca="1">J120*(RANDBETWEEN(2,5))</f>
        <v>324408</v>
      </c>
      <c r="N120">
        <f ca="1">RAND()*M120</f>
        <v>258636.68227103463</v>
      </c>
      <c r="O120">
        <f ca="1">I120*RAND()*J120</f>
        <v>39175.175327453479</v>
      </c>
      <c r="P120">
        <f ca="1">RANDBETWEEN(0,O120)</f>
        <v>34079</v>
      </c>
      <c r="Q120">
        <f ca="1">RAND()*J120*2</f>
        <v>42644.441237244231</v>
      </c>
      <c r="R120">
        <f ca="1">RAND()*J120*1.5</f>
        <v>118268.70491580636</v>
      </c>
      <c r="S120">
        <f ca="1">J120+R120+O120</f>
        <v>238545.88024325983</v>
      </c>
      <c r="T120">
        <f ca="1">N120+P120+Q120</f>
        <v>335360.12350827886</v>
      </c>
      <c r="U120">
        <f ca="1">S120-T120</f>
        <v>-96814.243265019031</v>
      </c>
      <c r="AC120" s="6">
        <f ca="1">IF(Table1[[#This Row],[gender]]="men",1,0)</f>
        <v>0</v>
      </c>
      <c r="AD120">
        <f ca="1">IF(Table1[[#This Row],[gender]]="women",1,0)</f>
        <v>1</v>
      </c>
      <c r="AH120" s="5"/>
      <c r="AJ120" s="6">
        <f ca="1">IF(Table1[[#This Row],[Column1]]="Health",1,0)</f>
        <v>0</v>
      </c>
      <c r="AK120">
        <f ca="1">IF(Table1[[#This Row],[Column1]]="Construction",1,0)</f>
        <v>0</v>
      </c>
      <c r="AL120">
        <f ca="1">IF(Table1[[#This Row],[Column1]]="Technology",1,0)</f>
        <v>0</v>
      </c>
      <c r="AM120">
        <f ca="1">IF(Table1[[#This Row],[Column1]]="Education",1,0)</f>
        <v>0</v>
      </c>
      <c r="AN120">
        <f ca="1">IF(Table1[[#This Row],[Column1]]="Agriculture",1,0)</f>
        <v>0</v>
      </c>
      <c r="AO120">
        <f ca="1">IF(Table1[[#This Row],[Column1]]="Social Service", 1, 0)</f>
        <v>1</v>
      </c>
      <c r="AT120" s="5"/>
      <c r="AV120" s="17">
        <f t="shared" ca="1" si="3"/>
        <v>31964.170928943207</v>
      </c>
      <c r="AW120" s="5"/>
      <c r="AX120" s="6">
        <f ca="1">IF(Table1[[#This Row],[Value of Debts]]&gt;$AY$4,1,0)</f>
        <v>1</v>
      </c>
      <c r="AY120" s="20"/>
      <c r="AZ120" s="20"/>
      <c r="BA120" s="5"/>
      <c r="BB120" s="25">
        <f ca="1">Table1[[#This Row],[Mortage Left]]/Table1[[#This Row],[Value of House]]</f>
        <v>0.79725741125691918</v>
      </c>
      <c r="BC120" s="20">
        <f t="shared" ca="1" si="5"/>
        <v>0</v>
      </c>
      <c r="BD120" s="20"/>
      <c r="BE120" s="20"/>
      <c r="BF120" s="20"/>
      <c r="BG120" s="6">
        <f ca="1">IF(Table1[[#This Row],[County]]="Cumbria",Table1[[#This Row],[income]],0)</f>
        <v>0</v>
      </c>
      <c r="BH120" s="20">
        <f ca="1">IF(Table1[[#This Row],[County]]="Cheshire",Table1[[#This Row],[income]],0)</f>
        <v>0</v>
      </c>
      <c r="BI120" s="20">
        <f ca="1">IF(Table1[[#This Row],[County]]="Bristol",Table1[[#This Row],[income]],0)</f>
        <v>0</v>
      </c>
      <c r="BJ120" s="20">
        <f ca="1">IF(Table1[[#This Row],[County]]="Surrey",Table1[[#This Row],[income]],0)</f>
        <v>0</v>
      </c>
      <c r="BK120" s="20">
        <f ca="1">IF(Table1[[#This Row],[County]]="Norfolk",Table1[[#This Row],[income]],0)</f>
        <v>0</v>
      </c>
      <c r="BL120" s="20">
        <f ca="1">IF(Table1[[#This Row],[County]]="Lincolnshire",Table1[[#This Row],[income]],0)</f>
        <v>0</v>
      </c>
      <c r="BM120" s="20">
        <f ca="1">IF(Table1[[#This Row],[County]]="Somerset",Table1[[#This Row],[income]],0)</f>
        <v>0</v>
      </c>
      <c r="BN120" s="20">
        <f ca="1">IF(Table1[[#This Row],[County]]="Cambridgeshire",Table1[[#This Row],[income]],0)</f>
        <v>0</v>
      </c>
      <c r="BO120" s="20">
        <f ca="1">IF(Table1[[#This Row],[County]]="South Yorkshire",Table1[[#This Row],[income]],0)</f>
        <v>0</v>
      </c>
      <c r="BP120" s="20">
        <f ca="1">IF(Table1[[#This Row],[County]]="Greater London",Table1[[#This Row],[income]],0)</f>
        <v>0</v>
      </c>
      <c r="BQ120" s="20">
        <f ca="1">IF(Table1[[#This Row],[County]]="Hampshire",Table1[[#This Row],[income]],0)</f>
        <v>0</v>
      </c>
      <c r="BR120" s="20">
        <f ca="1">IF(Table1[[#This Row],[County]]="Gloucestershire",Table1[[#This Row],[income]],0)</f>
        <v>0</v>
      </c>
      <c r="BS120" s="20">
        <f ca="1">IF(Table1[[#This Row],[County]]="West Sussex",Table1[[#This Row],[income]],0)</f>
        <v>0</v>
      </c>
      <c r="BT120" s="20">
        <f ca="1">IF(Table1[[#This Row],[County]]="Devon",Table1[[#This Row],[income]],0)</f>
        <v>0</v>
      </c>
      <c r="BU120" s="20">
        <f ca="1">IF(Table1[[#This Row],[County]]="Berkshire",Table1[[#This Row],[income]],0)</f>
        <v>0</v>
      </c>
      <c r="BV120" s="20">
        <f ca="1">IF(Table1[[#This Row],[County]]="Staffordshire",Table1[[#This Row],[income]],0)</f>
        <v>0</v>
      </c>
      <c r="BW120" s="20">
        <f ca="1">IF(Table1[[#This Row],[County]]="Leicestershire",Table1[[#This Row],[income]],0)</f>
        <v>0</v>
      </c>
      <c r="BX120" s="20">
        <f ca="1">IF(Table1[[#This Row],[County]]="Cornwall",Table1[[#This Row],[income]],0)</f>
        <v>0</v>
      </c>
      <c r="BY120" s="20">
        <f ca="1">IF(Table1[[#This Row],[County]]="Isle of Wight",Table1[[#This Row],[income]],0)</f>
        <v>0</v>
      </c>
      <c r="BZ120" s="20">
        <f ca="1">IF(Table1[[#This Row],[County]]="Surrey",Table1[[#This Row],[income]],0)</f>
        <v>0</v>
      </c>
      <c r="CA120" s="20">
        <f ca="1">IF(Table1[[#This Row],[County]]="Derbyshire",Table1[[#This Row],[income]],0)</f>
        <v>0</v>
      </c>
      <c r="CB120" s="20">
        <f ca="1">IF(Table1[[#This Row],[County]]="City of London",Table1[[#This Row],[income]],0)</f>
        <v>0</v>
      </c>
      <c r="CC120" s="20">
        <f ca="1">IF(Table1[[#This Row],[County]]="Bedfordshire",Table1[[#This Row],[income]],0)</f>
        <v>0</v>
      </c>
      <c r="CD120" s="20">
        <f ca="1">IF(Table1[[#This Row],[County]]="County Durham",Table1[[#This Row],[income]],0)</f>
        <v>0</v>
      </c>
      <c r="CE120" s="20">
        <f ca="1">IF(Table1[[#This Row],[County]]="East Riding of Yorkshire",Table1[[#This Row],[income]],0)</f>
        <v>0</v>
      </c>
      <c r="CF120" s="20">
        <f ca="1">IF(Table1[[#This Row],[County]]="West Yorkshire",Table1[[#This Row],[income]],0)</f>
        <v>0</v>
      </c>
      <c r="CG120" s="20">
        <f ca="1">IF(Table1[[#This Row],[County]]="Essex",Table1[[#This Row],[income]],0)</f>
        <v>0</v>
      </c>
      <c r="CH120" s="20">
        <f ca="1">IF(Table1[[#This Row],[County]]="East Sussex",Table1[[#This Row],[income]],0)</f>
        <v>0</v>
      </c>
      <c r="CI120" s="20">
        <f ca="1">IF(Table1[[#This Row],[County]]="Greater Manchester",Table1[[#This Row],[income]],0)</f>
        <v>0</v>
      </c>
      <c r="CJ120" s="20">
        <f ca="1">IF(Table1[[#This Row],[County]]="Hertfordshire",Table1[[#This Row],[income]],0)</f>
        <v>0</v>
      </c>
      <c r="CK120" s="20">
        <f ca="1">IF(Table1[[#This Row],[County]]="Herefordshire",Table1[[#This Row],[income]],0)</f>
        <v>0</v>
      </c>
      <c r="CL120" s="20">
        <f ca="1">IF(Table1[[#This Row],[County]]="Lancashire",Table1[[#This Row],[income]],0)</f>
        <v>0</v>
      </c>
      <c r="CM120" s="20">
        <f ca="1">IF(Table1[[#This Row],[County]]="Merseyside",Table1[[#This Row],[income]],0)</f>
        <v>0</v>
      </c>
      <c r="CN120" s="20">
        <f ca="1">IF(Table1[[#This Row],[County]]="Northamptonshire",Table1[[#This Row],[income]],0)</f>
        <v>0</v>
      </c>
      <c r="CO120" s="20">
        <f ca="1">IF(Table1[[#This Row],[County]]="Northumberland",Table1[[#This Row],[income]],0)</f>
        <v>81102</v>
      </c>
      <c r="CP120" s="20">
        <f ca="1">IF(Table1[[#This Row],[County]]="Wiltshire",Table1[[#This Row],[income]],0)</f>
        <v>0</v>
      </c>
      <c r="CQ120" s="20">
        <f ca="1">IF(Table1[[#This Row],[County]]="West Midlands",Table1[[#This Row],[income]],0)</f>
        <v>0</v>
      </c>
      <c r="CR120" s="20">
        <f ca="1">IF(Table1[[#This Row],[County]]="Warwickshire",Table1[[#This Row],[income]],0)</f>
        <v>0</v>
      </c>
      <c r="CS120" s="20">
        <f ca="1">IF(Table1[[#This Row],[County]]="Tyne and Wear",Table1[[#This Row],[income]],0)</f>
        <v>0</v>
      </c>
      <c r="CT120" s="20">
        <f ca="1">IF(Table1[[#This Row],[County]]="Worcestershire",Table1[[#This Row],[income]],0)</f>
        <v>0</v>
      </c>
      <c r="CU120" s="20">
        <f ca="1">IF(Table1[[#This Row],[County]]="Rutland",Table1[[#This Row],[income]],0)</f>
        <v>0</v>
      </c>
      <c r="CV120" s="20">
        <f ca="1">IF(Table1[[#This Row],[County]]="Shropshire",Table1[[#This Row],[income]],0)</f>
        <v>0</v>
      </c>
      <c r="CW120" s="20">
        <f ca="1">IF(Table1[[#This Row],[County]]="Dorset",Table1[[#This Row],[income]],0)</f>
        <v>0</v>
      </c>
      <c r="CX120" s="20">
        <f ca="1">IF(Table1[[#This Row],[County]]="Buckinghamshire",Table1[[#This Row],[income]],0)</f>
        <v>0</v>
      </c>
      <c r="CY120" s="20">
        <f ca="1">IF(Table1[[#This Row],[County]]="Suffolk",Table1[[#This Row],[income]],0)</f>
        <v>0</v>
      </c>
      <c r="CZ120" s="20">
        <f ca="1">IF(Table1[[#This Row],[County]]="North Yorkshire",Table1[[#This Row],[income]],0)</f>
        <v>0</v>
      </c>
      <c r="DA120" s="20">
        <f ca="1">IF(Table1[[#This Row],[County]]="Kent",Table1[[#This Row],[income]],0)</f>
        <v>0</v>
      </c>
      <c r="DB120" s="5">
        <f ca="1">IF(Table1[[#This Row],[County]]="Derbyshire",Table1[[#This Row],[income]],0)</f>
        <v>0</v>
      </c>
      <c r="DD120" s="6">
        <f ca="1">IF(Table1[[#This Row],[Column1]]="Health",Table1[[#This Row],[income]],0)</f>
        <v>0</v>
      </c>
      <c r="DE120" s="20">
        <f ca="1">IF(Table1[[#This Row],[Column1]]="Agriculture",Table1[[#This Row],[income]],0)</f>
        <v>0</v>
      </c>
      <c r="DF120" s="20">
        <f ca="1">IF(Table1[[#This Row],[Column1]]="Technology",Table1[[#This Row],[income]],0)</f>
        <v>0</v>
      </c>
      <c r="DG120" s="20">
        <f ca="1">IF(Table1[[#This Row],[Column1]]="Social Service",Table1[[#This Row],[income]],0)</f>
        <v>81102</v>
      </c>
      <c r="DH120" s="20">
        <f ca="1">IF(Table1[[#This Row],[Column1]]="Education",Table1[[#This Row],[income]],0)</f>
        <v>0</v>
      </c>
      <c r="DI120" s="5">
        <f ca="1">IF(Table1[[#This Row],[Column1]]="Construction",Table1[[#This Row],[income]],0)</f>
        <v>0</v>
      </c>
      <c r="DK120" s="6">
        <f ca="1">IF(Table1[[#This Row],[Value of Debts]]&gt;Table1[[#This Row],[income]],1,0)</f>
        <v>1</v>
      </c>
      <c r="DL120" s="20"/>
      <c r="DM120" s="20"/>
      <c r="DN120" s="5"/>
      <c r="DP120" s="6">
        <f ca="1">IF(Table1[[#This Row],[Net Worth (£)]]&gt;$DS$5,C120,0)</f>
        <v>0</v>
      </c>
      <c r="DQ120" s="20"/>
      <c r="DR120" s="20"/>
      <c r="DS120" s="5"/>
    </row>
    <row r="121" spans="1:123" x14ac:dyDescent="0.2">
      <c r="A121">
        <f t="shared" ca="1" si="4"/>
        <v>2</v>
      </c>
      <c r="B121" s="1" t="str">
        <f ca="1">IF(A121=1, "men", "women")</f>
        <v>women</v>
      </c>
      <c r="C121" s="1">
        <f ca="1">RANDBETWEEN(25,50)</f>
        <v>26</v>
      </c>
      <c r="D121">
        <f ca="1">RANDBETWEEN(1,6)</f>
        <v>5</v>
      </c>
      <c r="E121" t="str">
        <f ca="1">VLOOKUP(D121,$W$5:$X$10,2)</f>
        <v>Social Service</v>
      </c>
      <c r="F121">
        <f ca="1">RANDBETWEEN(1,5)</f>
        <v>5</v>
      </c>
      <c r="G121" t="str">
        <f ca="1">VLOOKUP(F121,$Y$5:$Z$9,2)</f>
        <v>Other</v>
      </c>
      <c r="H121">
        <f ca="1">RANDBETWEEN(0,4)</f>
        <v>4</v>
      </c>
      <c r="I121">
        <f ca="1">RANDBETWEEN(1,3)</f>
        <v>1</v>
      </c>
      <c r="J121">
        <f ca="1">RANDBETWEEN(30000,100000)</f>
        <v>61491</v>
      </c>
      <c r="K121">
        <f ca="1">RANDBETWEEN(1,48)</f>
        <v>15</v>
      </c>
      <c r="L121" t="str">
        <f ca="1">VLOOKUP(K121,$AA$5:$AB$52,2)</f>
        <v>East Sussex</v>
      </c>
      <c r="M121">
        <f ca="1">J121*(RANDBETWEEN(2,5))</f>
        <v>122982</v>
      </c>
      <c r="N121">
        <f ca="1">RAND()*M121</f>
        <v>108741.22499189715</v>
      </c>
      <c r="O121">
        <f ca="1">I121*RAND()*J121</f>
        <v>31964.170928943207</v>
      </c>
      <c r="P121">
        <f ca="1">RANDBETWEEN(0,O121)</f>
        <v>27996</v>
      </c>
      <c r="Q121">
        <f ca="1">RAND()*J121*2</f>
        <v>52700.083704861237</v>
      </c>
      <c r="R121">
        <f ca="1">RAND()*J121*1.5</f>
        <v>23863.210832060955</v>
      </c>
      <c r="S121">
        <f ca="1">J121+R121+O121</f>
        <v>117318.38176100416</v>
      </c>
      <c r="T121">
        <f ca="1">N121+P121+Q121</f>
        <v>189437.30869675838</v>
      </c>
      <c r="U121">
        <f ca="1">S121-T121</f>
        <v>-72118.926935754222</v>
      </c>
      <c r="AC121" s="6">
        <f ca="1">IF(Table1[[#This Row],[gender]]="men",1,0)</f>
        <v>0</v>
      </c>
      <c r="AD121">
        <f ca="1">IF(Table1[[#This Row],[gender]]="women",1,0)</f>
        <v>1</v>
      </c>
      <c r="AH121" s="5"/>
      <c r="AJ121" s="6">
        <f ca="1">IF(Table1[[#This Row],[Column1]]="Health",1,0)</f>
        <v>0</v>
      </c>
      <c r="AK121">
        <f ca="1">IF(Table1[[#This Row],[Column1]]="Construction",1,0)</f>
        <v>0</v>
      </c>
      <c r="AL121">
        <f ca="1">IF(Table1[[#This Row],[Column1]]="Technology",1,0)</f>
        <v>0</v>
      </c>
      <c r="AM121">
        <f ca="1">IF(Table1[[#This Row],[Column1]]="Education",1,0)</f>
        <v>0</v>
      </c>
      <c r="AN121">
        <f ca="1">IF(Table1[[#This Row],[Column1]]="Agriculture",1,0)</f>
        <v>0</v>
      </c>
      <c r="AO121">
        <f ca="1">IF(Table1[[#This Row],[Column1]]="Social Service", 1, 0)</f>
        <v>1</v>
      </c>
      <c r="AT121" s="5"/>
      <c r="AV121" s="17">
        <f t="shared" ca="1" si="3"/>
        <v>53122.274630259009</v>
      </c>
      <c r="AW121" s="5"/>
      <c r="AX121" s="6">
        <f ca="1">IF(Table1[[#This Row],[Value of Debts]]&gt;$AY$4,1,0)</f>
        <v>1</v>
      </c>
      <c r="AY121" s="20"/>
      <c r="AZ121" s="20"/>
      <c r="BA121" s="5"/>
      <c r="BB121" s="25">
        <f ca="1">Table1[[#This Row],[Mortage Left]]/Table1[[#This Row],[Value of House]]</f>
        <v>0.8842043956993475</v>
      </c>
      <c r="BC121" s="20">
        <f t="shared" ca="1" si="5"/>
        <v>0</v>
      </c>
      <c r="BD121" s="20"/>
      <c r="BE121" s="20"/>
      <c r="BF121" s="20"/>
      <c r="BG121" s="6">
        <f ca="1">IF(Table1[[#This Row],[County]]="Cumbria",Table1[[#This Row],[income]],0)</f>
        <v>0</v>
      </c>
      <c r="BH121" s="20">
        <f ca="1">IF(Table1[[#This Row],[County]]="Cheshire",Table1[[#This Row],[income]],0)</f>
        <v>0</v>
      </c>
      <c r="BI121" s="20">
        <f ca="1">IF(Table1[[#This Row],[County]]="Bristol",Table1[[#This Row],[income]],0)</f>
        <v>0</v>
      </c>
      <c r="BJ121" s="20">
        <f ca="1">IF(Table1[[#This Row],[County]]="Surrey",Table1[[#This Row],[income]],0)</f>
        <v>0</v>
      </c>
      <c r="BK121" s="20">
        <f ca="1">IF(Table1[[#This Row],[County]]="Norfolk",Table1[[#This Row],[income]],0)</f>
        <v>0</v>
      </c>
      <c r="BL121" s="20">
        <f ca="1">IF(Table1[[#This Row],[County]]="Lincolnshire",Table1[[#This Row],[income]],0)</f>
        <v>0</v>
      </c>
      <c r="BM121" s="20">
        <f ca="1">IF(Table1[[#This Row],[County]]="Somerset",Table1[[#This Row],[income]],0)</f>
        <v>0</v>
      </c>
      <c r="BN121" s="20">
        <f ca="1">IF(Table1[[#This Row],[County]]="Cambridgeshire",Table1[[#This Row],[income]],0)</f>
        <v>0</v>
      </c>
      <c r="BO121" s="20">
        <f ca="1">IF(Table1[[#This Row],[County]]="South Yorkshire",Table1[[#This Row],[income]],0)</f>
        <v>0</v>
      </c>
      <c r="BP121" s="20">
        <f ca="1">IF(Table1[[#This Row],[County]]="Greater London",Table1[[#This Row],[income]],0)</f>
        <v>0</v>
      </c>
      <c r="BQ121" s="20">
        <f ca="1">IF(Table1[[#This Row],[County]]="Hampshire",Table1[[#This Row],[income]],0)</f>
        <v>0</v>
      </c>
      <c r="BR121" s="20">
        <f ca="1">IF(Table1[[#This Row],[County]]="Gloucestershire",Table1[[#This Row],[income]],0)</f>
        <v>0</v>
      </c>
      <c r="BS121" s="20">
        <f ca="1">IF(Table1[[#This Row],[County]]="West Sussex",Table1[[#This Row],[income]],0)</f>
        <v>0</v>
      </c>
      <c r="BT121" s="20">
        <f ca="1">IF(Table1[[#This Row],[County]]="Devon",Table1[[#This Row],[income]],0)</f>
        <v>0</v>
      </c>
      <c r="BU121" s="20">
        <f ca="1">IF(Table1[[#This Row],[County]]="Berkshire",Table1[[#This Row],[income]],0)</f>
        <v>0</v>
      </c>
      <c r="BV121" s="20">
        <f ca="1">IF(Table1[[#This Row],[County]]="Staffordshire",Table1[[#This Row],[income]],0)</f>
        <v>0</v>
      </c>
      <c r="BW121" s="20">
        <f ca="1">IF(Table1[[#This Row],[County]]="Leicestershire",Table1[[#This Row],[income]],0)</f>
        <v>0</v>
      </c>
      <c r="BX121" s="20">
        <f ca="1">IF(Table1[[#This Row],[County]]="Cornwall",Table1[[#This Row],[income]],0)</f>
        <v>0</v>
      </c>
      <c r="BY121" s="20">
        <f ca="1">IF(Table1[[#This Row],[County]]="Isle of Wight",Table1[[#This Row],[income]],0)</f>
        <v>0</v>
      </c>
      <c r="BZ121" s="20">
        <f ca="1">IF(Table1[[#This Row],[County]]="Surrey",Table1[[#This Row],[income]],0)</f>
        <v>0</v>
      </c>
      <c r="CA121" s="20">
        <f ca="1">IF(Table1[[#This Row],[County]]="Derbyshire",Table1[[#This Row],[income]],0)</f>
        <v>0</v>
      </c>
      <c r="CB121" s="20">
        <f ca="1">IF(Table1[[#This Row],[County]]="City of London",Table1[[#This Row],[income]],0)</f>
        <v>0</v>
      </c>
      <c r="CC121" s="20">
        <f ca="1">IF(Table1[[#This Row],[County]]="Bedfordshire",Table1[[#This Row],[income]],0)</f>
        <v>0</v>
      </c>
      <c r="CD121" s="20">
        <f ca="1">IF(Table1[[#This Row],[County]]="County Durham",Table1[[#This Row],[income]],0)</f>
        <v>0</v>
      </c>
      <c r="CE121" s="20">
        <f ca="1">IF(Table1[[#This Row],[County]]="East Riding of Yorkshire",Table1[[#This Row],[income]],0)</f>
        <v>0</v>
      </c>
      <c r="CF121" s="20">
        <f ca="1">IF(Table1[[#This Row],[County]]="West Yorkshire",Table1[[#This Row],[income]],0)</f>
        <v>0</v>
      </c>
      <c r="CG121" s="20">
        <f ca="1">IF(Table1[[#This Row],[County]]="Essex",Table1[[#This Row],[income]],0)</f>
        <v>0</v>
      </c>
      <c r="CH121" s="20">
        <f ca="1">IF(Table1[[#This Row],[County]]="East Sussex",Table1[[#This Row],[income]],0)</f>
        <v>61491</v>
      </c>
      <c r="CI121" s="20">
        <f ca="1">IF(Table1[[#This Row],[County]]="Greater Manchester",Table1[[#This Row],[income]],0)</f>
        <v>0</v>
      </c>
      <c r="CJ121" s="20">
        <f ca="1">IF(Table1[[#This Row],[County]]="Hertfordshire",Table1[[#This Row],[income]],0)</f>
        <v>0</v>
      </c>
      <c r="CK121" s="20">
        <f ca="1">IF(Table1[[#This Row],[County]]="Herefordshire",Table1[[#This Row],[income]],0)</f>
        <v>0</v>
      </c>
      <c r="CL121" s="20">
        <f ca="1">IF(Table1[[#This Row],[County]]="Lancashire",Table1[[#This Row],[income]],0)</f>
        <v>0</v>
      </c>
      <c r="CM121" s="20">
        <f ca="1">IF(Table1[[#This Row],[County]]="Merseyside",Table1[[#This Row],[income]],0)</f>
        <v>0</v>
      </c>
      <c r="CN121" s="20">
        <f ca="1">IF(Table1[[#This Row],[County]]="Northamptonshire",Table1[[#This Row],[income]],0)</f>
        <v>0</v>
      </c>
      <c r="CO121" s="20">
        <f ca="1">IF(Table1[[#This Row],[County]]="Northumberland",Table1[[#This Row],[income]],0)</f>
        <v>0</v>
      </c>
      <c r="CP121" s="20">
        <f ca="1">IF(Table1[[#This Row],[County]]="Wiltshire",Table1[[#This Row],[income]],0)</f>
        <v>0</v>
      </c>
      <c r="CQ121" s="20">
        <f ca="1">IF(Table1[[#This Row],[County]]="West Midlands",Table1[[#This Row],[income]],0)</f>
        <v>0</v>
      </c>
      <c r="CR121" s="20">
        <f ca="1">IF(Table1[[#This Row],[County]]="Warwickshire",Table1[[#This Row],[income]],0)</f>
        <v>0</v>
      </c>
      <c r="CS121" s="20">
        <f ca="1">IF(Table1[[#This Row],[County]]="Tyne and Wear",Table1[[#This Row],[income]],0)</f>
        <v>0</v>
      </c>
      <c r="CT121" s="20">
        <f ca="1">IF(Table1[[#This Row],[County]]="Worcestershire",Table1[[#This Row],[income]],0)</f>
        <v>0</v>
      </c>
      <c r="CU121" s="20">
        <f ca="1">IF(Table1[[#This Row],[County]]="Rutland",Table1[[#This Row],[income]],0)</f>
        <v>0</v>
      </c>
      <c r="CV121" s="20">
        <f ca="1">IF(Table1[[#This Row],[County]]="Shropshire",Table1[[#This Row],[income]],0)</f>
        <v>0</v>
      </c>
      <c r="CW121" s="20">
        <f ca="1">IF(Table1[[#This Row],[County]]="Dorset",Table1[[#This Row],[income]],0)</f>
        <v>0</v>
      </c>
      <c r="CX121" s="20">
        <f ca="1">IF(Table1[[#This Row],[County]]="Buckinghamshire",Table1[[#This Row],[income]],0)</f>
        <v>0</v>
      </c>
      <c r="CY121" s="20">
        <f ca="1">IF(Table1[[#This Row],[County]]="Suffolk",Table1[[#This Row],[income]],0)</f>
        <v>0</v>
      </c>
      <c r="CZ121" s="20">
        <f ca="1">IF(Table1[[#This Row],[County]]="North Yorkshire",Table1[[#This Row],[income]],0)</f>
        <v>0</v>
      </c>
      <c r="DA121" s="20">
        <f ca="1">IF(Table1[[#This Row],[County]]="Kent",Table1[[#This Row],[income]],0)</f>
        <v>0</v>
      </c>
      <c r="DB121" s="5">
        <f ca="1">IF(Table1[[#This Row],[County]]="Derbyshire",Table1[[#This Row],[income]],0)</f>
        <v>0</v>
      </c>
      <c r="DD121" s="6">
        <f ca="1">IF(Table1[[#This Row],[Column1]]="Health",Table1[[#This Row],[income]],0)</f>
        <v>0</v>
      </c>
      <c r="DE121" s="20">
        <f ca="1">IF(Table1[[#This Row],[Column1]]="Agriculture",Table1[[#This Row],[income]],0)</f>
        <v>0</v>
      </c>
      <c r="DF121" s="20">
        <f ca="1">IF(Table1[[#This Row],[Column1]]="Technology",Table1[[#This Row],[income]],0)</f>
        <v>0</v>
      </c>
      <c r="DG121" s="20">
        <f ca="1">IF(Table1[[#This Row],[Column1]]="Social Service",Table1[[#This Row],[income]],0)</f>
        <v>61491</v>
      </c>
      <c r="DH121" s="20">
        <f ca="1">IF(Table1[[#This Row],[Column1]]="Education",Table1[[#This Row],[income]],0)</f>
        <v>0</v>
      </c>
      <c r="DI121" s="5">
        <f ca="1">IF(Table1[[#This Row],[Column1]]="Construction",Table1[[#This Row],[income]],0)</f>
        <v>0</v>
      </c>
      <c r="DK121" s="6">
        <f ca="1">IF(Table1[[#This Row],[Value of Debts]]&gt;Table1[[#This Row],[income]],1,0)</f>
        <v>1</v>
      </c>
      <c r="DL121" s="20"/>
      <c r="DM121" s="20"/>
      <c r="DN121" s="5"/>
      <c r="DP121" s="6">
        <f ca="1">IF(Table1[[#This Row],[Net Worth (£)]]&gt;$DS$5,C121,0)</f>
        <v>0</v>
      </c>
      <c r="DQ121" s="20"/>
      <c r="DR121" s="20"/>
      <c r="DS121" s="5"/>
    </row>
    <row r="122" spans="1:123" x14ac:dyDescent="0.2">
      <c r="A122">
        <f t="shared" ca="1" si="4"/>
        <v>1</v>
      </c>
      <c r="B122" s="1" t="str">
        <f ca="1">IF(A122=1, "men", "women")</f>
        <v>men</v>
      </c>
      <c r="C122" s="1">
        <f ca="1">RANDBETWEEN(25,50)</f>
        <v>43</v>
      </c>
      <c r="D122">
        <f ca="1">RANDBETWEEN(1,6)</f>
        <v>3</v>
      </c>
      <c r="E122" t="str">
        <f ca="1">VLOOKUP(D122,$W$5:$X$10,2)</f>
        <v>Education</v>
      </c>
      <c r="F122">
        <f ca="1">RANDBETWEEN(1,5)</f>
        <v>4</v>
      </c>
      <c r="G122" t="str">
        <f ca="1">VLOOKUP(F122,$Y$5:$Z$9,2)</f>
        <v xml:space="preserve">Technical </v>
      </c>
      <c r="H122">
        <f ca="1">RANDBETWEEN(0,4)</f>
        <v>1</v>
      </c>
      <c r="I122">
        <f ca="1">RANDBETWEEN(1,3)</f>
        <v>1</v>
      </c>
      <c r="J122">
        <f ca="1">RANDBETWEEN(30000,100000)</f>
        <v>54919</v>
      </c>
      <c r="K122">
        <f ca="1">RANDBETWEEN(1,48)</f>
        <v>18</v>
      </c>
      <c r="L122" t="str">
        <f ca="1">VLOOKUP(K122,$AA$5:$AB$52,2)</f>
        <v>Greater London</v>
      </c>
      <c r="M122">
        <f ca="1">J122*(RANDBETWEEN(2,5))</f>
        <v>274595</v>
      </c>
      <c r="N122">
        <f ca="1">RAND()*M122</f>
        <v>199592.23163585964</v>
      </c>
      <c r="O122">
        <f ca="1">I122*RAND()*J122</f>
        <v>53122.274630259009</v>
      </c>
      <c r="P122">
        <f ca="1">RANDBETWEEN(0,O122)</f>
        <v>18947</v>
      </c>
      <c r="Q122">
        <f ca="1">RAND()*J122*2</f>
        <v>102246.2048896489</v>
      </c>
      <c r="R122">
        <f ca="1">RAND()*J122*1.5</f>
        <v>52224.332844522054</v>
      </c>
      <c r="S122">
        <f ca="1">J122+R122+O122</f>
        <v>160265.60747478105</v>
      </c>
      <c r="T122">
        <f ca="1">N122+P122+Q122</f>
        <v>320785.43652550853</v>
      </c>
      <c r="U122">
        <f ca="1">S122-T122</f>
        <v>-160519.82905072748</v>
      </c>
      <c r="AC122" s="6">
        <f ca="1">IF(Table1[[#This Row],[gender]]="men",1,0)</f>
        <v>1</v>
      </c>
      <c r="AD122">
        <f ca="1">IF(Table1[[#This Row],[gender]]="women",1,0)</f>
        <v>0</v>
      </c>
      <c r="AH122" s="5"/>
      <c r="AJ122" s="6">
        <f ca="1">IF(Table1[[#This Row],[Column1]]="Health",1,0)</f>
        <v>0</v>
      </c>
      <c r="AK122">
        <f ca="1">IF(Table1[[#This Row],[Column1]]="Construction",1,0)</f>
        <v>0</v>
      </c>
      <c r="AL122">
        <f ca="1">IF(Table1[[#This Row],[Column1]]="Technology",1,0)</f>
        <v>0</v>
      </c>
      <c r="AM122">
        <f ca="1">IF(Table1[[#This Row],[Column1]]="Education",1,0)</f>
        <v>1</v>
      </c>
      <c r="AN122">
        <f ca="1">IF(Table1[[#This Row],[Column1]]="Agriculture",1,0)</f>
        <v>0</v>
      </c>
      <c r="AO122">
        <f ca="1">IF(Table1[[#This Row],[Column1]]="Social Service", 1, 0)</f>
        <v>0</v>
      </c>
      <c r="AT122" s="5"/>
      <c r="AV122" s="17">
        <f t="shared" ca="1" si="3"/>
        <v>7605.6054302758275</v>
      </c>
      <c r="AW122" s="5"/>
      <c r="AX122" s="6">
        <f ca="1">IF(Table1[[#This Row],[Value of Debts]]&gt;$AY$4,1,0)</f>
        <v>1</v>
      </c>
      <c r="AY122" s="20"/>
      <c r="AZ122" s="20"/>
      <c r="BA122" s="5"/>
      <c r="BB122" s="25">
        <f ca="1">Table1[[#This Row],[Mortage Left]]/Table1[[#This Row],[Value of House]]</f>
        <v>0.72686040035637811</v>
      </c>
      <c r="BC122" s="20">
        <f t="shared" ca="1" si="5"/>
        <v>0</v>
      </c>
      <c r="BD122" s="20"/>
      <c r="BE122" s="20"/>
      <c r="BF122" s="20"/>
      <c r="BG122" s="6">
        <f ca="1">IF(Table1[[#This Row],[County]]="Cumbria",Table1[[#This Row],[income]],0)</f>
        <v>0</v>
      </c>
      <c r="BH122" s="20">
        <f ca="1">IF(Table1[[#This Row],[County]]="Cheshire",Table1[[#This Row],[income]],0)</f>
        <v>0</v>
      </c>
      <c r="BI122" s="20">
        <f ca="1">IF(Table1[[#This Row],[County]]="Bristol",Table1[[#This Row],[income]],0)</f>
        <v>0</v>
      </c>
      <c r="BJ122" s="20">
        <f ca="1">IF(Table1[[#This Row],[County]]="Surrey",Table1[[#This Row],[income]],0)</f>
        <v>0</v>
      </c>
      <c r="BK122" s="20">
        <f ca="1">IF(Table1[[#This Row],[County]]="Norfolk",Table1[[#This Row],[income]],0)</f>
        <v>0</v>
      </c>
      <c r="BL122" s="20">
        <f ca="1">IF(Table1[[#This Row],[County]]="Lincolnshire",Table1[[#This Row],[income]],0)</f>
        <v>0</v>
      </c>
      <c r="BM122" s="20">
        <f ca="1">IF(Table1[[#This Row],[County]]="Somerset",Table1[[#This Row],[income]],0)</f>
        <v>0</v>
      </c>
      <c r="BN122" s="20">
        <f ca="1">IF(Table1[[#This Row],[County]]="Cambridgeshire",Table1[[#This Row],[income]],0)</f>
        <v>0</v>
      </c>
      <c r="BO122" s="20">
        <f ca="1">IF(Table1[[#This Row],[County]]="South Yorkshire",Table1[[#This Row],[income]],0)</f>
        <v>0</v>
      </c>
      <c r="BP122" s="20">
        <f ca="1">IF(Table1[[#This Row],[County]]="Greater London",Table1[[#This Row],[income]],0)</f>
        <v>54919</v>
      </c>
      <c r="BQ122" s="20">
        <f ca="1">IF(Table1[[#This Row],[County]]="Hampshire",Table1[[#This Row],[income]],0)</f>
        <v>0</v>
      </c>
      <c r="BR122" s="20">
        <f ca="1">IF(Table1[[#This Row],[County]]="Gloucestershire",Table1[[#This Row],[income]],0)</f>
        <v>0</v>
      </c>
      <c r="BS122" s="20">
        <f ca="1">IF(Table1[[#This Row],[County]]="West Sussex",Table1[[#This Row],[income]],0)</f>
        <v>0</v>
      </c>
      <c r="BT122" s="20">
        <f ca="1">IF(Table1[[#This Row],[County]]="Devon",Table1[[#This Row],[income]],0)</f>
        <v>0</v>
      </c>
      <c r="BU122" s="20">
        <f ca="1">IF(Table1[[#This Row],[County]]="Berkshire",Table1[[#This Row],[income]],0)</f>
        <v>0</v>
      </c>
      <c r="BV122" s="20">
        <f ca="1">IF(Table1[[#This Row],[County]]="Staffordshire",Table1[[#This Row],[income]],0)</f>
        <v>0</v>
      </c>
      <c r="BW122" s="20">
        <f ca="1">IF(Table1[[#This Row],[County]]="Leicestershire",Table1[[#This Row],[income]],0)</f>
        <v>0</v>
      </c>
      <c r="BX122" s="20">
        <f ca="1">IF(Table1[[#This Row],[County]]="Cornwall",Table1[[#This Row],[income]],0)</f>
        <v>0</v>
      </c>
      <c r="BY122" s="20">
        <f ca="1">IF(Table1[[#This Row],[County]]="Isle of Wight",Table1[[#This Row],[income]],0)</f>
        <v>0</v>
      </c>
      <c r="BZ122" s="20">
        <f ca="1">IF(Table1[[#This Row],[County]]="Surrey",Table1[[#This Row],[income]],0)</f>
        <v>0</v>
      </c>
      <c r="CA122" s="20">
        <f ca="1">IF(Table1[[#This Row],[County]]="Derbyshire",Table1[[#This Row],[income]],0)</f>
        <v>0</v>
      </c>
      <c r="CB122" s="20">
        <f ca="1">IF(Table1[[#This Row],[County]]="City of London",Table1[[#This Row],[income]],0)</f>
        <v>0</v>
      </c>
      <c r="CC122" s="20">
        <f ca="1">IF(Table1[[#This Row],[County]]="Bedfordshire",Table1[[#This Row],[income]],0)</f>
        <v>0</v>
      </c>
      <c r="CD122" s="20">
        <f ca="1">IF(Table1[[#This Row],[County]]="County Durham",Table1[[#This Row],[income]],0)</f>
        <v>0</v>
      </c>
      <c r="CE122" s="20">
        <f ca="1">IF(Table1[[#This Row],[County]]="East Riding of Yorkshire",Table1[[#This Row],[income]],0)</f>
        <v>0</v>
      </c>
      <c r="CF122" s="20">
        <f ca="1">IF(Table1[[#This Row],[County]]="West Yorkshire",Table1[[#This Row],[income]],0)</f>
        <v>0</v>
      </c>
      <c r="CG122" s="20">
        <f ca="1">IF(Table1[[#This Row],[County]]="Essex",Table1[[#This Row],[income]],0)</f>
        <v>0</v>
      </c>
      <c r="CH122" s="20">
        <f ca="1">IF(Table1[[#This Row],[County]]="East Sussex",Table1[[#This Row],[income]],0)</f>
        <v>0</v>
      </c>
      <c r="CI122" s="20">
        <f ca="1">IF(Table1[[#This Row],[County]]="Greater Manchester",Table1[[#This Row],[income]],0)</f>
        <v>0</v>
      </c>
      <c r="CJ122" s="20">
        <f ca="1">IF(Table1[[#This Row],[County]]="Hertfordshire",Table1[[#This Row],[income]],0)</f>
        <v>0</v>
      </c>
      <c r="CK122" s="20">
        <f ca="1">IF(Table1[[#This Row],[County]]="Herefordshire",Table1[[#This Row],[income]],0)</f>
        <v>0</v>
      </c>
      <c r="CL122" s="20">
        <f ca="1">IF(Table1[[#This Row],[County]]="Lancashire",Table1[[#This Row],[income]],0)</f>
        <v>0</v>
      </c>
      <c r="CM122" s="20">
        <f ca="1">IF(Table1[[#This Row],[County]]="Merseyside",Table1[[#This Row],[income]],0)</f>
        <v>0</v>
      </c>
      <c r="CN122" s="20">
        <f ca="1">IF(Table1[[#This Row],[County]]="Northamptonshire",Table1[[#This Row],[income]],0)</f>
        <v>0</v>
      </c>
      <c r="CO122" s="20">
        <f ca="1">IF(Table1[[#This Row],[County]]="Northumberland",Table1[[#This Row],[income]],0)</f>
        <v>0</v>
      </c>
      <c r="CP122" s="20">
        <f ca="1">IF(Table1[[#This Row],[County]]="Wiltshire",Table1[[#This Row],[income]],0)</f>
        <v>0</v>
      </c>
      <c r="CQ122" s="20">
        <f ca="1">IF(Table1[[#This Row],[County]]="West Midlands",Table1[[#This Row],[income]],0)</f>
        <v>0</v>
      </c>
      <c r="CR122" s="20">
        <f ca="1">IF(Table1[[#This Row],[County]]="Warwickshire",Table1[[#This Row],[income]],0)</f>
        <v>0</v>
      </c>
      <c r="CS122" s="20">
        <f ca="1">IF(Table1[[#This Row],[County]]="Tyne and Wear",Table1[[#This Row],[income]],0)</f>
        <v>0</v>
      </c>
      <c r="CT122" s="20">
        <f ca="1">IF(Table1[[#This Row],[County]]="Worcestershire",Table1[[#This Row],[income]],0)</f>
        <v>0</v>
      </c>
      <c r="CU122" s="20">
        <f ca="1">IF(Table1[[#This Row],[County]]="Rutland",Table1[[#This Row],[income]],0)</f>
        <v>0</v>
      </c>
      <c r="CV122" s="20">
        <f ca="1">IF(Table1[[#This Row],[County]]="Shropshire",Table1[[#This Row],[income]],0)</f>
        <v>0</v>
      </c>
      <c r="CW122" s="20">
        <f ca="1">IF(Table1[[#This Row],[County]]="Dorset",Table1[[#This Row],[income]],0)</f>
        <v>0</v>
      </c>
      <c r="CX122" s="20">
        <f ca="1">IF(Table1[[#This Row],[County]]="Buckinghamshire",Table1[[#This Row],[income]],0)</f>
        <v>0</v>
      </c>
      <c r="CY122" s="20">
        <f ca="1">IF(Table1[[#This Row],[County]]="Suffolk",Table1[[#This Row],[income]],0)</f>
        <v>0</v>
      </c>
      <c r="CZ122" s="20">
        <f ca="1">IF(Table1[[#This Row],[County]]="North Yorkshire",Table1[[#This Row],[income]],0)</f>
        <v>0</v>
      </c>
      <c r="DA122" s="20">
        <f ca="1">IF(Table1[[#This Row],[County]]="Kent",Table1[[#This Row],[income]],0)</f>
        <v>0</v>
      </c>
      <c r="DB122" s="5">
        <f ca="1">IF(Table1[[#This Row],[County]]="Derbyshire",Table1[[#This Row],[income]],0)</f>
        <v>0</v>
      </c>
      <c r="DD122" s="6">
        <f ca="1">IF(Table1[[#This Row],[Column1]]="Health",Table1[[#This Row],[income]],0)</f>
        <v>0</v>
      </c>
      <c r="DE122" s="20">
        <f ca="1">IF(Table1[[#This Row],[Column1]]="Agriculture",Table1[[#This Row],[income]],0)</f>
        <v>0</v>
      </c>
      <c r="DF122" s="20">
        <f ca="1">IF(Table1[[#This Row],[Column1]]="Technology",Table1[[#This Row],[income]],0)</f>
        <v>0</v>
      </c>
      <c r="DG122" s="20">
        <f ca="1">IF(Table1[[#This Row],[Column1]]="Social Service",Table1[[#This Row],[income]],0)</f>
        <v>0</v>
      </c>
      <c r="DH122" s="20">
        <f ca="1">IF(Table1[[#This Row],[Column1]]="Education",Table1[[#This Row],[income]],0)</f>
        <v>54919</v>
      </c>
      <c r="DI122" s="5">
        <f ca="1">IF(Table1[[#This Row],[Column1]]="Construction",Table1[[#This Row],[income]],0)</f>
        <v>0</v>
      </c>
      <c r="DK122" s="6">
        <f ca="1">IF(Table1[[#This Row],[Value of Debts]]&gt;Table1[[#This Row],[income]],1,0)</f>
        <v>1</v>
      </c>
      <c r="DL122" s="20"/>
      <c r="DM122" s="20"/>
      <c r="DN122" s="5"/>
      <c r="DP122" s="6">
        <f ca="1">IF(Table1[[#This Row],[Net Worth (£)]]&gt;$DS$5,C122,0)</f>
        <v>0</v>
      </c>
      <c r="DQ122" s="20"/>
      <c r="DR122" s="20"/>
      <c r="DS122" s="5"/>
    </row>
    <row r="123" spans="1:123" x14ac:dyDescent="0.2">
      <c r="A123">
        <f t="shared" ca="1" si="4"/>
        <v>2</v>
      </c>
      <c r="B123" s="1" t="str">
        <f ca="1">IF(A123=1, "men", "women")</f>
        <v>women</v>
      </c>
      <c r="C123" s="1">
        <f ca="1">RANDBETWEEN(25,50)</f>
        <v>35</v>
      </c>
      <c r="D123">
        <f ca="1">RANDBETWEEN(1,6)</f>
        <v>6</v>
      </c>
      <c r="E123" t="str">
        <f ca="1">VLOOKUP(D123,$W$5:$X$10,2)</f>
        <v>Agriculture</v>
      </c>
      <c r="F123">
        <f ca="1">RANDBETWEEN(1,5)</f>
        <v>4</v>
      </c>
      <c r="G123" t="str">
        <f ca="1">VLOOKUP(F123,$Y$5:$Z$9,2)</f>
        <v xml:space="preserve">Technical </v>
      </c>
      <c r="H123">
        <f ca="1">RANDBETWEEN(0,4)</f>
        <v>1</v>
      </c>
      <c r="I123">
        <f ca="1">RANDBETWEEN(1,3)</f>
        <v>3</v>
      </c>
      <c r="J123">
        <f ca="1">RANDBETWEEN(30000,100000)</f>
        <v>31130</v>
      </c>
      <c r="K123">
        <f ca="1">RANDBETWEEN(1,48)</f>
        <v>24</v>
      </c>
      <c r="L123" t="str">
        <f ca="1">VLOOKUP(K123,$AA$5:$AB$52,2)</f>
        <v>Kent</v>
      </c>
      <c r="M123">
        <f ca="1">J123*(RANDBETWEEN(2,5))</f>
        <v>155650</v>
      </c>
      <c r="N123">
        <f ca="1">RAND()*M123</f>
        <v>7873.4923291900723</v>
      </c>
      <c r="O123">
        <f ca="1">I123*RAND()*J123</f>
        <v>22816.816290827483</v>
      </c>
      <c r="P123">
        <f ca="1">RANDBETWEEN(0,O123)</f>
        <v>20865</v>
      </c>
      <c r="Q123">
        <f ca="1">RAND()*J123*2</f>
        <v>14213.575009154294</v>
      </c>
      <c r="R123">
        <f ca="1">RAND()*J123*1.5</f>
        <v>45405.44331594112</v>
      </c>
      <c r="S123">
        <f ca="1">J123+R123+O123</f>
        <v>99352.259606768595</v>
      </c>
      <c r="T123">
        <f ca="1">N123+P123+Q123</f>
        <v>42952.067338344365</v>
      </c>
      <c r="U123">
        <f ca="1">S123-T123</f>
        <v>56400.192268424231</v>
      </c>
      <c r="AC123" s="6">
        <f ca="1">IF(Table1[[#This Row],[gender]]="men",1,0)</f>
        <v>0</v>
      </c>
      <c r="AD123">
        <f ca="1">IF(Table1[[#This Row],[gender]]="women",1,0)</f>
        <v>1</v>
      </c>
      <c r="AH123" s="5"/>
      <c r="AJ123" s="6">
        <f ca="1">IF(Table1[[#This Row],[Column1]]="Health",1,0)</f>
        <v>0</v>
      </c>
      <c r="AK123">
        <f ca="1">IF(Table1[[#This Row],[Column1]]="Construction",1,0)</f>
        <v>0</v>
      </c>
      <c r="AL123">
        <f ca="1">IF(Table1[[#This Row],[Column1]]="Technology",1,0)</f>
        <v>0</v>
      </c>
      <c r="AM123">
        <f ca="1">IF(Table1[[#This Row],[Column1]]="Education",1,0)</f>
        <v>0</v>
      </c>
      <c r="AN123">
        <f ca="1">IF(Table1[[#This Row],[Column1]]="Agriculture",1,0)</f>
        <v>1</v>
      </c>
      <c r="AO123">
        <f ca="1">IF(Table1[[#This Row],[Column1]]="Social Service", 1, 0)</f>
        <v>0</v>
      </c>
      <c r="AT123" s="5"/>
      <c r="AV123" s="17">
        <f t="shared" ca="1" si="3"/>
        <v>3820.2254520253678</v>
      </c>
      <c r="AW123" s="5"/>
      <c r="AX123" s="6">
        <f ca="1">IF(Table1[[#This Row],[Value of Debts]]&gt;$AY$4,1,0)</f>
        <v>0</v>
      </c>
      <c r="AY123" s="20"/>
      <c r="AZ123" s="20"/>
      <c r="BA123" s="5"/>
      <c r="BB123" s="25">
        <f ca="1">Table1[[#This Row],[Mortage Left]]/Table1[[#This Row],[Value of House]]</f>
        <v>5.0584595754513795E-2</v>
      </c>
      <c r="BC123" s="20">
        <f t="shared" ca="1" si="5"/>
        <v>1</v>
      </c>
      <c r="BD123" s="20"/>
      <c r="BE123" s="20"/>
      <c r="BF123" s="20"/>
      <c r="BG123" s="6">
        <f ca="1">IF(Table1[[#This Row],[County]]="Cumbria",Table1[[#This Row],[income]],0)</f>
        <v>0</v>
      </c>
      <c r="BH123" s="20">
        <f ca="1">IF(Table1[[#This Row],[County]]="Cheshire",Table1[[#This Row],[income]],0)</f>
        <v>0</v>
      </c>
      <c r="BI123" s="20">
        <f ca="1">IF(Table1[[#This Row],[County]]="Bristol",Table1[[#This Row],[income]],0)</f>
        <v>0</v>
      </c>
      <c r="BJ123" s="20">
        <f ca="1">IF(Table1[[#This Row],[County]]="Surrey",Table1[[#This Row],[income]],0)</f>
        <v>0</v>
      </c>
      <c r="BK123" s="20">
        <f ca="1">IF(Table1[[#This Row],[County]]="Norfolk",Table1[[#This Row],[income]],0)</f>
        <v>0</v>
      </c>
      <c r="BL123" s="20">
        <f ca="1">IF(Table1[[#This Row],[County]]="Lincolnshire",Table1[[#This Row],[income]],0)</f>
        <v>0</v>
      </c>
      <c r="BM123" s="20">
        <f ca="1">IF(Table1[[#This Row],[County]]="Somerset",Table1[[#This Row],[income]],0)</f>
        <v>0</v>
      </c>
      <c r="BN123" s="20">
        <f ca="1">IF(Table1[[#This Row],[County]]="Cambridgeshire",Table1[[#This Row],[income]],0)</f>
        <v>0</v>
      </c>
      <c r="BO123" s="20">
        <f ca="1">IF(Table1[[#This Row],[County]]="South Yorkshire",Table1[[#This Row],[income]],0)</f>
        <v>0</v>
      </c>
      <c r="BP123" s="20">
        <f ca="1">IF(Table1[[#This Row],[County]]="Greater London",Table1[[#This Row],[income]],0)</f>
        <v>0</v>
      </c>
      <c r="BQ123" s="20">
        <f ca="1">IF(Table1[[#This Row],[County]]="Hampshire",Table1[[#This Row],[income]],0)</f>
        <v>0</v>
      </c>
      <c r="BR123" s="20">
        <f ca="1">IF(Table1[[#This Row],[County]]="Gloucestershire",Table1[[#This Row],[income]],0)</f>
        <v>0</v>
      </c>
      <c r="BS123" s="20">
        <f ca="1">IF(Table1[[#This Row],[County]]="West Sussex",Table1[[#This Row],[income]],0)</f>
        <v>0</v>
      </c>
      <c r="BT123" s="20">
        <f ca="1">IF(Table1[[#This Row],[County]]="Devon",Table1[[#This Row],[income]],0)</f>
        <v>0</v>
      </c>
      <c r="BU123" s="20">
        <f ca="1">IF(Table1[[#This Row],[County]]="Berkshire",Table1[[#This Row],[income]],0)</f>
        <v>0</v>
      </c>
      <c r="BV123" s="20">
        <f ca="1">IF(Table1[[#This Row],[County]]="Staffordshire",Table1[[#This Row],[income]],0)</f>
        <v>0</v>
      </c>
      <c r="BW123" s="20">
        <f ca="1">IF(Table1[[#This Row],[County]]="Leicestershire",Table1[[#This Row],[income]],0)</f>
        <v>0</v>
      </c>
      <c r="BX123" s="20">
        <f ca="1">IF(Table1[[#This Row],[County]]="Cornwall",Table1[[#This Row],[income]],0)</f>
        <v>0</v>
      </c>
      <c r="BY123" s="20">
        <f ca="1">IF(Table1[[#This Row],[County]]="Isle of Wight",Table1[[#This Row],[income]],0)</f>
        <v>0</v>
      </c>
      <c r="BZ123" s="20">
        <f ca="1">IF(Table1[[#This Row],[County]]="Surrey",Table1[[#This Row],[income]],0)</f>
        <v>0</v>
      </c>
      <c r="CA123" s="20">
        <f ca="1">IF(Table1[[#This Row],[County]]="Derbyshire",Table1[[#This Row],[income]],0)</f>
        <v>0</v>
      </c>
      <c r="CB123" s="20">
        <f ca="1">IF(Table1[[#This Row],[County]]="City of London",Table1[[#This Row],[income]],0)</f>
        <v>0</v>
      </c>
      <c r="CC123" s="20">
        <f ca="1">IF(Table1[[#This Row],[County]]="Bedfordshire",Table1[[#This Row],[income]],0)</f>
        <v>0</v>
      </c>
      <c r="CD123" s="20">
        <f ca="1">IF(Table1[[#This Row],[County]]="County Durham",Table1[[#This Row],[income]],0)</f>
        <v>0</v>
      </c>
      <c r="CE123" s="20">
        <f ca="1">IF(Table1[[#This Row],[County]]="East Riding of Yorkshire",Table1[[#This Row],[income]],0)</f>
        <v>0</v>
      </c>
      <c r="CF123" s="20">
        <f ca="1">IF(Table1[[#This Row],[County]]="West Yorkshire",Table1[[#This Row],[income]],0)</f>
        <v>0</v>
      </c>
      <c r="CG123" s="20">
        <f ca="1">IF(Table1[[#This Row],[County]]="Essex",Table1[[#This Row],[income]],0)</f>
        <v>0</v>
      </c>
      <c r="CH123" s="20">
        <f ca="1">IF(Table1[[#This Row],[County]]="East Sussex",Table1[[#This Row],[income]],0)</f>
        <v>0</v>
      </c>
      <c r="CI123" s="20">
        <f ca="1">IF(Table1[[#This Row],[County]]="Greater Manchester",Table1[[#This Row],[income]],0)</f>
        <v>0</v>
      </c>
      <c r="CJ123" s="20">
        <f ca="1">IF(Table1[[#This Row],[County]]="Hertfordshire",Table1[[#This Row],[income]],0)</f>
        <v>0</v>
      </c>
      <c r="CK123" s="20">
        <f ca="1">IF(Table1[[#This Row],[County]]="Herefordshire",Table1[[#This Row],[income]],0)</f>
        <v>0</v>
      </c>
      <c r="CL123" s="20">
        <f ca="1">IF(Table1[[#This Row],[County]]="Lancashire",Table1[[#This Row],[income]],0)</f>
        <v>0</v>
      </c>
      <c r="CM123" s="20">
        <f ca="1">IF(Table1[[#This Row],[County]]="Merseyside",Table1[[#This Row],[income]],0)</f>
        <v>0</v>
      </c>
      <c r="CN123" s="20">
        <f ca="1">IF(Table1[[#This Row],[County]]="Northamptonshire",Table1[[#This Row],[income]],0)</f>
        <v>0</v>
      </c>
      <c r="CO123" s="20">
        <f ca="1">IF(Table1[[#This Row],[County]]="Northumberland",Table1[[#This Row],[income]],0)</f>
        <v>0</v>
      </c>
      <c r="CP123" s="20">
        <f ca="1">IF(Table1[[#This Row],[County]]="Wiltshire",Table1[[#This Row],[income]],0)</f>
        <v>0</v>
      </c>
      <c r="CQ123" s="20">
        <f ca="1">IF(Table1[[#This Row],[County]]="West Midlands",Table1[[#This Row],[income]],0)</f>
        <v>0</v>
      </c>
      <c r="CR123" s="20">
        <f ca="1">IF(Table1[[#This Row],[County]]="Warwickshire",Table1[[#This Row],[income]],0)</f>
        <v>0</v>
      </c>
      <c r="CS123" s="20">
        <f ca="1">IF(Table1[[#This Row],[County]]="Tyne and Wear",Table1[[#This Row],[income]],0)</f>
        <v>0</v>
      </c>
      <c r="CT123" s="20">
        <f ca="1">IF(Table1[[#This Row],[County]]="Worcestershire",Table1[[#This Row],[income]],0)</f>
        <v>0</v>
      </c>
      <c r="CU123" s="20">
        <f ca="1">IF(Table1[[#This Row],[County]]="Rutland",Table1[[#This Row],[income]],0)</f>
        <v>0</v>
      </c>
      <c r="CV123" s="20">
        <f ca="1">IF(Table1[[#This Row],[County]]="Shropshire",Table1[[#This Row],[income]],0)</f>
        <v>0</v>
      </c>
      <c r="CW123" s="20">
        <f ca="1">IF(Table1[[#This Row],[County]]="Dorset",Table1[[#This Row],[income]],0)</f>
        <v>0</v>
      </c>
      <c r="CX123" s="20">
        <f ca="1">IF(Table1[[#This Row],[County]]="Buckinghamshire",Table1[[#This Row],[income]],0)</f>
        <v>0</v>
      </c>
      <c r="CY123" s="20">
        <f ca="1">IF(Table1[[#This Row],[County]]="Suffolk",Table1[[#This Row],[income]],0)</f>
        <v>0</v>
      </c>
      <c r="CZ123" s="20">
        <f ca="1">IF(Table1[[#This Row],[County]]="North Yorkshire",Table1[[#This Row],[income]],0)</f>
        <v>0</v>
      </c>
      <c r="DA123" s="20">
        <f ca="1">IF(Table1[[#This Row],[County]]="Kent",Table1[[#This Row],[income]],0)</f>
        <v>31130</v>
      </c>
      <c r="DB123" s="5">
        <f ca="1">IF(Table1[[#This Row],[County]]="Derbyshire",Table1[[#This Row],[income]],0)</f>
        <v>0</v>
      </c>
      <c r="DD123" s="6">
        <f ca="1">IF(Table1[[#This Row],[Column1]]="Health",Table1[[#This Row],[income]],0)</f>
        <v>0</v>
      </c>
      <c r="DE123" s="20">
        <f ca="1">IF(Table1[[#This Row],[Column1]]="Agriculture",Table1[[#This Row],[income]],0)</f>
        <v>31130</v>
      </c>
      <c r="DF123" s="20">
        <f ca="1">IF(Table1[[#This Row],[Column1]]="Technology",Table1[[#This Row],[income]],0)</f>
        <v>0</v>
      </c>
      <c r="DG123" s="20">
        <f ca="1">IF(Table1[[#This Row],[Column1]]="Social Service",Table1[[#This Row],[income]],0)</f>
        <v>0</v>
      </c>
      <c r="DH123" s="20">
        <f ca="1">IF(Table1[[#This Row],[Column1]]="Education",Table1[[#This Row],[income]],0)</f>
        <v>0</v>
      </c>
      <c r="DI123" s="5">
        <f ca="1">IF(Table1[[#This Row],[Column1]]="Construction",Table1[[#This Row],[income]],0)</f>
        <v>0</v>
      </c>
      <c r="DK123" s="6">
        <f ca="1">IF(Table1[[#This Row],[Value of Debts]]&gt;Table1[[#This Row],[income]],1,0)</f>
        <v>1</v>
      </c>
      <c r="DL123" s="20"/>
      <c r="DM123" s="20"/>
      <c r="DN123" s="5"/>
      <c r="DP123" s="6">
        <f ca="1">IF(Table1[[#This Row],[Net Worth (£)]]&gt;$DS$5,C123,0)</f>
        <v>35</v>
      </c>
      <c r="DQ123" s="20"/>
      <c r="DR123" s="20"/>
      <c r="DS123" s="5"/>
    </row>
    <row r="124" spans="1:123" x14ac:dyDescent="0.2">
      <c r="A124">
        <f t="shared" ca="1" si="4"/>
        <v>2</v>
      </c>
      <c r="B124" s="1" t="str">
        <f ca="1">IF(A124=1, "men", "women")</f>
        <v>women</v>
      </c>
      <c r="C124" s="1">
        <f ca="1">RANDBETWEEN(25,50)</f>
        <v>41</v>
      </c>
      <c r="D124">
        <f ca="1">RANDBETWEEN(1,6)</f>
        <v>6</v>
      </c>
      <c r="E124" t="str">
        <f ca="1">VLOOKUP(D124,$W$5:$X$10,2)</f>
        <v>Agriculture</v>
      </c>
      <c r="F124">
        <f ca="1">RANDBETWEEN(1,5)</f>
        <v>5</v>
      </c>
      <c r="G124" t="str">
        <f ca="1">VLOOKUP(F124,$Y$5:$Z$9,2)</f>
        <v>Other</v>
      </c>
      <c r="H124">
        <f ca="1">RANDBETWEEN(0,4)</f>
        <v>2</v>
      </c>
      <c r="I124">
        <f ca="1">RANDBETWEEN(1,3)</f>
        <v>3</v>
      </c>
      <c r="J124">
        <f ca="1">RANDBETWEEN(30000,100000)</f>
        <v>63606</v>
      </c>
      <c r="K124">
        <f ca="1">RANDBETWEEN(1,48)</f>
        <v>40</v>
      </c>
      <c r="L124" t="str">
        <f ca="1">VLOOKUP(K124,$AA$5:$AB$52,2)</f>
        <v>Suffolk</v>
      </c>
      <c r="M124">
        <f ca="1">J124*(RANDBETWEEN(2,5))</f>
        <v>318030</v>
      </c>
      <c r="N124">
        <f ca="1">RAND()*M124</f>
        <v>304117.81126980152</v>
      </c>
      <c r="O124">
        <f ca="1">I124*RAND()*J124</f>
        <v>11460.676356076103</v>
      </c>
      <c r="P124">
        <f ca="1">RANDBETWEEN(0,O124)</f>
        <v>4596</v>
      </c>
      <c r="Q124">
        <f ca="1">RAND()*J124*2</f>
        <v>67653.449288434538</v>
      </c>
      <c r="R124">
        <f ca="1">RAND()*J124*1.5</f>
        <v>48662.021466319929</v>
      </c>
      <c r="S124">
        <f ca="1">J124+R124+O124</f>
        <v>123728.69782239603</v>
      </c>
      <c r="T124">
        <f ca="1">N124+P124+Q124</f>
        <v>376367.26055823604</v>
      </c>
      <c r="U124">
        <f ca="1">S124-T124</f>
        <v>-252638.56273584001</v>
      </c>
      <c r="AC124" s="6">
        <f ca="1">IF(Table1[[#This Row],[gender]]="men",1,0)</f>
        <v>0</v>
      </c>
      <c r="AD124">
        <f ca="1">IF(Table1[[#This Row],[gender]]="women",1,0)</f>
        <v>1</v>
      </c>
      <c r="AH124" s="5"/>
      <c r="AJ124" s="6">
        <f ca="1">IF(Table1[[#This Row],[Column1]]="Health",1,0)</f>
        <v>0</v>
      </c>
      <c r="AK124">
        <f ca="1">IF(Table1[[#This Row],[Column1]]="Construction",1,0)</f>
        <v>0</v>
      </c>
      <c r="AL124">
        <f ca="1">IF(Table1[[#This Row],[Column1]]="Technology",1,0)</f>
        <v>0</v>
      </c>
      <c r="AM124">
        <f ca="1">IF(Table1[[#This Row],[Column1]]="Education",1,0)</f>
        <v>0</v>
      </c>
      <c r="AN124">
        <f ca="1">IF(Table1[[#This Row],[Column1]]="Agriculture",1,0)</f>
        <v>1</v>
      </c>
      <c r="AO124">
        <f ca="1">IF(Table1[[#This Row],[Column1]]="Social Service", 1, 0)</f>
        <v>0</v>
      </c>
      <c r="AT124" s="5"/>
      <c r="AV124" s="17">
        <f t="shared" ca="1" si="3"/>
        <v>55069.287766955924</v>
      </c>
      <c r="AW124" s="5"/>
      <c r="AX124" s="6">
        <f ca="1">IF(Table1[[#This Row],[Value of Debts]]&gt;$AY$4,1,0)</f>
        <v>1</v>
      </c>
      <c r="AY124" s="20"/>
      <c r="AZ124" s="20"/>
      <c r="BA124" s="5"/>
      <c r="BB124" s="25">
        <f ca="1">Table1[[#This Row],[Mortage Left]]/Table1[[#This Row],[Value of House]]</f>
        <v>0.95625510571267336</v>
      </c>
      <c r="BC124" s="20">
        <f t="shared" ca="1" si="5"/>
        <v>0</v>
      </c>
      <c r="BD124" s="20"/>
      <c r="BE124" s="20"/>
      <c r="BF124" s="20"/>
      <c r="BG124" s="6">
        <f ca="1">IF(Table1[[#This Row],[County]]="Cumbria",Table1[[#This Row],[income]],0)</f>
        <v>0</v>
      </c>
      <c r="BH124" s="20">
        <f ca="1">IF(Table1[[#This Row],[County]]="Cheshire",Table1[[#This Row],[income]],0)</f>
        <v>0</v>
      </c>
      <c r="BI124" s="20">
        <f ca="1">IF(Table1[[#This Row],[County]]="Bristol",Table1[[#This Row],[income]],0)</f>
        <v>0</v>
      </c>
      <c r="BJ124" s="20">
        <f ca="1">IF(Table1[[#This Row],[County]]="Surrey",Table1[[#This Row],[income]],0)</f>
        <v>0</v>
      </c>
      <c r="BK124" s="20">
        <f ca="1">IF(Table1[[#This Row],[County]]="Norfolk",Table1[[#This Row],[income]],0)</f>
        <v>0</v>
      </c>
      <c r="BL124" s="20">
        <f ca="1">IF(Table1[[#This Row],[County]]="Lincolnshire",Table1[[#This Row],[income]],0)</f>
        <v>0</v>
      </c>
      <c r="BM124" s="20">
        <f ca="1">IF(Table1[[#This Row],[County]]="Somerset",Table1[[#This Row],[income]],0)</f>
        <v>0</v>
      </c>
      <c r="BN124" s="20">
        <f ca="1">IF(Table1[[#This Row],[County]]="Cambridgeshire",Table1[[#This Row],[income]],0)</f>
        <v>0</v>
      </c>
      <c r="BO124" s="20">
        <f ca="1">IF(Table1[[#This Row],[County]]="South Yorkshire",Table1[[#This Row],[income]],0)</f>
        <v>0</v>
      </c>
      <c r="BP124" s="20">
        <f ca="1">IF(Table1[[#This Row],[County]]="Greater London",Table1[[#This Row],[income]],0)</f>
        <v>0</v>
      </c>
      <c r="BQ124" s="20">
        <f ca="1">IF(Table1[[#This Row],[County]]="Hampshire",Table1[[#This Row],[income]],0)</f>
        <v>0</v>
      </c>
      <c r="BR124" s="20">
        <f ca="1">IF(Table1[[#This Row],[County]]="Gloucestershire",Table1[[#This Row],[income]],0)</f>
        <v>0</v>
      </c>
      <c r="BS124" s="20">
        <f ca="1">IF(Table1[[#This Row],[County]]="West Sussex",Table1[[#This Row],[income]],0)</f>
        <v>0</v>
      </c>
      <c r="BT124" s="20">
        <f ca="1">IF(Table1[[#This Row],[County]]="Devon",Table1[[#This Row],[income]],0)</f>
        <v>0</v>
      </c>
      <c r="BU124" s="20">
        <f ca="1">IF(Table1[[#This Row],[County]]="Berkshire",Table1[[#This Row],[income]],0)</f>
        <v>0</v>
      </c>
      <c r="BV124" s="20">
        <f ca="1">IF(Table1[[#This Row],[County]]="Staffordshire",Table1[[#This Row],[income]],0)</f>
        <v>0</v>
      </c>
      <c r="BW124" s="20">
        <f ca="1">IF(Table1[[#This Row],[County]]="Leicestershire",Table1[[#This Row],[income]],0)</f>
        <v>0</v>
      </c>
      <c r="BX124" s="20">
        <f ca="1">IF(Table1[[#This Row],[County]]="Cornwall",Table1[[#This Row],[income]],0)</f>
        <v>0</v>
      </c>
      <c r="BY124" s="20">
        <f ca="1">IF(Table1[[#This Row],[County]]="Isle of Wight",Table1[[#This Row],[income]],0)</f>
        <v>0</v>
      </c>
      <c r="BZ124" s="20">
        <f ca="1">IF(Table1[[#This Row],[County]]="Surrey",Table1[[#This Row],[income]],0)</f>
        <v>0</v>
      </c>
      <c r="CA124" s="20">
        <f ca="1">IF(Table1[[#This Row],[County]]="Derbyshire",Table1[[#This Row],[income]],0)</f>
        <v>0</v>
      </c>
      <c r="CB124" s="20">
        <f ca="1">IF(Table1[[#This Row],[County]]="City of London",Table1[[#This Row],[income]],0)</f>
        <v>0</v>
      </c>
      <c r="CC124" s="20">
        <f ca="1">IF(Table1[[#This Row],[County]]="Bedfordshire",Table1[[#This Row],[income]],0)</f>
        <v>0</v>
      </c>
      <c r="CD124" s="20">
        <f ca="1">IF(Table1[[#This Row],[County]]="County Durham",Table1[[#This Row],[income]],0)</f>
        <v>0</v>
      </c>
      <c r="CE124" s="20">
        <f ca="1">IF(Table1[[#This Row],[County]]="East Riding of Yorkshire",Table1[[#This Row],[income]],0)</f>
        <v>0</v>
      </c>
      <c r="CF124" s="20">
        <f ca="1">IF(Table1[[#This Row],[County]]="West Yorkshire",Table1[[#This Row],[income]],0)</f>
        <v>0</v>
      </c>
      <c r="CG124" s="20">
        <f ca="1">IF(Table1[[#This Row],[County]]="Essex",Table1[[#This Row],[income]],0)</f>
        <v>0</v>
      </c>
      <c r="CH124" s="20">
        <f ca="1">IF(Table1[[#This Row],[County]]="East Sussex",Table1[[#This Row],[income]],0)</f>
        <v>0</v>
      </c>
      <c r="CI124" s="20">
        <f ca="1">IF(Table1[[#This Row],[County]]="Greater Manchester",Table1[[#This Row],[income]],0)</f>
        <v>0</v>
      </c>
      <c r="CJ124" s="20">
        <f ca="1">IF(Table1[[#This Row],[County]]="Hertfordshire",Table1[[#This Row],[income]],0)</f>
        <v>0</v>
      </c>
      <c r="CK124" s="20">
        <f ca="1">IF(Table1[[#This Row],[County]]="Herefordshire",Table1[[#This Row],[income]],0)</f>
        <v>0</v>
      </c>
      <c r="CL124" s="20">
        <f ca="1">IF(Table1[[#This Row],[County]]="Lancashire",Table1[[#This Row],[income]],0)</f>
        <v>0</v>
      </c>
      <c r="CM124" s="20">
        <f ca="1">IF(Table1[[#This Row],[County]]="Merseyside",Table1[[#This Row],[income]],0)</f>
        <v>0</v>
      </c>
      <c r="CN124" s="20">
        <f ca="1">IF(Table1[[#This Row],[County]]="Northamptonshire",Table1[[#This Row],[income]],0)</f>
        <v>0</v>
      </c>
      <c r="CO124" s="20">
        <f ca="1">IF(Table1[[#This Row],[County]]="Northumberland",Table1[[#This Row],[income]],0)</f>
        <v>0</v>
      </c>
      <c r="CP124" s="20">
        <f ca="1">IF(Table1[[#This Row],[County]]="Wiltshire",Table1[[#This Row],[income]],0)</f>
        <v>0</v>
      </c>
      <c r="CQ124" s="20">
        <f ca="1">IF(Table1[[#This Row],[County]]="West Midlands",Table1[[#This Row],[income]],0)</f>
        <v>0</v>
      </c>
      <c r="CR124" s="20">
        <f ca="1">IF(Table1[[#This Row],[County]]="Warwickshire",Table1[[#This Row],[income]],0)</f>
        <v>0</v>
      </c>
      <c r="CS124" s="20">
        <f ca="1">IF(Table1[[#This Row],[County]]="Tyne and Wear",Table1[[#This Row],[income]],0)</f>
        <v>0</v>
      </c>
      <c r="CT124" s="20">
        <f ca="1">IF(Table1[[#This Row],[County]]="Worcestershire",Table1[[#This Row],[income]],0)</f>
        <v>0</v>
      </c>
      <c r="CU124" s="20">
        <f ca="1">IF(Table1[[#This Row],[County]]="Rutland",Table1[[#This Row],[income]],0)</f>
        <v>0</v>
      </c>
      <c r="CV124" s="20">
        <f ca="1">IF(Table1[[#This Row],[County]]="Shropshire",Table1[[#This Row],[income]],0)</f>
        <v>0</v>
      </c>
      <c r="CW124" s="20">
        <f ca="1">IF(Table1[[#This Row],[County]]="Dorset",Table1[[#This Row],[income]],0)</f>
        <v>0</v>
      </c>
      <c r="CX124" s="20">
        <f ca="1">IF(Table1[[#This Row],[County]]="Buckinghamshire",Table1[[#This Row],[income]],0)</f>
        <v>0</v>
      </c>
      <c r="CY124" s="20">
        <f ca="1">IF(Table1[[#This Row],[County]]="Suffolk",Table1[[#This Row],[income]],0)</f>
        <v>63606</v>
      </c>
      <c r="CZ124" s="20">
        <f ca="1">IF(Table1[[#This Row],[County]]="North Yorkshire",Table1[[#This Row],[income]],0)</f>
        <v>0</v>
      </c>
      <c r="DA124" s="20">
        <f ca="1">IF(Table1[[#This Row],[County]]="Kent",Table1[[#This Row],[income]],0)</f>
        <v>0</v>
      </c>
      <c r="DB124" s="5">
        <f ca="1">IF(Table1[[#This Row],[County]]="Derbyshire",Table1[[#This Row],[income]],0)</f>
        <v>0</v>
      </c>
      <c r="DD124" s="6">
        <f ca="1">IF(Table1[[#This Row],[Column1]]="Health",Table1[[#This Row],[income]],0)</f>
        <v>0</v>
      </c>
      <c r="DE124" s="20">
        <f ca="1">IF(Table1[[#This Row],[Column1]]="Agriculture",Table1[[#This Row],[income]],0)</f>
        <v>63606</v>
      </c>
      <c r="DF124" s="20">
        <f ca="1">IF(Table1[[#This Row],[Column1]]="Technology",Table1[[#This Row],[income]],0)</f>
        <v>0</v>
      </c>
      <c r="DG124" s="20">
        <f ca="1">IF(Table1[[#This Row],[Column1]]="Social Service",Table1[[#This Row],[income]],0)</f>
        <v>0</v>
      </c>
      <c r="DH124" s="20">
        <f ca="1">IF(Table1[[#This Row],[Column1]]="Education",Table1[[#This Row],[income]],0)</f>
        <v>0</v>
      </c>
      <c r="DI124" s="5">
        <f ca="1">IF(Table1[[#This Row],[Column1]]="Construction",Table1[[#This Row],[income]],0)</f>
        <v>0</v>
      </c>
      <c r="DK124" s="6">
        <f ca="1">IF(Table1[[#This Row],[Value of Debts]]&gt;Table1[[#This Row],[income]],1,0)</f>
        <v>1</v>
      </c>
      <c r="DL124" s="20"/>
      <c r="DM124" s="20"/>
      <c r="DN124" s="5"/>
      <c r="DP124" s="6">
        <f ca="1">IF(Table1[[#This Row],[Net Worth (£)]]&gt;$DS$5,C124,0)</f>
        <v>0</v>
      </c>
      <c r="DQ124" s="20"/>
      <c r="DR124" s="20"/>
      <c r="DS124" s="5"/>
    </row>
    <row r="125" spans="1:123" x14ac:dyDescent="0.2">
      <c r="A125">
        <f t="shared" ca="1" si="4"/>
        <v>1</v>
      </c>
      <c r="B125" s="1" t="str">
        <f ca="1">IF(A125=1, "men", "women")</f>
        <v>men</v>
      </c>
      <c r="C125" s="1">
        <f ca="1">RANDBETWEEN(25,50)</f>
        <v>25</v>
      </c>
      <c r="D125">
        <f ca="1">RANDBETWEEN(1,6)</f>
        <v>1</v>
      </c>
      <c r="E125" t="str">
        <f ca="1">VLOOKUP(D125,$W$5:$X$10,2)</f>
        <v>Health</v>
      </c>
      <c r="F125">
        <f ca="1">RANDBETWEEN(1,5)</f>
        <v>2</v>
      </c>
      <c r="G125" t="str">
        <f ca="1">VLOOKUP(F125,$Y$5:$Z$9,2)</f>
        <v>College</v>
      </c>
      <c r="H125">
        <f ca="1">RANDBETWEEN(0,4)</f>
        <v>4</v>
      </c>
      <c r="I125">
        <f ca="1">RANDBETWEEN(1,3)</f>
        <v>1</v>
      </c>
      <c r="J125">
        <f ca="1">RANDBETWEEN(30000,100000)</f>
        <v>62293</v>
      </c>
      <c r="K125">
        <f ca="1">RANDBETWEEN(1,48)</f>
        <v>24</v>
      </c>
      <c r="L125" t="str">
        <f ca="1">VLOOKUP(K125,$AA$5:$AB$52,2)</f>
        <v>Kent</v>
      </c>
      <c r="M125">
        <f ca="1">J125*(RANDBETWEEN(2,5))</f>
        <v>249172</v>
      </c>
      <c r="N125">
        <f ca="1">RAND()*M125</f>
        <v>223800.65922871404</v>
      </c>
      <c r="O125">
        <f ca="1">I125*RAND()*J125</f>
        <v>55069.287766955924</v>
      </c>
      <c r="P125">
        <f ca="1">RANDBETWEEN(0,O125)</f>
        <v>12589</v>
      </c>
      <c r="Q125">
        <f ca="1">RAND()*J125*2</f>
        <v>4915.5531947240615</v>
      </c>
      <c r="R125">
        <f ca="1">RAND()*J125*1.5</f>
        <v>37806.099986968402</v>
      </c>
      <c r="S125">
        <f ca="1">J125+R125+O125</f>
        <v>155168.38775392433</v>
      </c>
      <c r="T125">
        <f ca="1">N125+P125+Q125</f>
        <v>241305.21242343809</v>
      </c>
      <c r="U125">
        <f ca="1">S125-T125</f>
        <v>-86136.824669513764</v>
      </c>
      <c r="AC125" s="6">
        <f ca="1">IF(Table1[[#This Row],[gender]]="men",1,0)</f>
        <v>1</v>
      </c>
      <c r="AD125">
        <f ca="1">IF(Table1[[#This Row],[gender]]="women",1,0)</f>
        <v>0</v>
      </c>
      <c r="AH125" s="5"/>
      <c r="AJ125" s="6">
        <f ca="1">IF(Table1[[#This Row],[Column1]]="Health",1,0)</f>
        <v>1</v>
      </c>
      <c r="AK125">
        <f ca="1">IF(Table1[[#This Row],[Column1]]="Construction",1,0)</f>
        <v>0</v>
      </c>
      <c r="AL125">
        <f ca="1">IF(Table1[[#This Row],[Column1]]="Technology",1,0)</f>
        <v>0</v>
      </c>
      <c r="AM125">
        <f ca="1">IF(Table1[[#This Row],[Column1]]="Education",1,0)</f>
        <v>0</v>
      </c>
      <c r="AN125">
        <f ca="1">IF(Table1[[#This Row],[Column1]]="Agriculture",1,0)</f>
        <v>0</v>
      </c>
      <c r="AO125">
        <f ca="1">IF(Table1[[#This Row],[Column1]]="Social Service", 1, 0)</f>
        <v>0</v>
      </c>
      <c r="AT125" s="5"/>
      <c r="AV125" s="17">
        <f t="shared" ca="1" si="3"/>
        <v>14001.982849530157</v>
      </c>
      <c r="AW125" s="5"/>
      <c r="AX125" s="6">
        <f ca="1">IF(Table1[[#This Row],[Value of Debts]]&gt;$AY$4,1,0)</f>
        <v>1</v>
      </c>
      <c r="AY125" s="20"/>
      <c r="AZ125" s="20"/>
      <c r="BA125" s="5"/>
      <c r="BB125" s="25">
        <f ca="1">Table1[[#This Row],[Mortage Left]]/Table1[[#This Row],[Value of House]]</f>
        <v>0.8981774004651969</v>
      </c>
      <c r="BC125" s="20">
        <f t="shared" ca="1" si="5"/>
        <v>0</v>
      </c>
      <c r="BD125" s="20"/>
      <c r="BE125" s="20"/>
      <c r="BF125" s="20"/>
      <c r="BG125" s="6">
        <f ca="1">IF(Table1[[#This Row],[County]]="Cumbria",Table1[[#This Row],[income]],0)</f>
        <v>0</v>
      </c>
      <c r="BH125" s="20">
        <f ca="1">IF(Table1[[#This Row],[County]]="Cheshire",Table1[[#This Row],[income]],0)</f>
        <v>0</v>
      </c>
      <c r="BI125" s="20">
        <f ca="1">IF(Table1[[#This Row],[County]]="Bristol",Table1[[#This Row],[income]],0)</f>
        <v>0</v>
      </c>
      <c r="BJ125" s="20">
        <f ca="1">IF(Table1[[#This Row],[County]]="Surrey",Table1[[#This Row],[income]],0)</f>
        <v>0</v>
      </c>
      <c r="BK125" s="20">
        <f ca="1">IF(Table1[[#This Row],[County]]="Norfolk",Table1[[#This Row],[income]],0)</f>
        <v>0</v>
      </c>
      <c r="BL125" s="20">
        <f ca="1">IF(Table1[[#This Row],[County]]="Lincolnshire",Table1[[#This Row],[income]],0)</f>
        <v>0</v>
      </c>
      <c r="BM125" s="20">
        <f ca="1">IF(Table1[[#This Row],[County]]="Somerset",Table1[[#This Row],[income]],0)</f>
        <v>0</v>
      </c>
      <c r="BN125" s="20">
        <f ca="1">IF(Table1[[#This Row],[County]]="Cambridgeshire",Table1[[#This Row],[income]],0)</f>
        <v>0</v>
      </c>
      <c r="BO125" s="20">
        <f ca="1">IF(Table1[[#This Row],[County]]="South Yorkshire",Table1[[#This Row],[income]],0)</f>
        <v>0</v>
      </c>
      <c r="BP125" s="20">
        <f ca="1">IF(Table1[[#This Row],[County]]="Greater London",Table1[[#This Row],[income]],0)</f>
        <v>0</v>
      </c>
      <c r="BQ125" s="20">
        <f ca="1">IF(Table1[[#This Row],[County]]="Hampshire",Table1[[#This Row],[income]],0)</f>
        <v>0</v>
      </c>
      <c r="BR125" s="20">
        <f ca="1">IF(Table1[[#This Row],[County]]="Gloucestershire",Table1[[#This Row],[income]],0)</f>
        <v>0</v>
      </c>
      <c r="BS125" s="20">
        <f ca="1">IF(Table1[[#This Row],[County]]="West Sussex",Table1[[#This Row],[income]],0)</f>
        <v>0</v>
      </c>
      <c r="BT125" s="20">
        <f ca="1">IF(Table1[[#This Row],[County]]="Devon",Table1[[#This Row],[income]],0)</f>
        <v>0</v>
      </c>
      <c r="BU125" s="20">
        <f ca="1">IF(Table1[[#This Row],[County]]="Berkshire",Table1[[#This Row],[income]],0)</f>
        <v>0</v>
      </c>
      <c r="BV125" s="20">
        <f ca="1">IF(Table1[[#This Row],[County]]="Staffordshire",Table1[[#This Row],[income]],0)</f>
        <v>0</v>
      </c>
      <c r="BW125" s="20">
        <f ca="1">IF(Table1[[#This Row],[County]]="Leicestershire",Table1[[#This Row],[income]],0)</f>
        <v>0</v>
      </c>
      <c r="BX125" s="20">
        <f ca="1">IF(Table1[[#This Row],[County]]="Cornwall",Table1[[#This Row],[income]],0)</f>
        <v>0</v>
      </c>
      <c r="BY125" s="20">
        <f ca="1">IF(Table1[[#This Row],[County]]="Isle of Wight",Table1[[#This Row],[income]],0)</f>
        <v>0</v>
      </c>
      <c r="BZ125" s="20">
        <f ca="1">IF(Table1[[#This Row],[County]]="Surrey",Table1[[#This Row],[income]],0)</f>
        <v>0</v>
      </c>
      <c r="CA125" s="20">
        <f ca="1">IF(Table1[[#This Row],[County]]="Derbyshire",Table1[[#This Row],[income]],0)</f>
        <v>0</v>
      </c>
      <c r="CB125" s="20">
        <f ca="1">IF(Table1[[#This Row],[County]]="City of London",Table1[[#This Row],[income]],0)</f>
        <v>0</v>
      </c>
      <c r="CC125" s="20">
        <f ca="1">IF(Table1[[#This Row],[County]]="Bedfordshire",Table1[[#This Row],[income]],0)</f>
        <v>0</v>
      </c>
      <c r="CD125" s="20">
        <f ca="1">IF(Table1[[#This Row],[County]]="County Durham",Table1[[#This Row],[income]],0)</f>
        <v>0</v>
      </c>
      <c r="CE125" s="20">
        <f ca="1">IF(Table1[[#This Row],[County]]="East Riding of Yorkshire",Table1[[#This Row],[income]],0)</f>
        <v>0</v>
      </c>
      <c r="CF125" s="20">
        <f ca="1">IF(Table1[[#This Row],[County]]="West Yorkshire",Table1[[#This Row],[income]],0)</f>
        <v>0</v>
      </c>
      <c r="CG125" s="20">
        <f ca="1">IF(Table1[[#This Row],[County]]="Essex",Table1[[#This Row],[income]],0)</f>
        <v>0</v>
      </c>
      <c r="CH125" s="20">
        <f ca="1">IF(Table1[[#This Row],[County]]="East Sussex",Table1[[#This Row],[income]],0)</f>
        <v>0</v>
      </c>
      <c r="CI125" s="20">
        <f ca="1">IF(Table1[[#This Row],[County]]="Greater Manchester",Table1[[#This Row],[income]],0)</f>
        <v>0</v>
      </c>
      <c r="CJ125" s="20">
        <f ca="1">IF(Table1[[#This Row],[County]]="Hertfordshire",Table1[[#This Row],[income]],0)</f>
        <v>0</v>
      </c>
      <c r="CK125" s="20">
        <f ca="1">IF(Table1[[#This Row],[County]]="Herefordshire",Table1[[#This Row],[income]],0)</f>
        <v>0</v>
      </c>
      <c r="CL125" s="20">
        <f ca="1">IF(Table1[[#This Row],[County]]="Lancashire",Table1[[#This Row],[income]],0)</f>
        <v>0</v>
      </c>
      <c r="CM125" s="20">
        <f ca="1">IF(Table1[[#This Row],[County]]="Merseyside",Table1[[#This Row],[income]],0)</f>
        <v>0</v>
      </c>
      <c r="CN125" s="20">
        <f ca="1">IF(Table1[[#This Row],[County]]="Northamptonshire",Table1[[#This Row],[income]],0)</f>
        <v>0</v>
      </c>
      <c r="CO125" s="20">
        <f ca="1">IF(Table1[[#This Row],[County]]="Northumberland",Table1[[#This Row],[income]],0)</f>
        <v>0</v>
      </c>
      <c r="CP125" s="20">
        <f ca="1">IF(Table1[[#This Row],[County]]="Wiltshire",Table1[[#This Row],[income]],0)</f>
        <v>0</v>
      </c>
      <c r="CQ125" s="20">
        <f ca="1">IF(Table1[[#This Row],[County]]="West Midlands",Table1[[#This Row],[income]],0)</f>
        <v>0</v>
      </c>
      <c r="CR125" s="20">
        <f ca="1">IF(Table1[[#This Row],[County]]="Warwickshire",Table1[[#This Row],[income]],0)</f>
        <v>0</v>
      </c>
      <c r="CS125" s="20">
        <f ca="1">IF(Table1[[#This Row],[County]]="Tyne and Wear",Table1[[#This Row],[income]],0)</f>
        <v>0</v>
      </c>
      <c r="CT125" s="20">
        <f ca="1">IF(Table1[[#This Row],[County]]="Worcestershire",Table1[[#This Row],[income]],0)</f>
        <v>0</v>
      </c>
      <c r="CU125" s="20">
        <f ca="1">IF(Table1[[#This Row],[County]]="Rutland",Table1[[#This Row],[income]],0)</f>
        <v>0</v>
      </c>
      <c r="CV125" s="20">
        <f ca="1">IF(Table1[[#This Row],[County]]="Shropshire",Table1[[#This Row],[income]],0)</f>
        <v>0</v>
      </c>
      <c r="CW125" s="20">
        <f ca="1">IF(Table1[[#This Row],[County]]="Dorset",Table1[[#This Row],[income]],0)</f>
        <v>0</v>
      </c>
      <c r="CX125" s="20">
        <f ca="1">IF(Table1[[#This Row],[County]]="Buckinghamshire",Table1[[#This Row],[income]],0)</f>
        <v>0</v>
      </c>
      <c r="CY125" s="20">
        <f ca="1">IF(Table1[[#This Row],[County]]="Suffolk",Table1[[#This Row],[income]],0)</f>
        <v>0</v>
      </c>
      <c r="CZ125" s="20">
        <f ca="1">IF(Table1[[#This Row],[County]]="North Yorkshire",Table1[[#This Row],[income]],0)</f>
        <v>0</v>
      </c>
      <c r="DA125" s="20">
        <f ca="1">IF(Table1[[#This Row],[County]]="Kent",Table1[[#This Row],[income]],0)</f>
        <v>62293</v>
      </c>
      <c r="DB125" s="5">
        <f ca="1">IF(Table1[[#This Row],[County]]="Derbyshire",Table1[[#This Row],[income]],0)</f>
        <v>0</v>
      </c>
      <c r="DD125" s="6">
        <f ca="1">IF(Table1[[#This Row],[Column1]]="Health",Table1[[#This Row],[income]],0)</f>
        <v>62293</v>
      </c>
      <c r="DE125" s="20">
        <f ca="1">IF(Table1[[#This Row],[Column1]]="Agriculture",Table1[[#This Row],[income]],0)</f>
        <v>0</v>
      </c>
      <c r="DF125" s="20">
        <f ca="1">IF(Table1[[#This Row],[Column1]]="Technology",Table1[[#This Row],[income]],0)</f>
        <v>0</v>
      </c>
      <c r="DG125" s="20">
        <f ca="1">IF(Table1[[#This Row],[Column1]]="Social Service",Table1[[#This Row],[income]],0)</f>
        <v>0</v>
      </c>
      <c r="DH125" s="20">
        <f ca="1">IF(Table1[[#This Row],[Column1]]="Education",Table1[[#This Row],[income]],0)</f>
        <v>0</v>
      </c>
      <c r="DI125" s="5">
        <f ca="1">IF(Table1[[#This Row],[Column1]]="Construction",Table1[[#This Row],[income]],0)</f>
        <v>0</v>
      </c>
      <c r="DK125" s="6">
        <f ca="1">IF(Table1[[#This Row],[Value of Debts]]&gt;Table1[[#This Row],[income]],1,0)</f>
        <v>1</v>
      </c>
      <c r="DL125" s="20"/>
      <c r="DM125" s="20"/>
      <c r="DN125" s="5"/>
      <c r="DP125" s="6">
        <f ca="1">IF(Table1[[#This Row],[Net Worth (£)]]&gt;$DS$5,C125,0)</f>
        <v>0</v>
      </c>
      <c r="DQ125" s="20"/>
      <c r="DR125" s="20"/>
      <c r="DS125" s="5"/>
    </row>
    <row r="126" spans="1:123" x14ac:dyDescent="0.2">
      <c r="A126">
        <f t="shared" ca="1" si="4"/>
        <v>1</v>
      </c>
      <c r="B126" s="1" t="str">
        <f ca="1">IF(A126=1, "men", "women")</f>
        <v>men</v>
      </c>
      <c r="C126" s="1">
        <f ca="1">RANDBETWEEN(25,50)</f>
        <v>25</v>
      </c>
      <c r="D126">
        <f ca="1">RANDBETWEEN(1,6)</f>
        <v>3</v>
      </c>
      <c r="E126" t="str">
        <f ca="1">VLOOKUP(D126,$W$5:$X$10,2)</f>
        <v>Education</v>
      </c>
      <c r="F126">
        <f ca="1">RANDBETWEEN(1,5)</f>
        <v>4</v>
      </c>
      <c r="G126" t="str">
        <f ca="1">VLOOKUP(F126,$Y$5:$Z$9,2)</f>
        <v xml:space="preserve">Technical </v>
      </c>
      <c r="H126">
        <f ca="1">RANDBETWEEN(0,4)</f>
        <v>1</v>
      </c>
      <c r="I126">
        <f ca="1">RANDBETWEEN(1,3)</f>
        <v>2</v>
      </c>
      <c r="J126">
        <f ca="1">RANDBETWEEN(30000,100000)</f>
        <v>42385</v>
      </c>
      <c r="K126">
        <f ca="1">RANDBETWEEN(1,48)</f>
        <v>30</v>
      </c>
      <c r="L126" t="str">
        <f ca="1">VLOOKUP(K126,$AA$5:$AB$52,2)</f>
        <v>North Yorkshire</v>
      </c>
      <c r="M126">
        <f ca="1">J126*(RANDBETWEEN(2,5))</f>
        <v>127155</v>
      </c>
      <c r="N126">
        <f ca="1">RAND()*M126</f>
        <v>112033.49628505795</v>
      </c>
      <c r="O126">
        <f ca="1">I126*RAND()*J126</f>
        <v>28003.965699060314</v>
      </c>
      <c r="P126">
        <f ca="1">RANDBETWEEN(0,O126)</f>
        <v>14527</v>
      </c>
      <c r="Q126">
        <f ca="1">RAND()*J126*2</f>
        <v>35178.030398941322</v>
      </c>
      <c r="R126">
        <f ca="1">RAND()*J126*1.5</f>
        <v>46483.965421745255</v>
      </c>
      <c r="S126">
        <f ca="1">J126+R126+O126</f>
        <v>116872.93112080557</v>
      </c>
      <c r="T126">
        <f ca="1">N126+P126+Q126</f>
        <v>161738.52668399928</v>
      </c>
      <c r="U126">
        <f ca="1">S126-T126</f>
        <v>-44865.59556319371</v>
      </c>
      <c r="AC126" s="6">
        <f ca="1">IF(Table1[[#This Row],[gender]]="men",1,0)</f>
        <v>1</v>
      </c>
      <c r="AD126">
        <f ca="1">IF(Table1[[#This Row],[gender]]="women",1,0)</f>
        <v>0</v>
      </c>
      <c r="AH126" s="5"/>
      <c r="AJ126" s="6">
        <f ca="1">IF(Table1[[#This Row],[Column1]]="Health",1,0)</f>
        <v>0</v>
      </c>
      <c r="AK126">
        <f ca="1">IF(Table1[[#This Row],[Column1]]="Construction",1,0)</f>
        <v>0</v>
      </c>
      <c r="AL126">
        <f ca="1">IF(Table1[[#This Row],[Column1]]="Technology",1,0)</f>
        <v>0</v>
      </c>
      <c r="AM126">
        <f ca="1">IF(Table1[[#This Row],[Column1]]="Education",1,0)</f>
        <v>1</v>
      </c>
      <c r="AN126">
        <f ca="1">IF(Table1[[#This Row],[Column1]]="Agriculture",1,0)</f>
        <v>0</v>
      </c>
      <c r="AO126">
        <f ca="1">IF(Table1[[#This Row],[Column1]]="Social Service", 1, 0)</f>
        <v>0</v>
      </c>
      <c r="AT126" s="5"/>
      <c r="AV126" s="17">
        <f t="shared" ca="1" si="3"/>
        <v>61002.580649106123</v>
      </c>
      <c r="AW126" s="5"/>
      <c r="AX126" s="6">
        <f ca="1">IF(Table1[[#This Row],[Value of Debts]]&gt;$AY$4,1,0)</f>
        <v>1</v>
      </c>
      <c r="AY126" s="20"/>
      <c r="AZ126" s="20"/>
      <c r="BA126" s="5"/>
      <c r="BB126" s="25">
        <f ca="1">Table1[[#This Row],[Mortage Left]]/Table1[[#This Row],[Value of House]]</f>
        <v>0.88107818241561831</v>
      </c>
      <c r="BC126" s="20">
        <f t="shared" ca="1" si="5"/>
        <v>0</v>
      </c>
      <c r="BD126" s="20"/>
      <c r="BE126" s="20"/>
      <c r="BF126" s="20"/>
      <c r="BG126" s="6">
        <f ca="1">IF(Table1[[#This Row],[County]]="Cumbria",Table1[[#This Row],[income]],0)</f>
        <v>0</v>
      </c>
      <c r="BH126" s="20">
        <f ca="1">IF(Table1[[#This Row],[County]]="Cheshire",Table1[[#This Row],[income]],0)</f>
        <v>0</v>
      </c>
      <c r="BI126" s="20">
        <f ca="1">IF(Table1[[#This Row],[County]]="Bristol",Table1[[#This Row],[income]],0)</f>
        <v>0</v>
      </c>
      <c r="BJ126" s="20">
        <f ca="1">IF(Table1[[#This Row],[County]]="Surrey",Table1[[#This Row],[income]],0)</f>
        <v>0</v>
      </c>
      <c r="BK126" s="20">
        <f ca="1">IF(Table1[[#This Row],[County]]="Norfolk",Table1[[#This Row],[income]],0)</f>
        <v>0</v>
      </c>
      <c r="BL126" s="20">
        <f ca="1">IF(Table1[[#This Row],[County]]="Lincolnshire",Table1[[#This Row],[income]],0)</f>
        <v>0</v>
      </c>
      <c r="BM126" s="20">
        <f ca="1">IF(Table1[[#This Row],[County]]="Somerset",Table1[[#This Row],[income]],0)</f>
        <v>0</v>
      </c>
      <c r="BN126" s="20">
        <f ca="1">IF(Table1[[#This Row],[County]]="Cambridgeshire",Table1[[#This Row],[income]],0)</f>
        <v>0</v>
      </c>
      <c r="BO126" s="20">
        <f ca="1">IF(Table1[[#This Row],[County]]="South Yorkshire",Table1[[#This Row],[income]],0)</f>
        <v>0</v>
      </c>
      <c r="BP126" s="20">
        <f ca="1">IF(Table1[[#This Row],[County]]="Greater London",Table1[[#This Row],[income]],0)</f>
        <v>0</v>
      </c>
      <c r="BQ126" s="20">
        <f ca="1">IF(Table1[[#This Row],[County]]="Hampshire",Table1[[#This Row],[income]],0)</f>
        <v>0</v>
      </c>
      <c r="BR126" s="20">
        <f ca="1">IF(Table1[[#This Row],[County]]="Gloucestershire",Table1[[#This Row],[income]],0)</f>
        <v>0</v>
      </c>
      <c r="BS126" s="20">
        <f ca="1">IF(Table1[[#This Row],[County]]="West Sussex",Table1[[#This Row],[income]],0)</f>
        <v>0</v>
      </c>
      <c r="BT126" s="20">
        <f ca="1">IF(Table1[[#This Row],[County]]="Devon",Table1[[#This Row],[income]],0)</f>
        <v>0</v>
      </c>
      <c r="BU126" s="20">
        <f ca="1">IF(Table1[[#This Row],[County]]="Berkshire",Table1[[#This Row],[income]],0)</f>
        <v>0</v>
      </c>
      <c r="BV126" s="20">
        <f ca="1">IF(Table1[[#This Row],[County]]="Staffordshire",Table1[[#This Row],[income]],0)</f>
        <v>0</v>
      </c>
      <c r="BW126" s="20">
        <f ca="1">IF(Table1[[#This Row],[County]]="Leicestershire",Table1[[#This Row],[income]],0)</f>
        <v>0</v>
      </c>
      <c r="BX126" s="20">
        <f ca="1">IF(Table1[[#This Row],[County]]="Cornwall",Table1[[#This Row],[income]],0)</f>
        <v>0</v>
      </c>
      <c r="BY126" s="20">
        <f ca="1">IF(Table1[[#This Row],[County]]="Isle of Wight",Table1[[#This Row],[income]],0)</f>
        <v>0</v>
      </c>
      <c r="BZ126" s="20">
        <f ca="1">IF(Table1[[#This Row],[County]]="Surrey",Table1[[#This Row],[income]],0)</f>
        <v>0</v>
      </c>
      <c r="CA126" s="20">
        <f ca="1">IF(Table1[[#This Row],[County]]="Derbyshire",Table1[[#This Row],[income]],0)</f>
        <v>0</v>
      </c>
      <c r="CB126" s="20">
        <f ca="1">IF(Table1[[#This Row],[County]]="City of London",Table1[[#This Row],[income]],0)</f>
        <v>0</v>
      </c>
      <c r="CC126" s="20">
        <f ca="1">IF(Table1[[#This Row],[County]]="Bedfordshire",Table1[[#This Row],[income]],0)</f>
        <v>0</v>
      </c>
      <c r="CD126" s="20">
        <f ca="1">IF(Table1[[#This Row],[County]]="County Durham",Table1[[#This Row],[income]],0)</f>
        <v>0</v>
      </c>
      <c r="CE126" s="20">
        <f ca="1">IF(Table1[[#This Row],[County]]="East Riding of Yorkshire",Table1[[#This Row],[income]],0)</f>
        <v>0</v>
      </c>
      <c r="CF126" s="20">
        <f ca="1">IF(Table1[[#This Row],[County]]="West Yorkshire",Table1[[#This Row],[income]],0)</f>
        <v>0</v>
      </c>
      <c r="CG126" s="20">
        <f ca="1">IF(Table1[[#This Row],[County]]="Essex",Table1[[#This Row],[income]],0)</f>
        <v>0</v>
      </c>
      <c r="CH126" s="20">
        <f ca="1">IF(Table1[[#This Row],[County]]="East Sussex",Table1[[#This Row],[income]],0)</f>
        <v>0</v>
      </c>
      <c r="CI126" s="20">
        <f ca="1">IF(Table1[[#This Row],[County]]="Greater Manchester",Table1[[#This Row],[income]],0)</f>
        <v>0</v>
      </c>
      <c r="CJ126" s="20">
        <f ca="1">IF(Table1[[#This Row],[County]]="Hertfordshire",Table1[[#This Row],[income]],0)</f>
        <v>0</v>
      </c>
      <c r="CK126" s="20">
        <f ca="1">IF(Table1[[#This Row],[County]]="Herefordshire",Table1[[#This Row],[income]],0)</f>
        <v>0</v>
      </c>
      <c r="CL126" s="20">
        <f ca="1">IF(Table1[[#This Row],[County]]="Lancashire",Table1[[#This Row],[income]],0)</f>
        <v>0</v>
      </c>
      <c r="CM126" s="20">
        <f ca="1">IF(Table1[[#This Row],[County]]="Merseyside",Table1[[#This Row],[income]],0)</f>
        <v>0</v>
      </c>
      <c r="CN126" s="20">
        <f ca="1">IF(Table1[[#This Row],[County]]="Northamptonshire",Table1[[#This Row],[income]],0)</f>
        <v>0</v>
      </c>
      <c r="CO126" s="20">
        <f ca="1">IF(Table1[[#This Row],[County]]="Northumberland",Table1[[#This Row],[income]],0)</f>
        <v>0</v>
      </c>
      <c r="CP126" s="20">
        <f ca="1">IF(Table1[[#This Row],[County]]="Wiltshire",Table1[[#This Row],[income]],0)</f>
        <v>0</v>
      </c>
      <c r="CQ126" s="20">
        <f ca="1">IF(Table1[[#This Row],[County]]="West Midlands",Table1[[#This Row],[income]],0)</f>
        <v>0</v>
      </c>
      <c r="CR126" s="20">
        <f ca="1">IF(Table1[[#This Row],[County]]="Warwickshire",Table1[[#This Row],[income]],0)</f>
        <v>0</v>
      </c>
      <c r="CS126" s="20">
        <f ca="1">IF(Table1[[#This Row],[County]]="Tyne and Wear",Table1[[#This Row],[income]],0)</f>
        <v>0</v>
      </c>
      <c r="CT126" s="20">
        <f ca="1">IF(Table1[[#This Row],[County]]="Worcestershire",Table1[[#This Row],[income]],0)</f>
        <v>0</v>
      </c>
      <c r="CU126" s="20">
        <f ca="1">IF(Table1[[#This Row],[County]]="Rutland",Table1[[#This Row],[income]],0)</f>
        <v>0</v>
      </c>
      <c r="CV126" s="20">
        <f ca="1">IF(Table1[[#This Row],[County]]="Shropshire",Table1[[#This Row],[income]],0)</f>
        <v>0</v>
      </c>
      <c r="CW126" s="20">
        <f ca="1">IF(Table1[[#This Row],[County]]="Dorset",Table1[[#This Row],[income]],0)</f>
        <v>0</v>
      </c>
      <c r="CX126" s="20">
        <f ca="1">IF(Table1[[#This Row],[County]]="Buckinghamshire",Table1[[#This Row],[income]],0)</f>
        <v>0</v>
      </c>
      <c r="CY126" s="20">
        <f ca="1">IF(Table1[[#This Row],[County]]="Suffolk",Table1[[#This Row],[income]],0)</f>
        <v>0</v>
      </c>
      <c r="CZ126" s="20">
        <f ca="1">IF(Table1[[#This Row],[County]]="North Yorkshire",Table1[[#This Row],[income]],0)</f>
        <v>42385</v>
      </c>
      <c r="DA126" s="20">
        <f ca="1">IF(Table1[[#This Row],[County]]="Kent",Table1[[#This Row],[income]],0)</f>
        <v>0</v>
      </c>
      <c r="DB126" s="5">
        <f ca="1">IF(Table1[[#This Row],[County]]="Derbyshire",Table1[[#This Row],[income]],0)</f>
        <v>0</v>
      </c>
      <c r="DD126" s="6">
        <f ca="1">IF(Table1[[#This Row],[Column1]]="Health",Table1[[#This Row],[income]],0)</f>
        <v>0</v>
      </c>
      <c r="DE126" s="20">
        <f ca="1">IF(Table1[[#This Row],[Column1]]="Agriculture",Table1[[#This Row],[income]],0)</f>
        <v>0</v>
      </c>
      <c r="DF126" s="20">
        <f ca="1">IF(Table1[[#This Row],[Column1]]="Technology",Table1[[#This Row],[income]],0)</f>
        <v>0</v>
      </c>
      <c r="DG126" s="20">
        <f ca="1">IF(Table1[[#This Row],[Column1]]="Social Service",Table1[[#This Row],[income]],0)</f>
        <v>0</v>
      </c>
      <c r="DH126" s="20">
        <f ca="1">IF(Table1[[#This Row],[Column1]]="Education",Table1[[#This Row],[income]],0)</f>
        <v>42385</v>
      </c>
      <c r="DI126" s="5">
        <f ca="1">IF(Table1[[#This Row],[Column1]]="Construction",Table1[[#This Row],[income]],0)</f>
        <v>0</v>
      </c>
      <c r="DK126" s="6">
        <f ca="1">IF(Table1[[#This Row],[Value of Debts]]&gt;Table1[[#This Row],[income]],1,0)</f>
        <v>1</v>
      </c>
      <c r="DL126" s="20"/>
      <c r="DM126" s="20"/>
      <c r="DN126" s="5"/>
      <c r="DP126" s="6">
        <f ca="1">IF(Table1[[#This Row],[Net Worth (£)]]&gt;$DS$5,C126,0)</f>
        <v>0</v>
      </c>
      <c r="DQ126" s="20"/>
      <c r="DR126" s="20"/>
      <c r="DS126" s="5"/>
    </row>
    <row r="127" spans="1:123" x14ac:dyDescent="0.2">
      <c r="A127">
        <f t="shared" ca="1" si="4"/>
        <v>1</v>
      </c>
      <c r="B127" s="1" t="str">
        <f ca="1">IF(A127=1, "men", "women")</f>
        <v>men</v>
      </c>
      <c r="C127" s="1">
        <f ca="1">RANDBETWEEN(25,50)</f>
        <v>27</v>
      </c>
      <c r="D127">
        <f ca="1">RANDBETWEEN(1,6)</f>
        <v>3</v>
      </c>
      <c r="E127" t="str">
        <f ca="1">VLOOKUP(D127,$W$5:$X$10,2)</f>
        <v>Education</v>
      </c>
      <c r="F127">
        <f ca="1">RANDBETWEEN(1,5)</f>
        <v>1</v>
      </c>
      <c r="G127" t="str">
        <f ca="1">VLOOKUP(F127,$Y$5:$Z$9,2)</f>
        <v>High School</v>
      </c>
      <c r="H127">
        <f ca="1">RANDBETWEEN(0,4)</f>
        <v>1</v>
      </c>
      <c r="I127">
        <f ca="1">RANDBETWEEN(1,3)</f>
        <v>2</v>
      </c>
      <c r="J127">
        <f ca="1">RANDBETWEEN(30000,100000)</f>
        <v>78727</v>
      </c>
      <c r="K127">
        <f ca="1">RANDBETWEEN(1,48)</f>
        <v>40</v>
      </c>
      <c r="L127" t="str">
        <f ca="1">VLOOKUP(K127,$AA$5:$AB$52,2)</f>
        <v>Suffolk</v>
      </c>
      <c r="M127">
        <f ca="1">J127*(RANDBETWEEN(2,5))</f>
        <v>157454</v>
      </c>
      <c r="N127">
        <f ca="1">RAND()*M127</f>
        <v>80352.921071711869</v>
      </c>
      <c r="O127">
        <f ca="1">I127*RAND()*J127</f>
        <v>122005.16129821225</v>
      </c>
      <c r="P127">
        <f ca="1">RANDBETWEEN(0,O127)</f>
        <v>52093</v>
      </c>
      <c r="Q127">
        <f ca="1">RAND()*J127*2</f>
        <v>61450.920729389625</v>
      </c>
      <c r="R127">
        <f ca="1">RAND()*J127*1.5</f>
        <v>106665.23106368772</v>
      </c>
      <c r="S127">
        <f ca="1">J127+R127+O127</f>
        <v>307397.39236189995</v>
      </c>
      <c r="T127">
        <f ca="1">N127+P127+Q127</f>
        <v>193896.84180110149</v>
      </c>
      <c r="U127">
        <f ca="1">S127-T127</f>
        <v>113500.55056079847</v>
      </c>
      <c r="AC127" s="6">
        <f ca="1">IF(Table1[[#This Row],[gender]]="men",1,0)</f>
        <v>1</v>
      </c>
      <c r="AD127">
        <f ca="1">IF(Table1[[#This Row],[gender]]="women",1,0)</f>
        <v>0</v>
      </c>
      <c r="AH127" s="5"/>
      <c r="AJ127" s="6">
        <f ca="1">IF(Table1[[#This Row],[Column1]]="Health",1,0)</f>
        <v>0</v>
      </c>
      <c r="AK127">
        <f ca="1">IF(Table1[[#This Row],[Column1]]="Construction",1,0)</f>
        <v>0</v>
      </c>
      <c r="AL127">
        <f ca="1">IF(Table1[[#This Row],[Column1]]="Technology",1,0)</f>
        <v>0</v>
      </c>
      <c r="AM127">
        <f ca="1">IF(Table1[[#This Row],[Column1]]="Education",1,0)</f>
        <v>1</v>
      </c>
      <c r="AN127">
        <f ca="1">IF(Table1[[#This Row],[Column1]]="Agriculture",1,0)</f>
        <v>0</v>
      </c>
      <c r="AO127">
        <f ca="1">IF(Table1[[#This Row],[Column1]]="Social Service", 1, 0)</f>
        <v>0</v>
      </c>
      <c r="AT127" s="5"/>
      <c r="AV127" s="17">
        <f t="shared" ca="1" si="3"/>
        <v>31776.695398226482</v>
      </c>
      <c r="AW127" s="5"/>
      <c r="AX127" s="6">
        <f ca="1">IF(Table1[[#This Row],[Value of Debts]]&gt;$AY$4,1,0)</f>
        <v>1</v>
      </c>
      <c r="AY127" s="20"/>
      <c r="AZ127" s="20"/>
      <c r="BA127" s="5"/>
      <c r="BB127" s="25">
        <f ca="1">Table1[[#This Row],[Mortage Left]]/Table1[[#This Row],[Value of House]]</f>
        <v>0.51032632433416658</v>
      </c>
      <c r="BC127" s="20">
        <f t="shared" ca="1" si="5"/>
        <v>0</v>
      </c>
      <c r="BD127" s="20"/>
      <c r="BE127" s="20"/>
      <c r="BF127" s="20"/>
      <c r="BG127" s="6">
        <f ca="1">IF(Table1[[#This Row],[County]]="Cumbria",Table1[[#This Row],[income]],0)</f>
        <v>0</v>
      </c>
      <c r="BH127" s="20">
        <f ca="1">IF(Table1[[#This Row],[County]]="Cheshire",Table1[[#This Row],[income]],0)</f>
        <v>0</v>
      </c>
      <c r="BI127" s="20">
        <f ca="1">IF(Table1[[#This Row],[County]]="Bristol",Table1[[#This Row],[income]],0)</f>
        <v>0</v>
      </c>
      <c r="BJ127" s="20">
        <f ca="1">IF(Table1[[#This Row],[County]]="Surrey",Table1[[#This Row],[income]],0)</f>
        <v>0</v>
      </c>
      <c r="BK127" s="20">
        <f ca="1">IF(Table1[[#This Row],[County]]="Norfolk",Table1[[#This Row],[income]],0)</f>
        <v>0</v>
      </c>
      <c r="BL127" s="20">
        <f ca="1">IF(Table1[[#This Row],[County]]="Lincolnshire",Table1[[#This Row],[income]],0)</f>
        <v>0</v>
      </c>
      <c r="BM127" s="20">
        <f ca="1">IF(Table1[[#This Row],[County]]="Somerset",Table1[[#This Row],[income]],0)</f>
        <v>0</v>
      </c>
      <c r="BN127" s="20">
        <f ca="1">IF(Table1[[#This Row],[County]]="Cambridgeshire",Table1[[#This Row],[income]],0)</f>
        <v>0</v>
      </c>
      <c r="BO127" s="20">
        <f ca="1">IF(Table1[[#This Row],[County]]="South Yorkshire",Table1[[#This Row],[income]],0)</f>
        <v>0</v>
      </c>
      <c r="BP127" s="20">
        <f ca="1">IF(Table1[[#This Row],[County]]="Greater London",Table1[[#This Row],[income]],0)</f>
        <v>0</v>
      </c>
      <c r="BQ127" s="20">
        <f ca="1">IF(Table1[[#This Row],[County]]="Hampshire",Table1[[#This Row],[income]],0)</f>
        <v>0</v>
      </c>
      <c r="BR127" s="20">
        <f ca="1">IF(Table1[[#This Row],[County]]="Gloucestershire",Table1[[#This Row],[income]],0)</f>
        <v>0</v>
      </c>
      <c r="BS127" s="20">
        <f ca="1">IF(Table1[[#This Row],[County]]="West Sussex",Table1[[#This Row],[income]],0)</f>
        <v>0</v>
      </c>
      <c r="BT127" s="20">
        <f ca="1">IF(Table1[[#This Row],[County]]="Devon",Table1[[#This Row],[income]],0)</f>
        <v>0</v>
      </c>
      <c r="BU127" s="20">
        <f ca="1">IF(Table1[[#This Row],[County]]="Berkshire",Table1[[#This Row],[income]],0)</f>
        <v>0</v>
      </c>
      <c r="BV127" s="20">
        <f ca="1">IF(Table1[[#This Row],[County]]="Staffordshire",Table1[[#This Row],[income]],0)</f>
        <v>0</v>
      </c>
      <c r="BW127" s="20">
        <f ca="1">IF(Table1[[#This Row],[County]]="Leicestershire",Table1[[#This Row],[income]],0)</f>
        <v>0</v>
      </c>
      <c r="BX127" s="20">
        <f ca="1">IF(Table1[[#This Row],[County]]="Cornwall",Table1[[#This Row],[income]],0)</f>
        <v>0</v>
      </c>
      <c r="BY127" s="20">
        <f ca="1">IF(Table1[[#This Row],[County]]="Isle of Wight",Table1[[#This Row],[income]],0)</f>
        <v>0</v>
      </c>
      <c r="BZ127" s="20">
        <f ca="1">IF(Table1[[#This Row],[County]]="Surrey",Table1[[#This Row],[income]],0)</f>
        <v>0</v>
      </c>
      <c r="CA127" s="20">
        <f ca="1">IF(Table1[[#This Row],[County]]="Derbyshire",Table1[[#This Row],[income]],0)</f>
        <v>0</v>
      </c>
      <c r="CB127" s="20">
        <f ca="1">IF(Table1[[#This Row],[County]]="City of London",Table1[[#This Row],[income]],0)</f>
        <v>0</v>
      </c>
      <c r="CC127" s="20">
        <f ca="1">IF(Table1[[#This Row],[County]]="Bedfordshire",Table1[[#This Row],[income]],0)</f>
        <v>0</v>
      </c>
      <c r="CD127" s="20">
        <f ca="1">IF(Table1[[#This Row],[County]]="County Durham",Table1[[#This Row],[income]],0)</f>
        <v>0</v>
      </c>
      <c r="CE127" s="20">
        <f ca="1">IF(Table1[[#This Row],[County]]="East Riding of Yorkshire",Table1[[#This Row],[income]],0)</f>
        <v>0</v>
      </c>
      <c r="CF127" s="20">
        <f ca="1">IF(Table1[[#This Row],[County]]="West Yorkshire",Table1[[#This Row],[income]],0)</f>
        <v>0</v>
      </c>
      <c r="CG127" s="20">
        <f ca="1">IF(Table1[[#This Row],[County]]="Essex",Table1[[#This Row],[income]],0)</f>
        <v>0</v>
      </c>
      <c r="CH127" s="20">
        <f ca="1">IF(Table1[[#This Row],[County]]="East Sussex",Table1[[#This Row],[income]],0)</f>
        <v>0</v>
      </c>
      <c r="CI127" s="20">
        <f ca="1">IF(Table1[[#This Row],[County]]="Greater Manchester",Table1[[#This Row],[income]],0)</f>
        <v>0</v>
      </c>
      <c r="CJ127" s="20">
        <f ca="1">IF(Table1[[#This Row],[County]]="Hertfordshire",Table1[[#This Row],[income]],0)</f>
        <v>0</v>
      </c>
      <c r="CK127" s="20">
        <f ca="1">IF(Table1[[#This Row],[County]]="Herefordshire",Table1[[#This Row],[income]],0)</f>
        <v>0</v>
      </c>
      <c r="CL127" s="20">
        <f ca="1">IF(Table1[[#This Row],[County]]="Lancashire",Table1[[#This Row],[income]],0)</f>
        <v>0</v>
      </c>
      <c r="CM127" s="20">
        <f ca="1">IF(Table1[[#This Row],[County]]="Merseyside",Table1[[#This Row],[income]],0)</f>
        <v>0</v>
      </c>
      <c r="CN127" s="20">
        <f ca="1">IF(Table1[[#This Row],[County]]="Northamptonshire",Table1[[#This Row],[income]],0)</f>
        <v>0</v>
      </c>
      <c r="CO127" s="20">
        <f ca="1">IF(Table1[[#This Row],[County]]="Northumberland",Table1[[#This Row],[income]],0)</f>
        <v>0</v>
      </c>
      <c r="CP127" s="20">
        <f ca="1">IF(Table1[[#This Row],[County]]="Wiltshire",Table1[[#This Row],[income]],0)</f>
        <v>0</v>
      </c>
      <c r="CQ127" s="20">
        <f ca="1">IF(Table1[[#This Row],[County]]="West Midlands",Table1[[#This Row],[income]],0)</f>
        <v>0</v>
      </c>
      <c r="CR127" s="20">
        <f ca="1">IF(Table1[[#This Row],[County]]="Warwickshire",Table1[[#This Row],[income]],0)</f>
        <v>0</v>
      </c>
      <c r="CS127" s="20">
        <f ca="1">IF(Table1[[#This Row],[County]]="Tyne and Wear",Table1[[#This Row],[income]],0)</f>
        <v>0</v>
      </c>
      <c r="CT127" s="20">
        <f ca="1">IF(Table1[[#This Row],[County]]="Worcestershire",Table1[[#This Row],[income]],0)</f>
        <v>0</v>
      </c>
      <c r="CU127" s="20">
        <f ca="1">IF(Table1[[#This Row],[County]]="Rutland",Table1[[#This Row],[income]],0)</f>
        <v>0</v>
      </c>
      <c r="CV127" s="20">
        <f ca="1">IF(Table1[[#This Row],[County]]="Shropshire",Table1[[#This Row],[income]],0)</f>
        <v>0</v>
      </c>
      <c r="CW127" s="20">
        <f ca="1">IF(Table1[[#This Row],[County]]="Dorset",Table1[[#This Row],[income]],0)</f>
        <v>0</v>
      </c>
      <c r="CX127" s="20">
        <f ca="1">IF(Table1[[#This Row],[County]]="Buckinghamshire",Table1[[#This Row],[income]],0)</f>
        <v>0</v>
      </c>
      <c r="CY127" s="20">
        <f ca="1">IF(Table1[[#This Row],[County]]="Suffolk",Table1[[#This Row],[income]],0)</f>
        <v>78727</v>
      </c>
      <c r="CZ127" s="20">
        <f ca="1">IF(Table1[[#This Row],[County]]="North Yorkshire",Table1[[#This Row],[income]],0)</f>
        <v>0</v>
      </c>
      <c r="DA127" s="20">
        <f ca="1">IF(Table1[[#This Row],[County]]="Kent",Table1[[#This Row],[income]],0)</f>
        <v>0</v>
      </c>
      <c r="DB127" s="5">
        <f ca="1">IF(Table1[[#This Row],[County]]="Derbyshire",Table1[[#This Row],[income]],0)</f>
        <v>0</v>
      </c>
      <c r="DD127" s="6">
        <f ca="1">IF(Table1[[#This Row],[Column1]]="Health",Table1[[#This Row],[income]],0)</f>
        <v>0</v>
      </c>
      <c r="DE127" s="20">
        <f ca="1">IF(Table1[[#This Row],[Column1]]="Agriculture",Table1[[#This Row],[income]],0)</f>
        <v>0</v>
      </c>
      <c r="DF127" s="20">
        <f ca="1">IF(Table1[[#This Row],[Column1]]="Technology",Table1[[#This Row],[income]],0)</f>
        <v>0</v>
      </c>
      <c r="DG127" s="20">
        <f ca="1">IF(Table1[[#This Row],[Column1]]="Social Service",Table1[[#This Row],[income]],0)</f>
        <v>0</v>
      </c>
      <c r="DH127" s="20">
        <f ca="1">IF(Table1[[#This Row],[Column1]]="Education",Table1[[#This Row],[income]],0)</f>
        <v>78727</v>
      </c>
      <c r="DI127" s="5">
        <f ca="1">IF(Table1[[#This Row],[Column1]]="Construction",Table1[[#This Row],[income]],0)</f>
        <v>0</v>
      </c>
      <c r="DK127" s="6">
        <f ca="1">IF(Table1[[#This Row],[Value of Debts]]&gt;Table1[[#This Row],[income]],1,0)</f>
        <v>1</v>
      </c>
      <c r="DL127" s="20"/>
      <c r="DM127" s="20"/>
      <c r="DN127" s="5"/>
      <c r="DP127" s="6">
        <f ca="1">IF(Table1[[#This Row],[Net Worth (£)]]&gt;$DS$5,C127,0)</f>
        <v>27</v>
      </c>
      <c r="DQ127" s="20"/>
      <c r="DR127" s="20"/>
      <c r="DS127" s="5"/>
    </row>
    <row r="128" spans="1:123" x14ac:dyDescent="0.2">
      <c r="A128">
        <f t="shared" ca="1" si="4"/>
        <v>1</v>
      </c>
      <c r="B128" s="1" t="str">
        <f ca="1">IF(A128=1, "men", "women")</f>
        <v>men</v>
      </c>
      <c r="C128" s="1">
        <f ca="1">RANDBETWEEN(25,50)</f>
        <v>39</v>
      </c>
      <c r="D128">
        <f ca="1">RANDBETWEEN(1,6)</f>
        <v>6</v>
      </c>
      <c r="E128" t="str">
        <f ca="1">VLOOKUP(D128,$W$5:$X$10,2)</f>
        <v>Agriculture</v>
      </c>
      <c r="F128">
        <f ca="1">RANDBETWEEN(1,5)</f>
        <v>3</v>
      </c>
      <c r="G128" t="str">
        <f ca="1">VLOOKUP(F128,$Y$5:$Z$9,2)</f>
        <v>University</v>
      </c>
      <c r="H128">
        <f ca="1">RANDBETWEEN(0,4)</f>
        <v>4</v>
      </c>
      <c r="I128">
        <f ca="1">RANDBETWEEN(1,3)</f>
        <v>2</v>
      </c>
      <c r="J128">
        <f ca="1">RANDBETWEEN(30000,100000)</f>
        <v>83741</v>
      </c>
      <c r="K128">
        <f ca="1">RANDBETWEEN(1,48)</f>
        <v>19</v>
      </c>
      <c r="L128" t="str">
        <f ca="1">VLOOKUP(K128,$AA$5:$AB$52,2)</f>
        <v>Greater Manchester</v>
      </c>
      <c r="M128">
        <f ca="1">J128*(RANDBETWEEN(2,5))</f>
        <v>418705</v>
      </c>
      <c r="N128">
        <f ca="1">RAND()*M128</f>
        <v>7650.1218110596737</v>
      </c>
      <c r="O128">
        <f ca="1">I128*RAND()*J128</f>
        <v>63553.390796452964</v>
      </c>
      <c r="P128">
        <f ca="1">RANDBETWEEN(0,O128)</f>
        <v>24771</v>
      </c>
      <c r="Q128">
        <f ca="1">RAND()*J128*2</f>
        <v>53283.026017685253</v>
      </c>
      <c r="R128">
        <f ca="1">RAND()*J128*1.5</f>
        <v>22538.982666611442</v>
      </c>
      <c r="S128">
        <f ca="1">J128+R128+O128</f>
        <v>169833.3734630644</v>
      </c>
      <c r="T128">
        <f ca="1">N128+P128+Q128</f>
        <v>85704.147828744928</v>
      </c>
      <c r="U128">
        <f ca="1">S128-T128</f>
        <v>84129.225634319475</v>
      </c>
      <c r="AC128" s="6">
        <f ca="1">IF(Table1[[#This Row],[gender]]="men",1,0)</f>
        <v>1</v>
      </c>
      <c r="AD128">
        <f ca="1">IF(Table1[[#This Row],[gender]]="women",1,0)</f>
        <v>0</v>
      </c>
      <c r="AH128" s="5"/>
      <c r="AJ128" s="6">
        <f ca="1">IF(Table1[[#This Row],[Column1]]="Health",1,0)</f>
        <v>0</v>
      </c>
      <c r="AK128">
        <f ca="1">IF(Table1[[#This Row],[Column1]]="Construction",1,0)</f>
        <v>0</v>
      </c>
      <c r="AL128">
        <f ca="1">IF(Table1[[#This Row],[Column1]]="Technology",1,0)</f>
        <v>0</v>
      </c>
      <c r="AM128">
        <f ca="1">IF(Table1[[#This Row],[Column1]]="Education",1,0)</f>
        <v>0</v>
      </c>
      <c r="AN128">
        <f ca="1">IF(Table1[[#This Row],[Column1]]="Agriculture",1,0)</f>
        <v>1</v>
      </c>
      <c r="AO128">
        <f ca="1">IF(Table1[[#This Row],[Column1]]="Social Service", 1, 0)</f>
        <v>0</v>
      </c>
      <c r="AT128" s="5"/>
      <c r="AV128" s="17">
        <f t="shared" ca="1" si="3"/>
        <v>22950.973193078025</v>
      </c>
      <c r="AW128" s="5"/>
      <c r="AX128" s="6">
        <f ca="1">IF(Table1[[#This Row],[Value of Debts]]&gt;$AY$4,1,0)</f>
        <v>0</v>
      </c>
      <c r="AY128" s="20"/>
      <c r="AZ128" s="20"/>
      <c r="BA128" s="5"/>
      <c r="BB128" s="25">
        <f ca="1">Table1[[#This Row],[Mortage Left]]/Table1[[#This Row],[Value of House]]</f>
        <v>1.8270911049688143E-2</v>
      </c>
      <c r="BC128" s="20">
        <f t="shared" ca="1" si="5"/>
        <v>1</v>
      </c>
      <c r="BD128" s="20"/>
      <c r="BE128" s="20"/>
      <c r="BF128" s="20"/>
      <c r="BG128" s="6">
        <f ca="1">IF(Table1[[#This Row],[County]]="Cumbria",Table1[[#This Row],[income]],0)</f>
        <v>0</v>
      </c>
      <c r="BH128" s="20">
        <f ca="1">IF(Table1[[#This Row],[County]]="Cheshire",Table1[[#This Row],[income]],0)</f>
        <v>0</v>
      </c>
      <c r="BI128" s="20">
        <f ca="1">IF(Table1[[#This Row],[County]]="Bristol",Table1[[#This Row],[income]],0)</f>
        <v>0</v>
      </c>
      <c r="BJ128" s="20">
        <f ca="1">IF(Table1[[#This Row],[County]]="Surrey",Table1[[#This Row],[income]],0)</f>
        <v>0</v>
      </c>
      <c r="BK128" s="20">
        <f ca="1">IF(Table1[[#This Row],[County]]="Norfolk",Table1[[#This Row],[income]],0)</f>
        <v>0</v>
      </c>
      <c r="BL128" s="20">
        <f ca="1">IF(Table1[[#This Row],[County]]="Lincolnshire",Table1[[#This Row],[income]],0)</f>
        <v>0</v>
      </c>
      <c r="BM128" s="20">
        <f ca="1">IF(Table1[[#This Row],[County]]="Somerset",Table1[[#This Row],[income]],0)</f>
        <v>0</v>
      </c>
      <c r="BN128" s="20">
        <f ca="1">IF(Table1[[#This Row],[County]]="Cambridgeshire",Table1[[#This Row],[income]],0)</f>
        <v>0</v>
      </c>
      <c r="BO128" s="20">
        <f ca="1">IF(Table1[[#This Row],[County]]="South Yorkshire",Table1[[#This Row],[income]],0)</f>
        <v>0</v>
      </c>
      <c r="BP128" s="20">
        <f ca="1">IF(Table1[[#This Row],[County]]="Greater London",Table1[[#This Row],[income]],0)</f>
        <v>0</v>
      </c>
      <c r="BQ128" s="20">
        <f ca="1">IF(Table1[[#This Row],[County]]="Hampshire",Table1[[#This Row],[income]],0)</f>
        <v>0</v>
      </c>
      <c r="BR128" s="20">
        <f ca="1">IF(Table1[[#This Row],[County]]="Gloucestershire",Table1[[#This Row],[income]],0)</f>
        <v>0</v>
      </c>
      <c r="BS128" s="20">
        <f ca="1">IF(Table1[[#This Row],[County]]="West Sussex",Table1[[#This Row],[income]],0)</f>
        <v>0</v>
      </c>
      <c r="BT128" s="20">
        <f ca="1">IF(Table1[[#This Row],[County]]="Devon",Table1[[#This Row],[income]],0)</f>
        <v>0</v>
      </c>
      <c r="BU128" s="20">
        <f ca="1">IF(Table1[[#This Row],[County]]="Berkshire",Table1[[#This Row],[income]],0)</f>
        <v>0</v>
      </c>
      <c r="BV128" s="20">
        <f ca="1">IF(Table1[[#This Row],[County]]="Staffordshire",Table1[[#This Row],[income]],0)</f>
        <v>0</v>
      </c>
      <c r="BW128" s="20">
        <f ca="1">IF(Table1[[#This Row],[County]]="Leicestershire",Table1[[#This Row],[income]],0)</f>
        <v>0</v>
      </c>
      <c r="BX128" s="20">
        <f ca="1">IF(Table1[[#This Row],[County]]="Cornwall",Table1[[#This Row],[income]],0)</f>
        <v>0</v>
      </c>
      <c r="BY128" s="20">
        <f ca="1">IF(Table1[[#This Row],[County]]="Isle of Wight",Table1[[#This Row],[income]],0)</f>
        <v>0</v>
      </c>
      <c r="BZ128" s="20">
        <f ca="1">IF(Table1[[#This Row],[County]]="Surrey",Table1[[#This Row],[income]],0)</f>
        <v>0</v>
      </c>
      <c r="CA128" s="20">
        <f ca="1">IF(Table1[[#This Row],[County]]="Derbyshire",Table1[[#This Row],[income]],0)</f>
        <v>0</v>
      </c>
      <c r="CB128" s="20">
        <f ca="1">IF(Table1[[#This Row],[County]]="City of London",Table1[[#This Row],[income]],0)</f>
        <v>0</v>
      </c>
      <c r="CC128" s="20">
        <f ca="1">IF(Table1[[#This Row],[County]]="Bedfordshire",Table1[[#This Row],[income]],0)</f>
        <v>0</v>
      </c>
      <c r="CD128" s="20">
        <f ca="1">IF(Table1[[#This Row],[County]]="County Durham",Table1[[#This Row],[income]],0)</f>
        <v>0</v>
      </c>
      <c r="CE128" s="20">
        <f ca="1">IF(Table1[[#This Row],[County]]="East Riding of Yorkshire",Table1[[#This Row],[income]],0)</f>
        <v>0</v>
      </c>
      <c r="CF128" s="20">
        <f ca="1">IF(Table1[[#This Row],[County]]="West Yorkshire",Table1[[#This Row],[income]],0)</f>
        <v>0</v>
      </c>
      <c r="CG128" s="20">
        <f ca="1">IF(Table1[[#This Row],[County]]="Essex",Table1[[#This Row],[income]],0)</f>
        <v>0</v>
      </c>
      <c r="CH128" s="20">
        <f ca="1">IF(Table1[[#This Row],[County]]="East Sussex",Table1[[#This Row],[income]],0)</f>
        <v>0</v>
      </c>
      <c r="CI128" s="20">
        <f ca="1">IF(Table1[[#This Row],[County]]="Greater Manchester",Table1[[#This Row],[income]],0)</f>
        <v>83741</v>
      </c>
      <c r="CJ128" s="20">
        <f ca="1">IF(Table1[[#This Row],[County]]="Hertfordshire",Table1[[#This Row],[income]],0)</f>
        <v>0</v>
      </c>
      <c r="CK128" s="20">
        <f ca="1">IF(Table1[[#This Row],[County]]="Herefordshire",Table1[[#This Row],[income]],0)</f>
        <v>0</v>
      </c>
      <c r="CL128" s="20">
        <f ca="1">IF(Table1[[#This Row],[County]]="Lancashire",Table1[[#This Row],[income]],0)</f>
        <v>0</v>
      </c>
      <c r="CM128" s="20">
        <f ca="1">IF(Table1[[#This Row],[County]]="Merseyside",Table1[[#This Row],[income]],0)</f>
        <v>0</v>
      </c>
      <c r="CN128" s="20">
        <f ca="1">IF(Table1[[#This Row],[County]]="Northamptonshire",Table1[[#This Row],[income]],0)</f>
        <v>0</v>
      </c>
      <c r="CO128" s="20">
        <f ca="1">IF(Table1[[#This Row],[County]]="Northumberland",Table1[[#This Row],[income]],0)</f>
        <v>0</v>
      </c>
      <c r="CP128" s="20">
        <f ca="1">IF(Table1[[#This Row],[County]]="Wiltshire",Table1[[#This Row],[income]],0)</f>
        <v>0</v>
      </c>
      <c r="CQ128" s="20">
        <f ca="1">IF(Table1[[#This Row],[County]]="West Midlands",Table1[[#This Row],[income]],0)</f>
        <v>0</v>
      </c>
      <c r="CR128" s="20">
        <f ca="1">IF(Table1[[#This Row],[County]]="Warwickshire",Table1[[#This Row],[income]],0)</f>
        <v>0</v>
      </c>
      <c r="CS128" s="20">
        <f ca="1">IF(Table1[[#This Row],[County]]="Tyne and Wear",Table1[[#This Row],[income]],0)</f>
        <v>0</v>
      </c>
      <c r="CT128" s="20">
        <f ca="1">IF(Table1[[#This Row],[County]]="Worcestershire",Table1[[#This Row],[income]],0)</f>
        <v>0</v>
      </c>
      <c r="CU128" s="20">
        <f ca="1">IF(Table1[[#This Row],[County]]="Rutland",Table1[[#This Row],[income]],0)</f>
        <v>0</v>
      </c>
      <c r="CV128" s="20">
        <f ca="1">IF(Table1[[#This Row],[County]]="Shropshire",Table1[[#This Row],[income]],0)</f>
        <v>0</v>
      </c>
      <c r="CW128" s="20">
        <f ca="1">IF(Table1[[#This Row],[County]]="Dorset",Table1[[#This Row],[income]],0)</f>
        <v>0</v>
      </c>
      <c r="CX128" s="20">
        <f ca="1">IF(Table1[[#This Row],[County]]="Buckinghamshire",Table1[[#This Row],[income]],0)</f>
        <v>0</v>
      </c>
      <c r="CY128" s="20">
        <f ca="1">IF(Table1[[#This Row],[County]]="Suffolk",Table1[[#This Row],[income]],0)</f>
        <v>0</v>
      </c>
      <c r="CZ128" s="20">
        <f ca="1">IF(Table1[[#This Row],[County]]="North Yorkshire",Table1[[#This Row],[income]],0)</f>
        <v>0</v>
      </c>
      <c r="DA128" s="20">
        <f ca="1">IF(Table1[[#This Row],[County]]="Kent",Table1[[#This Row],[income]],0)</f>
        <v>0</v>
      </c>
      <c r="DB128" s="5">
        <f ca="1">IF(Table1[[#This Row],[County]]="Derbyshire",Table1[[#This Row],[income]],0)</f>
        <v>0</v>
      </c>
      <c r="DD128" s="6">
        <f ca="1">IF(Table1[[#This Row],[Column1]]="Health",Table1[[#This Row],[income]],0)</f>
        <v>0</v>
      </c>
      <c r="DE128" s="20">
        <f ca="1">IF(Table1[[#This Row],[Column1]]="Agriculture",Table1[[#This Row],[income]],0)</f>
        <v>83741</v>
      </c>
      <c r="DF128" s="20">
        <f ca="1">IF(Table1[[#This Row],[Column1]]="Technology",Table1[[#This Row],[income]],0)</f>
        <v>0</v>
      </c>
      <c r="DG128" s="20">
        <f ca="1">IF(Table1[[#This Row],[Column1]]="Social Service",Table1[[#This Row],[income]],0)</f>
        <v>0</v>
      </c>
      <c r="DH128" s="20">
        <f ca="1">IF(Table1[[#This Row],[Column1]]="Education",Table1[[#This Row],[income]],0)</f>
        <v>0</v>
      </c>
      <c r="DI128" s="5">
        <f ca="1">IF(Table1[[#This Row],[Column1]]="Construction",Table1[[#This Row],[income]],0)</f>
        <v>0</v>
      </c>
      <c r="DK128" s="6">
        <f ca="1">IF(Table1[[#This Row],[Value of Debts]]&gt;Table1[[#This Row],[income]],1,0)</f>
        <v>1</v>
      </c>
      <c r="DL128" s="20"/>
      <c r="DM128" s="20"/>
      <c r="DN128" s="5"/>
      <c r="DP128" s="6">
        <f ca="1">IF(Table1[[#This Row],[Net Worth (£)]]&gt;$DS$5,C128,0)</f>
        <v>39</v>
      </c>
      <c r="DQ128" s="20"/>
      <c r="DR128" s="20"/>
      <c r="DS128" s="5"/>
    </row>
    <row r="129" spans="1:123" x14ac:dyDescent="0.2">
      <c r="A129">
        <f t="shared" ca="1" si="4"/>
        <v>1</v>
      </c>
      <c r="B129" s="1" t="str">
        <f ca="1">IF(A129=1, "men", "women")</f>
        <v>men</v>
      </c>
      <c r="C129" s="1">
        <f ca="1">RANDBETWEEN(25,50)</f>
        <v>33</v>
      </c>
      <c r="D129">
        <f ca="1">RANDBETWEEN(1,6)</f>
        <v>6</v>
      </c>
      <c r="E129" t="str">
        <f ca="1">VLOOKUP(D129,$W$5:$X$10,2)</f>
        <v>Agriculture</v>
      </c>
      <c r="F129">
        <f ca="1">RANDBETWEEN(1,5)</f>
        <v>5</v>
      </c>
      <c r="G129" t="str">
        <f ca="1">VLOOKUP(F129,$Y$5:$Z$9,2)</f>
        <v>Other</v>
      </c>
      <c r="H129">
        <f ca="1">RANDBETWEEN(0,4)</f>
        <v>3</v>
      </c>
      <c r="I129">
        <f ca="1">RANDBETWEEN(1,3)</f>
        <v>3</v>
      </c>
      <c r="J129">
        <f ca="1">RANDBETWEEN(30000,100000)</f>
        <v>65286</v>
      </c>
      <c r="K129">
        <f ca="1">RANDBETWEEN(1,48)</f>
        <v>3</v>
      </c>
      <c r="L129" t="str">
        <f ca="1">VLOOKUP(K129,$AA$5:$AB$52,2)</f>
        <v>Bristol</v>
      </c>
      <c r="M129">
        <f ca="1">J129*(RANDBETWEEN(2,5))</f>
        <v>326430</v>
      </c>
      <c r="N129">
        <f ca="1">RAND()*M129</f>
        <v>300095.4127462976</v>
      </c>
      <c r="O129">
        <f ca="1">I129*RAND()*J129</f>
        <v>68852.919579234076</v>
      </c>
      <c r="P129">
        <f ca="1">RANDBETWEEN(0,O129)</f>
        <v>56743</v>
      </c>
      <c r="Q129">
        <f ca="1">RAND()*J129*2</f>
        <v>40619.530939504737</v>
      </c>
      <c r="R129">
        <f ca="1">RAND()*J129*1.5</f>
        <v>2946.5148674548636</v>
      </c>
      <c r="S129">
        <f ca="1">J129+R129+O129</f>
        <v>137085.43444668895</v>
      </c>
      <c r="T129">
        <f ca="1">N129+P129+Q129</f>
        <v>397457.94368580234</v>
      </c>
      <c r="U129">
        <f ca="1">S129-T129</f>
        <v>-260372.50923911339</v>
      </c>
      <c r="AC129" s="6">
        <f ca="1">IF(Table1[[#This Row],[gender]]="men",1,0)</f>
        <v>1</v>
      </c>
      <c r="AD129">
        <f ca="1">IF(Table1[[#This Row],[gender]]="women",1,0)</f>
        <v>0</v>
      </c>
      <c r="AH129" s="5"/>
      <c r="AJ129" s="6">
        <f ca="1">IF(Table1[[#This Row],[Column1]]="Health",1,0)</f>
        <v>0</v>
      </c>
      <c r="AK129">
        <f ca="1">IF(Table1[[#This Row],[Column1]]="Construction",1,0)</f>
        <v>0</v>
      </c>
      <c r="AL129">
        <f ca="1">IF(Table1[[#This Row],[Column1]]="Technology",1,0)</f>
        <v>0</v>
      </c>
      <c r="AM129">
        <f ca="1">IF(Table1[[#This Row],[Column1]]="Education",1,0)</f>
        <v>0</v>
      </c>
      <c r="AN129">
        <f ca="1">IF(Table1[[#This Row],[Column1]]="Agriculture",1,0)</f>
        <v>1</v>
      </c>
      <c r="AO129">
        <f ca="1">IF(Table1[[#This Row],[Column1]]="Social Service", 1, 0)</f>
        <v>0</v>
      </c>
      <c r="AT129" s="5"/>
      <c r="AV129" s="17">
        <f t="shared" ca="1" si="3"/>
        <v>12517.743601240634</v>
      </c>
      <c r="AW129" s="5"/>
      <c r="AX129" s="6">
        <f ca="1">IF(Table1[[#This Row],[Value of Debts]]&gt;$AY$4,1,0)</f>
        <v>1</v>
      </c>
      <c r="AY129" s="20"/>
      <c r="AZ129" s="20"/>
      <c r="BA129" s="5"/>
      <c r="BB129" s="25">
        <f ca="1">Table1[[#This Row],[Mortage Left]]/Table1[[#This Row],[Value of House]]</f>
        <v>0.91932546869557819</v>
      </c>
      <c r="BC129" s="20">
        <f t="shared" ca="1" si="5"/>
        <v>0</v>
      </c>
      <c r="BD129" s="20"/>
      <c r="BE129" s="20"/>
      <c r="BF129" s="20"/>
      <c r="BG129" s="6">
        <f ca="1">IF(Table1[[#This Row],[County]]="Cumbria",Table1[[#This Row],[income]],0)</f>
        <v>0</v>
      </c>
      <c r="BH129" s="20">
        <f ca="1">IF(Table1[[#This Row],[County]]="Cheshire",Table1[[#This Row],[income]],0)</f>
        <v>0</v>
      </c>
      <c r="BI129" s="20">
        <f ca="1">IF(Table1[[#This Row],[County]]="Bristol",Table1[[#This Row],[income]],0)</f>
        <v>65286</v>
      </c>
      <c r="BJ129" s="20">
        <f ca="1">IF(Table1[[#This Row],[County]]="Surrey",Table1[[#This Row],[income]],0)</f>
        <v>0</v>
      </c>
      <c r="BK129" s="20">
        <f ca="1">IF(Table1[[#This Row],[County]]="Norfolk",Table1[[#This Row],[income]],0)</f>
        <v>0</v>
      </c>
      <c r="BL129" s="20">
        <f ca="1">IF(Table1[[#This Row],[County]]="Lincolnshire",Table1[[#This Row],[income]],0)</f>
        <v>0</v>
      </c>
      <c r="BM129" s="20">
        <f ca="1">IF(Table1[[#This Row],[County]]="Somerset",Table1[[#This Row],[income]],0)</f>
        <v>0</v>
      </c>
      <c r="BN129" s="20">
        <f ca="1">IF(Table1[[#This Row],[County]]="Cambridgeshire",Table1[[#This Row],[income]],0)</f>
        <v>0</v>
      </c>
      <c r="BO129" s="20">
        <f ca="1">IF(Table1[[#This Row],[County]]="South Yorkshire",Table1[[#This Row],[income]],0)</f>
        <v>0</v>
      </c>
      <c r="BP129" s="20">
        <f ca="1">IF(Table1[[#This Row],[County]]="Greater London",Table1[[#This Row],[income]],0)</f>
        <v>0</v>
      </c>
      <c r="BQ129" s="20">
        <f ca="1">IF(Table1[[#This Row],[County]]="Hampshire",Table1[[#This Row],[income]],0)</f>
        <v>0</v>
      </c>
      <c r="BR129" s="20">
        <f ca="1">IF(Table1[[#This Row],[County]]="Gloucestershire",Table1[[#This Row],[income]],0)</f>
        <v>0</v>
      </c>
      <c r="BS129" s="20">
        <f ca="1">IF(Table1[[#This Row],[County]]="West Sussex",Table1[[#This Row],[income]],0)</f>
        <v>0</v>
      </c>
      <c r="BT129" s="20">
        <f ca="1">IF(Table1[[#This Row],[County]]="Devon",Table1[[#This Row],[income]],0)</f>
        <v>0</v>
      </c>
      <c r="BU129" s="20">
        <f ca="1">IF(Table1[[#This Row],[County]]="Berkshire",Table1[[#This Row],[income]],0)</f>
        <v>0</v>
      </c>
      <c r="BV129" s="20">
        <f ca="1">IF(Table1[[#This Row],[County]]="Staffordshire",Table1[[#This Row],[income]],0)</f>
        <v>0</v>
      </c>
      <c r="BW129" s="20">
        <f ca="1">IF(Table1[[#This Row],[County]]="Leicestershire",Table1[[#This Row],[income]],0)</f>
        <v>0</v>
      </c>
      <c r="BX129" s="20">
        <f ca="1">IF(Table1[[#This Row],[County]]="Cornwall",Table1[[#This Row],[income]],0)</f>
        <v>0</v>
      </c>
      <c r="BY129" s="20">
        <f ca="1">IF(Table1[[#This Row],[County]]="Isle of Wight",Table1[[#This Row],[income]],0)</f>
        <v>0</v>
      </c>
      <c r="BZ129" s="20">
        <f ca="1">IF(Table1[[#This Row],[County]]="Surrey",Table1[[#This Row],[income]],0)</f>
        <v>0</v>
      </c>
      <c r="CA129" s="20">
        <f ca="1">IF(Table1[[#This Row],[County]]="Derbyshire",Table1[[#This Row],[income]],0)</f>
        <v>0</v>
      </c>
      <c r="CB129" s="20">
        <f ca="1">IF(Table1[[#This Row],[County]]="City of London",Table1[[#This Row],[income]],0)</f>
        <v>0</v>
      </c>
      <c r="CC129" s="20">
        <f ca="1">IF(Table1[[#This Row],[County]]="Bedfordshire",Table1[[#This Row],[income]],0)</f>
        <v>0</v>
      </c>
      <c r="CD129" s="20">
        <f ca="1">IF(Table1[[#This Row],[County]]="County Durham",Table1[[#This Row],[income]],0)</f>
        <v>0</v>
      </c>
      <c r="CE129" s="20">
        <f ca="1">IF(Table1[[#This Row],[County]]="East Riding of Yorkshire",Table1[[#This Row],[income]],0)</f>
        <v>0</v>
      </c>
      <c r="CF129" s="20">
        <f ca="1">IF(Table1[[#This Row],[County]]="West Yorkshire",Table1[[#This Row],[income]],0)</f>
        <v>0</v>
      </c>
      <c r="CG129" s="20">
        <f ca="1">IF(Table1[[#This Row],[County]]="Essex",Table1[[#This Row],[income]],0)</f>
        <v>0</v>
      </c>
      <c r="CH129" s="20">
        <f ca="1">IF(Table1[[#This Row],[County]]="East Sussex",Table1[[#This Row],[income]],0)</f>
        <v>0</v>
      </c>
      <c r="CI129" s="20">
        <f ca="1">IF(Table1[[#This Row],[County]]="Greater Manchester",Table1[[#This Row],[income]],0)</f>
        <v>0</v>
      </c>
      <c r="CJ129" s="20">
        <f ca="1">IF(Table1[[#This Row],[County]]="Hertfordshire",Table1[[#This Row],[income]],0)</f>
        <v>0</v>
      </c>
      <c r="CK129" s="20">
        <f ca="1">IF(Table1[[#This Row],[County]]="Herefordshire",Table1[[#This Row],[income]],0)</f>
        <v>0</v>
      </c>
      <c r="CL129" s="20">
        <f ca="1">IF(Table1[[#This Row],[County]]="Lancashire",Table1[[#This Row],[income]],0)</f>
        <v>0</v>
      </c>
      <c r="CM129" s="20">
        <f ca="1">IF(Table1[[#This Row],[County]]="Merseyside",Table1[[#This Row],[income]],0)</f>
        <v>0</v>
      </c>
      <c r="CN129" s="20">
        <f ca="1">IF(Table1[[#This Row],[County]]="Northamptonshire",Table1[[#This Row],[income]],0)</f>
        <v>0</v>
      </c>
      <c r="CO129" s="20">
        <f ca="1">IF(Table1[[#This Row],[County]]="Northumberland",Table1[[#This Row],[income]],0)</f>
        <v>0</v>
      </c>
      <c r="CP129" s="20">
        <f ca="1">IF(Table1[[#This Row],[County]]="Wiltshire",Table1[[#This Row],[income]],0)</f>
        <v>0</v>
      </c>
      <c r="CQ129" s="20">
        <f ca="1">IF(Table1[[#This Row],[County]]="West Midlands",Table1[[#This Row],[income]],0)</f>
        <v>0</v>
      </c>
      <c r="CR129" s="20">
        <f ca="1">IF(Table1[[#This Row],[County]]="Warwickshire",Table1[[#This Row],[income]],0)</f>
        <v>0</v>
      </c>
      <c r="CS129" s="20">
        <f ca="1">IF(Table1[[#This Row],[County]]="Tyne and Wear",Table1[[#This Row],[income]],0)</f>
        <v>0</v>
      </c>
      <c r="CT129" s="20">
        <f ca="1">IF(Table1[[#This Row],[County]]="Worcestershire",Table1[[#This Row],[income]],0)</f>
        <v>0</v>
      </c>
      <c r="CU129" s="20">
        <f ca="1">IF(Table1[[#This Row],[County]]="Rutland",Table1[[#This Row],[income]],0)</f>
        <v>0</v>
      </c>
      <c r="CV129" s="20">
        <f ca="1">IF(Table1[[#This Row],[County]]="Shropshire",Table1[[#This Row],[income]],0)</f>
        <v>0</v>
      </c>
      <c r="CW129" s="20">
        <f ca="1">IF(Table1[[#This Row],[County]]="Dorset",Table1[[#This Row],[income]],0)</f>
        <v>0</v>
      </c>
      <c r="CX129" s="20">
        <f ca="1">IF(Table1[[#This Row],[County]]="Buckinghamshire",Table1[[#This Row],[income]],0)</f>
        <v>0</v>
      </c>
      <c r="CY129" s="20">
        <f ca="1">IF(Table1[[#This Row],[County]]="Suffolk",Table1[[#This Row],[income]],0)</f>
        <v>0</v>
      </c>
      <c r="CZ129" s="20">
        <f ca="1">IF(Table1[[#This Row],[County]]="North Yorkshire",Table1[[#This Row],[income]],0)</f>
        <v>0</v>
      </c>
      <c r="DA129" s="20">
        <f ca="1">IF(Table1[[#This Row],[County]]="Kent",Table1[[#This Row],[income]],0)</f>
        <v>0</v>
      </c>
      <c r="DB129" s="5">
        <f ca="1">IF(Table1[[#This Row],[County]]="Derbyshire",Table1[[#This Row],[income]],0)</f>
        <v>0</v>
      </c>
      <c r="DD129" s="6">
        <f ca="1">IF(Table1[[#This Row],[Column1]]="Health",Table1[[#This Row],[income]],0)</f>
        <v>0</v>
      </c>
      <c r="DE129" s="20">
        <f ca="1">IF(Table1[[#This Row],[Column1]]="Agriculture",Table1[[#This Row],[income]],0)</f>
        <v>65286</v>
      </c>
      <c r="DF129" s="20">
        <f ca="1">IF(Table1[[#This Row],[Column1]]="Technology",Table1[[#This Row],[income]],0)</f>
        <v>0</v>
      </c>
      <c r="DG129" s="20">
        <f ca="1">IF(Table1[[#This Row],[Column1]]="Social Service",Table1[[#This Row],[income]],0)</f>
        <v>0</v>
      </c>
      <c r="DH129" s="20">
        <f ca="1">IF(Table1[[#This Row],[Column1]]="Education",Table1[[#This Row],[income]],0)</f>
        <v>0</v>
      </c>
      <c r="DI129" s="5">
        <f ca="1">IF(Table1[[#This Row],[Column1]]="Construction",Table1[[#This Row],[income]],0)</f>
        <v>0</v>
      </c>
      <c r="DK129" s="6">
        <f ca="1">IF(Table1[[#This Row],[Value of Debts]]&gt;Table1[[#This Row],[income]],1,0)</f>
        <v>1</v>
      </c>
      <c r="DL129" s="20"/>
      <c r="DM129" s="20"/>
      <c r="DN129" s="5"/>
      <c r="DP129" s="6">
        <f ca="1">IF(Table1[[#This Row],[Net Worth (£)]]&gt;$DS$5,C129,0)</f>
        <v>0</v>
      </c>
      <c r="DQ129" s="20"/>
      <c r="DR129" s="20"/>
      <c r="DS129" s="5"/>
    </row>
    <row r="130" spans="1:123" x14ac:dyDescent="0.2">
      <c r="A130">
        <f t="shared" ca="1" si="4"/>
        <v>1</v>
      </c>
      <c r="B130" s="1" t="str">
        <f ca="1">IF(A130=1, "men", "women")</f>
        <v>men</v>
      </c>
      <c r="C130" s="1">
        <f ca="1">RANDBETWEEN(25,50)</f>
        <v>35</v>
      </c>
      <c r="D130">
        <f ca="1">RANDBETWEEN(1,6)</f>
        <v>3</v>
      </c>
      <c r="E130" t="str">
        <f ca="1">VLOOKUP(D130,$W$5:$X$10,2)</f>
        <v>Education</v>
      </c>
      <c r="F130">
        <f ca="1">RANDBETWEEN(1,5)</f>
        <v>1</v>
      </c>
      <c r="G130" t="str">
        <f ca="1">VLOOKUP(F130,$Y$5:$Z$9,2)</f>
        <v>High School</v>
      </c>
      <c r="H130">
        <f ca="1">RANDBETWEEN(0,4)</f>
        <v>1</v>
      </c>
      <c r="I130">
        <f ca="1">RANDBETWEEN(1,3)</f>
        <v>2</v>
      </c>
      <c r="J130">
        <f ca="1">RANDBETWEEN(30000,100000)</f>
        <v>32715</v>
      </c>
      <c r="K130">
        <f ca="1">RANDBETWEEN(1,48)</f>
        <v>1</v>
      </c>
      <c r="L130" t="str">
        <f ca="1">VLOOKUP(K130,$AA$5:$AB$52,2)</f>
        <v>Bedfordshire</v>
      </c>
      <c r="M130">
        <f ca="1">J130*(RANDBETWEEN(2,5))</f>
        <v>98145</v>
      </c>
      <c r="N130">
        <f ca="1">RAND()*M130</f>
        <v>22830.132436879478</v>
      </c>
      <c r="O130">
        <f ca="1">I130*RAND()*J130</f>
        <v>25035.487202481268</v>
      </c>
      <c r="P130">
        <f ca="1">RANDBETWEEN(0,O130)</f>
        <v>17167</v>
      </c>
      <c r="Q130">
        <f ca="1">RAND()*J130*2</f>
        <v>56600.99233483745</v>
      </c>
      <c r="R130">
        <f ca="1">RAND()*J130*1.5</f>
        <v>11183.085011550193</v>
      </c>
      <c r="S130">
        <f ca="1">J130+R130+O130</f>
        <v>68933.572214031461</v>
      </c>
      <c r="T130">
        <f ca="1">N130+P130+Q130</f>
        <v>96598.124771716917</v>
      </c>
      <c r="U130">
        <f ca="1">S130-T130</f>
        <v>-27664.552557685456</v>
      </c>
      <c r="AC130" s="6">
        <f ca="1">IF(Table1[[#This Row],[gender]]="men",1,0)</f>
        <v>1</v>
      </c>
      <c r="AD130">
        <f ca="1">IF(Table1[[#This Row],[gender]]="women",1,0)</f>
        <v>0</v>
      </c>
      <c r="AH130" s="5"/>
      <c r="AJ130" s="6">
        <f ca="1">IF(Table1[[#This Row],[Column1]]="Health",1,0)</f>
        <v>0</v>
      </c>
      <c r="AK130">
        <f ca="1">IF(Table1[[#This Row],[Column1]]="Construction",1,0)</f>
        <v>0</v>
      </c>
      <c r="AL130">
        <f ca="1">IF(Table1[[#This Row],[Column1]]="Technology",1,0)</f>
        <v>0</v>
      </c>
      <c r="AM130">
        <f ca="1">IF(Table1[[#This Row],[Column1]]="Education",1,0)</f>
        <v>1</v>
      </c>
      <c r="AN130">
        <f ca="1">IF(Table1[[#This Row],[Column1]]="Agriculture",1,0)</f>
        <v>0</v>
      </c>
      <c r="AO130">
        <f ca="1">IF(Table1[[#This Row],[Column1]]="Social Service", 1, 0)</f>
        <v>0</v>
      </c>
      <c r="AT130" s="5"/>
      <c r="AV130" s="17">
        <f t="shared" ca="1" si="3"/>
        <v>52612.751723256071</v>
      </c>
      <c r="AW130" s="5"/>
      <c r="AX130" s="6">
        <f ca="1">IF(Table1[[#This Row],[Value of Debts]]&gt;$AY$4,1,0)</f>
        <v>0</v>
      </c>
      <c r="AY130" s="20"/>
      <c r="AZ130" s="20"/>
      <c r="BA130" s="5"/>
      <c r="BB130" s="25">
        <f ca="1">Table1[[#This Row],[Mortage Left]]/Table1[[#This Row],[Value of House]]</f>
        <v>0.23261635780609788</v>
      </c>
      <c r="BC130" s="20">
        <f t="shared" ca="1" si="5"/>
        <v>1</v>
      </c>
      <c r="BD130" s="20"/>
      <c r="BE130" s="20"/>
      <c r="BF130" s="20"/>
      <c r="BG130" s="6">
        <f ca="1">IF(Table1[[#This Row],[County]]="Cumbria",Table1[[#This Row],[income]],0)</f>
        <v>0</v>
      </c>
      <c r="BH130" s="20">
        <f ca="1">IF(Table1[[#This Row],[County]]="Cheshire",Table1[[#This Row],[income]],0)</f>
        <v>0</v>
      </c>
      <c r="BI130" s="20">
        <f ca="1">IF(Table1[[#This Row],[County]]="Bristol",Table1[[#This Row],[income]],0)</f>
        <v>0</v>
      </c>
      <c r="BJ130" s="20">
        <f ca="1">IF(Table1[[#This Row],[County]]="Surrey",Table1[[#This Row],[income]],0)</f>
        <v>0</v>
      </c>
      <c r="BK130" s="20">
        <f ca="1">IF(Table1[[#This Row],[County]]="Norfolk",Table1[[#This Row],[income]],0)</f>
        <v>0</v>
      </c>
      <c r="BL130" s="20">
        <f ca="1">IF(Table1[[#This Row],[County]]="Lincolnshire",Table1[[#This Row],[income]],0)</f>
        <v>0</v>
      </c>
      <c r="BM130" s="20">
        <f ca="1">IF(Table1[[#This Row],[County]]="Somerset",Table1[[#This Row],[income]],0)</f>
        <v>0</v>
      </c>
      <c r="BN130" s="20">
        <f ca="1">IF(Table1[[#This Row],[County]]="Cambridgeshire",Table1[[#This Row],[income]],0)</f>
        <v>0</v>
      </c>
      <c r="BO130" s="20">
        <f ca="1">IF(Table1[[#This Row],[County]]="South Yorkshire",Table1[[#This Row],[income]],0)</f>
        <v>0</v>
      </c>
      <c r="BP130" s="20">
        <f ca="1">IF(Table1[[#This Row],[County]]="Greater London",Table1[[#This Row],[income]],0)</f>
        <v>0</v>
      </c>
      <c r="BQ130" s="20">
        <f ca="1">IF(Table1[[#This Row],[County]]="Hampshire",Table1[[#This Row],[income]],0)</f>
        <v>0</v>
      </c>
      <c r="BR130" s="20">
        <f ca="1">IF(Table1[[#This Row],[County]]="Gloucestershire",Table1[[#This Row],[income]],0)</f>
        <v>0</v>
      </c>
      <c r="BS130" s="20">
        <f ca="1">IF(Table1[[#This Row],[County]]="West Sussex",Table1[[#This Row],[income]],0)</f>
        <v>0</v>
      </c>
      <c r="BT130" s="20">
        <f ca="1">IF(Table1[[#This Row],[County]]="Devon",Table1[[#This Row],[income]],0)</f>
        <v>0</v>
      </c>
      <c r="BU130" s="20">
        <f ca="1">IF(Table1[[#This Row],[County]]="Berkshire",Table1[[#This Row],[income]],0)</f>
        <v>0</v>
      </c>
      <c r="BV130" s="20">
        <f ca="1">IF(Table1[[#This Row],[County]]="Staffordshire",Table1[[#This Row],[income]],0)</f>
        <v>0</v>
      </c>
      <c r="BW130" s="20">
        <f ca="1">IF(Table1[[#This Row],[County]]="Leicestershire",Table1[[#This Row],[income]],0)</f>
        <v>0</v>
      </c>
      <c r="BX130" s="20">
        <f ca="1">IF(Table1[[#This Row],[County]]="Cornwall",Table1[[#This Row],[income]],0)</f>
        <v>0</v>
      </c>
      <c r="BY130" s="20">
        <f ca="1">IF(Table1[[#This Row],[County]]="Isle of Wight",Table1[[#This Row],[income]],0)</f>
        <v>0</v>
      </c>
      <c r="BZ130" s="20">
        <f ca="1">IF(Table1[[#This Row],[County]]="Surrey",Table1[[#This Row],[income]],0)</f>
        <v>0</v>
      </c>
      <c r="CA130" s="20">
        <f ca="1">IF(Table1[[#This Row],[County]]="Derbyshire",Table1[[#This Row],[income]],0)</f>
        <v>0</v>
      </c>
      <c r="CB130" s="20">
        <f ca="1">IF(Table1[[#This Row],[County]]="City of London",Table1[[#This Row],[income]],0)</f>
        <v>0</v>
      </c>
      <c r="CC130" s="20">
        <f ca="1">IF(Table1[[#This Row],[County]]="Bedfordshire",Table1[[#This Row],[income]],0)</f>
        <v>32715</v>
      </c>
      <c r="CD130" s="20">
        <f ca="1">IF(Table1[[#This Row],[County]]="County Durham",Table1[[#This Row],[income]],0)</f>
        <v>0</v>
      </c>
      <c r="CE130" s="20">
        <f ca="1">IF(Table1[[#This Row],[County]]="East Riding of Yorkshire",Table1[[#This Row],[income]],0)</f>
        <v>0</v>
      </c>
      <c r="CF130" s="20">
        <f ca="1">IF(Table1[[#This Row],[County]]="West Yorkshire",Table1[[#This Row],[income]],0)</f>
        <v>0</v>
      </c>
      <c r="CG130" s="20">
        <f ca="1">IF(Table1[[#This Row],[County]]="Essex",Table1[[#This Row],[income]],0)</f>
        <v>0</v>
      </c>
      <c r="CH130" s="20">
        <f ca="1">IF(Table1[[#This Row],[County]]="East Sussex",Table1[[#This Row],[income]],0)</f>
        <v>0</v>
      </c>
      <c r="CI130" s="20">
        <f ca="1">IF(Table1[[#This Row],[County]]="Greater Manchester",Table1[[#This Row],[income]],0)</f>
        <v>0</v>
      </c>
      <c r="CJ130" s="20">
        <f ca="1">IF(Table1[[#This Row],[County]]="Hertfordshire",Table1[[#This Row],[income]],0)</f>
        <v>0</v>
      </c>
      <c r="CK130" s="20">
        <f ca="1">IF(Table1[[#This Row],[County]]="Herefordshire",Table1[[#This Row],[income]],0)</f>
        <v>0</v>
      </c>
      <c r="CL130" s="20">
        <f ca="1">IF(Table1[[#This Row],[County]]="Lancashire",Table1[[#This Row],[income]],0)</f>
        <v>0</v>
      </c>
      <c r="CM130" s="20">
        <f ca="1">IF(Table1[[#This Row],[County]]="Merseyside",Table1[[#This Row],[income]],0)</f>
        <v>0</v>
      </c>
      <c r="CN130" s="20">
        <f ca="1">IF(Table1[[#This Row],[County]]="Northamptonshire",Table1[[#This Row],[income]],0)</f>
        <v>0</v>
      </c>
      <c r="CO130" s="20">
        <f ca="1">IF(Table1[[#This Row],[County]]="Northumberland",Table1[[#This Row],[income]],0)</f>
        <v>0</v>
      </c>
      <c r="CP130" s="20">
        <f ca="1">IF(Table1[[#This Row],[County]]="Wiltshire",Table1[[#This Row],[income]],0)</f>
        <v>0</v>
      </c>
      <c r="CQ130" s="20">
        <f ca="1">IF(Table1[[#This Row],[County]]="West Midlands",Table1[[#This Row],[income]],0)</f>
        <v>0</v>
      </c>
      <c r="CR130" s="20">
        <f ca="1">IF(Table1[[#This Row],[County]]="Warwickshire",Table1[[#This Row],[income]],0)</f>
        <v>0</v>
      </c>
      <c r="CS130" s="20">
        <f ca="1">IF(Table1[[#This Row],[County]]="Tyne and Wear",Table1[[#This Row],[income]],0)</f>
        <v>0</v>
      </c>
      <c r="CT130" s="20">
        <f ca="1">IF(Table1[[#This Row],[County]]="Worcestershire",Table1[[#This Row],[income]],0)</f>
        <v>0</v>
      </c>
      <c r="CU130" s="20">
        <f ca="1">IF(Table1[[#This Row],[County]]="Rutland",Table1[[#This Row],[income]],0)</f>
        <v>0</v>
      </c>
      <c r="CV130" s="20">
        <f ca="1">IF(Table1[[#This Row],[County]]="Shropshire",Table1[[#This Row],[income]],0)</f>
        <v>0</v>
      </c>
      <c r="CW130" s="20">
        <f ca="1">IF(Table1[[#This Row],[County]]="Dorset",Table1[[#This Row],[income]],0)</f>
        <v>0</v>
      </c>
      <c r="CX130" s="20">
        <f ca="1">IF(Table1[[#This Row],[County]]="Buckinghamshire",Table1[[#This Row],[income]],0)</f>
        <v>0</v>
      </c>
      <c r="CY130" s="20">
        <f ca="1">IF(Table1[[#This Row],[County]]="Suffolk",Table1[[#This Row],[income]],0)</f>
        <v>0</v>
      </c>
      <c r="CZ130" s="20">
        <f ca="1">IF(Table1[[#This Row],[County]]="North Yorkshire",Table1[[#This Row],[income]],0)</f>
        <v>0</v>
      </c>
      <c r="DA130" s="20">
        <f ca="1">IF(Table1[[#This Row],[County]]="Kent",Table1[[#This Row],[income]],0)</f>
        <v>0</v>
      </c>
      <c r="DB130" s="5">
        <f ca="1">IF(Table1[[#This Row],[County]]="Derbyshire",Table1[[#This Row],[income]],0)</f>
        <v>0</v>
      </c>
      <c r="DD130" s="6">
        <f ca="1">IF(Table1[[#This Row],[Column1]]="Health",Table1[[#This Row],[income]],0)</f>
        <v>0</v>
      </c>
      <c r="DE130" s="20">
        <f ca="1">IF(Table1[[#This Row],[Column1]]="Agriculture",Table1[[#This Row],[income]],0)</f>
        <v>0</v>
      </c>
      <c r="DF130" s="20">
        <f ca="1">IF(Table1[[#This Row],[Column1]]="Technology",Table1[[#This Row],[income]],0)</f>
        <v>0</v>
      </c>
      <c r="DG130" s="20">
        <f ca="1">IF(Table1[[#This Row],[Column1]]="Social Service",Table1[[#This Row],[income]],0)</f>
        <v>0</v>
      </c>
      <c r="DH130" s="20">
        <f ca="1">IF(Table1[[#This Row],[Column1]]="Education",Table1[[#This Row],[income]],0)</f>
        <v>32715</v>
      </c>
      <c r="DI130" s="5">
        <f ca="1">IF(Table1[[#This Row],[Column1]]="Construction",Table1[[#This Row],[income]],0)</f>
        <v>0</v>
      </c>
      <c r="DK130" s="6">
        <f ca="1">IF(Table1[[#This Row],[Value of Debts]]&gt;Table1[[#This Row],[income]],1,0)</f>
        <v>1</v>
      </c>
      <c r="DL130" s="20"/>
      <c r="DM130" s="20"/>
      <c r="DN130" s="5"/>
      <c r="DP130" s="6">
        <f ca="1">IF(Table1[[#This Row],[Net Worth (£)]]&gt;$DS$5,C130,0)</f>
        <v>0</v>
      </c>
      <c r="DQ130" s="20"/>
      <c r="DR130" s="20"/>
      <c r="DS130" s="5"/>
    </row>
    <row r="131" spans="1:123" x14ac:dyDescent="0.2">
      <c r="A131">
        <f t="shared" ca="1" si="4"/>
        <v>1</v>
      </c>
      <c r="B131" s="1" t="str">
        <f ca="1">IF(A131=1, "men", "women")</f>
        <v>men</v>
      </c>
      <c r="C131" s="1">
        <f ca="1">RANDBETWEEN(25,50)</f>
        <v>49</v>
      </c>
      <c r="D131">
        <f ca="1">RANDBETWEEN(1,6)</f>
        <v>5</v>
      </c>
      <c r="E131" t="str">
        <f ca="1">VLOOKUP(D131,$W$5:$X$10,2)</f>
        <v>Social Service</v>
      </c>
      <c r="F131">
        <f ca="1">RANDBETWEEN(1,5)</f>
        <v>1</v>
      </c>
      <c r="G131" t="str">
        <f ca="1">VLOOKUP(F131,$Y$5:$Z$9,2)</f>
        <v>High School</v>
      </c>
      <c r="H131">
        <f ca="1">RANDBETWEEN(0,4)</f>
        <v>0</v>
      </c>
      <c r="I131">
        <f ca="1">RANDBETWEEN(1,3)</f>
        <v>1</v>
      </c>
      <c r="J131">
        <f ca="1">RANDBETWEEN(30000,100000)</f>
        <v>89719</v>
      </c>
      <c r="K131">
        <f ca="1">RANDBETWEEN(1,48)</f>
        <v>10</v>
      </c>
      <c r="L131" t="str">
        <f ca="1">VLOOKUP(K131,$AA$5:$AB$52,2)</f>
        <v>Derbyshire</v>
      </c>
      <c r="M131">
        <f ca="1">J131*(RANDBETWEEN(2,5))</f>
        <v>358876</v>
      </c>
      <c r="N131">
        <f ca="1">RAND()*M131</f>
        <v>67648.163393726121</v>
      </c>
      <c r="O131">
        <f ca="1">I131*RAND()*J131</f>
        <v>52612.751723256071</v>
      </c>
      <c r="P131">
        <f ca="1">RANDBETWEEN(0,O131)</f>
        <v>38215</v>
      </c>
      <c r="Q131">
        <f ca="1">RAND()*J131*2</f>
        <v>131629.37937321846</v>
      </c>
      <c r="R131">
        <f ca="1">RAND()*J131*1.5</f>
        <v>58967.14207493428</v>
      </c>
      <c r="S131">
        <f ca="1">J131+R131+O131</f>
        <v>201298.89379819034</v>
      </c>
      <c r="T131">
        <f ca="1">N131+P131+Q131</f>
        <v>237492.54276694456</v>
      </c>
      <c r="U131">
        <f ca="1">S131-T131</f>
        <v>-36193.64896875422</v>
      </c>
      <c r="AC131" s="6">
        <f ca="1">IF(Table1[[#This Row],[gender]]="men",1,0)</f>
        <v>1</v>
      </c>
      <c r="AD131">
        <f ca="1">IF(Table1[[#This Row],[gender]]="women",1,0)</f>
        <v>0</v>
      </c>
      <c r="AH131" s="5"/>
      <c r="AJ131" s="6">
        <f ca="1">IF(Table1[[#This Row],[Column1]]="Health",1,0)</f>
        <v>0</v>
      </c>
      <c r="AK131">
        <f ca="1">IF(Table1[[#This Row],[Column1]]="Construction",1,0)</f>
        <v>0</v>
      </c>
      <c r="AL131">
        <f ca="1">IF(Table1[[#This Row],[Column1]]="Technology",1,0)</f>
        <v>0</v>
      </c>
      <c r="AM131">
        <f ca="1">IF(Table1[[#This Row],[Column1]]="Education",1,0)</f>
        <v>0</v>
      </c>
      <c r="AN131">
        <f ca="1">IF(Table1[[#This Row],[Column1]]="Agriculture",1,0)</f>
        <v>0</v>
      </c>
      <c r="AO131">
        <f ca="1">IF(Table1[[#This Row],[Column1]]="Social Service", 1, 0)</f>
        <v>1</v>
      </c>
      <c r="AT131" s="5"/>
      <c r="AV131" s="17">
        <f t="shared" ca="1" si="3"/>
        <v>12600.491453187851</v>
      </c>
      <c r="AW131" s="5"/>
      <c r="AX131" s="6">
        <f ca="1">IF(Table1[[#This Row],[Value of Debts]]&gt;$AY$4,1,0)</f>
        <v>1</v>
      </c>
      <c r="AY131" s="20"/>
      <c r="AZ131" s="20"/>
      <c r="BA131" s="5"/>
      <c r="BB131" s="25">
        <f ca="1">Table1[[#This Row],[Mortage Left]]/Table1[[#This Row],[Value of House]]</f>
        <v>0.18850010419678698</v>
      </c>
      <c r="BC131" s="20">
        <f t="shared" ca="1" si="5"/>
        <v>1</v>
      </c>
      <c r="BD131" s="20"/>
      <c r="BE131" s="20"/>
      <c r="BF131" s="20"/>
      <c r="BG131" s="6">
        <f ca="1">IF(Table1[[#This Row],[County]]="Cumbria",Table1[[#This Row],[income]],0)</f>
        <v>0</v>
      </c>
      <c r="BH131" s="20">
        <f ca="1">IF(Table1[[#This Row],[County]]="Cheshire",Table1[[#This Row],[income]],0)</f>
        <v>0</v>
      </c>
      <c r="BI131" s="20">
        <f ca="1">IF(Table1[[#This Row],[County]]="Bristol",Table1[[#This Row],[income]],0)</f>
        <v>0</v>
      </c>
      <c r="BJ131" s="20">
        <f ca="1">IF(Table1[[#This Row],[County]]="Surrey",Table1[[#This Row],[income]],0)</f>
        <v>0</v>
      </c>
      <c r="BK131" s="20">
        <f ca="1">IF(Table1[[#This Row],[County]]="Norfolk",Table1[[#This Row],[income]],0)</f>
        <v>0</v>
      </c>
      <c r="BL131" s="20">
        <f ca="1">IF(Table1[[#This Row],[County]]="Lincolnshire",Table1[[#This Row],[income]],0)</f>
        <v>0</v>
      </c>
      <c r="BM131" s="20">
        <f ca="1">IF(Table1[[#This Row],[County]]="Somerset",Table1[[#This Row],[income]],0)</f>
        <v>0</v>
      </c>
      <c r="BN131" s="20">
        <f ca="1">IF(Table1[[#This Row],[County]]="Cambridgeshire",Table1[[#This Row],[income]],0)</f>
        <v>0</v>
      </c>
      <c r="BO131" s="20">
        <f ca="1">IF(Table1[[#This Row],[County]]="South Yorkshire",Table1[[#This Row],[income]],0)</f>
        <v>0</v>
      </c>
      <c r="BP131" s="20">
        <f ca="1">IF(Table1[[#This Row],[County]]="Greater London",Table1[[#This Row],[income]],0)</f>
        <v>0</v>
      </c>
      <c r="BQ131" s="20">
        <f ca="1">IF(Table1[[#This Row],[County]]="Hampshire",Table1[[#This Row],[income]],0)</f>
        <v>0</v>
      </c>
      <c r="BR131" s="20">
        <f ca="1">IF(Table1[[#This Row],[County]]="Gloucestershire",Table1[[#This Row],[income]],0)</f>
        <v>0</v>
      </c>
      <c r="BS131" s="20">
        <f ca="1">IF(Table1[[#This Row],[County]]="West Sussex",Table1[[#This Row],[income]],0)</f>
        <v>0</v>
      </c>
      <c r="BT131" s="20">
        <f ca="1">IF(Table1[[#This Row],[County]]="Devon",Table1[[#This Row],[income]],0)</f>
        <v>0</v>
      </c>
      <c r="BU131" s="20">
        <f ca="1">IF(Table1[[#This Row],[County]]="Berkshire",Table1[[#This Row],[income]],0)</f>
        <v>0</v>
      </c>
      <c r="BV131" s="20">
        <f ca="1">IF(Table1[[#This Row],[County]]="Staffordshire",Table1[[#This Row],[income]],0)</f>
        <v>0</v>
      </c>
      <c r="BW131" s="20">
        <f ca="1">IF(Table1[[#This Row],[County]]="Leicestershire",Table1[[#This Row],[income]],0)</f>
        <v>0</v>
      </c>
      <c r="BX131" s="20">
        <f ca="1">IF(Table1[[#This Row],[County]]="Cornwall",Table1[[#This Row],[income]],0)</f>
        <v>0</v>
      </c>
      <c r="BY131" s="20">
        <f ca="1">IF(Table1[[#This Row],[County]]="Isle of Wight",Table1[[#This Row],[income]],0)</f>
        <v>0</v>
      </c>
      <c r="BZ131" s="20">
        <f ca="1">IF(Table1[[#This Row],[County]]="Surrey",Table1[[#This Row],[income]],0)</f>
        <v>0</v>
      </c>
      <c r="CA131" s="20">
        <f ca="1">IF(Table1[[#This Row],[County]]="Derbyshire",Table1[[#This Row],[income]],0)</f>
        <v>89719</v>
      </c>
      <c r="CB131" s="20">
        <f ca="1">IF(Table1[[#This Row],[County]]="City of London",Table1[[#This Row],[income]],0)</f>
        <v>0</v>
      </c>
      <c r="CC131" s="20">
        <f ca="1">IF(Table1[[#This Row],[County]]="Bedfordshire",Table1[[#This Row],[income]],0)</f>
        <v>0</v>
      </c>
      <c r="CD131" s="20">
        <f ca="1">IF(Table1[[#This Row],[County]]="County Durham",Table1[[#This Row],[income]],0)</f>
        <v>0</v>
      </c>
      <c r="CE131" s="20">
        <f ca="1">IF(Table1[[#This Row],[County]]="East Riding of Yorkshire",Table1[[#This Row],[income]],0)</f>
        <v>0</v>
      </c>
      <c r="CF131" s="20">
        <f ca="1">IF(Table1[[#This Row],[County]]="West Yorkshire",Table1[[#This Row],[income]],0)</f>
        <v>0</v>
      </c>
      <c r="CG131" s="20">
        <f ca="1">IF(Table1[[#This Row],[County]]="Essex",Table1[[#This Row],[income]],0)</f>
        <v>0</v>
      </c>
      <c r="CH131" s="20">
        <f ca="1">IF(Table1[[#This Row],[County]]="East Sussex",Table1[[#This Row],[income]],0)</f>
        <v>0</v>
      </c>
      <c r="CI131" s="20">
        <f ca="1">IF(Table1[[#This Row],[County]]="Greater Manchester",Table1[[#This Row],[income]],0)</f>
        <v>0</v>
      </c>
      <c r="CJ131" s="20">
        <f ca="1">IF(Table1[[#This Row],[County]]="Hertfordshire",Table1[[#This Row],[income]],0)</f>
        <v>0</v>
      </c>
      <c r="CK131" s="20">
        <f ca="1">IF(Table1[[#This Row],[County]]="Herefordshire",Table1[[#This Row],[income]],0)</f>
        <v>0</v>
      </c>
      <c r="CL131" s="20">
        <f ca="1">IF(Table1[[#This Row],[County]]="Lancashire",Table1[[#This Row],[income]],0)</f>
        <v>0</v>
      </c>
      <c r="CM131" s="20">
        <f ca="1">IF(Table1[[#This Row],[County]]="Merseyside",Table1[[#This Row],[income]],0)</f>
        <v>0</v>
      </c>
      <c r="CN131" s="20">
        <f ca="1">IF(Table1[[#This Row],[County]]="Northamptonshire",Table1[[#This Row],[income]],0)</f>
        <v>0</v>
      </c>
      <c r="CO131" s="20">
        <f ca="1">IF(Table1[[#This Row],[County]]="Northumberland",Table1[[#This Row],[income]],0)</f>
        <v>0</v>
      </c>
      <c r="CP131" s="20">
        <f ca="1">IF(Table1[[#This Row],[County]]="Wiltshire",Table1[[#This Row],[income]],0)</f>
        <v>0</v>
      </c>
      <c r="CQ131" s="20">
        <f ca="1">IF(Table1[[#This Row],[County]]="West Midlands",Table1[[#This Row],[income]],0)</f>
        <v>0</v>
      </c>
      <c r="CR131" s="20">
        <f ca="1">IF(Table1[[#This Row],[County]]="Warwickshire",Table1[[#This Row],[income]],0)</f>
        <v>0</v>
      </c>
      <c r="CS131" s="20">
        <f ca="1">IF(Table1[[#This Row],[County]]="Tyne and Wear",Table1[[#This Row],[income]],0)</f>
        <v>0</v>
      </c>
      <c r="CT131" s="20">
        <f ca="1">IF(Table1[[#This Row],[County]]="Worcestershire",Table1[[#This Row],[income]],0)</f>
        <v>0</v>
      </c>
      <c r="CU131" s="20">
        <f ca="1">IF(Table1[[#This Row],[County]]="Rutland",Table1[[#This Row],[income]],0)</f>
        <v>0</v>
      </c>
      <c r="CV131" s="20">
        <f ca="1">IF(Table1[[#This Row],[County]]="Shropshire",Table1[[#This Row],[income]],0)</f>
        <v>0</v>
      </c>
      <c r="CW131" s="20">
        <f ca="1">IF(Table1[[#This Row],[County]]="Dorset",Table1[[#This Row],[income]],0)</f>
        <v>0</v>
      </c>
      <c r="CX131" s="20">
        <f ca="1">IF(Table1[[#This Row],[County]]="Buckinghamshire",Table1[[#This Row],[income]],0)</f>
        <v>0</v>
      </c>
      <c r="CY131" s="20">
        <f ca="1">IF(Table1[[#This Row],[County]]="Suffolk",Table1[[#This Row],[income]],0)</f>
        <v>0</v>
      </c>
      <c r="CZ131" s="20">
        <f ca="1">IF(Table1[[#This Row],[County]]="North Yorkshire",Table1[[#This Row],[income]],0)</f>
        <v>0</v>
      </c>
      <c r="DA131" s="20">
        <f ca="1">IF(Table1[[#This Row],[County]]="Kent",Table1[[#This Row],[income]],0)</f>
        <v>0</v>
      </c>
      <c r="DB131" s="5">
        <f ca="1">IF(Table1[[#This Row],[County]]="Derbyshire",Table1[[#This Row],[income]],0)</f>
        <v>89719</v>
      </c>
      <c r="DD131" s="6">
        <f ca="1">IF(Table1[[#This Row],[Column1]]="Health",Table1[[#This Row],[income]],0)</f>
        <v>0</v>
      </c>
      <c r="DE131" s="20">
        <f ca="1">IF(Table1[[#This Row],[Column1]]="Agriculture",Table1[[#This Row],[income]],0)</f>
        <v>0</v>
      </c>
      <c r="DF131" s="20">
        <f ca="1">IF(Table1[[#This Row],[Column1]]="Technology",Table1[[#This Row],[income]],0)</f>
        <v>0</v>
      </c>
      <c r="DG131" s="20">
        <f ca="1">IF(Table1[[#This Row],[Column1]]="Social Service",Table1[[#This Row],[income]],0)</f>
        <v>89719</v>
      </c>
      <c r="DH131" s="20">
        <f ca="1">IF(Table1[[#This Row],[Column1]]="Education",Table1[[#This Row],[income]],0)</f>
        <v>0</v>
      </c>
      <c r="DI131" s="5">
        <f ca="1">IF(Table1[[#This Row],[Column1]]="Construction",Table1[[#This Row],[income]],0)</f>
        <v>0</v>
      </c>
      <c r="DK131" s="6">
        <f ca="1">IF(Table1[[#This Row],[Value of Debts]]&gt;Table1[[#This Row],[income]],1,0)</f>
        <v>1</v>
      </c>
      <c r="DL131" s="20"/>
      <c r="DM131" s="20"/>
      <c r="DN131" s="5"/>
      <c r="DP131" s="6">
        <f ca="1">IF(Table1[[#This Row],[Net Worth (£)]]&gt;$DS$5,C131,0)</f>
        <v>0</v>
      </c>
      <c r="DQ131" s="20"/>
      <c r="DR131" s="20"/>
      <c r="DS131" s="5"/>
    </row>
    <row r="132" spans="1:123" x14ac:dyDescent="0.2">
      <c r="A132">
        <f t="shared" ca="1" si="4"/>
        <v>2</v>
      </c>
      <c r="B132" s="1" t="str">
        <f ca="1">IF(A132=1, "men", "women")</f>
        <v>women</v>
      </c>
      <c r="C132" s="1">
        <f ca="1">RANDBETWEEN(25,50)</f>
        <v>48</v>
      </c>
      <c r="D132">
        <f ca="1">RANDBETWEEN(1,6)</f>
        <v>5</v>
      </c>
      <c r="E132" t="str">
        <f ca="1">VLOOKUP(D132,$W$5:$X$10,2)</f>
        <v>Social Service</v>
      </c>
      <c r="F132">
        <f ca="1">RANDBETWEEN(1,5)</f>
        <v>3</v>
      </c>
      <c r="G132" t="str">
        <f ca="1">VLOOKUP(F132,$Y$5:$Z$9,2)</f>
        <v>University</v>
      </c>
      <c r="H132">
        <f ca="1">RANDBETWEEN(0,4)</f>
        <v>3</v>
      </c>
      <c r="I132">
        <f ca="1">RANDBETWEEN(1,3)</f>
        <v>3</v>
      </c>
      <c r="J132">
        <f ca="1">RANDBETWEEN(30000,100000)</f>
        <v>52741</v>
      </c>
      <c r="K132">
        <f ca="1">RANDBETWEEN(1,48)</f>
        <v>27</v>
      </c>
      <c r="L132" t="str">
        <f ca="1">VLOOKUP(K132,$AA$5:$AB$52,2)</f>
        <v>Merseyside</v>
      </c>
      <c r="M132">
        <f ca="1">J132*(RANDBETWEEN(2,5))</f>
        <v>105482</v>
      </c>
      <c r="N132">
        <f ca="1">RAND()*M132</f>
        <v>95106.637967265735</v>
      </c>
      <c r="O132">
        <f ca="1">I132*RAND()*J132</f>
        <v>37801.474359563552</v>
      </c>
      <c r="P132">
        <f ca="1">RANDBETWEEN(0,O132)</f>
        <v>15859</v>
      </c>
      <c r="Q132">
        <f ca="1">RAND()*J132*2</f>
        <v>46367.655137433729</v>
      </c>
      <c r="R132">
        <f ca="1">RAND()*J132*1.5</f>
        <v>5933.8878754539846</v>
      </c>
      <c r="S132">
        <f ca="1">J132+R132+O132</f>
        <v>96476.362235017528</v>
      </c>
      <c r="T132">
        <f ca="1">N132+P132+Q132</f>
        <v>157333.29310469946</v>
      </c>
      <c r="U132">
        <f ca="1">S132-T132</f>
        <v>-60856.930869681935</v>
      </c>
      <c r="AC132" s="6">
        <f ca="1">IF(Table1[[#This Row],[gender]]="men",1,0)</f>
        <v>0</v>
      </c>
      <c r="AD132">
        <f ca="1">IF(Table1[[#This Row],[gender]]="women",1,0)</f>
        <v>1</v>
      </c>
      <c r="AH132" s="5"/>
      <c r="AJ132" s="6">
        <f ca="1">IF(Table1[[#This Row],[Column1]]="Health",1,0)</f>
        <v>0</v>
      </c>
      <c r="AK132">
        <f ca="1">IF(Table1[[#This Row],[Column1]]="Construction",1,0)</f>
        <v>0</v>
      </c>
      <c r="AL132">
        <f ca="1">IF(Table1[[#This Row],[Column1]]="Technology",1,0)</f>
        <v>0</v>
      </c>
      <c r="AM132">
        <f ca="1">IF(Table1[[#This Row],[Column1]]="Education",1,0)</f>
        <v>0</v>
      </c>
      <c r="AN132">
        <f ca="1">IF(Table1[[#This Row],[Column1]]="Agriculture",1,0)</f>
        <v>0</v>
      </c>
      <c r="AO132">
        <f ca="1">IF(Table1[[#This Row],[Column1]]="Social Service", 1, 0)</f>
        <v>1</v>
      </c>
      <c r="AT132" s="5"/>
      <c r="AV132" s="17">
        <f t="shared" ca="1" si="3"/>
        <v>51075.452984531679</v>
      </c>
      <c r="AW132" s="5"/>
      <c r="AX132" s="6">
        <f ca="1">IF(Table1[[#This Row],[Value of Debts]]&gt;$AY$4,1,0)</f>
        <v>1</v>
      </c>
      <c r="AY132" s="20"/>
      <c r="AZ132" s="20"/>
      <c r="BA132" s="5"/>
      <c r="BB132" s="25">
        <f ca="1">Table1[[#This Row],[Mortage Left]]/Table1[[#This Row],[Value of House]]</f>
        <v>0.90163855413497784</v>
      </c>
      <c r="BC132" s="20">
        <f t="shared" ca="1" si="5"/>
        <v>0</v>
      </c>
      <c r="BD132" s="20"/>
      <c r="BE132" s="20"/>
      <c r="BF132" s="20"/>
      <c r="BG132" s="6">
        <f ca="1">IF(Table1[[#This Row],[County]]="Cumbria",Table1[[#This Row],[income]],0)</f>
        <v>0</v>
      </c>
      <c r="BH132" s="20">
        <f ca="1">IF(Table1[[#This Row],[County]]="Cheshire",Table1[[#This Row],[income]],0)</f>
        <v>0</v>
      </c>
      <c r="BI132" s="20">
        <f ca="1">IF(Table1[[#This Row],[County]]="Bristol",Table1[[#This Row],[income]],0)</f>
        <v>0</v>
      </c>
      <c r="BJ132" s="20">
        <f ca="1">IF(Table1[[#This Row],[County]]="Surrey",Table1[[#This Row],[income]],0)</f>
        <v>0</v>
      </c>
      <c r="BK132" s="20">
        <f ca="1">IF(Table1[[#This Row],[County]]="Norfolk",Table1[[#This Row],[income]],0)</f>
        <v>0</v>
      </c>
      <c r="BL132" s="20">
        <f ca="1">IF(Table1[[#This Row],[County]]="Lincolnshire",Table1[[#This Row],[income]],0)</f>
        <v>0</v>
      </c>
      <c r="BM132" s="20">
        <f ca="1">IF(Table1[[#This Row],[County]]="Somerset",Table1[[#This Row],[income]],0)</f>
        <v>0</v>
      </c>
      <c r="BN132" s="20">
        <f ca="1">IF(Table1[[#This Row],[County]]="Cambridgeshire",Table1[[#This Row],[income]],0)</f>
        <v>0</v>
      </c>
      <c r="BO132" s="20">
        <f ca="1">IF(Table1[[#This Row],[County]]="South Yorkshire",Table1[[#This Row],[income]],0)</f>
        <v>0</v>
      </c>
      <c r="BP132" s="20">
        <f ca="1">IF(Table1[[#This Row],[County]]="Greater London",Table1[[#This Row],[income]],0)</f>
        <v>0</v>
      </c>
      <c r="BQ132" s="20">
        <f ca="1">IF(Table1[[#This Row],[County]]="Hampshire",Table1[[#This Row],[income]],0)</f>
        <v>0</v>
      </c>
      <c r="BR132" s="20">
        <f ca="1">IF(Table1[[#This Row],[County]]="Gloucestershire",Table1[[#This Row],[income]],0)</f>
        <v>0</v>
      </c>
      <c r="BS132" s="20">
        <f ca="1">IF(Table1[[#This Row],[County]]="West Sussex",Table1[[#This Row],[income]],0)</f>
        <v>0</v>
      </c>
      <c r="BT132" s="20">
        <f ca="1">IF(Table1[[#This Row],[County]]="Devon",Table1[[#This Row],[income]],0)</f>
        <v>0</v>
      </c>
      <c r="BU132" s="20">
        <f ca="1">IF(Table1[[#This Row],[County]]="Berkshire",Table1[[#This Row],[income]],0)</f>
        <v>0</v>
      </c>
      <c r="BV132" s="20">
        <f ca="1">IF(Table1[[#This Row],[County]]="Staffordshire",Table1[[#This Row],[income]],0)</f>
        <v>0</v>
      </c>
      <c r="BW132" s="20">
        <f ca="1">IF(Table1[[#This Row],[County]]="Leicestershire",Table1[[#This Row],[income]],0)</f>
        <v>0</v>
      </c>
      <c r="BX132" s="20">
        <f ca="1">IF(Table1[[#This Row],[County]]="Cornwall",Table1[[#This Row],[income]],0)</f>
        <v>0</v>
      </c>
      <c r="BY132" s="20">
        <f ca="1">IF(Table1[[#This Row],[County]]="Isle of Wight",Table1[[#This Row],[income]],0)</f>
        <v>0</v>
      </c>
      <c r="BZ132" s="20">
        <f ca="1">IF(Table1[[#This Row],[County]]="Surrey",Table1[[#This Row],[income]],0)</f>
        <v>0</v>
      </c>
      <c r="CA132" s="20">
        <f ca="1">IF(Table1[[#This Row],[County]]="Derbyshire",Table1[[#This Row],[income]],0)</f>
        <v>0</v>
      </c>
      <c r="CB132" s="20">
        <f ca="1">IF(Table1[[#This Row],[County]]="City of London",Table1[[#This Row],[income]],0)</f>
        <v>0</v>
      </c>
      <c r="CC132" s="20">
        <f ca="1">IF(Table1[[#This Row],[County]]="Bedfordshire",Table1[[#This Row],[income]],0)</f>
        <v>0</v>
      </c>
      <c r="CD132" s="20">
        <f ca="1">IF(Table1[[#This Row],[County]]="County Durham",Table1[[#This Row],[income]],0)</f>
        <v>0</v>
      </c>
      <c r="CE132" s="20">
        <f ca="1">IF(Table1[[#This Row],[County]]="East Riding of Yorkshire",Table1[[#This Row],[income]],0)</f>
        <v>0</v>
      </c>
      <c r="CF132" s="20">
        <f ca="1">IF(Table1[[#This Row],[County]]="West Yorkshire",Table1[[#This Row],[income]],0)</f>
        <v>0</v>
      </c>
      <c r="CG132" s="20">
        <f ca="1">IF(Table1[[#This Row],[County]]="Essex",Table1[[#This Row],[income]],0)</f>
        <v>0</v>
      </c>
      <c r="CH132" s="20">
        <f ca="1">IF(Table1[[#This Row],[County]]="East Sussex",Table1[[#This Row],[income]],0)</f>
        <v>0</v>
      </c>
      <c r="CI132" s="20">
        <f ca="1">IF(Table1[[#This Row],[County]]="Greater Manchester",Table1[[#This Row],[income]],0)</f>
        <v>0</v>
      </c>
      <c r="CJ132" s="20">
        <f ca="1">IF(Table1[[#This Row],[County]]="Hertfordshire",Table1[[#This Row],[income]],0)</f>
        <v>0</v>
      </c>
      <c r="CK132" s="20">
        <f ca="1">IF(Table1[[#This Row],[County]]="Herefordshire",Table1[[#This Row],[income]],0)</f>
        <v>0</v>
      </c>
      <c r="CL132" s="20">
        <f ca="1">IF(Table1[[#This Row],[County]]="Lancashire",Table1[[#This Row],[income]],0)</f>
        <v>0</v>
      </c>
      <c r="CM132" s="20">
        <f ca="1">IF(Table1[[#This Row],[County]]="Merseyside",Table1[[#This Row],[income]],0)</f>
        <v>52741</v>
      </c>
      <c r="CN132" s="20">
        <f ca="1">IF(Table1[[#This Row],[County]]="Northamptonshire",Table1[[#This Row],[income]],0)</f>
        <v>0</v>
      </c>
      <c r="CO132" s="20">
        <f ca="1">IF(Table1[[#This Row],[County]]="Northumberland",Table1[[#This Row],[income]],0)</f>
        <v>0</v>
      </c>
      <c r="CP132" s="20">
        <f ca="1">IF(Table1[[#This Row],[County]]="Wiltshire",Table1[[#This Row],[income]],0)</f>
        <v>0</v>
      </c>
      <c r="CQ132" s="20">
        <f ca="1">IF(Table1[[#This Row],[County]]="West Midlands",Table1[[#This Row],[income]],0)</f>
        <v>0</v>
      </c>
      <c r="CR132" s="20">
        <f ca="1">IF(Table1[[#This Row],[County]]="Warwickshire",Table1[[#This Row],[income]],0)</f>
        <v>0</v>
      </c>
      <c r="CS132" s="20">
        <f ca="1">IF(Table1[[#This Row],[County]]="Tyne and Wear",Table1[[#This Row],[income]],0)</f>
        <v>0</v>
      </c>
      <c r="CT132" s="20">
        <f ca="1">IF(Table1[[#This Row],[County]]="Worcestershire",Table1[[#This Row],[income]],0)</f>
        <v>0</v>
      </c>
      <c r="CU132" s="20">
        <f ca="1">IF(Table1[[#This Row],[County]]="Rutland",Table1[[#This Row],[income]],0)</f>
        <v>0</v>
      </c>
      <c r="CV132" s="20">
        <f ca="1">IF(Table1[[#This Row],[County]]="Shropshire",Table1[[#This Row],[income]],0)</f>
        <v>0</v>
      </c>
      <c r="CW132" s="20">
        <f ca="1">IF(Table1[[#This Row],[County]]="Dorset",Table1[[#This Row],[income]],0)</f>
        <v>0</v>
      </c>
      <c r="CX132" s="20">
        <f ca="1">IF(Table1[[#This Row],[County]]="Buckinghamshire",Table1[[#This Row],[income]],0)</f>
        <v>0</v>
      </c>
      <c r="CY132" s="20">
        <f ca="1">IF(Table1[[#This Row],[County]]="Suffolk",Table1[[#This Row],[income]],0)</f>
        <v>0</v>
      </c>
      <c r="CZ132" s="20">
        <f ca="1">IF(Table1[[#This Row],[County]]="North Yorkshire",Table1[[#This Row],[income]],0)</f>
        <v>0</v>
      </c>
      <c r="DA132" s="20">
        <f ca="1">IF(Table1[[#This Row],[County]]="Kent",Table1[[#This Row],[income]],0)</f>
        <v>0</v>
      </c>
      <c r="DB132" s="5">
        <f ca="1">IF(Table1[[#This Row],[County]]="Derbyshire",Table1[[#This Row],[income]],0)</f>
        <v>0</v>
      </c>
      <c r="DD132" s="6">
        <f ca="1">IF(Table1[[#This Row],[Column1]]="Health",Table1[[#This Row],[income]],0)</f>
        <v>0</v>
      </c>
      <c r="DE132" s="20">
        <f ca="1">IF(Table1[[#This Row],[Column1]]="Agriculture",Table1[[#This Row],[income]],0)</f>
        <v>0</v>
      </c>
      <c r="DF132" s="20">
        <f ca="1">IF(Table1[[#This Row],[Column1]]="Technology",Table1[[#This Row],[income]],0)</f>
        <v>0</v>
      </c>
      <c r="DG132" s="20">
        <f ca="1">IF(Table1[[#This Row],[Column1]]="Social Service",Table1[[#This Row],[income]],0)</f>
        <v>52741</v>
      </c>
      <c r="DH132" s="20">
        <f ca="1">IF(Table1[[#This Row],[Column1]]="Education",Table1[[#This Row],[income]],0)</f>
        <v>0</v>
      </c>
      <c r="DI132" s="5">
        <f ca="1">IF(Table1[[#This Row],[Column1]]="Construction",Table1[[#This Row],[income]],0)</f>
        <v>0</v>
      </c>
      <c r="DK132" s="6">
        <f ca="1">IF(Table1[[#This Row],[Value of Debts]]&gt;Table1[[#This Row],[income]],1,0)</f>
        <v>1</v>
      </c>
      <c r="DL132" s="20"/>
      <c r="DM132" s="20"/>
      <c r="DN132" s="5"/>
      <c r="DP132" s="6">
        <f ca="1">IF(Table1[[#This Row],[Net Worth (£)]]&gt;$DS$5,C132,0)</f>
        <v>0</v>
      </c>
      <c r="DQ132" s="20"/>
      <c r="DR132" s="20"/>
      <c r="DS132" s="5"/>
    </row>
    <row r="133" spans="1:123" x14ac:dyDescent="0.2">
      <c r="A133">
        <f t="shared" ca="1" si="4"/>
        <v>1</v>
      </c>
      <c r="B133" s="1" t="str">
        <f ca="1">IF(A133=1, "men", "women")</f>
        <v>men</v>
      </c>
      <c r="C133" s="1">
        <f ca="1">RANDBETWEEN(25,50)</f>
        <v>49</v>
      </c>
      <c r="D133">
        <f ca="1">RANDBETWEEN(1,6)</f>
        <v>6</v>
      </c>
      <c r="E133" t="str">
        <f ca="1">VLOOKUP(D133,$W$5:$X$10,2)</f>
        <v>Agriculture</v>
      </c>
      <c r="F133">
        <f ca="1">RANDBETWEEN(1,5)</f>
        <v>3</v>
      </c>
      <c r="G133" t="str">
        <f ca="1">VLOOKUP(F133,$Y$5:$Z$9,2)</f>
        <v>University</v>
      </c>
      <c r="H133">
        <f ca="1">RANDBETWEEN(0,4)</f>
        <v>2</v>
      </c>
      <c r="I133">
        <f ca="1">RANDBETWEEN(1,3)</f>
        <v>3</v>
      </c>
      <c r="J133">
        <f ca="1">RANDBETWEEN(30000,100000)</f>
        <v>67103</v>
      </c>
      <c r="K133">
        <f ca="1">RANDBETWEEN(1,48)</f>
        <v>20</v>
      </c>
      <c r="L133" t="str">
        <f ca="1">VLOOKUP(K133,$AA$5:$AB$52,2)</f>
        <v>Hampshire</v>
      </c>
      <c r="M133">
        <f ca="1">J133*(RANDBETWEEN(2,5))</f>
        <v>134206</v>
      </c>
      <c r="N133">
        <f ca="1">RAND()*M133</f>
        <v>111186.20145188904</v>
      </c>
      <c r="O133">
        <f ca="1">I133*RAND()*J133</f>
        <v>153226.35895359505</v>
      </c>
      <c r="P133">
        <f ca="1">RANDBETWEEN(0,O133)</f>
        <v>15230</v>
      </c>
      <c r="Q133">
        <f ca="1">RAND()*J133*2</f>
        <v>57409.692411749973</v>
      </c>
      <c r="R133">
        <f ca="1">RAND()*J133*1.5</f>
        <v>9162.7118088887655</v>
      </c>
      <c r="S133">
        <f ca="1">J133+R133+O133</f>
        <v>229492.07076248381</v>
      </c>
      <c r="T133">
        <f ca="1">N133+P133+Q133</f>
        <v>183825.89386363901</v>
      </c>
      <c r="U133">
        <f ca="1">S133-T133</f>
        <v>45666.176898844802</v>
      </c>
      <c r="AC133" s="6">
        <f ca="1">IF(Table1[[#This Row],[gender]]="men",1,0)</f>
        <v>1</v>
      </c>
      <c r="AD133">
        <f ca="1">IF(Table1[[#This Row],[gender]]="women",1,0)</f>
        <v>0</v>
      </c>
      <c r="AH133" s="5"/>
      <c r="AJ133" s="6">
        <f ca="1">IF(Table1[[#This Row],[Column1]]="Health",1,0)</f>
        <v>0</v>
      </c>
      <c r="AK133">
        <f ca="1">IF(Table1[[#This Row],[Column1]]="Construction",1,0)</f>
        <v>0</v>
      </c>
      <c r="AL133">
        <f ca="1">IF(Table1[[#This Row],[Column1]]="Technology",1,0)</f>
        <v>0</v>
      </c>
      <c r="AM133">
        <f ca="1">IF(Table1[[#This Row],[Column1]]="Education",1,0)</f>
        <v>0</v>
      </c>
      <c r="AN133">
        <f ca="1">IF(Table1[[#This Row],[Column1]]="Agriculture",1,0)</f>
        <v>1</v>
      </c>
      <c r="AO133">
        <f ca="1">IF(Table1[[#This Row],[Column1]]="Social Service", 1, 0)</f>
        <v>0</v>
      </c>
      <c r="AT133" s="5"/>
      <c r="AV133" s="17">
        <f t="shared" ref="AV133:AV196" ca="1" si="6">(O134/I134)</f>
        <v>27865.501576519018</v>
      </c>
      <c r="AW133" s="5"/>
      <c r="AX133" s="6">
        <f ca="1">IF(Table1[[#This Row],[Value of Debts]]&gt;$AY$4,1,0)</f>
        <v>1</v>
      </c>
      <c r="AY133" s="20"/>
      <c r="AZ133" s="20"/>
      <c r="BA133" s="5"/>
      <c r="BB133" s="25">
        <f ca="1">Table1[[#This Row],[Mortage Left]]/Table1[[#This Row],[Value of House]]</f>
        <v>0.82847414759317051</v>
      </c>
      <c r="BC133" s="20">
        <f t="shared" ca="1" si="5"/>
        <v>0</v>
      </c>
      <c r="BD133" s="20"/>
      <c r="BE133" s="20"/>
      <c r="BF133" s="20"/>
      <c r="BG133" s="6">
        <f ca="1">IF(Table1[[#This Row],[County]]="Cumbria",Table1[[#This Row],[income]],0)</f>
        <v>0</v>
      </c>
      <c r="BH133" s="20">
        <f ca="1">IF(Table1[[#This Row],[County]]="Cheshire",Table1[[#This Row],[income]],0)</f>
        <v>0</v>
      </c>
      <c r="BI133" s="20">
        <f ca="1">IF(Table1[[#This Row],[County]]="Bristol",Table1[[#This Row],[income]],0)</f>
        <v>0</v>
      </c>
      <c r="BJ133" s="20">
        <f ca="1">IF(Table1[[#This Row],[County]]="Surrey",Table1[[#This Row],[income]],0)</f>
        <v>0</v>
      </c>
      <c r="BK133" s="20">
        <f ca="1">IF(Table1[[#This Row],[County]]="Norfolk",Table1[[#This Row],[income]],0)</f>
        <v>0</v>
      </c>
      <c r="BL133" s="20">
        <f ca="1">IF(Table1[[#This Row],[County]]="Lincolnshire",Table1[[#This Row],[income]],0)</f>
        <v>0</v>
      </c>
      <c r="BM133" s="20">
        <f ca="1">IF(Table1[[#This Row],[County]]="Somerset",Table1[[#This Row],[income]],0)</f>
        <v>0</v>
      </c>
      <c r="BN133" s="20">
        <f ca="1">IF(Table1[[#This Row],[County]]="Cambridgeshire",Table1[[#This Row],[income]],0)</f>
        <v>0</v>
      </c>
      <c r="BO133" s="20">
        <f ca="1">IF(Table1[[#This Row],[County]]="South Yorkshire",Table1[[#This Row],[income]],0)</f>
        <v>0</v>
      </c>
      <c r="BP133" s="20">
        <f ca="1">IF(Table1[[#This Row],[County]]="Greater London",Table1[[#This Row],[income]],0)</f>
        <v>0</v>
      </c>
      <c r="BQ133" s="20">
        <f ca="1">IF(Table1[[#This Row],[County]]="Hampshire",Table1[[#This Row],[income]],0)</f>
        <v>67103</v>
      </c>
      <c r="BR133" s="20">
        <f ca="1">IF(Table1[[#This Row],[County]]="Gloucestershire",Table1[[#This Row],[income]],0)</f>
        <v>0</v>
      </c>
      <c r="BS133" s="20">
        <f ca="1">IF(Table1[[#This Row],[County]]="West Sussex",Table1[[#This Row],[income]],0)</f>
        <v>0</v>
      </c>
      <c r="BT133" s="20">
        <f ca="1">IF(Table1[[#This Row],[County]]="Devon",Table1[[#This Row],[income]],0)</f>
        <v>0</v>
      </c>
      <c r="BU133" s="20">
        <f ca="1">IF(Table1[[#This Row],[County]]="Berkshire",Table1[[#This Row],[income]],0)</f>
        <v>0</v>
      </c>
      <c r="BV133" s="20">
        <f ca="1">IF(Table1[[#This Row],[County]]="Staffordshire",Table1[[#This Row],[income]],0)</f>
        <v>0</v>
      </c>
      <c r="BW133" s="20">
        <f ca="1">IF(Table1[[#This Row],[County]]="Leicestershire",Table1[[#This Row],[income]],0)</f>
        <v>0</v>
      </c>
      <c r="BX133" s="20">
        <f ca="1">IF(Table1[[#This Row],[County]]="Cornwall",Table1[[#This Row],[income]],0)</f>
        <v>0</v>
      </c>
      <c r="BY133" s="20">
        <f ca="1">IF(Table1[[#This Row],[County]]="Isle of Wight",Table1[[#This Row],[income]],0)</f>
        <v>0</v>
      </c>
      <c r="BZ133" s="20">
        <f ca="1">IF(Table1[[#This Row],[County]]="Surrey",Table1[[#This Row],[income]],0)</f>
        <v>0</v>
      </c>
      <c r="CA133" s="20">
        <f ca="1">IF(Table1[[#This Row],[County]]="Derbyshire",Table1[[#This Row],[income]],0)</f>
        <v>0</v>
      </c>
      <c r="CB133" s="20">
        <f ca="1">IF(Table1[[#This Row],[County]]="City of London",Table1[[#This Row],[income]],0)</f>
        <v>0</v>
      </c>
      <c r="CC133" s="20">
        <f ca="1">IF(Table1[[#This Row],[County]]="Bedfordshire",Table1[[#This Row],[income]],0)</f>
        <v>0</v>
      </c>
      <c r="CD133" s="20">
        <f ca="1">IF(Table1[[#This Row],[County]]="County Durham",Table1[[#This Row],[income]],0)</f>
        <v>0</v>
      </c>
      <c r="CE133" s="20">
        <f ca="1">IF(Table1[[#This Row],[County]]="East Riding of Yorkshire",Table1[[#This Row],[income]],0)</f>
        <v>0</v>
      </c>
      <c r="CF133" s="20">
        <f ca="1">IF(Table1[[#This Row],[County]]="West Yorkshire",Table1[[#This Row],[income]],0)</f>
        <v>0</v>
      </c>
      <c r="CG133" s="20">
        <f ca="1">IF(Table1[[#This Row],[County]]="Essex",Table1[[#This Row],[income]],0)</f>
        <v>0</v>
      </c>
      <c r="CH133" s="20">
        <f ca="1">IF(Table1[[#This Row],[County]]="East Sussex",Table1[[#This Row],[income]],0)</f>
        <v>0</v>
      </c>
      <c r="CI133" s="20">
        <f ca="1">IF(Table1[[#This Row],[County]]="Greater Manchester",Table1[[#This Row],[income]],0)</f>
        <v>0</v>
      </c>
      <c r="CJ133" s="20">
        <f ca="1">IF(Table1[[#This Row],[County]]="Hertfordshire",Table1[[#This Row],[income]],0)</f>
        <v>0</v>
      </c>
      <c r="CK133" s="20">
        <f ca="1">IF(Table1[[#This Row],[County]]="Herefordshire",Table1[[#This Row],[income]],0)</f>
        <v>0</v>
      </c>
      <c r="CL133" s="20">
        <f ca="1">IF(Table1[[#This Row],[County]]="Lancashire",Table1[[#This Row],[income]],0)</f>
        <v>0</v>
      </c>
      <c r="CM133" s="20">
        <f ca="1">IF(Table1[[#This Row],[County]]="Merseyside",Table1[[#This Row],[income]],0)</f>
        <v>0</v>
      </c>
      <c r="CN133" s="20">
        <f ca="1">IF(Table1[[#This Row],[County]]="Northamptonshire",Table1[[#This Row],[income]],0)</f>
        <v>0</v>
      </c>
      <c r="CO133" s="20">
        <f ca="1">IF(Table1[[#This Row],[County]]="Northumberland",Table1[[#This Row],[income]],0)</f>
        <v>0</v>
      </c>
      <c r="CP133" s="20">
        <f ca="1">IF(Table1[[#This Row],[County]]="Wiltshire",Table1[[#This Row],[income]],0)</f>
        <v>0</v>
      </c>
      <c r="CQ133" s="20">
        <f ca="1">IF(Table1[[#This Row],[County]]="West Midlands",Table1[[#This Row],[income]],0)</f>
        <v>0</v>
      </c>
      <c r="CR133" s="20">
        <f ca="1">IF(Table1[[#This Row],[County]]="Warwickshire",Table1[[#This Row],[income]],0)</f>
        <v>0</v>
      </c>
      <c r="CS133" s="20">
        <f ca="1">IF(Table1[[#This Row],[County]]="Tyne and Wear",Table1[[#This Row],[income]],0)</f>
        <v>0</v>
      </c>
      <c r="CT133" s="20">
        <f ca="1">IF(Table1[[#This Row],[County]]="Worcestershire",Table1[[#This Row],[income]],0)</f>
        <v>0</v>
      </c>
      <c r="CU133" s="20">
        <f ca="1">IF(Table1[[#This Row],[County]]="Rutland",Table1[[#This Row],[income]],0)</f>
        <v>0</v>
      </c>
      <c r="CV133" s="20">
        <f ca="1">IF(Table1[[#This Row],[County]]="Shropshire",Table1[[#This Row],[income]],0)</f>
        <v>0</v>
      </c>
      <c r="CW133" s="20">
        <f ca="1">IF(Table1[[#This Row],[County]]="Dorset",Table1[[#This Row],[income]],0)</f>
        <v>0</v>
      </c>
      <c r="CX133" s="20">
        <f ca="1">IF(Table1[[#This Row],[County]]="Buckinghamshire",Table1[[#This Row],[income]],0)</f>
        <v>0</v>
      </c>
      <c r="CY133" s="20">
        <f ca="1">IF(Table1[[#This Row],[County]]="Suffolk",Table1[[#This Row],[income]],0)</f>
        <v>0</v>
      </c>
      <c r="CZ133" s="20">
        <f ca="1">IF(Table1[[#This Row],[County]]="North Yorkshire",Table1[[#This Row],[income]],0)</f>
        <v>0</v>
      </c>
      <c r="DA133" s="20">
        <f ca="1">IF(Table1[[#This Row],[County]]="Kent",Table1[[#This Row],[income]],0)</f>
        <v>0</v>
      </c>
      <c r="DB133" s="5">
        <f ca="1">IF(Table1[[#This Row],[County]]="Derbyshire",Table1[[#This Row],[income]],0)</f>
        <v>0</v>
      </c>
      <c r="DD133" s="6">
        <f ca="1">IF(Table1[[#This Row],[Column1]]="Health",Table1[[#This Row],[income]],0)</f>
        <v>0</v>
      </c>
      <c r="DE133" s="20">
        <f ca="1">IF(Table1[[#This Row],[Column1]]="Agriculture",Table1[[#This Row],[income]],0)</f>
        <v>67103</v>
      </c>
      <c r="DF133" s="20">
        <f ca="1">IF(Table1[[#This Row],[Column1]]="Technology",Table1[[#This Row],[income]],0)</f>
        <v>0</v>
      </c>
      <c r="DG133" s="20">
        <f ca="1">IF(Table1[[#This Row],[Column1]]="Social Service",Table1[[#This Row],[income]],0)</f>
        <v>0</v>
      </c>
      <c r="DH133" s="20">
        <f ca="1">IF(Table1[[#This Row],[Column1]]="Education",Table1[[#This Row],[income]],0)</f>
        <v>0</v>
      </c>
      <c r="DI133" s="5">
        <f ca="1">IF(Table1[[#This Row],[Column1]]="Construction",Table1[[#This Row],[income]],0)</f>
        <v>0</v>
      </c>
      <c r="DK133" s="6">
        <f ca="1">IF(Table1[[#This Row],[Value of Debts]]&gt;Table1[[#This Row],[income]],1,0)</f>
        <v>1</v>
      </c>
      <c r="DL133" s="20"/>
      <c r="DM133" s="20"/>
      <c r="DN133" s="5"/>
      <c r="DP133" s="6">
        <f ca="1">IF(Table1[[#This Row],[Net Worth (£)]]&gt;$DS$5,C133,0)</f>
        <v>0</v>
      </c>
      <c r="DQ133" s="20"/>
      <c r="DR133" s="20"/>
      <c r="DS133" s="5"/>
    </row>
    <row r="134" spans="1:123" x14ac:dyDescent="0.2">
      <c r="A134">
        <f t="shared" ref="A134:A197" ca="1" si="7">RANDBETWEEN(1,2)</f>
        <v>1</v>
      </c>
      <c r="B134" s="1" t="str">
        <f ca="1">IF(A134=1, "men", "women")</f>
        <v>men</v>
      </c>
      <c r="C134" s="1">
        <f ca="1">RANDBETWEEN(25,50)</f>
        <v>44</v>
      </c>
      <c r="D134">
        <f ca="1">RANDBETWEEN(1,6)</f>
        <v>2</v>
      </c>
      <c r="E134" t="str">
        <f ca="1">VLOOKUP(D134,$W$5:$X$10,2)</f>
        <v>Construction</v>
      </c>
      <c r="F134">
        <f ca="1">RANDBETWEEN(1,5)</f>
        <v>3</v>
      </c>
      <c r="G134" t="str">
        <f ca="1">VLOOKUP(F134,$Y$5:$Z$9,2)</f>
        <v>University</v>
      </c>
      <c r="H134">
        <f ca="1">RANDBETWEEN(0,4)</f>
        <v>2</v>
      </c>
      <c r="I134">
        <f ca="1">RANDBETWEEN(1,3)</f>
        <v>3</v>
      </c>
      <c r="J134">
        <f ca="1">RANDBETWEEN(30000,100000)</f>
        <v>30279</v>
      </c>
      <c r="K134">
        <f ca="1">RANDBETWEEN(1,48)</f>
        <v>38</v>
      </c>
      <c r="L134" t="str">
        <f ca="1">VLOOKUP(K134,$AA$5:$AB$52,2)</f>
        <v>South Yorkshire</v>
      </c>
      <c r="M134">
        <f ca="1">J134*(RANDBETWEEN(2,5))</f>
        <v>90837</v>
      </c>
      <c r="N134">
        <f ca="1">RAND()*M134</f>
        <v>54217.199990961548</v>
      </c>
      <c r="O134">
        <f ca="1">I134*RAND()*J134</f>
        <v>83596.504729557055</v>
      </c>
      <c r="P134">
        <f ca="1">RANDBETWEEN(0,O134)</f>
        <v>36158</v>
      </c>
      <c r="Q134">
        <f ca="1">RAND()*J134*2</f>
        <v>13132.113630385509</v>
      </c>
      <c r="R134">
        <f ca="1">RAND()*J134*1.5</f>
        <v>9186.7880767641655</v>
      </c>
      <c r="S134">
        <f ca="1">J134+R134+O134</f>
        <v>123062.29280632122</v>
      </c>
      <c r="T134">
        <f ca="1">N134+P134+Q134</f>
        <v>103507.31362134707</v>
      </c>
      <c r="U134">
        <f ca="1">S134-T134</f>
        <v>19554.979184974145</v>
      </c>
      <c r="AC134" s="6">
        <f ca="1">IF(Table1[[#This Row],[gender]]="men",1,0)</f>
        <v>1</v>
      </c>
      <c r="AD134">
        <f ca="1">IF(Table1[[#This Row],[gender]]="women",1,0)</f>
        <v>0</v>
      </c>
      <c r="AH134" s="5"/>
      <c r="AJ134" s="6">
        <f ca="1">IF(Table1[[#This Row],[Column1]]="Health",1,0)</f>
        <v>0</v>
      </c>
      <c r="AK134">
        <f ca="1">IF(Table1[[#This Row],[Column1]]="Construction",1,0)</f>
        <v>1</v>
      </c>
      <c r="AL134">
        <f ca="1">IF(Table1[[#This Row],[Column1]]="Technology",1,0)</f>
        <v>0</v>
      </c>
      <c r="AM134">
        <f ca="1">IF(Table1[[#This Row],[Column1]]="Education",1,0)</f>
        <v>0</v>
      </c>
      <c r="AN134">
        <f ca="1">IF(Table1[[#This Row],[Column1]]="Agriculture",1,0)</f>
        <v>0</v>
      </c>
      <c r="AO134">
        <f ca="1">IF(Table1[[#This Row],[Column1]]="Social Service", 1, 0)</f>
        <v>0</v>
      </c>
      <c r="AT134" s="5"/>
      <c r="AV134" s="17">
        <f t="shared" ca="1" si="6"/>
        <v>48163.224309269397</v>
      </c>
      <c r="AW134" s="5"/>
      <c r="AX134" s="6">
        <f ca="1">IF(Table1[[#This Row],[Value of Debts]]&gt;$AY$4,1,0)</f>
        <v>1</v>
      </c>
      <c r="AY134" s="20"/>
      <c r="AZ134" s="20"/>
      <c r="BA134" s="5"/>
      <c r="BB134" s="25">
        <f ca="1">Table1[[#This Row],[Mortage Left]]/Table1[[#This Row],[Value of House]]</f>
        <v>0.59686251187249195</v>
      </c>
      <c r="BC134" s="20">
        <f t="shared" ref="BC134:BC197" ca="1" si="8">IF(BB134&lt;$BD$4,1,0)</f>
        <v>0</v>
      </c>
      <c r="BD134" s="20"/>
      <c r="BE134" s="20"/>
      <c r="BF134" s="20"/>
      <c r="BG134" s="6">
        <f ca="1">IF(Table1[[#This Row],[County]]="Cumbria",Table1[[#This Row],[income]],0)</f>
        <v>0</v>
      </c>
      <c r="BH134" s="20">
        <f ca="1">IF(Table1[[#This Row],[County]]="Cheshire",Table1[[#This Row],[income]],0)</f>
        <v>0</v>
      </c>
      <c r="BI134" s="20">
        <f ca="1">IF(Table1[[#This Row],[County]]="Bristol",Table1[[#This Row],[income]],0)</f>
        <v>0</v>
      </c>
      <c r="BJ134" s="20">
        <f ca="1">IF(Table1[[#This Row],[County]]="Surrey",Table1[[#This Row],[income]],0)</f>
        <v>0</v>
      </c>
      <c r="BK134" s="20">
        <f ca="1">IF(Table1[[#This Row],[County]]="Norfolk",Table1[[#This Row],[income]],0)</f>
        <v>0</v>
      </c>
      <c r="BL134" s="20">
        <f ca="1">IF(Table1[[#This Row],[County]]="Lincolnshire",Table1[[#This Row],[income]],0)</f>
        <v>0</v>
      </c>
      <c r="BM134" s="20">
        <f ca="1">IF(Table1[[#This Row],[County]]="Somerset",Table1[[#This Row],[income]],0)</f>
        <v>0</v>
      </c>
      <c r="BN134" s="20">
        <f ca="1">IF(Table1[[#This Row],[County]]="Cambridgeshire",Table1[[#This Row],[income]],0)</f>
        <v>0</v>
      </c>
      <c r="BO134" s="20">
        <f ca="1">IF(Table1[[#This Row],[County]]="South Yorkshire",Table1[[#This Row],[income]],0)</f>
        <v>30279</v>
      </c>
      <c r="BP134" s="20">
        <f ca="1">IF(Table1[[#This Row],[County]]="Greater London",Table1[[#This Row],[income]],0)</f>
        <v>0</v>
      </c>
      <c r="BQ134" s="20">
        <f ca="1">IF(Table1[[#This Row],[County]]="Hampshire",Table1[[#This Row],[income]],0)</f>
        <v>0</v>
      </c>
      <c r="BR134" s="20">
        <f ca="1">IF(Table1[[#This Row],[County]]="Gloucestershire",Table1[[#This Row],[income]],0)</f>
        <v>0</v>
      </c>
      <c r="BS134" s="20">
        <f ca="1">IF(Table1[[#This Row],[County]]="West Sussex",Table1[[#This Row],[income]],0)</f>
        <v>0</v>
      </c>
      <c r="BT134" s="20">
        <f ca="1">IF(Table1[[#This Row],[County]]="Devon",Table1[[#This Row],[income]],0)</f>
        <v>0</v>
      </c>
      <c r="BU134" s="20">
        <f ca="1">IF(Table1[[#This Row],[County]]="Berkshire",Table1[[#This Row],[income]],0)</f>
        <v>0</v>
      </c>
      <c r="BV134" s="20">
        <f ca="1">IF(Table1[[#This Row],[County]]="Staffordshire",Table1[[#This Row],[income]],0)</f>
        <v>0</v>
      </c>
      <c r="BW134" s="20">
        <f ca="1">IF(Table1[[#This Row],[County]]="Leicestershire",Table1[[#This Row],[income]],0)</f>
        <v>0</v>
      </c>
      <c r="BX134" s="20">
        <f ca="1">IF(Table1[[#This Row],[County]]="Cornwall",Table1[[#This Row],[income]],0)</f>
        <v>0</v>
      </c>
      <c r="BY134" s="20">
        <f ca="1">IF(Table1[[#This Row],[County]]="Isle of Wight",Table1[[#This Row],[income]],0)</f>
        <v>0</v>
      </c>
      <c r="BZ134" s="20">
        <f ca="1">IF(Table1[[#This Row],[County]]="Surrey",Table1[[#This Row],[income]],0)</f>
        <v>0</v>
      </c>
      <c r="CA134" s="20">
        <f ca="1">IF(Table1[[#This Row],[County]]="Derbyshire",Table1[[#This Row],[income]],0)</f>
        <v>0</v>
      </c>
      <c r="CB134" s="20">
        <f ca="1">IF(Table1[[#This Row],[County]]="City of London",Table1[[#This Row],[income]],0)</f>
        <v>0</v>
      </c>
      <c r="CC134" s="20">
        <f ca="1">IF(Table1[[#This Row],[County]]="Bedfordshire",Table1[[#This Row],[income]],0)</f>
        <v>0</v>
      </c>
      <c r="CD134" s="20">
        <f ca="1">IF(Table1[[#This Row],[County]]="County Durham",Table1[[#This Row],[income]],0)</f>
        <v>0</v>
      </c>
      <c r="CE134" s="20">
        <f ca="1">IF(Table1[[#This Row],[County]]="East Riding of Yorkshire",Table1[[#This Row],[income]],0)</f>
        <v>0</v>
      </c>
      <c r="CF134" s="20">
        <f ca="1">IF(Table1[[#This Row],[County]]="West Yorkshire",Table1[[#This Row],[income]],0)</f>
        <v>0</v>
      </c>
      <c r="CG134" s="20">
        <f ca="1">IF(Table1[[#This Row],[County]]="Essex",Table1[[#This Row],[income]],0)</f>
        <v>0</v>
      </c>
      <c r="CH134" s="20">
        <f ca="1">IF(Table1[[#This Row],[County]]="East Sussex",Table1[[#This Row],[income]],0)</f>
        <v>0</v>
      </c>
      <c r="CI134" s="20">
        <f ca="1">IF(Table1[[#This Row],[County]]="Greater Manchester",Table1[[#This Row],[income]],0)</f>
        <v>0</v>
      </c>
      <c r="CJ134" s="20">
        <f ca="1">IF(Table1[[#This Row],[County]]="Hertfordshire",Table1[[#This Row],[income]],0)</f>
        <v>0</v>
      </c>
      <c r="CK134" s="20">
        <f ca="1">IF(Table1[[#This Row],[County]]="Herefordshire",Table1[[#This Row],[income]],0)</f>
        <v>0</v>
      </c>
      <c r="CL134" s="20">
        <f ca="1">IF(Table1[[#This Row],[County]]="Lancashire",Table1[[#This Row],[income]],0)</f>
        <v>0</v>
      </c>
      <c r="CM134" s="20">
        <f ca="1">IF(Table1[[#This Row],[County]]="Merseyside",Table1[[#This Row],[income]],0)</f>
        <v>0</v>
      </c>
      <c r="CN134" s="20">
        <f ca="1">IF(Table1[[#This Row],[County]]="Northamptonshire",Table1[[#This Row],[income]],0)</f>
        <v>0</v>
      </c>
      <c r="CO134" s="20">
        <f ca="1">IF(Table1[[#This Row],[County]]="Northumberland",Table1[[#This Row],[income]],0)</f>
        <v>0</v>
      </c>
      <c r="CP134" s="20">
        <f ca="1">IF(Table1[[#This Row],[County]]="Wiltshire",Table1[[#This Row],[income]],0)</f>
        <v>0</v>
      </c>
      <c r="CQ134" s="20">
        <f ca="1">IF(Table1[[#This Row],[County]]="West Midlands",Table1[[#This Row],[income]],0)</f>
        <v>0</v>
      </c>
      <c r="CR134" s="20">
        <f ca="1">IF(Table1[[#This Row],[County]]="Warwickshire",Table1[[#This Row],[income]],0)</f>
        <v>0</v>
      </c>
      <c r="CS134" s="20">
        <f ca="1">IF(Table1[[#This Row],[County]]="Tyne and Wear",Table1[[#This Row],[income]],0)</f>
        <v>0</v>
      </c>
      <c r="CT134" s="20">
        <f ca="1">IF(Table1[[#This Row],[County]]="Worcestershire",Table1[[#This Row],[income]],0)</f>
        <v>0</v>
      </c>
      <c r="CU134" s="20">
        <f ca="1">IF(Table1[[#This Row],[County]]="Rutland",Table1[[#This Row],[income]],0)</f>
        <v>0</v>
      </c>
      <c r="CV134" s="20">
        <f ca="1">IF(Table1[[#This Row],[County]]="Shropshire",Table1[[#This Row],[income]],0)</f>
        <v>0</v>
      </c>
      <c r="CW134" s="20">
        <f ca="1">IF(Table1[[#This Row],[County]]="Dorset",Table1[[#This Row],[income]],0)</f>
        <v>0</v>
      </c>
      <c r="CX134" s="20">
        <f ca="1">IF(Table1[[#This Row],[County]]="Buckinghamshire",Table1[[#This Row],[income]],0)</f>
        <v>0</v>
      </c>
      <c r="CY134" s="20">
        <f ca="1">IF(Table1[[#This Row],[County]]="Suffolk",Table1[[#This Row],[income]],0)</f>
        <v>0</v>
      </c>
      <c r="CZ134" s="20">
        <f ca="1">IF(Table1[[#This Row],[County]]="North Yorkshire",Table1[[#This Row],[income]],0)</f>
        <v>0</v>
      </c>
      <c r="DA134" s="20">
        <f ca="1">IF(Table1[[#This Row],[County]]="Kent",Table1[[#This Row],[income]],0)</f>
        <v>0</v>
      </c>
      <c r="DB134" s="5">
        <f ca="1">IF(Table1[[#This Row],[County]]="Derbyshire",Table1[[#This Row],[income]],0)</f>
        <v>0</v>
      </c>
      <c r="DD134" s="6">
        <f ca="1">IF(Table1[[#This Row],[Column1]]="Health",Table1[[#This Row],[income]],0)</f>
        <v>0</v>
      </c>
      <c r="DE134" s="20">
        <f ca="1">IF(Table1[[#This Row],[Column1]]="Agriculture",Table1[[#This Row],[income]],0)</f>
        <v>0</v>
      </c>
      <c r="DF134" s="20">
        <f ca="1">IF(Table1[[#This Row],[Column1]]="Technology",Table1[[#This Row],[income]],0)</f>
        <v>0</v>
      </c>
      <c r="DG134" s="20">
        <f ca="1">IF(Table1[[#This Row],[Column1]]="Social Service",Table1[[#This Row],[income]],0)</f>
        <v>0</v>
      </c>
      <c r="DH134" s="20">
        <f ca="1">IF(Table1[[#This Row],[Column1]]="Education",Table1[[#This Row],[income]],0)</f>
        <v>0</v>
      </c>
      <c r="DI134" s="5">
        <f ca="1">IF(Table1[[#This Row],[Column1]]="Construction",Table1[[#This Row],[income]],0)</f>
        <v>30279</v>
      </c>
      <c r="DK134" s="6">
        <f ca="1">IF(Table1[[#This Row],[Value of Debts]]&gt;Table1[[#This Row],[income]],1,0)</f>
        <v>1</v>
      </c>
      <c r="DL134" s="20"/>
      <c r="DM134" s="20"/>
      <c r="DN134" s="5"/>
      <c r="DP134" s="6">
        <f ca="1">IF(Table1[[#This Row],[Net Worth (£)]]&gt;$DS$5,C134,0)</f>
        <v>0</v>
      </c>
      <c r="DQ134" s="20"/>
      <c r="DR134" s="20"/>
      <c r="DS134" s="5"/>
    </row>
    <row r="135" spans="1:123" x14ac:dyDescent="0.2">
      <c r="A135">
        <f t="shared" ca="1" si="7"/>
        <v>2</v>
      </c>
      <c r="B135" s="1" t="str">
        <f ca="1">IF(A135=1, "men", "women")</f>
        <v>women</v>
      </c>
      <c r="C135" s="1">
        <f ca="1">RANDBETWEEN(25,50)</f>
        <v>49</v>
      </c>
      <c r="D135">
        <f ca="1">RANDBETWEEN(1,6)</f>
        <v>2</v>
      </c>
      <c r="E135" t="str">
        <f ca="1">VLOOKUP(D135,$W$5:$X$10,2)</f>
        <v>Construction</v>
      </c>
      <c r="F135">
        <f ca="1">RANDBETWEEN(1,5)</f>
        <v>4</v>
      </c>
      <c r="G135" t="str">
        <f ca="1">VLOOKUP(F135,$Y$5:$Z$9,2)</f>
        <v xml:space="preserve">Technical </v>
      </c>
      <c r="H135">
        <f ca="1">RANDBETWEEN(0,4)</f>
        <v>2</v>
      </c>
      <c r="I135">
        <f ca="1">RANDBETWEEN(1,3)</f>
        <v>1</v>
      </c>
      <c r="J135">
        <f ca="1">RANDBETWEEN(30000,100000)</f>
        <v>86771</v>
      </c>
      <c r="K135">
        <f ca="1">RANDBETWEEN(1,48)</f>
        <v>33</v>
      </c>
      <c r="L135" t="str">
        <f ca="1">VLOOKUP(K135,$AA$5:$AB$52,2)</f>
        <v>Nottinghamshire</v>
      </c>
      <c r="M135">
        <f ca="1">J135*(RANDBETWEEN(2,5))</f>
        <v>347084</v>
      </c>
      <c r="N135">
        <f ca="1">RAND()*M135</f>
        <v>116263.64413428062</v>
      </c>
      <c r="O135">
        <f ca="1">I135*RAND()*J135</f>
        <v>48163.224309269397</v>
      </c>
      <c r="P135">
        <f ca="1">RANDBETWEEN(0,O135)</f>
        <v>20489</v>
      </c>
      <c r="Q135">
        <f ca="1">RAND()*J135*2</f>
        <v>106929.88595012664</v>
      </c>
      <c r="R135">
        <f ca="1">RAND()*J135*1.5</f>
        <v>56313.162890328138</v>
      </c>
      <c r="S135">
        <f ca="1">J135+R135+O135</f>
        <v>191247.38719959755</v>
      </c>
      <c r="T135">
        <f ca="1">N135+P135+Q135</f>
        <v>243682.53008440725</v>
      </c>
      <c r="U135">
        <f ca="1">S135-T135</f>
        <v>-52435.142884809698</v>
      </c>
      <c r="AC135" s="6">
        <f ca="1">IF(Table1[[#This Row],[gender]]="men",1,0)</f>
        <v>0</v>
      </c>
      <c r="AD135">
        <f ca="1">IF(Table1[[#This Row],[gender]]="women",1,0)</f>
        <v>1</v>
      </c>
      <c r="AH135" s="5"/>
      <c r="AJ135" s="6">
        <f ca="1">IF(Table1[[#This Row],[Column1]]="Health",1,0)</f>
        <v>0</v>
      </c>
      <c r="AK135">
        <f ca="1">IF(Table1[[#This Row],[Column1]]="Construction",1,0)</f>
        <v>1</v>
      </c>
      <c r="AL135">
        <f ca="1">IF(Table1[[#This Row],[Column1]]="Technology",1,0)</f>
        <v>0</v>
      </c>
      <c r="AM135">
        <f ca="1">IF(Table1[[#This Row],[Column1]]="Education",1,0)</f>
        <v>0</v>
      </c>
      <c r="AN135">
        <f ca="1">IF(Table1[[#This Row],[Column1]]="Agriculture",1,0)</f>
        <v>0</v>
      </c>
      <c r="AO135">
        <f ca="1">IF(Table1[[#This Row],[Column1]]="Social Service", 1, 0)</f>
        <v>0</v>
      </c>
      <c r="AT135" s="5"/>
      <c r="AV135" s="17">
        <f t="shared" ca="1" si="6"/>
        <v>11235.433337273942</v>
      </c>
      <c r="AW135" s="5"/>
      <c r="AX135" s="6">
        <f ca="1">IF(Table1[[#This Row],[Value of Debts]]&gt;$AY$4,1,0)</f>
        <v>1</v>
      </c>
      <c r="AY135" s="20"/>
      <c r="AZ135" s="20"/>
      <c r="BA135" s="5"/>
      <c r="BB135" s="25">
        <f ca="1">Table1[[#This Row],[Mortage Left]]/Table1[[#This Row],[Value of House]]</f>
        <v>0.33497264101566371</v>
      </c>
      <c r="BC135" s="20">
        <f t="shared" ca="1" si="8"/>
        <v>0</v>
      </c>
      <c r="BD135" s="20"/>
      <c r="BE135" s="20"/>
      <c r="BF135" s="20"/>
      <c r="BG135" s="6">
        <f ca="1">IF(Table1[[#This Row],[County]]="Cumbria",Table1[[#This Row],[income]],0)</f>
        <v>0</v>
      </c>
      <c r="BH135" s="20">
        <f ca="1">IF(Table1[[#This Row],[County]]="Cheshire",Table1[[#This Row],[income]],0)</f>
        <v>0</v>
      </c>
      <c r="BI135" s="20">
        <f ca="1">IF(Table1[[#This Row],[County]]="Bristol",Table1[[#This Row],[income]],0)</f>
        <v>0</v>
      </c>
      <c r="BJ135" s="20">
        <f ca="1">IF(Table1[[#This Row],[County]]="Surrey",Table1[[#This Row],[income]],0)</f>
        <v>0</v>
      </c>
      <c r="BK135" s="20">
        <f ca="1">IF(Table1[[#This Row],[County]]="Norfolk",Table1[[#This Row],[income]],0)</f>
        <v>0</v>
      </c>
      <c r="BL135" s="20">
        <f ca="1">IF(Table1[[#This Row],[County]]="Lincolnshire",Table1[[#This Row],[income]],0)</f>
        <v>0</v>
      </c>
      <c r="BM135" s="20">
        <f ca="1">IF(Table1[[#This Row],[County]]="Somerset",Table1[[#This Row],[income]],0)</f>
        <v>0</v>
      </c>
      <c r="BN135" s="20">
        <f ca="1">IF(Table1[[#This Row],[County]]="Cambridgeshire",Table1[[#This Row],[income]],0)</f>
        <v>0</v>
      </c>
      <c r="BO135" s="20">
        <f ca="1">IF(Table1[[#This Row],[County]]="South Yorkshire",Table1[[#This Row],[income]],0)</f>
        <v>0</v>
      </c>
      <c r="BP135" s="20">
        <f ca="1">IF(Table1[[#This Row],[County]]="Greater London",Table1[[#This Row],[income]],0)</f>
        <v>0</v>
      </c>
      <c r="BQ135" s="20">
        <f ca="1">IF(Table1[[#This Row],[County]]="Hampshire",Table1[[#This Row],[income]],0)</f>
        <v>0</v>
      </c>
      <c r="BR135" s="20">
        <f ca="1">IF(Table1[[#This Row],[County]]="Gloucestershire",Table1[[#This Row],[income]],0)</f>
        <v>0</v>
      </c>
      <c r="BS135" s="20">
        <f ca="1">IF(Table1[[#This Row],[County]]="West Sussex",Table1[[#This Row],[income]],0)</f>
        <v>0</v>
      </c>
      <c r="BT135" s="20">
        <f ca="1">IF(Table1[[#This Row],[County]]="Devon",Table1[[#This Row],[income]],0)</f>
        <v>0</v>
      </c>
      <c r="BU135" s="20">
        <f ca="1">IF(Table1[[#This Row],[County]]="Berkshire",Table1[[#This Row],[income]],0)</f>
        <v>0</v>
      </c>
      <c r="BV135" s="20">
        <f ca="1">IF(Table1[[#This Row],[County]]="Staffordshire",Table1[[#This Row],[income]],0)</f>
        <v>0</v>
      </c>
      <c r="BW135" s="20">
        <f ca="1">IF(Table1[[#This Row],[County]]="Leicestershire",Table1[[#This Row],[income]],0)</f>
        <v>0</v>
      </c>
      <c r="BX135" s="20">
        <f ca="1">IF(Table1[[#This Row],[County]]="Cornwall",Table1[[#This Row],[income]],0)</f>
        <v>0</v>
      </c>
      <c r="BY135" s="20">
        <f ca="1">IF(Table1[[#This Row],[County]]="Isle of Wight",Table1[[#This Row],[income]],0)</f>
        <v>0</v>
      </c>
      <c r="BZ135" s="20">
        <f ca="1">IF(Table1[[#This Row],[County]]="Surrey",Table1[[#This Row],[income]],0)</f>
        <v>0</v>
      </c>
      <c r="CA135" s="20">
        <f ca="1">IF(Table1[[#This Row],[County]]="Derbyshire",Table1[[#This Row],[income]],0)</f>
        <v>0</v>
      </c>
      <c r="CB135" s="20">
        <f ca="1">IF(Table1[[#This Row],[County]]="City of London",Table1[[#This Row],[income]],0)</f>
        <v>0</v>
      </c>
      <c r="CC135" s="20">
        <f ca="1">IF(Table1[[#This Row],[County]]="Bedfordshire",Table1[[#This Row],[income]],0)</f>
        <v>0</v>
      </c>
      <c r="CD135" s="20">
        <f ca="1">IF(Table1[[#This Row],[County]]="County Durham",Table1[[#This Row],[income]],0)</f>
        <v>0</v>
      </c>
      <c r="CE135" s="20">
        <f ca="1">IF(Table1[[#This Row],[County]]="East Riding of Yorkshire",Table1[[#This Row],[income]],0)</f>
        <v>0</v>
      </c>
      <c r="CF135" s="20">
        <f ca="1">IF(Table1[[#This Row],[County]]="West Yorkshire",Table1[[#This Row],[income]],0)</f>
        <v>0</v>
      </c>
      <c r="CG135" s="20">
        <f ca="1">IF(Table1[[#This Row],[County]]="Essex",Table1[[#This Row],[income]],0)</f>
        <v>0</v>
      </c>
      <c r="CH135" s="20">
        <f ca="1">IF(Table1[[#This Row],[County]]="East Sussex",Table1[[#This Row],[income]],0)</f>
        <v>0</v>
      </c>
      <c r="CI135" s="20">
        <f ca="1">IF(Table1[[#This Row],[County]]="Greater Manchester",Table1[[#This Row],[income]],0)</f>
        <v>0</v>
      </c>
      <c r="CJ135" s="20">
        <f ca="1">IF(Table1[[#This Row],[County]]="Hertfordshire",Table1[[#This Row],[income]],0)</f>
        <v>0</v>
      </c>
      <c r="CK135" s="20">
        <f ca="1">IF(Table1[[#This Row],[County]]="Herefordshire",Table1[[#This Row],[income]],0)</f>
        <v>0</v>
      </c>
      <c r="CL135" s="20">
        <f ca="1">IF(Table1[[#This Row],[County]]="Lancashire",Table1[[#This Row],[income]],0)</f>
        <v>0</v>
      </c>
      <c r="CM135" s="20">
        <f ca="1">IF(Table1[[#This Row],[County]]="Merseyside",Table1[[#This Row],[income]],0)</f>
        <v>0</v>
      </c>
      <c r="CN135" s="20">
        <f ca="1">IF(Table1[[#This Row],[County]]="Northamptonshire",Table1[[#This Row],[income]],0)</f>
        <v>0</v>
      </c>
      <c r="CO135" s="20">
        <f ca="1">IF(Table1[[#This Row],[County]]="Northumberland",Table1[[#This Row],[income]],0)</f>
        <v>0</v>
      </c>
      <c r="CP135" s="20">
        <f ca="1">IF(Table1[[#This Row],[County]]="Wiltshire",Table1[[#This Row],[income]],0)</f>
        <v>0</v>
      </c>
      <c r="CQ135" s="20">
        <f ca="1">IF(Table1[[#This Row],[County]]="West Midlands",Table1[[#This Row],[income]],0)</f>
        <v>0</v>
      </c>
      <c r="CR135" s="20">
        <f ca="1">IF(Table1[[#This Row],[County]]="Warwickshire",Table1[[#This Row],[income]],0)</f>
        <v>0</v>
      </c>
      <c r="CS135" s="20">
        <f ca="1">IF(Table1[[#This Row],[County]]="Tyne and Wear",Table1[[#This Row],[income]],0)</f>
        <v>0</v>
      </c>
      <c r="CT135" s="20">
        <f ca="1">IF(Table1[[#This Row],[County]]="Worcestershire",Table1[[#This Row],[income]],0)</f>
        <v>0</v>
      </c>
      <c r="CU135" s="20">
        <f ca="1">IF(Table1[[#This Row],[County]]="Rutland",Table1[[#This Row],[income]],0)</f>
        <v>0</v>
      </c>
      <c r="CV135" s="20">
        <f ca="1">IF(Table1[[#This Row],[County]]="Shropshire",Table1[[#This Row],[income]],0)</f>
        <v>0</v>
      </c>
      <c r="CW135" s="20">
        <f ca="1">IF(Table1[[#This Row],[County]]="Dorset",Table1[[#This Row],[income]],0)</f>
        <v>0</v>
      </c>
      <c r="CX135" s="20">
        <f ca="1">IF(Table1[[#This Row],[County]]="Buckinghamshire",Table1[[#This Row],[income]],0)</f>
        <v>0</v>
      </c>
      <c r="CY135" s="20">
        <f ca="1">IF(Table1[[#This Row],[County]]="Suffolk",Table1[[#This Row],[income]],0)</f>
        <v>0</v>
      </c>
      <c r="CZ135" s="20">
        <f ca="1">IF(Table1[[#This Row],[County]]="North Yorkshire",Table1[[#This Row],[income]],0)</f>
        <v>0</v>
      </c>
      <c r="DA135" s="20">
        <f ca="1">IF(Table1[[#This Row],[County]]="Kent",Table1[[#This Row],[income]],0)</f>
        <v>0</v>
      </c>
      <c r="DB135" s="5">
        <f ca="1">IF(Table1[[#This Row],[County]]="Derbyshire",Table1[[#This Row],[income]],0)</f>
        <v>0</v>
      </c>
      <c r="DD135" s="6">
        <f ca="1">IF(Table1[[#This Row],[Column1]]="Health",Table1[[#This Row],[income]],0)</f>
        <v>0</v>
      </c>
      <c r="DE135" s="20">
        <f ca="1">IF(Table1[[#This Row],[Column1]]="Agriculture",Table1[[#This Row],[income]],0)</f>
        <v>0</v>
      </c>
      <c r="DF135" s="20">
        <f ca="1">IF(Table1[[#This Row],[Column1]]="Technology",Table1[[#This Row],[income]],0)</f>
        <v>0</v>
      </c>
      <c r="DG135" s="20">
        <f ca="1">IF(Table1[[#This Row],[Column1]]="Social Service",Table1[[#This Row],[income]],0)</f>
        <v>0</v>
      </c>
      <c r="DH135" s="20">
        <f ca="1">IF(Table1[[#This Row],[Column1]]="Education",Table1[[#This Row],[income]],0)</f>
        <v>0</v>
      </c>
      <c r="DI135" s="5">
        <f ca="1">IF(Table1[[#This Row],[Column1]]="Construction",Table1[[#This Row],[income]],0)</f>
        <v>86771</v>
      </c>
      <c r="DK135" s="6">
        <f ca="1">IF(Table1[[#This Row],[Value of Debts]]&gt;Table1[[#This Row],[income]],1,0)</f>
        <v>1</v>
      </c>
      <c r="DL135" s="20"/>
      <c r="DM135" s="20"/>
      <c r="DN135" s="5"/>
      <c r="DP135" s="6">
        <f ca="1">IF(Table1[[#This Row],[Net Worth (£)]]&gt;$DS$5,C135,0)</f>
        <v>0</v>
      </c>
      <c r="DQ135" s="20"/>
      <c r="DR135" s="20"/>
      <c r="DS135" s="5"/>
    </row>
    <row r="136" spans="1:123" x14ac:dyDescent="0.2">
      <c r="A136">
        <f t="shared" ca="1" si="7"/>
        <v>1</v>
      </c>
      <c r="B136" s="1" t="str">
        <f ca="1">IF(A136=1, "men", "women")</f>
        <v>men</v>
      </c>
      <c r="C136" s="1">
        <f ca="1">RANDBETWEEN(25,50)</f>
        <v>25</v>
      </c>
      <c r="D136">
        <f ca="1">RANDBETWEEN(1,6)</f>
        <v>1</v>
      </c>
      <c r="E136" t="str">
        <f ca="1">VLOOKUP(D136,$W$5:$X$10,2)</f>
        <v>Health</v>
      </c>
      <c r="F136">
        <f ca="1">RANDBETWEEN(1,5)</f>
        <v>5</v>
      </c>
      <c r="G136" t="str">
        <f ca="1">VLOOKUP(F136,$Y$5:$Z$9,2)</f>
        <v>Other</v>
      </c>
      <c r="H136">
        <f ca="1">RANDBETWEEN(0,4)</f>
        <v>4</v>
      </c>
      <c r="I136">
        <f ca="1">RANDBETWEEN(1,3)</f>
        <v>3</v>
      </c>
      <c r="J136">
        <f ca="1">RANDBETWEEN(30000,100000)</f>
        <v>69897</v>
      </c>
      <c r="K136">
        <f ca="1">RANDBETWEEN(1,48)</f>
        <v>20</v>
      </c>
      <c r="L136" t="str">
        <f ca="1">VLOOKUP(K136,$AA$5:$AB$52,2)</f>
        <v>Hampshire</v>
      </c>
      <c r="M136">
        <f ca="1">J136*(RANDBETWEEN(2,5))</f>
        <v>349485</v>
      </c>
      <c r="N136">
        <f ca="1">RAND()*M136</f>
        <v>116371.01233219825</v>
      </c>
      <c r="O136">
        <f ca="1">I136*RAND()*J136</f>
        <v>33706.300011821826</v>
      </c>
      <c r="P136">
        <f ca="1">RANDBETWEEN(0,O136)</f>
        <v>7757</v>
      </c>
      <c r="Q136">
        <f ca="1">RAND()*J136*2</f>
        <v>124663.04053045006</v>
      </c>
      <c r="R136">
        <f ca="1">RAND()*J136*1.5</f>
        <v>10818.822910822073</v>
      </c>
      <c r="S136">
        <f ca="1">J136+R136+O136</f>
        <v>114422.1229226439</v>
      </c>
      <c r="T136">
        <f ca="1">N136+P136+Q136</f>
        <v>248791.05286264833</v>
      </c>
      <c r="U136">
        <f ca="1">S136-T136</f>
        <v>-134368.92994000443</v>
      </c>
      <c r="AC136" s="6">
        <f ca="1">IF(Table1[[#This Row],[gender]]="men",1,0)</f>
        <v>1</v>
      </c>
      <c r="AD136">
        <f ca="1">IF(Table1[[#This Row],[gender]]="women",1,0)</f>
        <v>0</v>
      </c>
      <c r="AH136" s="5"/>
      <c r="AJ136" s="6">
        <f ca="1">IF(Table1[[#This Row],[Column1]]="Health",1,0)</f>
        <v>1</v>
      </c>
      <c r="AK136">
        <f ca="1">IF(Table1[[#This Row],[Column1]]="Construction",1,0)</f>
        <v>0</v>
      </c>
      <c r="AL136">
        <f ca="1">IF(Table1[[#This Row],[Column1]]="Technology",1,0)</f>
        <v>0</v>
      </c>
      <c r="AM136">
        <f ca="1">IF(Table1[[#This Row],[Column1]]="Education",1,0)</f>
        <v>0</v>
      </c>
      <c r="AN136">
        <f ca="1">IF(Table1[[#This Row],[Column1]]="Agriculture",1,0)</f>
        <v>0</v>
      </c>
      <c r="AO136">
        <f ca="1">IF(Table1[[#This Row],[Column1]]="Social Service", 1, 0)</f>
        <v>0</v>
      </c>
      <c r="AT136" s="5"/>
      <c r="AV136" s="17">
        <f t="shared" ca="1" si="6"/>
        <v>73542.707588675534</v>
      </c>
      <c r="AW136" s="5"/>
      <c r="AX136" s="6">
        <f ca="1">IF(Table1[[#This Row],[Value of Debts]]&gt;$AY$4,1,0)</f>
        <v>1</v>
      </c>
      <c r="AY136" s="20"/>
      <c r="AZ136" s="20"/>
      <c r="BA136" s="5"/>
      <c r="BB136" s="25">
        <f ca="1">Table1[[#This Row],[Mortage Left]]/Table1[[#This Row],[Value of House]]</f>
        <v>0.33297856083150423</v>
      </c>
      <c r="BC136" s="20">
        <f t="shared" ca="1" si="8"/>
        <v>0</v>
      </c>
      <c r="BD136" s="20"/>
      <c r="BE136" s="20"/>
      <c r="BF136" s="20"/>
      <c r="BG136" s="6">
        <f ca="1">IF(Table1[[#This Row],[County]]="Cumbria",Table1[[#This Row],[income]],0)</f>
        <v>0</v>
      </c>
      <c r="BH136" s="20">
        <f ca="1">IF(Table1[[#This Row],[County]]="Cheshire",Table1[[#This Row],[income]],0)</f>
        <v>0</v>
      </c>
      <c r="BI136" s="20">
        <f ca="1">IF(Table1[[#This Row],[County]]="Bristol",Table1[[#This Row],[income]],0)</f>
        <v>0</v>
      </c>
      <c r="BJ136" s="20">
        <f ca="1">IF(Table1[[#This Row],[County]]="Surrey",Table1[[#This Row],[income]],0)</f>
        <v>0</v>
      </c>
      <c r="BK136" s="20">
        <f ca="1">IF(Table1[[#This Row],[County]]="Norfolk",Table1[[#This Row],[income]],0)</f>
        <v>0</v>
      </c>
      <c r="BL136" s="20">
        <f ca="1">IF(Table1[[#This Row],[County]]="Lincolnshire",Table1[[#This Row],[income]],0)</f>
        <v>0</v>
      </c>
      <c r="BM136" s="20">
        <f ca="1">IF(Table1[[#This Row],[County]]="Somerset",Table1[[#This Row],[income]],0)</f>
        <v>0</v>
      </c>
      <c r="BN136" s="20">
        <f ca="1">IF(Table1[[#This Row],[County]]="Cambridgeshire",Table1[[#This Row],[income]],0)</f>
        <v>0</v>
      </c>
      <c r="BO136" s="20">
        <f ca="1">IF(Table1[[#This Row],[County]]="South Yorkshire",Table1[[#This Row],[income]],0)</f>
        <v>0</v>
      </c>
      <c r="BP136" s="20">
        <f ca="1">IF(Table1[[#This Row],[County]]="Greater London",Table1[[#This Row],[income]],0)</f>
        <v>0</v>
      </c>
      <c r="BQ136" s="20">
        <f ca="1">IF(Table1[[#This Row],[County]]="Hampshire",Table1[[#This Row],[income]],0)</f>
        <v>69897</v>
      </c>
      <c r="BR136" s="20">
        <f ca="1">IF(Table1[[#This Row],[County]]="Gloucestershire",Table1[[#This Row],[income]],0)</f>
        <v>0</v>
      </c>
      <c r="BS136" s="20">
        <f ca="1">IF(Table1[[#This Row],[County]]="West Sussex",Table1[[#This Row],[income]],0)</f>
        <v>0</v>
      </c>
      <c r="BT136" s="20">
        <f ca="1">IF(Table1[[#This Row],[County]]="Devon",Table1[[#This Row],[income]],0)</f>
        <v>0</v>
      </c>
      <c r="BU136" s="20">
        <f ca="1">IF(Table1[[#This Row],[County]]="Berkshire",Table1[[#This Row],[income]],0)</f>
        <v>0</v>
      </c>
      <c r="BV136" s="20">
        <f ca="1">IF(Table1[[#This Row],[County]]="Staffordshire",Table1[[#This Row],[income]],0)</f>
        <v>0</v>
      </c>
      <c r="BW136" s="20">
        <f ca="1">IF(Table1[[#This Row],[County]]="Leicestershire",Table1[[#This Row],[income]],0)</f>
        <v>0</v>
      </c>
      <c r="BX136" s="20">
        <f ca="1">IF(Table1[[#This Row],[County]]="Cornwall",Table1[[#This Row],[income]],0)</f>
        <v>0</v>
      </c>
      <c r="BY136" s="20">
        <f ca="1">IF(Table1[[#This Row],[County]]="Isle of Wight",Table1[[#This Row],[income]],0)</f>
        <v>0</v>
      </c>
      <c r="BZ136" s="20">
        <f ca="1">IF(Table1[[#This Row],[County]]="Surrey",Table1[[#This Row],[income]],0)</f>
        <v>0</v>
      </c>
      <c r="CA136" s="20">
        <f ca="1">IF(Table1[[#This Row],[County]]="Derbyshire",Table1[[#This Row],[income]],0)</f>
        <v>0</v>
      </c>
      <c r="CB136" s="20">
        <f ca="1">IF(Table1[[#This Row],[County]]="City of London",Table1[[#This Row],[income]],0)</f>
        <v>0</v>
      </c>
      <c r="CC136" s="20">
        <f ca="1">IF(Table1[[#This Row],[County]]="Bedfordshire",Table1[[#This Row],[income]],0)</f>
        <v>0</v>
      </c>
      <c r="CD136" s="20">
        <f ca="1">IF(Table1[[#This Row],[County]]="County Durham",Table1[[#This Row],[income]],0)</f>
        <v>0</v>
      </c>
      <c r="CE136" s="20">
        <f ca="1">IF(Table1[[#This Row],[County]]="East Riding of Yorkshire",Table1[[#This Row],[income]],0)</f>
        <v>0</v>
      </c>
      <c r="CF136" s="20">
        <f ca="1">IF(Table1[[#This Row],[County]]="West Yorkshire",Table1[[#This Row],[income]],0)</f>
        <v>0</v>
      </c>
      <c r="CG136" s="20">
        <f ca="1">IF(Table1[[#This Row],[County]]="Essex",Table1[[#This Row],[income]],0)</f>
        <v>0</v>
      </c>
      <c r="CH136" s="20">
        <f ca="1">IF(Table1[[#This Row],[County]]="East Sussex",Table1[[#This Row],[income]],0)</f>
        <v>0</v>
      </c>
      <c r="CI136" s="20">
        <f ca="1">IF(Table1[[#This Row],[County]]="Greater Manchester",Table1[[#This Row],[income]],0)</f>
        <v>0</v>
      </c>
      <c r="CJ136" s="20">
        <f ca="1">IF(Table1[[#This Row],[County]]="Hertfordshire",Table1[[#This Row],[income]],0)</f>
        <v>0</v>
      </c>
      <c r="CK136" s="20">
        <f ca="1">IF(Table1[[#This Row],[County]]="Herefordshire",Table1[[#This Row],[income]],0)</f>
        <v>0</v>
      </c>
      <c r="CL136" s="20">
        <f ca="1">IF(Table1[[#This Row],[County]]="Lancashire",Table1[[#This Row],[income]],0)</f>
        <v>0</v>
      </c>
      <c r="CM136" s="20">
        <f ca="1">IF(Table1[[#This Row],[County]]="Merseyside",Table1[[#This Row],[income]],0)</f>
        <v>0</v>
      </c>
      <c r="CN136" s="20">
        <f ca="1">IF(Table1[[#This Row],[County]]="Northamptonshire",Table1[[#This Row],[income]],0)</f>
        <v>0</v>
      </c>
      <c r="CO136" s="20">
        <f ca="1">IF(Table1[[#This Row],[County]]="Northumberland",Table1[[#This Row],[income]],0)</f>
        <v>0</v>
      </c>
      <c r="CP136" s="20">
        <f ca="1">IF(Table1[[#This Row],[County]]="Wiltshire",Table1[[#This Row],[income]],0)</f>
        <v>0</v>
      </c>
      <c r="CQ136" s="20">
        <f ca="1">IF(Table1[[#This Row],[County]]="West Midlands",Table1[[#This Row],[income]],0)</f>
        <v>0</v>
      </c>
      <c r="CR136" s="20">
        <f ca="1">IF(Table1[[#This Row],[County]]="Warwickshire",Table1[[#This Row],[income]],0)</f>
        <v>0</v>
      </c>
      <c r="CS136" s="20">
        <f ca="1">IF(Table1[[#This Row],[County]]="Tyne and Wear",Table1[[#This Row],[income]],0)</f>
        <v>0</v>
      </c>
      <c r="CT136" s="20">
        <f ca="1">IF(Table1[[#This Row],[County]]="Worcestershire",Table1[[#This Row],[income]],0)</f>
        <v>0</v>
      </c>
      <c r="CU136" s="20">
        <f ca="1">IF(Table1[[#This Row],[County]]="Rutland",Table1[[#This Row],[income]],0)</f>
        <v>0</v>
      </c>
      <c r="CV136" s="20">
        <f ca="1">IF(Table1[[#This Row],[County]]="Shropshire",Table1[[#This Row],[income]],0)</f>
        <v>0</v>
      </c>
      <c r="CW136" s="20">
        <f ca="1">IF(Table1[[#This Row],[County]]="Dorset",Table1[[#This Row],[income]],0)</f>
        <v>0</v>
      </c>
      <c r="CX136" s="20">
        <f ca="1">IF(Table1[[#This Row],[County]]="Buckinghamshire",Table1[[#This Row],[income]],0)</f>
        <v>0</v>
      </c>
      <c r="CY136" s="20">
        <f ca="1">IF(Table1[[#This Row],[County]]="Suffolk",Table1[[#This Row],[income]],0)</f>
        <v>0</v>
      </c>
      <c r="CZ136" s="20">
        <f ca="1">IF(Table1[[#This Row],[County]]="North Yorkshire",Table1[[#This Row],[income]],0)</f>
        <v>0</v>
      </c>
      <c r="DA136" s="20">
        <f ca="1">IF(Table1[[#This Row],[County]]="Kent",Table1[[#This Row],[income]],0)</f>
        <v>0</v>
      </c>
      <c r="DB136" s="5">
        <f ca="1">IF(Table1[[#This Row],[County]]="Derbyshire",Table1[[#This Row],[income]],0)</f>
        <v>0</v>
      </c>
      <c r="DD136" s="6">
        <f ca="1">IF(Table1[[#This Row],[Column1]]="Health",Table1[[#This Row],[income]],0)</f>
        <v>69897</v>
      </c>
      <c r="DE136" s="20">
        <f ca="1">IF(Table1[[#This Row],[Column1]]="Agriculture",Table1[[#This Row],[income]],0)</f>
        <v>0</v>
      </c>
      <c r="DF136" s="20">
        <f ca="1">IF(Table1[[#This Row],[Column1]]="Technology",Table1[[#This Row],[income]],0)</f>
        <v>0</v>
      </c>
      <c r="DG136" s="20">
        <f ca="1">IF(Table1[[#This Row],[Column1]]="Social Service",Table1[[#This Row],[income]],0)</f>
        <v>0</v>
      </c>
      <c r="DH136" s="20">
        <f ca="1">IF(Table1[[#This Row],[Column1]]="Education",Table1[[#This Row],[income]],0)</f>
        <v>0</v>
      </c>
      <c r="DI136" s="5">
        <f ca="1">IF(Table1[[#This Row],[Column1]]="Construction",Table1[[#This Row],[income]],0)</f>
        <v>0</v>
      </c>
      <c r="DK136" s="6">
        <f ca="1">IF(Table1[[#This Row],[Value of Debts]]&gt;Table1[[#This Row],[income]],1,0)</f>
        <v>1</v>
      </c>
      <c r="DL136" s="20"/>
      <c r="DM136" s="20"/>
      <c r="DN136" s="5"/>
      <c r="DP136" s="6">
        <f ca="1">IF(Table1[[#This Row],[Net Worth (£)]]&gt;$DS$5,C136,0)</f>
        <v>0</v>
      </c>
      <c r="DQ136" s="20"/>
      <c r="DR136" s="20"/>
      <c r="DS136" s="5"/>
    </row>
    <row r="137" spans="1:123" x14ac:dyDescent="0.2">
      <c r="A137">
        <f t="shared" ca="1" si="7"/>
        <v>1</v>
      </c>
      <c r="B137" s="1" t="str">
        <f ca="1">IF(A137=1, "men", "women")</f>
        <v>men</v>
      </c>
      <c r="C137" s="1">
        <f ca="1">RANDBETWEEN(25,50)</f>
        <v>44</v>
      </c>
      <c r="D137">
        <f ca="1">RANDBETWEEN(1,6)</f>
        <v>4</v>
      </c>
      <c r="E137" t="str">
        <f ca="1">VLOOKUP(D137,$W$5:$X$10,2)</f>
        <v>Technology</v>
      </c>
      <c r="F137">
        <f ca="1">RANDBETWEEN(1,5)</f>
        <v>1</v>
      </c>
      <c r="G137" t="str">
        <f ca="1">VLOOKUP(F137,$Y$5:$Z$9,2)</f>
        <v>High School</v>
      </c>
      <c r="H137">
        <f ca="1">RANDBETWEEN(0,4)</f>
        <v>4</v>
      </c>
      <c r="I137">
        <f ca="1">RANDBETWEEN(1,3)</f>
        <v>3</v>
      </c>
      <c r="J137">
        <f ca="1">RANDBETWEEN(30000,100000)</f>
        <v>79608</v>
      </c>
      <c r="K137">
        <f ca="1">RANDBETWEEN(1,48)</f>
        <v>34</v>
      </c>
      <c r="L137" t="str">
        <f ca="1">VLOOKUP(K137,$AA$5:$AB$52,2)</f>
        <v>Oxfordshire</v>
      </c>
      <c r="M137">
        <f ca="1">J137*(RANDBETWEEN(2,5))</f>
        <v>159216</v>
      </c>
      <c r="N137">
        <f ca="1">RAND()*M137</f>
        <v>24176.049457307356</v>
      </c>
      <c r="O137">
        <f ca="1">I137*RAND()*J137</f>
        <v>220628.12276602659</v>
      </c>
      <c r="P137">
        <f ca="1">RANDBETWEEN(0,O137)</f>
        <v>215484</v>
      </c>
      <c r="Q137">
        <f ca="1">RAND()*J137*2</f>
        <v>158050.3648726425</v>
      </c>
      <c r="R137">
        <f ca="1">RAND()*J137*1.5</f>
        <v>84718.634352669105</v>
      </c>
      <c r="S137">
        <f ca="1">J137+R137+O137</f>
        <v>384954.75711869571</v>
      </c>
      <c r="T137">
        <f ca="1">N137+P137+Q137</f>
        <v>397710.41432994988</v>
      </c>
      <c r="U137">
        <f ca="1">S137-T137</f>
        <v>-12755.657211254176</v>
      </c>
      <c r="AC137" s="6">
        <f ca="1">IF(Table1[[#This Row],[gender]]="men",1,0)</f>
        <v>1</v>
      </c>
      <c r="AD137">
        <f ca="1">IF(Table1[[#This Row],[gender]]="women",1,0)</f>
        <v>0</v>
      </c>
      <c r="AH137" s="5"/>
      <c r="AJ137" s="6">
        <f ca="1">IF(Table1[[#This Row],[Column1]]="Health",1,0)</f>
        <v>0</v>
      </c>
      <c r="AK137">
        <f ca="1">IF(Table1[[#This Row],[Column1]]="Construction",1,0)</f>
        <v>0</v>
      </c>
      <c r="AL137">
        <f ca="1">IF(Table1[[#This Row],[Column1]]="Technology",1,0)</f>
        <v>1</v>
      </c>
      <c r="AM137">
        <f ca="1">IF(Table1[[#This Row],[Column1]]="Education",1,0)</f>
        <v>0</v>
      </c>
      <c r="AN137">
        <f ca="1">IF(Table1[[#This Row],[Column1]]="Agriculture",1,0)</f>
        <v>0</v>
      </c>
      <c r="AO137">
        <f ca="1">IF(Table1[[#This Row],[Column1]]="Social Service", 1, 0)</f>
        <v>0</v>
      </c>
      <c r="AT137" s="5"/>
      <c r="AV137" s="17">
        <f t="shared" ca="1" si="6"/>
        <v>72768.914458972227</v>
      </c>
      <c r="AW137" s="5"/>
      <c r="AX137" s="6">
        <f ca="1">IF(Table1[[#This Row],[Value of Debts]]&gt;$AY$4,1,0)</f>
        <v>1</v>
      </c>
      <c r="AY137" s="20"/>
      <c r="AZ137" s="20"/>
      <c r="BA137" s="5"/>
      <c r="BB137" s="25">
        <f ca="1">Table1[[#This Row],[Mortage Left]]/Table1[[#This Row],[Value of House]]</f>
        <v>0.15184434640555822</v>
      </c>
      <c r="BC137" s="20">
        <f t="shared" ca="1" si="8"/>
        <v>1</v>
      </c>
      <c r="BD137" s="20"/>
      <c r="BE137" s="20"/>
      <c r="BF137" s="20"/>
      <c r="BG137" s="6">
        <f ca="1">IF(Table1[[#This Row],[County]]="Cumbria",Table1[[#This Row],[income]],0)</f>
        <v>0</v>
      </c>
      <c r="BH137" s="20">
        <f ca="1">IF(Table1[[#This Row],[County]]="Cheshire",Table1[[#This Row],[income]],0)</f>
        <v>0</v>
      </c>
      <c r="BI137" s="20">
        <f ca="1">IF(Table1[[#This Row],[County]]="Bristol",Table1[[#This Row],[income]],0)</f>
        <v>0</v>
      </c>
      <c r="BJ137" s="20">
        <f ca="1">IF(Table1[[#This Row],[County]]="Surrey",Table1[[#This Row],[income]],0)</f>
        <v>0</v>
      </c>
      <c r="BK137" s="20">
        <f ca="1">IF(Table1[[#This Row],[County]]="Norfolk",Table1[[#This Row],[income]],0)</f>
        <v>0</v>
      </c>
      <c r="BL137" s="20">
        <f ca="1">IF(Table1[[#This Row],[County]]="Lincolnshire",Table1[[#This Row],[income]],0)</f>
        <v>0</v>
      </c>
      <c r="BM137" s="20">
        <f ca="1">IF(Table1[[#This Row],[County]]="Somerset",Table1[[#This Row],[income]],0)</f>
        <v>0</v>
      </c>
      <c r="BN137" s="20">
        <f ca="1">IF(Table1[[#This Row],[County]]="Cambridgeshire",Table1[[#This Row],[income]],0)</f>
        <v>0</v>
      </c>
      <c r="BO137" s="20">
        <f ca="1">IF(Table1[[#This Row],[County]]="South Yorkshire",Table1[[#This Row],[income]],0)</f>
        <v>0</v>
      </c>
      <c r="BP137" s="20">
        <f ca="1">IF(Table1[[#This Row],[County]]="Greater London",Table1[[#This Row],[income]],0)</f>
        <v>0</v>
      </c>
      <c r="BQ137" s="20">
        <f ca="1">IF(Table1[[#This Row],[County]]="Hampshire",Table1[[#This Row],[income]],0)</f>
        <v>0</v>
      </c>
      <c r="BR137" s="20">
        <f ca="1">IF(Table1[[#This Row],[County]]="Gloucestershire",Table1[[#This Row],[income]],0)</f>
        <v>0</v>
      </c>
      <c r="BS137" s="20">
        <f ca="1">IF(Table1[[#This Row],[County]]="West Sussex",Table1[[#This Row],[income]],0)</f>
        <v>0</v>
      </c>
      <c r="BT137" s="20">
        <f ca="1">IF(Table1[[#This Row],[County]]="Devon",Table1[[#This Row],[income]],0)</f>
        <v>0</v>
      </c>
      <c r="BU137" s="20">
        <f ca="1">IF(Table1[[#This Row],[County]]="Berkshire",Table1[[#This Row],[income]],0)</f>
        <v>0</v>
      </c>
      <c r="BV137" s="20">
        <f ca="1">IF(Table1[[#This Row],[County]]="Staffordshire",Table1[[#This Row],[income]],0)</f>
        <v>0</v>
      </c>
      <c r="BW137" s="20">
        <f ca="1">IF(Table1[[#This Row],[County]]="Leicestershire",Table1[[#This Row],[income]],0)</f>
        <v>0</v>
      </c>
      <c r="BX137" s="20">
        <f ca="1">IF(Table1[[#This Row],[County]]="Cornwall",Table1[[#This Row],[income]],0)</f>
        <v>0</v>
      </c>
      <c r="BY137" s="20">
        <f ca="1">IF(Table1[[#This Row],[County]]="Isle of Wight",Table1[[#This Row],[income]],0)</f>
        <v>0</v>
      </c>
      <c r="BZ137" s="20">
        <f ca="1">IF(Table1[[#This Row],[County]]="Surrey",Table1[[#This Row],[income]],0)</f>
        <v>0</v>
      </c>
      <c r="CA137" s="20">
        <f ca="1">IF(Table1[[#This Row],[County]]="Derbyshire",Table1[[#This Row],[income]],0)</f>
        <v>0</v>
      </c>
      <c r="CB137" s="20">
        <f ca="1">IF(Table1[[#This Row],[County]]="City of London",Table1[[#This Row],[income]],0)</f>
        <v>0</v>
      </c>
      <c r="CC137" s="20">
        <f ca="1">IF(Table1[[#This Row],[County]]="Bedfordshire",Table1[[#This Row],[income]],0)</f>
        <v>0</v>
      </c>
      <c r="CD137" s="20">
        <f ca="1">IF(Table1[[#This Row],[County]]="County Durham",Table1[[#This Row],[income]],0)</f>
        <v>0</v>
      </c>
      <c r="CE137" s="20">
        <f ca="1">IF(Table1[[#This Row],[County]]="East Riding of Yorkshire",Table1[[#This Row],[income]],0)</f>
        <v>0</v>
      </c>
      <c r="CF137" s="20">
        <f ca="1">IF(Table1[[#This Row],[County]]="West Yorkshire",Table1[[#This Row],[income]],0)</f>
        <v>0</v>
      </c>
      <c r="CG137" s="20">
        <f ca="1">IF(Table1[[#This Row],[County]]="Essex",Table1[[#This Row],[income]],0)</f>
        <v>0</v>
      </c>
      <c r="CH137" s="20">
        <f ca="1">IF(Table1[[#This Row],[County]]="East Sussex",Table1[[#This Row],[income]],0)</f>
        <v>0</v>
      </c>
      <c r="CI137" s="20">
        <f ca="1">IF(Table1[[#This Row],[County]]="Greater Manchester",Table1[[#This Row],[income]],0)</f>
        <v>0</v>
      </c>
      <c r="CJ137" s="20">
        <f ca="1">IF(Table1[[#This Row],[County]]="Hertfordshire",Table1[[#This Row],[income]],0)</f>
        <v>0</v>
      </c>
      <c r="CK137" s="20">
        <f ca="1">IF(Table1[[#This Row],[County]]="Herefordshire",Table1[[#This Row],[income]],0)</f>
        <v>0</v>
      </c>
      <c r="CL137" s="20">
        <f ca="1">IF(Table1[[#This Row],[County]]="Lancashire",Table1[[#This Row],[income]],0)</f>
        <v>0</v>
      </c>
      <c r="CM137" s="20">
        <f ca="1">IF(Table1[[#This Row],[County]]="Merseyside",Table1[[#This Row],[income]],0)</f>
        <v>0</v>
      </c>
      <c r="CN137" s="20">
        <f ca="1">IF(Table1[[#This Row],[County]]="Northamptonshire",Table1[[#This Row],[income]],0)</f>
        <v>0</v>
      </c>
      <c r="CO137" s="20">
        <f ca="1">IF(Table1[[#This Row],[County]]="Northumberland",Table1[[#This Row],[income]],0)</f>
        <v>0</v>
      </c>
      <c r="CP137" s="20">
        <f ca="1">IF(Table1[[#This Row],[County]]="Wiltshire",Table1[[#This Row],[income]],0)</f>
        <v>0</v>
      </c>
      <c r="CQ137" s="20">
        <f ca="1">IF(Table1[[#This Row],[County]]="West Midlands",Table1[[#This Row],[income]],0)</f>
        <v>0</v>
      </c>
      <c r="CR137" s="20">
        <f ca="1">IF(Table1[[#This Row],[County]]="Warwickshire",Table1[[#This Row],[income]],0)</f>
        <v>0</v>
      </c>
      <c r="CS137" s="20">
        <f ca="1">IF(Table1[[#This Row],[County]]="Tyne and Wear",Table1[[#This Row],[income]],0)</f>
        <v>0</v>
      </c>
      <c r="CT137" s="20">
        <f ca="1">IF(Table1[[#This Row],[County]]="Worcestershire",Table1[[#This Row],[income]],0)</f>
        <v>0</v>
      </c>
      <c r="CU137" s="20">
        <f ca="1">IF(Table1[[#This Row],[County]]="Rutland",Table1[[#This Row],[income]],0)</f>
        <v>0</v>
      </c>
      <c r="CV137" s="20">
        <f ca="1">IF(Table1[[#This Row],[County]]="Shropshire",Table1[[#This Row],[income]],0)</f>
        <v>0</v>
      </c>
      <c r="CW137" s="20">
        <f ca="1">IF(Table1[[#This Row],[County]]="Dorset",Table1[[#This Row],[income]],0)</f>
        <v>0</v>
      </c>
      <c r="CX137" s="20">
        <f ca="1">IF(Table1[[#This Row],[County]]="Buckinghamshire",Table1[[#This Row],[income]],0)</f>
        <v>0</v>
      </c>
      <c r="CY137" s="20">
        <f ca="1">IF(Table1[[#This Row],[County]]="Suffolk",Table1[[#This Row],[income]],0)</f>
        <v>0</v>
      </c>
      <c r="CZ137" s="20">
        <f ca="1">IF(Table1[[#This Row],[County]]="North Yorkshire",Table1[[#This Row],[income]],0)</f>
        <v>0</v>
      </c>
      <c r="DA137" s="20">
        <f ca="1">IF(Table1[[#This Row],[County]]="Kent",Table1[[#This Row],[income]],0)</f>
        <v>0</v>
      </c>
      <c r="DB137" s="5">
        <f ca="1">IF(Table1[[#This Row],[County]]="Derbyshire",Table1[[#This Row],[income]],0)</f>
        <v>0</v>
      </c>
      <c r="DD137" s="6">
        <f ca="1">IF(Table1[[#This Row],[Column1]]="Health",Table1[[#This Row],[income]],0)</f>
        <v>0</v>
      </c>
      <c r="DE137" s="20">
        <f ca="1">IF(Table1[[#This Row],[Column1]]="Agriculture",Table1[[#This Row],[income]],0)</f>
        <v>0</v>
      </c>
      <c r="DF137" s="20">
        <f ca="1">IF(Table1[[#This Row],[Column1]]="Technology",Table1[[#This Row],[income]],0)</f>
        <v>79608</v>
      </c>
      <c r="DG137" s="20">
        <f ca="1">IF(Table1[[#This Row],[Column1]]="Social Service",Table1[[#This Row],[income]],0)</f>
        <v>0</v>
      </c>
      <c r="DH137" s="20">
        <f ca="1">IF(Table1[[#This Row],[Column1]]="Education",Table1[[#This Row],[income]],0)</f>
        <v>0</v>
      </c>
      <c r="DI137" s="5">
        <f ca="1">IF(Table1[[#This Row],[Column1]]="Construction",Table1[[#This Row],[income]],0)</f>
        <v>0</v>
      </c>
      <c r="DK137" s="6">
        <f ca="1">IF(Table1[[#This Row],[Value of Debts]]&gt;Table1[[#This Row],[income]],1,0)</f>
        <v>1</v>
      </c>
      <c r="DL137" s="20"/>
      <c r="DM137" s="20"/>
      <c r="DN137" s="5"/>
      <c r="DP137" s="6">
        <f ca="1">IF(Table1[[#This Row],[Net Worth (£)]]&gt;$DS$5,C137,0)</f>
        <v>0</v>
      </c>
      <c r="DQ137" s="20"/>
      <c r="DR137" s="20"/>
      <c r="DS137" s="5"/>
    </row>
    <row r="138" spans="1:123" x14ac:dyDescent="0.2">
      <c r="A138">
        <f t="shared" ca="1" si="7"/>
        <v>2</v>
      </c>
      <c r="B138" s="1" t="str">
        <f ca="1">IF(A138=1, "men", "women")</f>
        <v>women</v>
      </c>
      <c r="C138" s="1">
        <f ca="1">RANDBETWEEN(25,50)</f>
        <v>27</v>
      </c>
      <c r="D138">
        <f ca="1">RANDBETWEEN(1,6)</f>
        <v>4</v>
      </c>
      <c r="E138" t="str">
        <f ca="1">VLOOKUP(D138,$W$5:$X$10,2)</f>
        <v>Technology</v>
      </c>
      <c r="F138">
        <f ca="1">RANDBETWEEN(1,5)</f>
        <v>4</v>
      </c>
      <c r="G138" t="str">
        <f ca="1">VLOOKUP(F138,$Y$5:$Z$9,2)</f>
        <v xml:space="preserve">Technical </v>
      </c>
      <c r="H138">
        <f ca="1">RANDBETWEEN(0,4)</f>
        <v>4</v>
      </c>
      <c r="I138">
        <f ca="1">RANDBETWEEN(1,3)</f>
        <v>2</v>
      </c>
      <c r="J138">
        <f ca="1">RANDBETWEEN(30000,100000)</f>
        <v>81807</v>
      </c>
      <c r="K138">
        <f ca="1">RANDBETWEEN(1,48)</f>
        <v>30</v>
      </c>
      <c r="L138" t="str">
        <f ca="1">VLOOKUP(K138,$AA$5:$AB$52,2)</f>
        <v>North Yorkshire</v>
      </c>
      <c r="M138">
        <f ca="1">J138*(RANDBETWEEN(2,5))</f>
        <v>245421</v>
      </c>
      <c r="N138">
        <f ca="1">RAND()*M138</f>
        <v>157117.80726347753</v>
      </c>
      <c r="O138">
        <f ca="1">I138*RAND()*J138</f>
        <v>145537.82891794445</v>
      </c>
      <c r="P138">
        <f ca="1">RANDBETWEEN(0,O138)</f>
        <v>9397</v>
      </c>
      <c r="Q138">
        <f ca="1">RAND()*J138*2</f>
        <v>134459.88029277488</v>
      </c>
      <c r="R138">
        <f ca="1">RAND()*J138*1.5</f>
        <v>66036.449822569324</v>
      </c>
      <c r="S138">
        <f ca="1">J138+R138+O138</f>
        <v>293381.27874051378</v>
      </c>
      <c r="T138">
        <f ca="1">N138+P138+Q138</f>
        <v>300974.68755625241</v>
      </c>
      <c r="U138">
        <f ca="1">S138-T138</f>
        <v>-7593.4088157386286</v>
      </c>
      <c r="AC138" s="6">
        <f ca="1">IF(Table1[[#This Row],[gender]]="men",1,0)</f>
        <v>0</v>
      </c>
      <c r="AD138">
        <f ca="1">IF(Table1[[#This Row],[gender]]="women",1,0)</f>
        <v>1</v>
      </c>
      <c r="AH138" s="5"/>
      <c r="AJ138" s="6">
        <f ca="1">IF(Table1[[#This Row],[Column1]]="Health",1,0)</f>
        <v>0</v>
      </c>
      <c r="AK138">
        <f ca="1">IF(Table1[[#This Row],[Column1]]="Construction",1,0)</f>
        <v>0</v>
      </c>
      <c r="AL138">
        <f ca="1">IF(Table1[[#This Row],[Column1]]="Technology",1,0)</f>
        <v>1</v>
      </c>
      <c r="AM138">
        <f ca="1">IF(Table1[[#This Row],[Column1]]="Education",1,0)</f>
        <v>0</v>
      </c>
      <c r="AN138">
        <f ca="1">IF(Table1[[#This Row],[Column1]]="Agriculture",1,0)</f>
        <v>0</v>
      </c>
      <c r="AO138">
        <f ca="1">IF(Table1[[#This Row],[Column1]]="Social Service", 1, 0)</f>
        <v>0</v>
      </c>
      <c r="AT138" s="5"/>
      <c r="AV138" s="17">
        <f t="shared" ca="1" si="6"/>
        <v>20353.668029613054</v>
      </c>
      <c r="AW138" s="5"/>
      <c r="AX138" s="6">
        <f ca="1">IF(Table1[[#This Row],[Value of Debts]]&gt;$AY$4,1,0)</f>
        <v>1</v>
      </c>
      <c r="AY138" s="20"/>
      <c r="AZ138" s="20"/>
      <c r="BA138" s="5"/>
      <c r="BB138" s="25">
        <f ca="1">Table1[[#This Row],[Mortage Left]]/Table1[[#This Row],[Value of House]]</f>
        <v>0.64019707874826326</v>
      </c>
      <c r="BC138" s="20">
        <f t="shared" ca="1" si="8"/>
        <v>0</v>
      </c>
      <c r="BD138" s="20"/>
      <c r="BE138" s="20"/>
      <c r="BF138" s="20"/>
      <c r="BG138" s="6">
        <f ca="1">IF(Table1[[#This Row],[County]]="Cumbria",Table1[[#This Row],[income]],0)</f>
        <v>0</v>
      </c>
      <c r="BH138" s="20">
        <f ca="1">IF(Table1[[#This Row],[County]]="Cheshire",Table1[[#This Row],[income]],0)</f>
        <v>0</v>
      </c>
      <c r="BI138" s="20">
        <f ca="1">IF(Table1[[#This Row],[County]]="Bristol",Table1[[#This Row],[income]],0)</f>
        <v>0</v>
      </c>
      <c r="BJ138" s="20">
        <f ca="1">IF(Table1[[#This Row],[County]]="Surrey",Table1[[#This Row],[income]],0)</f>
        <v>0</v>
      </c>
      <c r="BK138" s="20">
        <f ca="1">IF(Table1[[#This Row],[County]]="Norfolk",Table1[[#This Row],[income]],0)</f>
        <v>0</v>
      </c>
      <c r="BL138" s="20">
        <f ca="1">IF(Table1[[#This Row],[County]]="Lincolnshire",Table1[[#This Row],[income]],0)</f>
        <v>0</v>
      </c>
      <c r="BM138" s="20">
        <f ca="1">IF(Table1[[#This Row],[County]]="Somerset",Table1[[#This Row],[income]],0)</f>
        <v>0</v>
      </c>
      <c r="BN138" s="20">
        <f ca="1">IF(Table1[[#This Row],[County]]="Cambridgeshire",Table1[[#This Row],[income]],0)</f>
        <v>0</v>
      </c>
      <c r="BO138" s="20">
        <f ca="1">IF(Table1[[#This Row],[County]]="South Yorkshire",Table1[[#This Row],[income]],0)</f>
        <v>0</v>
      </c>
      <c r="BP138" s="20">
        <f ca="1">IF(Table1[[#This Row],[County]]="Greater London",Table1[[#This Row],[income]],0)</f>
        <v>0</v>
      </c>
      <c r="BQ138" s="20">
        <f ca="1">IF(Table1[[#This Row],[County]]="Hampshire",Table1[[#This Row],[income]],0)</f>
        <v>0</v>
      </c>
      <c r="BR138" s="20">
        <f ca="1">IF(Table1[[#This Row],[County]]="Gloucestershire",Table1[[#This Row],[income]],0)</f>
        <v>0</v>
      </c>
      <c r="BS138" s="20">
        <f ca="1">IF(Table1[[#This Row],[County]]="West Sussex",Table1[[#This Row],[income]],0)</f>
        <v>0</v>
      </c>
      <c r="BT138" s="20">
        <f ca="1">IF(Table1[[#This Row],[County]]="Devon",Table1[[#This Row],[income]],0)</f>
        <v>0</v>
      </c>
      <c r="BU138" s="20">
        <f ca="1">IF(Table1[[#This Row],[County]]="Berkshire",Table1[[#This Row],[income]],0)</f>
        <v>0</v>
      </c>
      <c r="BV138" s="20">
        <f ca="1">IF(Table1[[#This Row],[County]]="Staffordshire",Table1[[#This Row],[income]],0)</f>
        <v>0</v>
      </c>
      <c r="BW138" s="20">
        <f ca="1">IF(Table1[[#This Row],[County]]="Leicestershire",Table1[[#This Row],[income]],0)</f>
        <v>0</v>
      </c>
      <c r="BX138" s="20">
        <f ca="1">IF(Table1[[#This Row],[County]]="Cornwall",Table1[[#This Row],[income]],0)</f>
        <v>0</v>
      </c>
      <c r="BY138" s="20">
        <f ca="1">IF(Table1[[#This Row],[County]]="Isle of Wight",Table1[[#This Row],[income]],0)</f>
        <v>0</v>
      </c>
      <c r="BZ138" s="20">
        <f ca="1">IF(Table1[[#This Row],[County]]="Surrey",Table1[[#This Row],[income]],0)</f>
        <v>0</v>
      </c>
      <c r="CA138" s="20">
        <f ca="1">IF(Table1[[#This Row],[County]]="Derbyshire",Table1[[#This Row],[income]],0)</f>
        <v>0</v>
      </c>
      <c r="CB138" s="20">
        <f ca="1">IF(Table1[[#This Row],[County]]="City of London",Table1[[#This Row],[income]],0)</f>
        <v>0</v>
      </c>
      <c r="CC138" s="20">
        <f ca="1">IF(Table1[[#This Row],[County]]="Bedfordshire",Table1[[#This Row],[income]],0)</f>
        <v>0</v>
      </c>
      <c r="CD138" s="20">
        <f ca="1">IF(Table1[[#This Row],[County]]="County Durham",Table1[[#This Row],[income]],0)</f>
        <v>0</v>
      </c>
      <c r="CE138" s="20">
        <f ca="1">IF(Table1[[#This Row],[County]]="East Riding of Yorkshire",Table1[[#This Row],[income]],0)</f>
        <v>0</v>
      </c>
      <c r="CF138" s="20">
        <f ca="1">IF(Table1[[#This Row],[County]]="West Yorkshire",Table1[[#This Row],[income]],0)</f>
        <v>0</v>
      </c>
      <c r="CG138" s="20">
        <f ca="1">IF(Table1[[#This Row],[County]]="Essex",Table1[[#This Row],[income]],0)</f>
        <v>0</v>
      </c>
      <c r="CH138" s="20">
        <f ca="1">IF(Table1[[#This Row],[County]]="East Sussex",Table1[[#This Row],[income]],0)</f>
        <v>0</v>
      </c>
      <c r="CI138" s="20">
        <f ca="1">IF(Table1[[#This Row],[County]]="Greater Manchester",Table1[[#This Row],[income]],0)</f>
        <v>0</v>
      </c>
      <c r="CJ138" s="20">
        <f ca="1">IF(Table1[[#This Row],[County]]="Hertfordshire",Table1[[#This Row],[income]],0)</f>
        <v>0</v>
      </c>
      <c r="CK138" s="20">
        <f ca="1">IF(Table1[[#This Row],[County]]="Herefordshire",Table1[[#This Row],[income]],0)</f>
        <v>0</v>
      </c>
      <c r="CL138" s="20">
        <f ca="1">IF(Table1[[#This Row],[County]]="Lancashire",Table1[[#This Row],[income]],0)</f>
        <v>0</v>
      </c>
      <c r="CM138" s="20">
        <f ca="1">IF(Table1[[#This Row],[County]]="Merseyside",Table1[[#This Row],[income]],0)</f>
        <v>0</v>
      </c>
      <c r="CN138" s="20">
        <f ca="1">IF(Table1[[#This Row],[County]]="Northamptonshire",Table1[[#This Row],[income]],0)</f>
        <v>0</v>
      </c>
      <c r="CO138" s="20">
        <f ca="1">IF(Table1[[#This Row],[County]]="Northumberland",Table1[[#This Row],[income]],0)</f>
        <v>0</v>
      </c>
      <c r="CP138" s="20">
        <f ca="1">IF(Table1[[#This Row],[County]]="Wiltshire",Table1[[#This Row],[income]],0)</f>
        <v>0</v>
      </c>
      <c r="CQ138" s="20">
        <f ca="1">IF(Table1[[#This Row],[County]]="West Midlands",Table1[[#This Row],[income]],0)</f>
        <v>0</v>
      </c>
      <c r="CR138" s="20">
        <f ca="1">IF(Table1[[#This Row],[County]]="Warwickshire",Table1[[#This Row],[income]],0)</f>
        <v>0</v>
      </c>
      <c r="CS138" s="20">
        <f ca="1">IF(Table1[[#This Row],[County]]="Tyne and Wear",Table1[[#This Row],[income]],0)</f>
        <v>0</v>
      </c>
      <c r="CT138" s="20">
        <f ca="1">IF(Table1[[#This Row],[County]]="Worcestershire",Table1[[#This Row],[income]],0)</f>
        <v>0</v>
      </c>
      <c r="CU138" s="20">
        <f ca="1">IF(Table1[[#This Row],[County]]="Rutland",Table1[[#This Row],[income]],0)</f>
        <v>0</v>
      </c>
      <c r="CV138" s="20">
        <f ca="1">IF(Table1[[#This Row],[County]]="Shropshire",Table1[[#This Row],[income]],0)</f>
        <v>0</v>
      </c>
      <c r="CW138" s="20">
        <f ca="1">IF(Table1[[#This Row],[County]]="Dorset",Table1[[#This Row],[income]],0)</f>
        <v>0</v>
      </c>
      <c r="CX138" s="20">
        <f ca="1">IF(Table1[[#This Row],[County]]="Buckinghamshire",Table1[[#This Row],[income]],0)</f>
        <v>0</v>
      </c>
      <c r="CY138" s="20">
        <f ca="1">IF(Table1[[#This Row],[County]]="Suffolk",Table1[[#This Row],[income]],0)</f>
        <v>0</v>
      </c>
      <c r="CZ138" s="20">
        <f ca="1">IF(Table1[[#This Row],[County]]="North Yorkshire",Table1[[#This Row],[income]],0)</f>
        <v>81807</v>
      </c>
      <c r="DA138" s="20">
        <f ca="1">IF(Table1[[#This Row],[County]]="Kent",Table1[[#This Row],[income]],0)</f>
        <v>0</v>
      </c>
      <c r="DB138" s="5">
        <f ca="1">IF(Table1[[#This Row],[County]]="Derbyshire",Table1[[#This Row],[income]],0)</f>
        <v>0</v>
      </c>
      <c r="DD138" s="6">
        <f ca="1">IF(Table1[[#This Row],[Column1]]="Health",Table1[[#This Row],[income]],0)</f>
        <v>0</v>
      </c>
      <c r="DE138" s="20">
        <f ca="1">IF(Table1[[#This Row],[Column1]]="Agriculture",Table1[[#This Row],[income]],0)</f>
        <v>0</v>
      </c>
      <c r="DF138" s="20">
        <f ca="1">IF(Table1[[#This Row],[Column1]]="Technology",Table1[[#This Row],[income]],0)</f>
        <v>81807</v>
      </c>
      <c r="DG138" s="20">
        <f ca="1">IF(Table1[[#This Row],[Column1]]="Social Service",Table1[[#This Row],[income]],0)</f>
        <v>0</v>
      </c>
      <c r="DH138" s="20">
        <f ca="1">IF(Table1[[#This Row],[Column1]]="Education",Table1[[#This Row],[income]],0)</f>
        <v>0</v>
      </c>
      <c r="DI138" s="5">
        <f ca="1">IF(Table1[[#This Row],[Column1]]="Construction",Table1[[#This Row],[income]],0)</f>
        <v>0</v>
      </c>
      <c r="DK138" s="6">
        <f ca="1">IF(Table1[[#This Row],[Value of Debts]]&gt;Table1[[#This Row],[income]],1,0)</f>
        <v>1</v>
      </c>
      <c r="DL138" s="20"/>
      <c r="DM138" s="20"/>
      <c r="DN138" s="5"/>
      <c r="DP138" s="6">
        <f ca="1">IF(Table1[[#This Row],[Net Worth (£)]]&gt;$DS$5,C138,0)</f>
        <v>0</v>
      </c>
      <c r="DQ138" s="20"/>
      <c r="DR138" s="20"/>
      <c r="DS138" s="5"/>
    </row>
    <row r="139" spans="1:123" x14ac:dyDescent="0.2">
      <c r="A139">
        <f t="shared" ca="1" si="7"/>
        <v>2</v>
      </c>
      <c r="B139" s="1" t="str">
        <f ca="1">IF(A139=1, "men", "women")</f>
        <v>women</v>
      </c>
      <c r="C139" s="1">
        <f ca="1">RANDBETWEEN(25,50)</f>
        <v>44</v>
      </c>
      <c r="D139">
        <f ca="1">RANDBETWEEN(1,6)</f>
        <v>2</v>
      </c>
      <c r="E139" t="str">
        <f ca="1">VLOOKUP(D139,$W$5:$X$10,2)</f>
        <v>Construction</v>
      </c>
      <c r="F139">
        <f ca="1">RANDBETWEEN(1,5)</f>
        <v>4</v>
      </c>
      <c r="G139" t="str">
        <f ca="1">VLOOKUP(F139,$Y$5:$Z$9,2)</f>
        <v xml:space="preserve">Technical </v>
      </c>
      <c r="H139">
        <f ca="1">RANDBETWEEN(0,4)</f>
        <v>0</v>
      </c>
      <c r="I139">
        <f ca="1">RANDBETWEEN(1,3)</f>
        <v>3</v>
      </c>
      <c r="J139">
        <f ca="1">RANDBETWEEN(30000,100000)</f>
        <v>61853</v>
      </c>
      <c r="K139">
        <f ca="1">RANDBETWEEN(1,48)</f>
        <v>40</v>
      </c>
      <c r="L139" t="str">
        <f ca="1">VLOOKUP(K139,$AA$5:$AB$52,2)</f>
        <v>Suffolk</v>
      </c>
      <c r="M139">
        <f ca="1">J139*(RANDBETWEEN(2,5))</f>
        <v>247412</v>
      </c>
      <c r="N139">
        <f ca="1">RAND()*M139</f>
        <v>32855.802187312845</v>
      </c>
      <c r="O139">
        <f ca="1">I139*RAND()*J139</f>
        <v>61061.004088839167</v>
      </c>
      <c r="P139">
        <f ca="1">RANDBETWEEN(0,O139)</f>
        <v>3892</v>
      </c>
      <c r="Q139">
        <f ca="1">RAND()*J139*2</f>
        <v>29207.619988766968</v>
      </c>
      <c r="R139">
        <f ca="1">RAND()*J139*1.5</f>
        <v>43874.831733754298</v>
      </c>
      <c r="S139">
        <f ca="1">J139+R139+O139</f>
        <v>166788.83582259348</v>
      </c>
      <c r="T139">
        <f ca="1">N139+P139+Q139</f>
        <v>65955.42217607981</v>
      </c>
      <c r="U139">
        <f ca="1">S139-T139</f>
        <v>100833.41364651367</v>
      </c>
      <c r="AC139" s="6">
        <f ca="1">IF(Table1[[#This Row],[gender]]="men",1,0)</f>
        <v>0</v>
      </c>
      <c r="AD139">
        <f ca="1">IF(Table1[[#This Row],[gender]]="women",1,0)</f>
        <v>1</v>
      </c>
      <c r="AH139" s="5"/>
      <c r="AJ139" s="6">
        <f ca="1">IF(Table1[[#This Row],[Column1]]="Health",1,0)</f>
        <v>0</v>
      </c>
      <c r="AK139">
        <f ca="1">IF(Table1[[#This Row],[Column1]]="Construction",1,0)</f>
        <v>1</v>
      </c>
      <c r="AL139">
        <f ca="1">IF(Table1[[#This Row],[Column1]]="Technology",1,0)</f>
        <v>0</v>
      </c>
      <c r="AM139">
        <f ca="1">IF(Table1[[#This Row],[Column1]]="Education",1,0)</f>
        <v>0</v>
      </c>
      <c r="AN139">
        <f ca="1">IF(Table1[[#This Row],[Column1]]="Agriculture",1,0)</f>
        <v>0</v>
      </c>
      <c r="AO139">
        <f ca="1">IF(Table1[[#This Row],[Column1]]="Social Service", 1, 0)</f>
        <v>0</v>
      </c>
      <c r="AT139" s="5"/>
      <c r="AV139" s="17">
        <f t="shared" ca="1" si="6"/>
        <v>38076.78346067571</v>
      </c>
      <c r="AW139" s="5"/>
      <c r="AX139" s="6">
        <f ca="1">IF(Table1[[#This Row],[Value of Debts]]&gt;$AY$4,1,0)</f>
        <v>0</v>
      </c>
      <c r="AY139" s="20"/>
      <c r="AZ139" s="20"/>
      <c r="BA139" s="5"/>
      <c r="BB139" s="25">
        <f ca="1">Table1[[#This Row],[Mortage Left]]/Table1[[#This Row],[Value of House]]</f>
        <v>0.1327979329511618</v>
      </c>
      <c r="BC139" s="20">
        <f t="shared" ca="1" si="8"/>
        <v>1</v>
      </c>
      <c r="BD139" s="20"/>
      <c r="BE139" s="20"/>
      <c r="BF139" s="20"/>
      <c r="BG139" s="6">
        <f ca="1">IF(Table1[[#This Row],[County]]="Cumbria",Table1[[#This Row],[income]],0)</f>
        <v>0</v>
      </c>
      <c r="BH139" s="20">
        <f ca="1">IF(Table1[[#This Row],[County]]="Cheshire",Table1[[#This Row],[income]],0)</f>
        <v>0</v>
      </c>
      <c r="BI139" s="20">
        <f ca="1">IF(Table1[[#This Row],[County]]="Bristol",Table1[[#This Row],[income]],0)</f>
        <v>0</v>
      </c>
      <c r="BJ139" s="20">
        <f ca="1">IF(Table1[[#This Row],[County]]="Surrey",Table1[[#This Row],[income]],0)</f>
        <v>0</v>
      </c>
      <c r="BK139" s="20">
        <f ca="1">IF(Table1[[#This Row],[County]]="Norfolk",Table1[[#This Row],[income]],0)</f>
        <v>0</v>
      </c>
      <c r="BL139" s="20">
        <f ca="1">IF(Table1[[#This Row],[County]]="Lincolnshire",Table1[[#This Row],[income]],0)</f>
        <v>0</v>
      </c>
      <c r="BM139" s="20">
        <f ca="1">IF(Table1[[#This Row],[County]]="Somerset",Table1[[#This Row],[income]],0)</f>
        <v>0</v>
      </c>
      <c r="BN139" s="20">
        <f ca="1">IF(Table1[[#This Row],[County]]="Cambridgeshire",Table1[[#This Row],[income]],0)</f>
        <v>0</v>
      </c>
      <c r="BO139" s="20">
        <f ca="1">IF(Table1[[#This Row],[County]]="South Yorkshire",Table1[[#This Row],[income]],0)</f>
        <v>0</v>
      </c>
      <c r="BP139" s="20">
        <f ca="1">IF(Table1[[#This Row],[County]]="Greater London",Table1[[#This Row],[income]],0)</f>
        <v>0</v>
      </c>
      <c r="BQ139" s="20">
        <f ca="1">IF(Table1[[#This Row],[County]]="Hampshire",Table1[[#This Row],[income]],0)</f>
        <v>0</v>
      </c>
      <c r="BR139" s="20">
        <f ca="1">IF(Table1[[#This Row],[County]]="Gloucestershire",Table1[[#This Row],[income]],0)</f>
        <v>0</v>
      </c>
      <c r="BS139" s="20">
        <f ca="1">IF(Table1[[#This Row],[County]]="West Sussex",Table1[[#This Row],[income]],0)</f>
        <v>0</v>
      </c>
      <c r="BT139" s="20">
        <f ca="1">IF(Table1[[#This Row],[County]]="Devon",Table1[[#This Row],[income]],0)</f>
        <v>0</v>
      </c>
      <c r="BU139" s="20">
        <f ca="1">IF(Table1[[#This Row],[County]]="Berkshire",Table1[[#This Row],[income]],0)</f>
        <v>0</v>
      </c>
      <c r="BV139" s="20">
        <f ca="1">IF(Table1[[#This Row],[County]]="Staffordshire",Table1[[#This Row],[income]],0)</f>
        <v>0</v>
      </c>
      <c r="BW139" s="20">
        <f ca="1">IF(Table1[[#This Row],[County]]="Leicestershire",Table1[[#This Row],[income]],0)</f>
        <v>0</v>
      </c>
      <c r="BX139" s="20">
        <f ca="1">IF(Table1[[#This Row],[County]]="Cornwall",Table1[[#This Row],[income]],0)</f>
        <v>0</v>
      </c>
      <c r="BY139" s="20">
        <f ca="1">IF(Table1[[#This Row],[County]]="Isle of Wight",Table1[[#This Row],[income]],0)</f>
        <v>0</v>
      </c>
      <c r="BZ139" s="20">
        <f ca="1">IF(Table1[[#This Row],[County]]="Surrey",Table1[[#This Row],[income]],0)</f>
        <v>0</v>
      </c>
      <c r="CA139" s="20">
        <f ca="1">IF(Table1[[#This Row],[County]]="Derbyshire",Table1[[#This Row],[income]],0)</f>
        <v>0</v>
      </c>
      <c r="CB139" s="20">
        <f ca="1">IF(Table1[[#This Row],[County]]="City of London",Table1[[#This Row],[income]],0)</f>
        <v>0</v>
      </c>
      <c r="CC139" s="20">
        <f ca="1">IF(Table1[[#This Row],[County]]="Bedfordshire",Table1[[#This Row],[income]],0)</f>
        <v>0</v>
      </c>
      <c r="CD139" s="20">
        <f ca="1">IF(Table1[[#This Row],[County]]="County Durham",Table1[[#This Row],[income]],0)</f>
        <v>0</v>
      </c>
      <c r="CE139" s="20">
        <f ca="1">IF(Table1[[#This Row],[County]]="East Riding of Yorkshire",Table1[[#This Row],[income]],0)</f>
        <v>0</v>
      </c>
      <c r="CF139" s="20">
        <f ca="1">IF(Table1[[#This Row],[County]]="West Yorkshire",Table1[[#This Row],[income]],0)</f>
        <v>0</v>
      </c>
      <c r="CG139" s="20">
        <f ca="1">IF(Table1[[#This Row],[County]]="Essex",Table1[[#This Row],[income]],0)</f>
        <v>0</v>
      </c>
      <c r="CH139" s="20">
        <f ca="1">IF(Table1[[#This Row],[County]]="East Sussex",Table1[[#This Row],[income]],0)</f>
        <v>0</v>
      </c>
      <c r="CI139" s="20">
        <f ca="1">IF(Table1[[#This Row],[County]]="Greater Manchester",Table1[[#This Row],[income]],0)</f>
        <v>0</v>
      </c>
      <c r="CJ139" s="20">
        <f ca="1">IF(Table1[[#This Row],[County]]="Hertfordshire",Table1[[#This Row],[income]],0)</f>
        <v>0</v>
      </c>
      <c r="CK139" s="20">
        <f ca="1">IF(Table1[[#This Row],[County]]="Herefordshire",Table1[[#This Row],[income]],0)</f>
        <v>0</v>
      </c>
      <c r="CL139" s="20">
        <f ca="1">IF(Table1[[#This Row],[County]]="Lancashire",Table1[[#This Row],[income]],0)</f>
        <v>0</v>
      </c>
      <c r="CM139" s="20">
        <f ca="1">IF(Table1[[#This Row],[County]]="Merseyside",Table1[[#This Row],[income]],0)</f>
        <v>0</v>
      </c>
      <c r="CN139" s="20">
        <f ca="1">IF(Table1[[#This Row],[County]]="Northamptonshire",Table1[[#This Row],[income]],0)</f>
        <v>0</v>
      </c>
      <c r="CO139" s="20">
        <f ca="1">IF(Table1[[#This Row],[County]]="Northumberland",Table1[[#This Row],[income]],0)</f>
        <v>0</v>
      </c>
      <c r="CP139" s="20">
        <f ca="1">IF(Table1[[#This Row],[County]]="Wiltshire",Table1[[#This Row],[income]],0)</f>
        <v>0</v>
      </c>
      <c r="CQ139" s="20">
        <f ca="1">IF(Table1[[#This Row],[County]]="West Midlands",Table1[[#This Row],[income]],0)</f>
        <v>0</v>
      </c>
      <c r="CR139" s="20">
        <f ca="1">IF(Table1[[#This Row],[County]]="Warwickshire",Table1[[#This Row],[income]],0)</f>
        <v>0</v>
      </c>
      <c r="CS139" s="20">
        <f ca="1">IF(Table1[[#This Row],[County]]="Tyne and Wear",Table1[[#This Row],[income]],0)</f>
        <v>0</v>
      </c>
      <c r="CT139" s="20">
        <f ca="1">IF(Table1[[#This Row],[County]]="Worcestershire",Table1[[#This Row],[income]],0)</f>
        <v>0</v>
      </c>
      <c r="CU139" s="20">
        <f ca="1">IF(Table1[[#This Row],[County]]="Rutland",Table1[[#This Row],[income]],0)</f>
        <v>0</v>
      </c>
      <c r="CV139" s="20">
        <f ca="1">IF(Table1[[#This Row],[County]]="Shropshire",Table1[[#This Row],[income]],0)</f>
        <v>0</v>
      </c>
      <c r="CW139" s="20">
        <f ca="1">IF(Table1[[#This Row],[County]]="Dorset",Table1[[#This Row],[income]],0)</f>
        <v>0</v>
      </c>
      <c r="CX139" s="20">
        <f ca="1">IF(Table1[[#This Row],[County]]="Buckinghamshire",Table1[[#This Row],[income]],0)</f>
        <v>0</v>
      </c>
      <c r="CY139" s="20">
        <f ca="1">IF(Table1[[#This Row],[County]]="Suffolk",Table1[[#This Row],[income]],0)</f>
        <v>61853</v>
      </c>
      <c r="CZ139" s="20">
        <f ca="1">IF(Table1[[#This Row],[County]]="North Yorkshire",Table1[[#This Row],[income]],0)</f>
        <v>0</v>
      </c>
      <c r="DA139" s="20">
        <f ca="1">IF(Table1[[#This Row],[County]]="Kent",Table1[[#This Row],[income]],0)</f>
        <v>0</v>
      </c>
      <c r="DB139" s="5">
        <f ca="1">IF(Table1[[#This Row],[County]]="Derbyshire",Table1[[#This Row],[income]],0)</f>
        <v>0</v>
      </c>
      <c r="DD139" s="6">
        <f ca="1">IF(Table1[[#This Row],[Column1]]="Health",Table1[[#This Row],[income]],0)</f>
        <v>0</v>
      </c>
      <c r="DE139" s="20">
        <f ca="1">IF(Table1[[#This Row],[Column1]]="Agriculture",Table1[[#This Row],[income]],0)</f>
        <v>0</v>
      </c>
      <c r="DF139" s="20">
        <f ca="1">IF(Table1[[#This Row],[Column1]]="Technology",Table1[[#This Row],[income]],0)</f>
        <v>0</v>
      </c>
      <c r="DG139" s="20">
        <f ca="1">IF(Table1[[#This Row],[Column1]]="Social Service",Table1[[#This Row],[income]],0)</f>
        <v>0</v>
      </c>
      <c r="DH139" s="20">
        <f ca="1">IF(Table1[[#This Row],[Column1]]="Education",Table1[[#This Row],[income]],0)</f>
        <v>0</v>
      </c>
      <c r="DI139" s="5">
        <f ca="1">IF(Table1[[#This Row],[Column1]]="Construction",Table1[[#This Row],[income]],0)</f>
        <v>61853</v>
      </c>
      <c r="DK139" s="6">
        <f ca="1">IF(Table1[[#This Row],[Value of Debts]]&gt;Table1[[#This Row],[income]],1,0)</f>
        <v>1</v>
      </c>
      <c r="DL139" s="20"/>
      <c r="DM139" s="20"/>
      <c r="DN139" s="5"/>
      <c r="DP139" s="6">
        <f ca="1">IF(Table1[[#This Row],[Net Worth (£)]]&gt;$DS$5,C139,0)</f>
        <v>44</v>
      </c>
      <c r="DQ139" s="20"/>
      <c r="DR139" s="20"/>
      <c r="DS139" s="5"/>
    </row>
    <row r="140" spans="1:123" x14ac:dyDescent="0.2">
      <c r="A140">
        <f t="shared" ca="1" si="7"/>
        <v>2</v>
      </c>
      <c r="B140" s="1" t="str">
        <f ca="1">IF(A140=1, "men", "women")</f>
        <v>women</v>
      </c>
      <c r="C140" s="1">
        <f ca="1">RANDBETWEEN(25,50)</f>
        <v>48</v>
      </c>
      <c r="D140">
        <f ca="1">RANDBETWEEN(1,6)</f>
        <v>2</v>
      </c>
      <c r="E140" t="str">
        <f ca="1">VLOOKUP(D140,$W$5:$X$10,2)</f>
        <v>Construction</v>
      </c>
      <c r="F140">
        <f ca="1">RANDBETWEEN(1,5)</f>
        <v>5</v>
      </c>
      <c r="G140" t="str">
        <f ca="1">VLOOKUP(F140,$Y$5:$Z$9,2)</f>
        <v>Other</v>
      </c>
      <c r="H140">
        <f ca="1">RANDBETWEEN(0,4)</f>
        <v>3</v>
      </c>
      <c r="I140">
        <f ca="1">RANDBETWEEN(1,3)</f>
        <v>2</v>
      </c>
      <c r="J140">
        <f ca="1">RANDBETWEEN(30000,100000)</f>
        <v>87517</v>
      </c>
      <c r="K140">
        <f ca="1">RANDBETWEEN(1,48)</f>
        <v>3</v>
      </c>
      <c r="L140" t="str">
        <f ca="1">VLOOKUP(K140,$AA$5:$AB$52,2)</f>
        <v>Bristol</v>
      </c>
      <c r="M140">
        <f ca="1">J140*(RANDBETWEEN(2,5))</f>
        <v>350068</v>
      </c>
      <c r="N140">
        <f ca="1">RAND()*M140</f>
        <v>292903.37347889045</v>
      </c>
      <c r="O140">
        <f ca="1">I140*RAND()*J140</f>
        <v>76153.566921351419</v>
      </c>
      <c r="P140">
        <f ca="1">RANDBETWEEN(0,O140)</f>
        <v>60474</v>
      </c>
      <c r="Q140">
        <f ca="1">RAND()*J140*2</f>
        <v>146255.83549184125</v>
      </c>
      <c r="R140">
        <f ca="1">RAND()*J140*1.5</f>
        <v>8722.1152594282503</v>
      </c>
      <c r="S140">
        <f ca="1">J140+R140+O140</f>
        <v>172392.68218077967</v>
      </c>
      <c r="T140">
        <f ca="1">N140+P140+Q140</f>
        <v>499633.20897073171</v>
      </c>
      <c r="U140">
        <f ca="1">S140-T140</f>
        <v>-327240.52678995207</v>
      </c>
      <c r="AC140" s="6">
        <f ca="1">IF(Table1[[#This Row],[gender]]="men",1,0)</f>
        <v>0</v>
      </c>
      <c r="AD140">
        <f ca="1">IF(Table1[[#This Row],[gender]]="women",1,0)</f>
        <v>1</v>
      </c>
      <c r="AH140" s="5"/>
      <c r="AJ140" s="6">
        <f ca="1">IF(Table1[[#This Row],[Column1]]="Health",1,0)</f>
        <v>0</v>
      </c>
      <c r="AK140">
        <f ca="1">IF(Table1[[#This Row],[Column1]]="Construction",1,0)</f>
        <v>1</v>
      </c>
      <c r="AL140">
        <f ca="1">IF(Table1[[#This Row],[Column1]]="Technology",1,0)</f>
        <v>0</v>
      </c>
      <c r="AM140">
        <f ca="1">IF(Table1[[#This Row],[Column1]]="Education",1,0)</f>
        <v>0</v>
      </c>
      <c r="AN140">
        <f ca="1">IF(Table1[[#This Row],[Column1]]="Agriculture",1,0)</f>
        <v>0</v>
      </c>
      <c r="AO140">
        <f ca="1">IF(Table1[[#This Row],[Column1]]="Social Service", 1, 0)</f>
        <v>0</v>
      </c>
      <c r="AT140" s="5"/>
      <c r="AV140" s="17">
        <f t="shared" ca="1" si="6"/>
        <v>62538.423232086505</v>
      </c>
      <c r="AW140" s="5"/>
      <c r="AX140" s="6">
        <f ca="1">IF(Table1[[#This Row],[Value of Debts]]&gt;$AY$4,1,0)</f>
        <v>1</v>
      </c>
      <c r="AY140" s="20"/>
      <c r="AZ140" s="20"/>
      <c r="BA140" s="5"/>
      <c r="BB140" s="25">
        <f ca="1">Table1[[#This Row],[Mortage Left]]/Table1[[#This Row],[Value of House]]</f>
        <v>0.83670422169090131</v>
      </c>
      <c r="BC140" s="20">
        <f t="shared" ca="1" si="8"/>
        <v>0</v>
      </c>
      <c r="BD140" s="20"/>
      <c r="BE140" s="20"/>
      <c r="BF140" s="20"/>
      <c r="BG140" s="6">
        <f ca="1">IF(Table1[[#This Row],[County]]="Cumbria",Table1[[#This Row],[income]],0)</f>
        <v>0</v>
      </c>
      <c r="BH140" s="20">
        <f ca="1">IF(Table1[[#This Row],[County]]="Cheshire",Table1[[#This Row],[income]],0)</f>
        <v>0</v>
      </c>
      <c r="BI140" s="20">
        <f ca="1">IF(Table1[[#This Row],[County]]="Bristol",Table1[[#This Row],[income]],0)</f>
        <v>87517</v>
      </c>
      <c r="BJ140" s="20">
        <f ca="1">IF(Table1[[#This Row],[County]]="Surrey",Table1[[#This Row],[income]],0)</f>
        <v>0</v>
      </c>
      <c r="BK140" s="20">
        <f ca="1">IF(Table1[[#This Row],[County]]="Norfolk",Table1[[#This Row],[income]],0)</f>
        <v>0</v>
      </c>
      <c r="BL140" s="20">
        <f ca="1">IF(Table1[[#This Row],[County]]="Lincolnshire",Table1[[#This Row],[income]],0)</f>
        <v>0</v>
      </c>
      <c r="BM140" s="20">
        <f ca="1">IF(Table1[[#This Row],[County]]="Somerset",Table1[[#This Row],[income]],0)</f>
        <v>0</v>
      </c>
      <c r="BN140" s="20">
        <f ca="1">IF(Table1[[#This Row],[County]]="Cambridgeshire",Table1[[#This Row],[income]],0)</f>
        <v>0</v>
      </c>
      <c r="BO140" s="20">
        <f ca="1">IF(Table1[[#This Row],[County]]="South Yorkshire",Table1[[#This Row],[income]],0)</f>
        <v>0</v>
      </c>
      <c r="BP140" s="20">
        <f ca="1">IF(Table1[[#This Row],[County]]="Greater London",Table1[[#This Row],[income]],0)</f>
        <v>0</v>
      </c>
      <c r="BQ140" s="20">
        <f ca="1">IF(Table1[[#This Row],[County]]="Hampshire",Table1[[#This Row],[income]],0)</f>
        <v>0</v>
      </c>
      <c r="BR140" s="20">
        <f ca="1">IF(Table1[[#This Row],[County]]="Gloucestershire",Table1[[#This Row],[income]],0)</f>
        <v>0</v>
      </c>
      <c r="BS140" s="20">
        <f ca="1">IF(Table1[[#This Row],[County]]="West Sussex",Table1[[#This Row],[income]],0)</f>
        <v>0</v>
      </c>
      <c r="BT140" s="20">
        <f ca="1">IF(Table1[[#This Row],[County]]="Devon",Table1[[#This Row],[income]],0)</f>
        <v>0</v>
      </c>
      <c r="BU140" s="20">
        <f ca="1">IF(Table1[[#This Row],[County]]="Berkshire",Table1[[#This Row],[income]],0)</f>
        <v>0</v>
      </c>
      <c r="BV140" s="20">
        <f ca="1">IF(Table1[[#This Row],[County]]="Staffordshire",Table1[[#This Row],[income]],0)</f>
        <v>0</v>
      </c>
      <c r="BW140" s="20">
        <f ca="1">IF(Table1[[#This Row],[County]]="Leicestershire",Table1[[#This Row],[income]],0)</f>
        <v>0</v>
      </c>
      <c r="BX140" s="20">
        <f ca="1">IF(Table1[[#This Row],[County]]="Cornwall",Table1[[#This Row],[income]],0)</f>
        <v>0</v>
      </c>
      <c r="BY140" s="20">
        <f ca="1">IF(Table1[[#This Row],[County]]="Isle of Wight",Table1[[#This Row],[income]],0)</f>
        <v>0</v>
      </c>
      <c r="BZ140" s="20">
        <f ca="1">IF(Table1[[#This Row],[County]]="Surrey",Table1[[#This Row],[income]],0)</f>
        <v>0</v>
      </c>
      <c r="CA140" s="20">
        <f ca="1">IF(Table1[[#This Row],[County]]="Derbyshire",Table1[[#This Row],[income]],0)</f>
        <v>0</v>
      </c>
      <c r="CB140" s="20">
        <f ca="1">IF(Table1[[#This Row],[County]]="City of London",Table1[[#This Row],[income]],0)</f>
        <v>0</v>
      </c>
      <c r="CC140" s="20">
        <f ca="1">IF(Table1[[#This Row],[County]]="Bedfordshire",Table1[[#This Row],[income]],0)</f>
        <v>0</v>
      </c>
      <c r="CD140" s="20">
        <f ca="1">IF(Table1[[#This Row],[County]]="County Durham",Table1[[#This Row],[income]],0)</f>
        <v>0</v>
      </c>
      <c r="CE140" s="20">
        <f ca="1">IF(Table1[[#This Row],[County]]="East Riding of Yorkshire",Table1[[#This Row],[income]],0)</f>
        <v>0</v>
      </c>
      <c r="CF140" s="20">
        <f ca="1">IF(Table1[[#This Row],[County]]="West Yorkshire",Table1[[#This Row],[income]],0)</f>
        <v>0</v>
      </c>
      <c r="CG140" s="20">
        <f ca="1">IF(Table1[[#This Row],[County]]="Essex",Table1[[#This Row],[income]],0)</f>
        <v>0</v>
      </c>
      <c r="CH140" s="20">
        <f ca="1">IF(Table1[[#This Row],[County]]="East Sussex",Table1[[#This Row],[income]],0)</f>
        <v>0</v>
      </c>
      <c r="CI140" s="20">
        <f ca="1">IF(Table1[[#This Row],[County]]="Greater Manchester",Table1[[#This Row],[income]],0)</f>
        <v>0</v>
      </c>
      <c r="CJ140" s="20">
        <f ca="1">IF(Table1[[#This Row],[County]]="Hertfordshire",Table1[[#This Row],[income]],0)</f>
        <v>0</v>
      </c>
      <c r="CK140" s="20">
        <f ca="1">IF(Table1[[#This Row],[County]]="Herefordshire",Table1[[#This Row],[income]],0)</f>
        <v>0</v>
      </c>
      <c r="CL140" s="20">
        <f ca="1">IF(Table1[[#This Row],[County]]="Lancashire",Table1[[#This Row],[income]],0)</f>
        <v>0</v>
      </c>
      <c r="CM140" s="20">
        <f ca="1">IF(Table1[[#This Row],[County]]="Merseyside",Table1[[#This Row],[income]],0)</f>
        <v>0</v>
      </c>
      <c r="CN140" s="20">
        <f ca="1">IF(Table1[[#This Row],[County]]="Northamptonshire",Table1[[#This Row],[income]],0)</f>
        <v>0</v>
      </c>
      <c r="CO140" s="20">
        <f ca="1">IF(Table1[[#This Row],[County]]="Northumberland",Table1[[#This Row],[income]],0)</f>
        <v>0</v>
      </c>
      <c r="CP140" s="20">
        <f ca="1">IF(Table1[[#This Row],[County]]="Wiltshire",Table1[[#This Row],[income]],0)</f>
        <v>0</v>
      </c>
      <c r="CQ140" s="20">
        <f ca="1">IF(Table1[[#This Row],[County]]="West Midlands",Table1[[#This Row],[income]],0)</f>
        <v>0</v>
      </c>
      <c r="CR140" s="20">
        <f ca="1">IF(Table1[[#This Row],[County]]="Warwickshire",Table1[[#This Row],[income]],0)</f>
        <v>0</v>
      </c>
      <c r="CS140" s="20">
        <f ca="1">IF(Table1[[#This Row],[County]]="Tyne and Wear",Table1[[#This Row],[income]],0)</f>
        <v>0</v>
      </c>
      <c r="CT140" s="20">
        <f ca="1">IF(Table1[[#This Row],[County]]="Worcestershire",Table1[[#This Row],[income]],0)</f>
        <v>0</v>
      </c>
      <c r="CU140" s="20">
        <f ca="1">IF(Table1[[#This Row],[County]]="Rutland",Table1[[#This Row],[income]],0)</f>
        <v>0</v>
      </c>
      <c r="CV140" s="20">
        <f ca="1">IF(Table1[[#This Row],[County]]="Shropshire",Table1[[#This Row],[income]],0)</f>
        <v>0</v>
      </c>
      <c r="CW140" s="20">
        <f ca="1">IF(Table1[[#This Row],[County]]="Dorset",Table1[[#This Row],[income]],0)</f>
        <v>0</v>
      </c>
      <c r="CX140" s="20">
        <f ca="1">IF(Table1[[#This Row],[County]]="Buckinghamshire",Table1[[#This Row],[income]],0)</f>
        <v>0</v>
      </c>
      <c r="CY140" s="20">
        <f ca="1">IF(Table1[[#This Row],[County]]="Suffolk",Table1[[#This Row],[income]],0)</f>
        <v>0</v>
      </c>
      <c r="CZ140" s="20">
        <f ca="1">IF(Table1[[#This Row],[County]]="North Yorkshire",Table1[[#This Row],[income]],0)</f>
        <v>0</v>
      </c>
      <c r="DA140" s="20">
        <f ca="1">IF(Table1[[#This Row],[County]]="Kent",Table1[[#This Row],[income]],0)</f>
        <v>0</v>
      </c>
      <c r="DB140" s="5">
        <f ca="1">IF(Table1[[#This Row],[County]]="Derbyshire",Table1[[#This Row],[income]],0)</f>
        <v>0</v>
      </c>
      <c r="DD140" s="6">
        <f ca="1">IF(Table1[[#This Row],[Column1]]="Health",Table1[[#This Row],[income]],0)</f>
        <v>0</v>
      </c>
      <c r="DE140" s="20">
        <f ca="1">IF(Table1[[#This Row],[Column1]]="Agriculture",Table1[[#This Row],[income]],0)</f>
        <v>0</v>
      </c>
      <c r="DF140" s="20">
        <f ca="1">IF(Table1[[#This Row],[Column1]]="Technology",Table1[[#This Row],[income]],0)</f>
        <v>0</v>
      </c>
      <c r="DG140" s="20">
        <f ca="1">IF(Table1[[#This Row],[Column1]]="Social Service",Table1[[#This Row],[income]],0)</f>
        <v>0</v>
      </c>
      <c r="DH140" s="20">
        <f ca="1">IF(Table1[[#This Row],[Column1]]="Education",Table1[[#This Row],[income]],0)</f>
        <v>0</v>
      </c>
      <c r="DI140" s="5">
        <f ca="1">IF(Table1[[#This Row],[Column1]]="Construction",Table1[[#This Row],[income]],0)</f>
        <v>87517</v>
      </c>
      <c r="DK140" s="6">
        <f ca="1">IF(Table1[[#This Row],[Value of Debts]]&gt;Table1[[#This Row],[income]],1,0)</f>
        <v>1</v>
      </c>
      <c r="DL140" s="20"/>
      <c r="DM140" s="20"/>
      <c r="DN140" s="5"/>
      <c r="DP140" s="6">
        <f ca="1">IF(Table1[[#This Row],[Net Worth (£)]]&gt;$DS$5,C140,0)</f>
        <v>0</v>
      </c>
      <c r="DQ140" s="20"/>
      <c r="DR140" s="20"/>
      <c r="DS140" s="5"/>
    </row>
    <row r="141" spans="1:123" x14ac:dyDescent="0.2">
      <c r="A141">
        <f t="shared" ca="1" si="7"/>
        <v>1</v>
      </c>
      <c r="B141" s="1" t="str">
        <f ca="1">IF(A141=1, "men", "women")</f>
        <v>men</v>
      </c>
      <c r="C141" s="1">
        <f ca="1">RANDBETWEEN(25,50)</f>
        <v>41</v>
      </c>
      <c r="D141">
        <f ca="1">RANDBETWEEN(1,6)</f>
        <v>4</v>
      </c>
      <c r="E141" t="str">
        <f ca="1">VLOOKUP(D141,$W$5:$X$10,2)</f>
        <v>Technology</v>
      </c>
      <c r="F141">
        <f ca="1">RANDBETWEEN(1,5)</f>
        <v>1</v>
      </c>
      <c r="G141" t="str">
        <f ca="1">VLOOKUP(F141,$Y$5:$Z$9,2)</f>
        <v>High School</v>
      </c>
      <c r="H141">
        <f ca="1">RANDBETWEEN(0,4)</f>
        <v>1</v>
      </c>
      <c r="I141">
        <f ca="1">RANDBETWEEN(1,3)</f>
        <v>1</v>
      </c>
      <c r="J141">
        <f ca="1">RANDBETWEEN(30000,100000)</f>
        <v>67054</v>
      </c>
      <c r="K141">
        <f ca="1">RANDBETWEEN(1,48)</f>
        <v>35</v>
      </c>
      <c r="L141" t="str">
        <f ca="1">VLOOKUP(K141,$AA$5:$AB$52,2)</f>
        <v>Rutland</v>
      </c>
      <c r="M141">
        <f ca="1">J141*(RANDBETWEEN(2,5))</f>
        <v>201162</v>
      </c>
      <c r="N141">
        <f ca="1">RAND()*M141</f>
        <v>8799.6162246189124</v>
      </c>
      <c r="O141">
        <f ca="1">I141*RAND()*J141</f>
        <v>62538.423232086505</v>
      </c>
      <c r="P141">
        <f ca="1">RANDBETWEEN(0,O141)</f>
        <v>60946</v>
      </c>
      <c r="Q141">
        <f ca="1">RAND()*J141*2</f>
        <v>103097.84414519039</v>
      </c>
      <c r="R141">
        <f ca="1">RAND()*J141*1.5</f>
        <v>84128.539937686699</v>
      </c>
      <c r="S141">
        <f ca="1">J141+R141+O141</f>
        <v>213720.9631697732</v>
      </c>
      <c r="T141">
        <f ca="1">N141+P141+Q141</f>
        <v>172843.4603698093</v>
      </c>
      <c r="U141">
        <f ca="1">S141-T141</f>
        <v>40877.502799963899</v>
      </c>
      <c r="AC141" s="6">
        <f ca="1">IF(Table1[[#This Row],[gender]]="men",1,0)</f>
        <v>1</v>
      </c>
      <c r="AD141">
        <f ca="1">IF(Table1[[#This Row],[gender]]="women",1,0)</f>
        <v>0</v>
      </c>
      <c r="AH141" s="5"/>
      <c r="AJ141" s="6">
        <f ca="1">IF(Table1[[#This Row],[Column1]]="Health",1,0)</f>
        <v>0</v>
      </c>
      <c r="AK141">
        <f ca="1">IF(Table1[[#This Row],[Column1]]="Construction",1,0)</f>
        <v>0</v>
      </c>
      <c r="AL141">
        <f ca="1">IF(Table1[[#This Row],[Column1]]="Technology",1,0)</f>
        <v>1</v>
      </c>
      <c r="AM141">
        <f ca="1">IF(Table1[[#This Row],[Column1]]="Education",1,0)</f>
        <v>0</v>
      </c>
      <c r="AN141">
        <f ca="1">IF(Table1[[#This Row],[Column1]]="Agriculture",1,0)</f>
        <v>0</v>
      </c>
      <c r="AO141">
        <f ca="1">IF(Table1[[#This Row],[Column1]]="Social Service", 1, 0)</f>
        <v>0</v>
      </c>
      <c r="AT141" s="5"/>
      <c r="AV141" s="17">
        <f t="shared" ca="1" si="6"/>
        <v>32400.43469799271</v>
      </c>
      <c r="AW141" s="5"/>
      <c r="AX141" s="6">
        <f ca="1">IF(Table1[[#This Row],[Value of Debts]]&gt;$AY$4,1,0)</f>
        <v>1</v>
      </c>
      <c r="AY141" s="20"/>
      <c r="AZ141" s="20"/>
      <c r="BA141" s="5"/>
      <c r="BB141" s="25">
        <f ca="1">Table1[[#This Row],[Mortage Left]]/Table1[[#This Row],[Value of House]]</f>
        <v>4.3743928896207596E-2</v>
      </c>
      <c r="BC141" s="20">
        <f t="shared" ca="1" si="8"/>
        <v>1</v>
      </c>
      <c r="BD141" s="20"/>
      <c r="BE141" s="20"/>
      <c r="BF141" s="20"/>
      <c r="BG141" s="6">
        <f ca="1">IF(Table1[[#This Row],[County]]="Cumbria",Table1[[#This Row],[income]],0)</f>
        <v>0</v>
      </c>
      <c r="BH141" s="20">
        <f ca="1">IF(Table1[[#This Row],[County]]="Cheshire",Table1[[#This Row],[income]],0)</f>
        <v>0</v>
      </c>
      <c r="BI141" s="20">
        <f ca="1">IF(Table1[[#This Row],[County]]="Bristol",Table1[[#This Row],[income]],0)</f>
        <v>0</v>
      </c>
      <c r="BJ141" s="20">
        <f ca="1">IF(Table1[[#This Row],[County]]="Surrey",Table1[[#This Row],[income]],0)</f>
        <v>0</v>
      </c>
      <c r="BK141" s="20">
        <f ca="1">IF(Table1[[#This Row],[County]]="Norfolk",Table1[[#This Row],[income]],0)</f>
        <v>0</v>
      </c>
      <c r="BL141" s="20">
        <f ca="1">IF(Table1[[#This Row],[County]]="Lincolnshire",Table1[[#This Row],[income]],0)</f>
        <v>0</v>
      </c>
      <c r="BM141" s="20">
        <f ca="1">IF(Table1[[#This Row],[County]]="Somerset",Table1[[#This Row],[income]],0)</f>
        <v>0</v>
      </c>
      <c r="BN141" s="20">
        <f ca="1">IF(Table1[[#This Row],[County]]="Cambridgeshire",Table1[[#This Row],[income]],0)</f>
        <v>0</v>
      </c>
      <c r="BO141" s="20">
        <f ca="1">IF(Table1[[#This Row],[County]]="South Yorkshire",Table1[[#This Row],[income]],0)</f>
        <v>0</v>
      </c>
      <c r="BP141" s="20">
        <f ca="1">IF(Table1[[#This Row],[County]]="Greater London",Table1[[#This Row],[income]],0)</f>
        <v>0</v>
      </c>
      <c r="BQ141" s="20">
        <f ca="1">IF(Table1[[#This Row],[County]]="Hampshire",Table1[[#This Row],[income]],0)</f>
        <v>0</v>
      </c>
      <c r="BR141" s="20">
        <f ca="1">IF(Table1[[#This Row],[County]]="Gloucestershire",Table1[[#This Row],[income]],0)</f>
        <v>0</v>
      </c>
      <c r="BS141" s="20">
        <f ca="1">IF(Table1[[#This Row],[County]]="West Sussex",Table1[[#This Row],[income]],0)</f>
        <v>0</v>
      </c>
      <c r="BT141" s="20">
        <f ca="1">IF(Table1[[#This Row],[County]]="Devon",Table1[[#This Row],[income]],0)</f>
        <v>0</v>
      </c>
      <c r="BU141" s="20">
        <f ca="1">IF(Table1[[#This Row],[County]]="Berkshire",Table1[[#This Row],[income]],0)</f>
        <v>0</v>
      </c>
      <c r="BV141" s="20">
        <f ca="1">IF(Table1[[#This Row],[County]]="Staffordshire",Table1[[#This Row],[income]],0)</f>
        <v>0</v>
      </c>
      <c r="BW141" s="20">
        <f ca="1">IF(Table1[[#This Row],[County]]="Leicestershire",Table1[[#This Row],[income]],0)</f>
        <v>0</v>
      </c>
      <c r="BX141" s="20">
        <f ca="1">IF(Table1[[#This Row],[County]]="Cornwall",Table1[[#This Row],[income]],0)</f>
        <v>0</v>
      </c>
      <c r="BY141" s="20">
        <f ca="1">IF(Table1[[#This Row],[County]]="Isle of Wight",Table1[[#This Row],[income]],0)</f>
        <v>0</v>
      </c>
      <c r="BZ141" s="20">
        <f ca="1">IF(Table1[[#This Row],[County]]="Surrey",Table1[[#This Row],[income]],0)</f>
        <v>0</v>
      </c>
      <c r="CA141" s="20">
        <f ca="1">IF(Table1[[#This Row],[County]]="Derbyshire",Table1[[#This Row],[income]],0)</f>
        <v>0</v>
      </c>
      <c r="CB141" s="20">
        <f ca="1">IF(Table1[[#This Row],[County]]="City of London",Table1[[#This Row],[income]],0)</f>
        <v>0</v>
      </c>
      <c r="CC141" s="20">
        <f ca="1">IF(Table1[[#This Row],[County]]="Bedfordshire",Table1[[#This Row],[income]],0)</f>
        <v>0</v>
      </c>
      <c r="CD141" s="20">
        <f ca="1">IF(Table1[[#This Row],[County]]="County Durham",Table1[[#This Row],[income]],0)</f>
        <v>0</v>
      </c>
      <c r="CE141" s="20">
        <f ca="1">IF(Table1[[#This Row],[County]]="East Riding of Yorkshire",Table1[[#This Row],[income]],0)</f>
        <v>0</v>
      </c>
      <c r="CF141" s="20">
        <f ca="1">IF(Table1[[#This Row],[County]]="West Yorkshire",Table1[[#This Row],[income]],0)</f>
        <v>0</v>
      </c>
      <c r="CG141" s="20">
        <f ca="1">IF(Table1[[#This Row],[County]]="Essex",Table1[[#This Row],[income]],0)</f>
        <v>0</v>
      </c>
      <c r="CH141" s="20">
        <f ca="1">IF(Table1[[#This Row],[County]]="East Sussex",Table1[[#This Row],[income]],0)</f>
        <v>0</v>
      </c>
      <c r="CI141" s="20">
        <f ca="1">IF(Table1[[#This Row],[County]]="Greater Manchester",Table1[[#This Row],[income]],0)</f>
        <v>0</v>
      </c>
      <c r="CJ141" s="20">
        <f ca="1">IF(Table1[[#This Row],[County]]="Hertfordshire",Table1[[#This Row],[income]],0)</f>
        <v>0</v>
      </c>
      <c r="CK141" s="20">
        <f ca="1">IF(Table1[[#This Row],[County]]="Herefordshire",Table1[[#This Row],[income]],0)</f>
        <v>0</v>
      </c>
      <c r="CL141" s="20">
        <f ca="1">IF(Table1[[#This Row],[County]]="Lancashire",Table1[[#This Row],[income]],0)</f>
        <v>0</v>
      </c>
      <c r="CM141" s="20">
        <f ca="1">IF(Table1[[#This Row],[County]]="Merseyside",Table1[[#This Row],[income]],0)</f>
        <v>0</v>
      </c>
      <c r="CN141" s="20">
        <f ca="1">IF(Table1[[#This Row],[County]]="Northamptonshire",Table1[[#This Row],[income]],0)</f>
        <v>0</v>
      </c>
      <c r="CO141" s="20">
        <f ca="1">IF(Table1[[#This Row],[County]]="Northumberland",Table1[[#This Row],[income]],0)</f>
        <v>0</v>
      </c>
      <c r="CP141" s="20">
        <f ca="1">IF(Table1[[#This Row],[County]]="Wiltshire",Table1[[#This Row],[income]],0)</f>
        <v>0</v>
      </c>
      <c r="CQ141" s="20">
        <f ca="1">IF(Table1[[#This Row],[County]]="West Midlands",Table1[[#This Row],[income]],0)</f>
        <v>0</v>
      </c>
      <c r="CR141" s="20">
        <f ca="1">IF(Table1[[#This Row],[County]]="Warwickshire",Table1[[#This Row],[income]],0)</f>
        <v>0</v>
      </c>
      <c r="CS141" s="20">
        <f ca="1">IF(Table1[[#This Row],[County]]="Tyne and Wear",Table1[[#This Row],[income]],0)</f>
        <v>0</v>
      </c>
      <c r="CT141" s="20">
        <f ca="1">IF(Table1[[#This Row],[County]]="Worcestershire",Table1[[#This Row],[income]],0)</f>
        <v>0</v>
      </c>
      <c r="CU141" s="20">
        <f ca="1">IF(Table1[[#This Row],[County]]="Rutland",Table1[[#This Row],[income]],0)</f>
        <v>67054</v>
      </c>
      <c r="CV141" s="20">
        <f ca="1">IF(Table1[[#This Row],[County]]="Shropshire",Table1[[#This Row],[income]],0)</f>
        <v>0</v>
      </c>
      <c r="CW141" s="20">
        <f ca="1">IF(Table1[[#This Row],[County]]="Dorset",Table1[[#This Row],[income]],0)</f>
        <v>0</v>
      </c>
      <c r="CX141" s="20">
        <f ca="1">IF(Table1[[#This Row],[County]]="Buckinghamshire",Table1[[#This Row],[income]],0)</f>
        <v>0</v>
      </c>
      <c r="CY141" s="20">
        <f ca="1">IF(Table1[[#This Row],[County]]="Suffolk",Table1[[#This Row],[income]],0)</f>
        <v>0</v>
      </c>
      <c r="CZ141" s="20">
        <f ca="1">IF(Table1[[#This Row],[County]]="North Yorkshire",Table1[[#This Row],[income]],0)</f>
        <v>0</v>
      </c>
      <c r="DA141" s="20">
        <f ca="1">IF(Table1[[#This Row],[County]]="Kent",Table1[[#This Row],[income]],0)</f>
        <v>0</v>
      </c>
      <c r="DB141" s="5">
        <f ca="1">IF(Table1[[#This Row],[County]]="Derbyshire",Table1[[#This Row],[income]],0)</f>
        <v>0</v>
      </c>
      <c r="DD141" s="6">
        <f ca="1">IF(Table1[[#This Row],[Column1]]="Health",Table1[[#This Row],[income]],0)</f>
        <v>0</v>
      </c>
      <c r="DE141" s="20">
        <f ca="1">IF(Table1[[#This Row],[Column1]]="Agriculture",Table1[[#This Row],[income]],0)</f>
        <v>0</v>
      </c>
      <c r="DF141" s="20">
        <f ca="1">IF(Table1[[#This Row],[Column1]]="Technology",Table1[[#This Row],[income]],0)</f>
        <v>67054</v>
      </c>
      <c r="DG141" s="20">
        <f ca="1">IF(Table1[[#This Row],[Column1]]="Social Service",Table1[[#This Row],[income]],0)</f>
        <v>0</v>
      </c>
      <c r="DH141" s="20">
        <f ca="1">IF(Table1[[#This Row],[Column1]]="Education",Table1[[#This Row],[income]],0)</f>
        <v>0</v>
      </c>
      <c r="DI141" s="5">
        <f ca="1">IF(Table1[[#This Row],[Column1]]="Construction",Table1[[#This Row],[income]],0)</f>
        <v>0</v>
      </c>
      <c r="DK141" s="6">
        <f ca="1">IF(Table1[[#This Row],[Value of Debts]]&gt;Table1[[#This Row],[income]],1,0)</f>
        <v>1</v>
      </c>
      <c r="DL141" s="20"/>
      <c r="DM141" s="20"/>
      <c r="DN141" s="5"/>
      <c r="DP141" s="6">
        <f ca="1">IF(Table1[[#This Row],[Net Worth (£)]]&gt;$DS$5,C141,0)</f>
        <v>0</v>
      </c>
      <c r="DQ141" s="20"/>
      <c r="DR141" s="20"/>
      <c r="DS141" s="5"/>
    </row>
    <row r="142" spans="1:123" x14ac:dyDescent="0.2">
      <c r="A142">
        <f t="shared" ca="1" si="7"/>
        <v>2</v>
      </c>
      <c r="B142" s="1" t="str">
        <f ca="1">IF(A142=1, "men", "women")</f>
        <v>women</v>
      </c>
      <c r="C142" s="1">
        <f ca="1">RANDBETWEEN(25,50)</f>
        <v>32</v>
      </c>
      <c r="D142">
        <f ca="1">RANDBETWEEN(1,6)</f>
        <v>5</v>
      </c>
      <c r="E142" t="str">
        <f ca="1">VLOOKUP(D142,$W$5:$X$10,2)</f>
        <v>Social Service</v>
      </c>
      <c r="F142">
        <f ca="1">RANDBETWEEN(1,5)</f>
        <v>3</v>
      </c>
      <c r="G142" t="str">
        <f ca="1">VLOOKUP(F142,$Y$5:$Z$9,2)</f>
        <v>University</v>
      </c>
      <c r="H142">
        <f ca="1">RANDBETWEEN(0,4)</f>
        <v>4</v>
      </c>
      <c r="I142">
        <f ca="1">RANDBETWEEN(1,3)</f>
        <v>1</v>
      </c>
      <c r="J142">
        <f ca="1">RANDBETWEEN(30000,100000)</f>
        <v>52051</v>
      </c>
      <c r="K142">
        <f ca="1">RANDBETWEEN(1,48)</f>
        <v>12</v>
      </c>
      <c r="L142" t="str">
        <f ca="1">VLOOKUP(K142,$AA$5:$AB$52,2)</f>
        <v>Dorset</v>
      </c>
      <c r="M142">
        <f ca="1">J142*(RANDBETWEEN(2,5))</f>
        <v>208204</v>
      </c>
      <c r="N142">
        <f ca="1">RAND()*M142</f>
        <v>208075.11613326165</v>
      </c>
      <c r="O142">
        <f ca="1">I142*RAND()*J142</f>
        <v>32400.43469799271</v>
      </c>
      <c r="P142">
        <f ca="1">RANDBETWEEN(0,O142)</f>
        <v>14977</v>
      </c>
      <c r="Q142">
        <f ca="1">RAND()*J142*2</f>
        <v>43635.836007702856</v>
      </c>
      <c r="R142">
        <f ca="1">RAND()*J142*1.5</f>
        <v>3928.2433710622036</v>
      </c>
      <c r="S142">
        <f ca="1">J142+R142+O142</f>
        <v>88379.67806905492</v>
      </c>
      <c r="T142">
        <f ca="1">N142+P142+Q142</f>
        <v>266687.95214096451</v>
      </c>
      <c r="U142">
        <f ca="1">S142-T142</f>
        <v>-178308.2740719096</v>
      </c>
      <c r="AC142" s="6">
        <f ca="1">IF(Table1[[#This Row],[gender]]="men",1,0)</f>
        <v>0</v>
      </c>
      <c r="AD142">
        <f ca="1">IF(Table1[[#This Row],[gender]]="women",1,0)</f>
        <v>1</v>
      </c>
      <c r="AH142" s="5"/>
      <c r="AJ142" s="6">
        <f ca="1">IF(Table1[[#This Row],[Column1]]="Health",1,0)</f>
        <v>0</v>
      </c>
      <c r="AK142">
        <f ca="1">IF(Table1[[#This Row],[Column1]]="Construction",1,0)</f>
        <v>0</v>
      </c>
      <c r="AL142">
        <f ca="1">IF(Table1[[#This Row],[Column1]]="Technology",1,0)</f>
        <v>0</v>
      </c>
      <c r="AM142">
        <f ca="1">IF(Table1[[#This Row],[Column1]]="Education",1,0)</f>
        <v>0</v>
      </c>
      <c r="AN142">
        <f ca="1">IF(Table1[[#This Row],[Column1]]="Agriculture",1,0)</f>
        <v>0</v>
      </c>
      <c r="AO142">
        <f ca="1">IF(Table1[[#This Row],[Column1]]="Social Service", 1, 0)</f>
        <v>1</v>
      </c>
      <c r="AT142" s="5"/>
      <c r="AV142" s="17">
        <f t="shared" ca="1" si="6"/>
        <v>37058.285612814449</v>
      </c>
      <c r="AW142" s="5"/>
      <c r="AX142" s="6">
        <f ca="1">IF(Table1[[#This Row],[Value of Debts]]&gt;$AY$4,1,0)</f>
        <v>1</v>
      </c>
      <c r="AY142" s="20"/>
      <c r="AZ142" s="20"/>
      <c r="BA142" s="5"/>
      <c r="BB142" s="25">
        <f ca="1">Table1[[#This Row],[Mortage Left]]/Table1[[#This Row],[Value of House]]</f>
        <v>0.99938097314778607</v>
      </c>
      <c r="BC142" s="20">
        <f t="shared" ca="1" si="8"/>
        <v>0</v>
      </c>
      <c r="BD142" s="20"/>
      <c r="BE142" s="20"/>
      <c r="BF142" s="20"/>
      <c r="BG142" s="6">
        <f ca="1">IF(Table1[[#This Row],[County]]="Cumbria",Table1[[#This Row],[income]],0)</f>
        <v>0</v>
      </c>
      <c r="BH142" s="20">
        <f ca="1">IF(Table1[[#This Row],[County]]="Cheshire",Table1[[#This Row],[income]],0)</f>
        <v>0</v>
      </c>
      <c r="BI142" s="20">
        <f ca="1">IF(Table1[[#This Row],[County]]="Bristol",Table1[[#This Row],[income]],0)</f>
        <v>0</v>
      </c>
      <c r="BJ142" s="20">
        <f ca="1">IF(Table1[[#This Row],[County]]="Surrey",Table1[[#This Row],[income]],0)</f>
        <v>0</v>
      </c>
      <c r="BK142" s="20">
        <f ca="1">IF(Table1[[#This Row],[County]]="Norfolk",Table1[[#This Row],[income]],0)</f>
        <v>0</v>
      </c>
      <c r="BL142" s="20">
        <f ca="1">IF(Table1[[#This Row],[County]]="Lincolnshire",Table1[[#This Row],[income]],0)</f>
        <v>0</v>
      </c>
      <c r="BM142" s="20">
        <f ca="1">IF(Table1[[#This Row],[County]]="Somerset",Table1[[#This Row],[income]],0)</f>
        <v>0</v>
      </c>
      <c r="BN142" s="20">
        <f ca="1">IF(Table1[[#This Row],[County]]="Cambridgeshire",Table1[[#This Row],[income]],0)</f>
        <v>0</v>
      </c>
      <c r="BO142" s="20">
        <f ca="1">IF(Table1[[#This Row],[County]]="South Yorkshire",Table1[[#This Row],[income]],0)</f>
        <v>0</v>
      </c>
      <c r="BP142" s="20">
        <f ca="1">IF(Table1[[#This Row],[County]]="Greater London",Table1[[#This Row],[income]],0)</f>
        <v>0</v>
      </c>
      <c r="BQ142" s="20">
        <f ca="1">IF(Table1[[#This Row],[County]]="Hampshire",Table1[[#This Row],[income]],0)</f>
        <v>0</v>
      </c>
      <c r="BR142" s="20">
        <f ca="1">IF(Table1[[#This Row],[County]]="Gloucestershire",Table1[[#This Row],[income]],0)</f>
        <v>0</v>
      </c>
      <c r="BS142" s="20">
        <f ca="1">IF(Table1[[#This Row],[County]]="West Sussex",Table1[[#This Row],[income]],0)</f>
        <v>0</v>
      </c>
      <c r="BT142" s="20">
        <f ca="1">IF(Table1[[#This Row],[County]]="Devon",Table1[[#This Row],[income]],0)</f>
        <v>0</v>
      </c>
      <c r="BU142" s="20">
        <f ca="1">IF(Table1[[#This Row],[County]]="Berkshire",Table1[[#This Row],[income]],0)</f>
        <v>0</v>
      </c>
      <c r="BV142" s="20">
        <f ca="1">IF(Table1[[#This Row],[County]]="Staffordshire",Table1[[#This Row],[income]],0)</f>
        <v>0</v>
      </c>
      <c r="BW142" s="20">
        <f ca="1">IF(Table1[[#This Row],[County]]="Leicestershire",Table1[[#This Row],[income]],0)</f>
        <v>0</v>
      </c>
      <c r="BX142" s="20">
        <f ca="1">IF(Table1[[#This Row],[County]]="Cornwall",Table1[[#This Row],[income]],0)</f>
        <v>0</v>
      </c>
      <c r="BY142" s="20">
        <f ca="1">IF(Table1[[#This Row],[County]]="Isle of Wight",Table1[[#This Row],[income]],0)</f>
        <v>0</v>
      </c>
      <c r="BZ142" s="20">
        <f ca="1">IF(Table1[[#This Row],[County]]="Surrey",Table1[[#This Row],[income]],0)</f>
        <v>0</v>
      </c>
      <c r="CA142" s="20">
        <f ca="1">IF(Table1[[#This Row],[County]]="Derbyshire",Table1[[#This Row],[income]],0)</f>
        <v>0</v>
      </c>
      <c r="CB142" s="20">
        <f ca="1">IF(Table1[[#This Row],[County]]="City of London",Table1[[#This Row],[income]],0)</f>
        <v>0</v>
      </c>
      <c r="CC142" s="20">
        <f ca="1">IF(Table1[[#This Row],[County]]="Bedfordshire",Table1[[#This Row],[income]],0)</f>
        <v>0</v>
      </c>
      <c r="CD142" s="20">
        <f ca="1">IF(Table1[[#This Row],[County]]="County Durham",Table1[[#This Row],[income]],0)</f>
        <v>0</v>
      </c>
      <c r="CE142" s="20">
        <f ca="1">IF(Table1[[#This Row],[County]]="East Riding of Yorkshire",Table1[[#This Row],[income]],0)</f>
        <v>0</v>
      </c>
      <c r="CF142" s="20">
        <f ca="1">IF(Table1[[#This Row],[County]]="West Yorkshire",Table1[[#This Row],[income]],0)</f>
        <v>0</v>
      </c>
      <c r="CG142" s="20">
        <f ca="1">IF(Table1[[#This Row],[County]]="Essex",Table1[[#This Row],[income]],0)</f>
        <v>0</v>
      </c>
      <c r="CH142" s="20">
        <f ca="1">IF(Table1[[#This Row],[County]]="East Sussex",Table1[[#This Row],[income]],0)</f>
        <v>0</v>
      </c>
      <c r="CI142" s="20">
        <f ca="1">IF(Table1[[#This Row],[County]]="Greater Manchester",Table1[[#This Row],[income]],0)</f>
        <v>0</v>
      </c>
      <c r="CJ142" s="20">
        <f ca="1">IF(Table1[[#This Row],[County]]="Hertfordshire",Table1[[#This Row],[income]],0)</f>
        <v>0</v>
      </c>
      <c r="CK142" s="20">
        <f ca="1">IF(Table1[[#This Row],[County]]="Herefordshire",Table1[[#This Row],[income]],0)</f>
        <v>0</v>
      </c>
      <c r="CL142" s="20">
        <f ca="1">IF(Table1[[#This Row],[County]]="Lancashire",Table1[[#This Row],[income]],0)</f>
        <v>0</v>
      </c>
      <c r="CM142" s="20">
        <f ca="1">IF(Table1[[#This Row],[County]]="Merseyside",Table1[[#This Row],[income]],0)</f>
        <v>0</v>
      </c>
      <c r="CN142" s="20">
        <f ca="1">IF(Table1[[#This Row],[County]]="Northamptonshire",Table1[[#This Row],[income]],0)</f>
        <v>0</v>
      </c>
      <c r="CO142" s="20">
        <f ca="1">IF(Table1[[#This Row],[County]]="Northumberland",Table1[[#This Row],[income]],0)</f>
        <v>0</v>
      </c>
      <c r="CP142" s="20">
        <f ca="1">IF(Table1[[#This Row],[County]]="Wiltshire",Table1[[#This Row],[income]],0)</f>
        <v>0</v>
      </c>
      <c r="CQ142" s="20">
        <f ca="1">IF(Table1[[#This Row],[County]]="West Midlands",Table1[[#This Row],[income]],0)</f>
        <v>0</v>
      </c>
      <c r="CR142" s="20">
        <f ca="1">IF(Table1[[#This Row],[County]]="Warwickshire",Table1[[#This Row],[income]],0)</f>
        <v>0</v>
      </c>
      <c r="CS142" s="20">
        <f ca="1">IF(Table1[[#This Row],[County]]="Tyne and Wear",Table1[[#This Row],[income]],0)</f>
        <v>0</v>
      </c>
      <c r="CT142" s="20">
        <f ca="1">IF(Table1[[#This Row],[County]]="Worcestershire",Table1[[#This Row],[income]],0)</f>
        <v>0</v>
      </c>
      <c r="CU142" s="20">
        <f ca="1">IF(Table1[[#This Row],[County]]="Rutland",Table1[[#This Row],[income]],0)</f>
        <v>0</v>
      </c>
      <c r="CV142" s="20">
        <f ca="1">IF(Table1[[#This Row],[County]]="Shropshire",Table1[[#This Row],[income]],0)</f>
        <v>0</v>
      </c>
      <c r="CW142" s="20">
        <f ca="1">IF(Table1[[#This Row],[County]]="Dorset",Table1[[#This Row],[income]],0)</f>
        <v>52051</v>
      </c>
      <c r="CX142" s="20">
        <f ca="1">IF(Table1[[#This Row],[County]]="Buckinghamshire",Table1[[#This Row],[income]],0)</f>
        <v>0</v>
      </c>
      <c r="CY142" s="20">
        <f ca="1">IF(Table1[[#This Row],[County]]="Suffolk",Table1[[#This Row],[income]],0)</f>
        <v>0</v>
      </c>
      <c r="CZ142" s="20">
        <f ca="1">IF(Table1[[#This Row],[County]]="North Yorkshire",Table1[[#This Row],[income]],0)</f>
        <v>0</v>
      </c>
      <c r="DA142" s="20">
        <f ca="1">IF(Table1[[#This Row],[County]]="Kent",Table1[[#This Row],[income]],0)</f>
        <v>0</v>
      </c>
      <c r="DB142" s="5">
        <f ca="1">IF(Table1[[#This Row],[County]]="Derbyshire",Table1[[#This Row],[income]],0)</f>
        <v>0</v>
      </c>
      <c r="DD142" s="6">
        <f ca="1">IF(Table1[[#This Row],[Column1]]="Health",Table1[[#This Row],[income]],0)</f>
        <v>0</v>
      </c>
      <c r="DE142" s="20">
        <f ca="1">IF(Table1[[#This Row],[Column1]]="Agriculture",Table1[[#This Row],[income]],0)</f>
        <v>0</v>
      </c>
      <c r="DF142" s="20">
        <f ca="1">IF(Table1[[#This Row],[Column1]]="Technology",Table1[[#This Row],[income]],0)</f>
        <v>0</v>
      </c>
      <c r="DG142" s="20">
        <f ca="1">IF(Table1[[#This Row],[Column1]]="Social Service",Table1[[#This Row],[income]],0)</f>
        <v>52051</v>
      </c>
      <c r="DH142" s="20">
        <f ca="1">IF(Table1[[#This Row],[Column1]]="Education",Table1[[#This Row],[income]],0)</f>
        <v>0</v>
      </c>
      <c r="DI142" s="5">
        <f ca="1">IF(Table1[[#This Row],[Column1]]="Construction",Table1[[#This Row],[income]],0)</f>
        <v>0</v>
      </c>
      <c r="DK142" s="6">
        <f ca="1">IF(Table1[[#This Row],[Value of Debts]]&gt;Table1[[#This Row],[income]],1,0)</f>
        <v>1</v>
      </c>
      <c r="DL142" s="20"/>
      <c r="DM142" s="20"/>
      <c r="DN142" s="5"/>
      <c r="DP142" s="6">
        <f ca="1">IF(Table1[[#This Row],[Net Worth (£)]]&gt;$DS$5,C142,0)</f>
        <v>0</v>
      </c>
      <c r="DQ142" s="20"/>
      <c r="DR142" s="20"/>
      <c r="DS142" s="5"/>
    </row>
    <row r="143" spans="1:123" x14ac:dyDescent="0.2">
      <c r="A143">
        <f t="shared" ca="1" si="7"/>
        <v>2</v>
      </c>
      <c r="B143" s="1" t="str">
        <f ca="1">IF(A143=1, "men", "women")</f>
        <v>women</v>
      </c>
      <c r="C143" s="1">
        <f ca="1">RANDBETWEEN(25,50)</f>
        <v>42</v>
      </c>
      <c r="D143">
        <f ca="1">RANDBETWEEN(1,6)</f>
        <v>3</v>
      </c>
      <c r="E143" t="str">
        <f ca="1">VLOOKUP(D143,$W$5:$X$10,2)</f>
        <v>Education</v>
      </c>
      <c r="F143">
        <f ca="1">RANDBETWEEN(1,5)</f>
        <v>5</v>
      </c>
      <c r="G143" t="str">
        <f ca="1">VLOOKUP(F143,$Y$5:$Z$9,2)</f>
        <v>Other</v>
      </c>
      <c r="H143">
        <f ca="1">RANDBETWEEN(0,4)</f>
        <v>3</v>
      </c>
      <c r="I143">
        <f ca="1">RANDBETWEEN(1,3)</f>
        <v>2</v>
      </c>
      <c r="J143">
        <f ca="1">RANDBETWEEN(30000,100000)</f>
        <v>71223</v>
      </c>
      <c r="K143">
        <f ca="1">RANDBETWEEN(1,48)</f>
        <v>14</v>
      </c>
      <c r="L143" t="str">
        <f ca="1">VLOOKUP(K143,$AA$5:$AB$52,2)</f>
        <v>East Riding of Yorkshire</v>
      </c>
      <c r="M143">
        <f ca="1">J143*(RANDBETWEEN(2,5))</f>
        <v>356115</v>
      </c>
      <c r="N143">
        <f ca="1">RAND()*M143</f>
        <v>88226.895494504759</v>
      </c>
      <c r="O143">
        <f ca="1">I143*RAND()*J143</f>
        <v>74116.571225628897</v>
      </c>
      <c r="P143">
        <f ca="1">RANDBETWEEN(0,O143)</f>
        <v>42075</v>
      </c>
      <c r="Q143">
        <f ca="1">RAND()*J143*2</f>
        <v>57743.384768961529</v>
      </c>
      <c r="R143">
        <f ca="1">RAND()*J143*1.5</f>
        <v>73621.415045244372</v>
      </c>
      <c r="S143">
        <f ca="1">J143+R143+O143</f>
        <v>218960.98627087328</v>
      </c>
      <c r="T143">
        <f ca="1">N143+P143+Q143</f>
        <v>188045.28026346629</v>
      </c>
      <c r="U143">
        <f ca="1">S143-T143</f>
        <v>30915.706007406989</v>
      </c>
      <c r="AC143" s="6">
        <f ca="1">IF(Table1[[#This Row],[gender]]="men",1,0)</f>
        <v>0</v>
      </c>
      <c r="AD143">
        <f ca="1">IF(Table1[[#This Row],[gender]]="women",1,0)</f>
        <v>1</v>
      </c>
      <c r="AH143" s="5"/>
      <c r="AJ143" s="6">
        <f ca="1">IF(Table1[[#This Row],[Column1]]="Health",1,0)</f>
        <v>0</v>
      </c>
      <c r="AK143">
        <f ca="1">IF(Table1[[#This Row],[Column1]]="Construction",1,0)</f>
        <v>0</v>
      </c>
      <c r="AL143">
        <f ca="1">IF(Table1[[#This Row],[Column1]]="Technology",1,0)</f>
        <v>0</v>
      </c>
      <c r="AM143">
        <f ca="1">IF(Table1[[#This Row],[Column1]]="Education",1,0)</f>
        <v>1</v>
      </c>
      <c r="AN143">
        <f ca="1">IF(Table1[[#This Row],[Column1]]="Agriculture",1,0)</f>
        <v>0</v>
      </c>
      <c r="AO143">
        <f ca="1">IF(Table1[[#This Row],[Column1]]="Social Service", 1, 0)</f>
        <v>0</v>
      </c>
      <c r="AT143" s="5"/>
      <c r="AV143" s="17">
        <f t="shared" ca="1" si="6"/>
        <v>59463.644128763051</v>
      </c>
      <c r="AW143" s="5"/>
      <c r="AX143" s="6">
        <f ca="1">IF(Table1[[#This Row],[Value of Debts]]&gt;$AY$4,1,0)</f>
        <v>1</v>
      </c>
      <c r="AY143" s="20"/>
      <c r="AZ143" s="20"/>
      <c r="BA143" s="5"/>
      <c r="BB143" s="25">
        <f ca="1">Table1[[#This Row],[Mortage Left]]/Table1[[#This Row],[Value of House]]</f>
        <v>0.24774832706992056</v>
      </c>
      <c r="BC143" s="20">
        <f t="shared" ca="1" si="8"/>
        <v>1</v>
      </c>
      <c r="BD143" s="20"/>
      <c r="BE143" s="20"/>
      <c r="BF143" s="20"/>
      <c r="BG143" s="6">
        <f ca="1">IF(Table1[[#This Row],[County]]="Cumbria",Table1[[#This Row],[income]],0)</f>
        <v>0</v>
      </c>
      <c r="BH143" s="20">
        <f ca="1">IF(Table1[[#This Row],[County]]="Cheshire",Table1[[#This Row],[income]],0)</f>
        <v>0</v>
      </c>
      <c r="BI143" s="20">
        <f ca="1">IF(Table1[[#This Row],[County]]="Bristol",Table1[[#This Row],[income]],0)</f>
        <v>0</v>
      </c>
      <c r="BJ143" s="20">
        <f ca="1">IF(Table1[[#This Row],[County]]="Surrey",Table1[[#This Row],[income]],0)</f>
        <v>0</v>
      </c>
      <c r="BK143" s="20">
        <f ca="1">IF(Table1[[#This Row],[County]]="Norfolk",Table1[[#This Row],[income]],0)</f>
        <v>0</v>
      </c>
      <c r="BL143" s="20">
        <f ca="1">IF(Table1[[#This Row],[County]]="Lincolnshire",Table1[[#This Row],[income]],0)</f>
        <v>0</v>
      </c>
      <c r="BM143" s="20">
        <f ca="1">IF(Table1[[#This Row],[County]]="Somerset",Table1[[#This Row],[income]],0)</f>
        <v>0</v>
      </c>
      <c r="BN143" s="20">
        <f ca="1">IF(Table1[[#This Row],[County]]="Cambridgeshire",Table1[[#This Row],[income]],0)</f>
        <v>0</v>
      </c>
      <c r="BO143" s="20">
        <f ca="1">IF(Table1[[#This Row],[County]]="South Yorkshire",Table1[[#This Row],[income]],0)</f>
        <v>0</v>
      </c>
      <c r="BP143" s="20">
        <f ca="1">IF(Table1[[#This Row],[County]]="Greater London",Table1[[#This Row],[income]],0)</f>
        <v>0</v>
      </c>
      <c r="BQ143" s="20">
        <f ca="1">IF(Table1[[#This Row],[County]]="Hampshire",Table1[[#This Row],[income]],0)</f>
        <v>0</v>
      </c>
      <c r="BR143" s="20">
        <f ca="1">IF(Table1[[#This Row],[County]]="Gloucestershire",Table1[[#This Row],[income]],0)</f>
        <v>0</v>
      </c>
      <c r="BS143" s="20">
        <f ca="1">IF(Table1[[#This Row],[County]]="West Sussex",Table1[[#This Row],[income]],0)</f>
        <v>0</v>
      </c>
      <c r="BT143" s="20">
        <f ca="1">IF(Table1[[#This Row],[County]]="Devon",Table1[[#This Row],[income]],0)</f>
        <v>0</v>
      </c>
      <c r="BU143" s="20">
        <f ca="1">IF(Table1[[#This Row],[County]]="Berkshire",Table1[[#This Row],[income]],0)</f>
        <v>0</v>
      </c>
      <c r="BV143" s="20">
        <f ca="1">IF(Table1[[#This Row],[County]]="Staffordshire",Table1[[#This Row],[income]],0)</f>
        <v>0</v>
      </c>
      <c r="BW143" s="20">
        <f ca="1">IF(Table1[[#This Row],[County]]="Leicestershire",Table1[[#This Row],[income]],0)</f>
        <v>0</v>
      </c>
      <c r="BX143" s="20">
        <f ca="1">IF(Table1[[#This Row],[County]]="Cornwall",Table1[[#This Row],[income]],0)</f>
        <v>0</v>
      </c>
      <c r="BY143" s="20">
        <f ca="1">IF(Table1[[#This Row],[County]]="Isle of Wight",Table1[[#This Row],[income]],0)</f>
        <v>0</v>
      </c>
      <c r="BZ143" s="20">
        <f ca="1">IF(Table1[[#This Row],[County]]="Surrey",Table1[[#This Row],[income]],0)</f>
        <v>0</v>
      </c>
      <c r="CA143" s="20">
        <f ca="1">IF(Table1[[#This Row],[County]]="Derbyshire",Table1[[#This Row],[income]],0)</f>
        <v>0</v>
      </c>
      <c r="CB143" s="20">
        <f ca="1">IF(Table1[[#This Row],[County]]="City of London",Table1[[#This Row],[income]],0)</f>
        <v>0</v>
      </c>
      <c r="CC143" s="20">
        <f ca="1">IF(Table1[[#This Row],[County]]="Bedfordshire",Table1[[#This Row],[income]],0)</f>
        <v>0</v>
      </c>
      <c r="CD143" s="20">
        <f ca="1">IF(Table1[[#This Row],[County]]="County Durham",Table1[[#This Row],[income]],0)</f>
        <v>0</v>
      </c>
      <c r="CE143" s="20">
        <f ca="1">IF(Table1[[#This Row],[County]]="East Riding of Yorkshire",Table1[[#This Row],[income]],0)</f>
        <v>71223</v>
      </c>
      <c r="CF143" s="20">
        <f ca="1">IF(Table1[[#This Row],[County]]="West Yorkshire",Table1[[#This Row],[income]],0)</f>
        <v>0</v>
      </c>
      <c r="CG143" s="20">
        <f ca="1">IF(Table1[[#This Row],[County]]="Essex",Table1[[#This Row],[income]],0)</f>
        <v>0</v>
      </c>
      <c r="CH143" s="20">
        <f ca="1">IF(Table1[[#This Row],[County]]="East Sussex",Table1[[#This Row],[income]],0)</f>
        <v>0</v>
      </c>
      <c r="CI143" s="20">
        <f ca="1">IF(Table1[[#This Row],[County]]="Greater Manchester",Table1[[#This Row],[income]],0)</f>
        <v>0</v>
      </c>
      <c r="CJ143" s="20">
        <f ca="1">IF(Table1[[#This Row],[County]]="Hertfordshire",Table1[[#This Row],[income]],0)</f>
        <v>0</v>
      </c>
      <c r="CK143" s="20">
        <f ca="1">IF(Table1[[#This Row],[County]]="Herefordshire",Table1[[#This Row],[income]],0)</f>
        <v>0</v>
      </c>
      <c r="CL143" s="20">
        <f ca="1">IF(Table1[[#This Row],[County]]="Lancashire",Table1[[#This Row],[income]],0)</f>
        <v>0</v>
      </c>
      <c r="CM143" s="20">
        <f ca="1">IF(Table1[[#This Row],[County]]="Merseyside",Table1[[#This Row],[income]],0)</f>
        <v>0</v>
      </c>
      <c r="CN143" s="20">
        <f ca="1">IF(Table1[[#This Row],[County]]="Northamptonshire",Table1[[#This Row],[income]],0)</f>
        <v>0</v>
      </c>
      <c r="CO143" s="20">
        <f ca="1">IF(Table1[[#This Row],[County]]="Northumberland",Table1[[#This Row],[income]],0)</f>
        <v>0</v>
      </c>
      <c r="CP143" s="20">
        <f ca="1">IF(Table1[[#This Row],[County]]="Wiltshire",Table1[[#This Row],[income]],0)</f>
        <v>0</v>
      </c>
      <c r="CQ143" s="20">
        <f ca="1">IF(Table1[[#This Row],[County]]="West Midlands",Table1[[#This Row],[income]],0)</f>
        <v>0</v>
      </c>
      <c r="CR143" s="20">
        <f ca="1">IF(Table1[[#This Row],[County]]="Warwickshire",Table1[[#This Row],[income]],0)</f>
        <v>0</v>
      </c>
      <c r="CS143" s="20">
        <f ca="1">IF(Table1[[#This Row],[County]]="Tyne and Wear",Table1[[#This Row],[income]],0)</f>
        <v>0</v>
      </c>
      <c r="CT143" s="20">
        <f ca="1">IF(Table1[[#This Row],[County]]="Worcestershire",Table1[[#This Row],[income]],0)</f>
        <v>0</v>
      </c>
      <c r="CU143" s="20">
        <f ca="1">IF(Table1[[#This Row],[County]]="Rutland",Table1[[#This Row],[income]],0)</f>
        <v>0</v>
      </c>
      <c r="CV143" s="20">
        <f ca="1">IF(Table1[[#This Row],[County]]="Shropshire",Table1[[#This Row],[income]],0)</f>
        <v>0</v>
      </c>
      <c r="CW143" s="20">
        <f ca="1">IF(Table1[[#This Row],[County]]="Dorset",Table1[[#This Row],[income]],0)</f>
        <v>0</v>
      </c>
      <c r="CX143" s="20">
        <f ca="1">IF(Table1[[#This Row],[County]]="Buckinghamshire",Table1[[#This Row],[income]],0)</f>
        <v>0</v>
      </c>
      <c r="CY143" s="20">
        <f ca="1">IF(Table1[[#This Row],[County]]="Suffolk",Table1[[#This Row],[income]],0)</f>
        <v>0</v>
      </c>
      <c r="CZ143" s="20">
        <f ca="1">IF(Table1[[#This Row],[County]]="North Yorkshire",Table1[[#This Row],[income]],0)</f>
        <v>0</v>
      </c>
      <c r="DA143" s="20">
        <f ca="1">IF(Table1[[#This Row],[County]]="Kent",Table1[[#This Row],[income]],0)</f>
        <v>0</v>
      </c>
      <c r="DB143" s="5">
        <f ca="1">IF(Table1[[#This Row],[County]]="Derbyshire",Table1[[#This Row],[income]],0)</f>
        <v>0</v>
      </c>
      <c r="DD143" s="6">
        <f ca="1">IF(Table1[[#This Row],[Column1]]="Health",Table1[[#This Row],[income]],0)</f>
        <v>0</v>
      </c>
      <c r="DE143" s="20">
        <f ca="1">IF(Table1[[#This Row],[Column1]]="Agriculture",Table1[[#This Row],[income]],0)</f>
        <v>0</v>
      </c>
      <c r="DF143" s="20">
        <f ca="1">IF(Table1[[#This Row],[Column1]]="Technology",Table1[[#This Row],[income]],0)</f>
        <v>0</v>
      </c>
      <c r="DG143" s="20">
        <f ca="1">IF(Table1[[#This Row],[Column1]]="Social Service",Table1[[#This Row],[income]],0)</f>
        <v>0</v>
      </c>
      <c r="DH143" s="20">
        <f ca="1">IF(Table1[[#This Row],[Column1]]="Education",Table1[[#This Row],[income]],0)</f>
        <v>71223</v>
      </c>
      <c r="DI143" s="5">
        <f ca="1">IF(Table1[[#This Row],[Column1]]="Construction",Table1[[#This Row],[income]],0)</f>
        <v>0</v>
      </c>
      <c r="DK143" s="6">
        <f ca="1">IF(Table1[[#This Row],[Value of Debts]]&gt;Table1[[#This Row],[income]],1,0)</f>
        <v>1</v>
      </c>
      <c r="DL143" s="20"/>
      <c r="DM143" s="20"/>
      <c r="DN143" s="5"/>
      <c r="DP143" s="6">
        <f ca="1">IF(Table1[[#This Row],[Net Worth (£)]]&gt;$DS$5,C143,0)</f>
        <v>0</v>
      </c>
      <c r="DQ143" s="20"/>
      <c r="DR143" s="20"/>
      <c r="DS143" s="5"/>
    </row>
    <row r="144" spans="1:123" x14ac:dyDescent="0.2">
      <c r="A144">
        <f t="shared" ca="1" si="7"/>
        <v>1</v>
      </c>
      <c r="B144" s="1" t="str">
        <f ca="1">IF(A144=1, "men", "women")</f>
        <v>men</v>
      </c>
      <c r="C144" s="1">
        <f ca="1">RANDBETWEEN(25,50)</f>
        <v>45</v>
      </c>
      <c r="D144">
        <f ca="1">RANDBETWEEN(1,6)</f>
        <v>5</v>
      </c>
      <c r="E144" t="str">
        <f ca="1">VLOOKUP(D144,$W$5:$X$10,2)</f>
        <v>Social Service</v>
      </c>
      <c r="F144">
        <f ca="1">RANDBETWEEN(1,5)</f>
        <v>5</v>
      </c>
      <c r="G144" t="str">
        <f ca="1">VLOOKUP(F144,$Y$5:$Z$9,2)</f>
        <v>Other</v>
      </c>
      <c r="H144">
        <f ca="1">RANDBETWEEN(0,4)</f>
        <v>2</v>
      </c>
      <c r="I144">
        <f ca="1">RANDBETWEEN(1,3)</f>
        <v>3</v>
      </c>
      <c r="J144">
        <f ca="1">RANDBETWEEN(30000,100000)</f>
        <v>76628</v>
      </c>
      <c r="K144">
        <f ca="1">RANDBETWEEN(1,48)</f>
        <v>15</v>
      </c>
      <c r="L144" t="str">
        <f ca="1">VLOOKUP(K144,$AA$5:$AB$52,2)</f>
        <v>East Sussex</v>
      </c>
      <c r="M144">
        <f ca="1">J144*(RANDBETWEEN(2,5))</f>
        <v>383140</v>
      </c>
      <c r="N144">
        <f ca="1">RAND()*M144</f>
        <v>259537.93877467539</v>
      </c>
      <c r="O144">
        <f ca="1">I144*RAND()*J144</f>
        <v>178390.93238628915</v>
      </c>
      <c r="P144">
        <f ca="1">RANDBETWEEN(0,O144)</f>
        <v>32719</v>
      </c>
      <c r="Q144">
        <f ca="1">RAND()*J144*2</f>
        <v>10303.735493579494</v>
      </c>
      <c r="R144">
        <f ca="1">RAND()*J144*1.5</f>
        <v>88570.908593286207</v>
      </c>
      <c r="S144">
        <f ca="1">J144+R144+O144</f>
        <v>343589.84097957535</v>
      </c>
      <c r="T144">
        <f ca="1">N144+P144+Q144</f>
        <v>302560.67426825484</v>
      </c>
      <c r="U144">
        <f ca="1">S144-T144</f>
        <v>41029.166711320519</v>
      </c>
      <c r="AC144" s="6">
        <f ca="1">IF(Table1[[#This Row],[gender]]="men",1,0)</f>
        <v>1</v>
      </c>
      <c r="AD144">
        <f ca="1">IF(Table1[[#This Row],[gender]]="women",1,0)</f>
        <v>0</v>
      </c>
      <c r="AH144" s="5"/>
      <c r="AJ144" s="6">
        <f ca="1">IF(Table1[[#This Row],[Column1]]="Health",1,0)</f>
        <v>0</v>
      </c>
      <c r="AK144">
        <f ca="1">IF(Table1[[#This Row],[Column1]]="Construction",1,0)</f>
        <v>0</v>
      </c>
      <c r="AL144">
        <f ca="1">IF(Table1[[#This Row],[Column1]]="Technology",1,0)</f>
        <v>0</v>
      </c>
      <c r="AM144">
        <f ca="1">IF(Table1[[#This Row],[Column1]]="Education",1,0)</f>
        <v>0</v>
      </c>
      <c r="AN144">
        <f ca="1">IF(Table1[[#This Row],[Column1]]="Agriculture",1,0)</f>
        <v>0</v>
      </c>
      <c r="AO144">
        <f ca="1">IF(Table1[[#This Row],[Column1]]="Social Service", 1, 0)</f>
        <v>1</v>
      </c>
      <c r="AT144" s="5"/>
      <c r="AV144" s="17">
        <f t="shared" ca="1" si="6"/>
        <v>50536.659068048255</v>
      </c>
      <c r="AW144" s="5"/>
      <c r="AX144" s="6">
        <f ca="1">IF(Table1[[#This Row],[Value of Debts]]&gt;$AY$4,1,0)</f>
        <v>1</v>
      </c>
      <c r="AY144" s="20"/>
      <c r="AZ144" s="20"/>
      <c r="BA144" s="5"/>
      <c r="BB144" s="25">
        <f ca="1">Table1[[#This Row],[Mortage Left]]/Table1[[#This Row],[Value of House]]</f>
        <v>0.67739713622872944</v>
      </c>
      <c r="BC144" s="20">
        <f t="shared" ca="1" si="8"/>
        <v>0</v>
      </c>
      <c r="BD144" s="20"/>
      <c r="BE144" s="20"/>
      <c r="BF144" s="20"/>
      <c r="BG144" s="6">
        <f ca="1">IF(Table1[[#This Row],[County]]="Cumbria",Table1[[#This Row],[income]],0)</f>
        <v>0</v>
      </c>
      <c r="BH144" s="20">
        <f ca="1">IF(Table1[[#This Row],[County]]="Cheshire",Table1[[#This Row],[income]],0)</f>
        <v>0</v>
      </c>
      <c r="BI144" s="20">
        <f ca="1">IF(Table1[[#This Row],[County]]="Bristol",Table1[[#This Row],[income]],0)</f>
        <v>0</v>
      </c>
      <c r="BJ144" s="20">
        <f ca="1">IF(Table1[[#This Row],[County]]="Surrey",Table1[[#This Row],[income]],0)</f>
        <v>0</v>
      </c>
      <c r="BK144" s="20">
        <f ca="1">IF(Table1[[#This Row],[County]]="Norfolk",Table1[[#This Row],[income]],0)</f>
        <v>0</v>
      </c>
      <c r="BL144" s="20">
        <f ca="1">IF(Table1[[#This Row],[County]]="Lincolnshire",Table1[[#This Row],[income]],0)</f>
        <v>0</v>
      </c>
      <c r="BM144" s="20">
        <f ca="1">IF(Table1[[#This Row],[County]]="Somerset",Table1[[#This Row],[income]],0)</f>
        <v>0</v>
      </c>
      <c r="BN144" s="20">
        <f ca="1">IF(Table1[[#This Row],[County]]="Cambridgeshire",Table1[[#This Row],[income]],0)</f>
        <v>0</v>
      </c>
      <c r="BO144" s="20">
        <f ca="1">IF(Table1[[#This Row],[County]]="South Yorkshire",Table1[[#This Row],[income]],0)</f>
        <v>0</v>
      </c>
      <c r="BP144" s="20">
        <f ca="1">IF(Table1[[#This Row],[County]]="Greater London",Table1[[#This Row],[income]],0)</f>
        <v>0</v>
      </c>
      <c r="BQ144" s="20">
        <f ca="1">IF(Table1[[#This Row],[County]]="Hampshire",Table1[[#This Row],[income]],0)</f>
        <v>0</v>
      </c>
      <c r="BR144" s="20">
        <f ca="1">IF(Table1[[#This Row],[County]]="Gloucestershire",Table1[[#This Row],[income]],0)</f>
        <v>0</v>
      </c>
      <c r="BS144" s="20">
        <f ca="1">IF(Table1[[#This Row],[County]]="West Sussex",Table1[[#This Row],[income]],0)</f>
        <v>0</v>
      </c>
      <c r="BT144" s="20">
        <f ca="1">IF(Table1[[#This Row],[County]]="Devon",Table1[[#This Row],[income]],0)</f>
        <v>0</v>
      </c>
      <c r="BU144" s="20">
        <f ca="1">IF(Table1[[#This Row],[County]]="Berkshire",Table1[[#This Row],[income]],0)</f>
        <v>0</v>
      </c>
      <c r="BV144" s="20">
        <f ca="1">IF(Table1[[#This Row],[County]]="Staffordshire",Table1[[#This Row],[income]],0)</f>
        <v>0</v>
      </c>
      <c r="BW144" s="20">
        <f ca="1">IF(Table1[[#This Row],[County]]="Leicestershire",Table1[[#This Row],[income]],0)</f>
        <v>0</v>
      </c>
      <c r="BX144" s="20">
        <f ca="1">IF(Table1[[#This Row],[County]]="Cornwall",Table1[[#This Row],[income]],0)</f>
        <v>0</v>
      </c>
      <c r="BY144" s="20">
        <f ca="1">IF(Table1[[#This Row],[County]]="Isle of Wight",Table1[[#This Row],[income]],0)</f>
        <v>0</v>
      </c>
      <c r="BZ144" s="20">
        <f ca="1">IF(Table1[[#This Row],[County]]="Surrey",Table1[[#This Row],[income]],0)</f>
        <v>0</v>
      </c>
      <c r="CA144" s="20">
        <f ca="1">IF(Table1[[#This Row],[County]]="Derbyshire",Table1[[#This Row],[income]],0)</f>
        <v>0</v>
      </c>
      <c r="CB144" s="20">
        <f ca="1">IF(Table1[[#This Row],[County]]="City of London",Table1[[#This Row],[income]],0)</f>
        <v>0</v>
      </c>
      <c r="CC144" s="20">
        <f ca="1">IF(Table1[[#This Row],[County]]="Bedfordshire",Table1[[#This Row],[income]],0)</f>
        <v>0</v>
      </c>
      <c r="CD144" s="20">
        <f ca="1">IF(Table1[[#This Row],[County]]="County Durham",Table1[[#This Row],[income]],0)</f>
        <v>0</v>
      </c>
      <c r="CE144" s="20">
        <f ca="1">IF(Table1[[#This Row],[County]]="East Riding of Yorkshire",Table1[[#This Row],[income]],0)</f>
        <v>0</v>
      </c>
      <c r="CF144" s="20">
        <f ca="1">IF(Table1[[#This Row],[County]]="West Yorkshire",Table1[[#This Row],[income]],0)</f>
        <v>0</v>
      </c>
      <c r="CG144" s="20">
        <f ca="1">IF(Table1[[#This Row],[County]]="Essex",Table1[[#This Row],[income]],0)</f>
        <v>0</v>
      </c>
      <c r="CH144" s="20">
        <f ca="1">IF(Table1[[#This Row],[County]]="East Sussex",Table1[[#This Row],[income]],0)</f>
        <v>76628</v>
      </c>
      <c r="CI144" s="20">
        <f ca="1">IF(Table1[[#This Row],[County]]="Greater Manchester",Table1[[#This Row],[income]],0)</f>
        <v>0</v>
      </c>
      <c r="CJ144" s="20">
        <f ca="1">IF(Table1[[#This Row],[County]]="Hertfordshire",Table1[[#This Row],[income]],0)</f>
        <v>0</v>
      </c>
      <c r="CK144" s="20">
        <f ca="1">IF(Table1[[#This Row],[County]]="Herefordshire",Table1[[#This Row],[income]],0)</f>
        <v>0</v>
      </c>
      <c r="CL144" s="20">
        <f ca="1">IF(Table1[[#This Row],[County]]="Lancashire",Table1[[#This Row],[income]],0)</f>
        <v>0</v>
      </c>
      <c r="CM144" s="20">
        <f ca="1">IF(Table1[[#This Row],[County]]="Merseyside",Table1[[#This Row],[income]],0)</f>
        <v>0</v>
      </c>
      <c r="CN144" s="20">
        <f ca="1">IF(Table1[[#This Row],[County]]="Northamptonshire",Table1[[#This Row],[income]],0)</f>
        <v>0</v>
      </c>
      <c r="CO144" s="20">
        <f ca="1">IF(Table1[[#This Row],[County]]="Northumberland",Table1[[#This Row],[income]],0)</f>
        <v>0</v>
      </c>
      <c r="CP144" s="20">
        <f ca="1">IF(Table1[[#This Row],[County]]="Wiltshire",Table1[[#This Row],[income]],0)</f>
        <v>0</v>
      </c>
      <c r="CQ144" s="20">
        <f ca="1">IF(Table1[[#This Row],[County]]="West Midlands",Table1[[#This Row],[income]],0)</f>
        <v>0</v>
      </c>
      <c r="CR144" s="20">
        <f ca="1">IF(Table1[[#This Row],[County]]="Warwickshire",Table1[[#This Row],[income]],0)</f>
        <v>0</v>
      </c>
      <c r="CS144" s="20">
        <f ca="1">IF(Table1[[#This Row],[County]]="Tyne and Wear",Table1[[#This Row],[income]],0)</f>
        <v>0</v>
      </c>
      <c r="CT144" s="20">
        <f ca="1">IF(Table1[[#This Row],[County]]="Worcestershire",Table1[[#This Row],[income]],0)</f>
        <v>0</v>
      </c>
      <c r="CU144" s="20">
        <f ca="1">IF(Table1[[#This Row],[County]]="Rutland",Table1[[#This Row],[income]],0)</f>
        <v>0</v>
      </c>
      <c r="CV144" s="20">
        <f ca="1">IF(Table1[[#This Row],[County]]="Shropshire",Table1[[#This Row],[income]],0)</f>
        <v>0</v>
      </c>
      <c r="CW144" s="20">
        <f ca="1">IF(Table1[[#This Row],[County]]="Dorset",Table1[[#This Row],[income]],0)</f>
        <v>0</v>
      </c>
      <c r="CX144" s="20">
        <f ca="1">IF(Table1[[#This Row],[County]]="Buckinghamshire",Table1[[#This Row],[income]],0)</f>
        <v>0</v>
      </c>
      <c r="CY144" s="20">
        <f ca="1">IF(Table1[[#This Row],[County]]="Suffolk",Table1[[#This Row],[income]],0)</f>
        <v>0</v>
      </c>
      <c r="CZ144" s="20">
        <f ca="1">IF(Table1[[#This Row],[County]]="North Yorkshire",Table1[[#This Row],[income]],0)</f>
        <v>0</v>
      </c>
      <c r="DA144" s="20">
        <f ca="1">IF(Table1[[#This Row],[County]]="Kent",Table1[[#This Row],[income]],0)</f>
        <v>0</v>
      </c>
      <c r="DB144" s="5">
        <f ca="1">IF(Table1[[#This Row],[County]]="Derbyshire",Table1[[#This Row],[income]],0)</f>
        <v>0</v>
      </c>
      <c r="DD144" s="6">
        <f ca="1">IF(Table1[[#This Row],[Column1]]="Health",Table1[[#This Row],[income]],0)</f>
        <v>0</v>
      </c>
      <c r="DE144" s="20">
        <f ca="1">IF(Table1[[#This Row],[Column1]]="Agriculture",Table1[[#This Row],[income]],0)</f>
        <v>0</v>
      </c>
      <c r="DF144" s="20">
        <f ca="1">IF(Table1[[#This Row],[Column1]]="Technology",Table1[[#This Row],[income]],0)</f>
        <v>0</v>
      </c>
      <c r="DG144" s="20">
        <f ca="1">IF(Table1[[#This Row],[Column1]]="Social Service",Table1[[#This Row],[income]],0)</f>
        <v>76628</v>
      </c>
      <c r="DH144" s="20">
        <f ca="1">IF(Table1[[#This Row],[Column1]]="Education",Table1[[#This Row],[income]],0)</f>
        <v>0</v>
      </c>
      <c r="DI144" s="5">
        <f ca="1">IF(Table1[[#This Row],[Column1]]="Construction",Table1[[#This Row],[income]],0)</f>
        <v>0</v>
      </c>
      <c r="DK144" s="6">
        <f ca="1">IF(Table1[[#This Row],[Value of Debts]]&gt;Table1[[#This Row],[income]],1,0)</f>
        <v>1</v>
      </c>
      <c r="DL144" s="20"/>
      <c r="DM144" s="20"/>
      <c r="DN144" s="5"/>
      <c r="DP144" s="6">
        <f ca="1">IF(Table1[[#This Row],[Net Worth (£)]]&gt;$DS$5,C144,0)</f>
        <v>0</v>
      </c>
      <c r="DQ144" s="20"/>
      <c r="DR144" s="20"/>
      <c r="DS144" s="5"/>
    </row>
    <row r="145" spans="1:123" x14ac:dyDescent="0.2">
      <c r="A145">
        <f t="shared" ca="1" si="7"/>
        <v>1</v>
      </c>
      <c r="B145" s="1" t="str">
        <f ca="1">IF(A145=1, "men", "women")</f>
        <v>men</v>
      </c>
      <c r="C145" s="1">
        <f ca="1">RANDBETWEEN(25,50)</f>
        <v>44</v>
      </c>
      <c r="D145">
        <f ca="1">RANDBETWEEN(1,6)</f>
        <v>6</v>
      </c>
      <c r="E145" t="str">
        <f ca="1">VLOOKUP(D145,$W$5:$X$10,2)</f>
        <v>Agriculture</v>
      </c>
      <c r="F145">
        <f ca="1">RANDBETWEEN(1,5)</f>
        <v>3</v>
      </c>
      <c r="G145" t="str">
        <f ca="1">VLOOKUP(F145,$Y$5:$Z$9,2)</f>
        <v>University</v>
      </c>
      <c r="H145">
        <f ca="1">RANDBETWEEN(0,4)</f>
        <v>3</v>
      </c>
      <c r="I145">
        <f ca="1">RANDBETWEEN(1,3)</f>
        <v>1</v>
      </c>
      <c r="J145">
        <f ca="1">RANDBETWEEN(30000,100000)</f>
        <v>81552</v>
      </c>
      <c r="K145">
        <f ca="1">RANDBETWEEN(1,48)</f>
        <v>19</v>
      </c>
      <c r="L145" t="str">
        <f ca="1">VLOOKUP(K145,$AA$5:$AB$52,2)</f>
        <v>Greater Manchester</v>
      </c>
      <c r="M145">
        <f ca="1">J145*(RANDBETWEEN(2,5))</f>
        <v>326208</v>
      </c>
      <c r="N145">
        <f ca="1">RAND()*M145</f>
        <v>18605.322277629442</v>
      </c>
      <c r="O145">
        <f ca="1">I145*RAND()*J145</f>
        <v>50536.659068048255</v>
      </c>
      <c r="P145">
        <f ca="1">RANDBETWEEN(0,O145)</f>
        <v>49125</v>
      </c>
      <c r="Q145">
        <f ca="1">RAND()*J145*2</f>
        <v>51033.004947572459</v>
      </c>
      <c r="R145">
        <f ca="1">RAND()*J145*1.5</f>
        <v>33672.012829170562</v>
      </c>
      <c r="S145">
        <f ca="1">J145+R145+O145</f>
        <v>165760.67189721882</v>
      </c>
      <c r="T145">
        <f ca="1">N145+P145+Q145</f>
        <v>118763.32722520191</v>
      </c>
      <c r="U145">
        <f ca="1">S145-T145</f>
        <v>46997.344672016916</v>
      </c>
      <c r="AC145" s="6">
        <f ca="1">IF(Table1[[#This Row],[gender]]="men",1,0)</f>
        <v>1</v>
      </c>
      <c r="AD145">
        <f ca="1">IF(Table1[[#This Row],[gender]]="women",1,0)</f>
        <v>0</v>
      </c>
      <c r="AH145" s="5"/>
      <c r="AJ145" s="6">
        <f ca="1">IF(Table1[[#This Row],[Column1]]="Health",1,0)</f>
        <v>0</v>
      </c>
      <c r="AK145">
        <f ca="1">IF(Table1[[#This Row],[Column1]]="Construction",1,0)</f>
        <v>0</v>
      </c>
      <c r="AL145">
        <f ca="1">IF(Table1[[#This Row],[Column1]]="Technology",1,0)</f>
        <v>0</v>
      </c>
      <c r="AM145">
        <f ca="1">IF(Table1[[#This Row],[Column1]]="Education",1,0)</f>
        <v>0</v>
      </c>
      <c r="AN145">
        <f ca="1">IF(Table1[[#This Row],[Column1]]="Agriculture",1,0)</f>
        <v>1</v>
      </c>
      <c r="AO145">
        <f ca="1">IF(Table1[[#This Row],[Column1]]="Social Service", 1, 0)</f>
        <v>0</v>
      </c>
      <c r="AT145" s="5"/>
      <c r="AV145" s="17">
        <f t="shared" ca="1" si="6"/>
        <v>15101.493744308464</v>
      </c>
      <c r="AW145" s="5"/>
      <c r="AX145" s="6">
        <f ca="1">IF(Table1[[#This Row],[Value of Debts]]&gt;$AY$4,1,0)</f>
        <v>1</v>
      </c>
      <c r="AY145" s="20"/>
      <c r="AZ145" s="20"/>
      <c r="BA145" s="5"/>
      <c r="BB145" s="25">
        <f ca="1">Table1[[#This Row],[Mortage Left]]/Table1[[#This Row],[Value of House]]</f>
        <v>5.7035150203641367E-2</v>
      </c>
      <c r="BC145" s="20">
        <f t="shared" ca="1" si="8"/>
        <v>1</v>
      </c>
      <c r="BD145" s="20"/>
      <c r="BE145" s="20"/>
      <c r="BF145" s="20"/>
      <c r="BG145" s="6">
        <f ca="1">IF(Table1[[#This Row],[County]]="Cumbria",Table1[[#This Row],[income]],0)</f>
        <v>0</v>
      </c>
      <c r="BH145" s="20">
        <f ca="1">IF(Table1[[#This Row],[County]]="Cheshire",Table1[[#This Row],[income]],0)</f>
        <v>0</v>
      </c>
      <c r="BI145" s="20">
        <f ca="1">IF(Table1[[#This Row],[County]]="Bristol",Table1[[#This Row],[income]],0)</f>
        <v>0</v>
      </c>
      <c r="BJ145" s="20">
        <f ca="1">IF(Table1[[#This Row],[County]]="Surrey",Table1[[#This Row],[income]],0)</f>
        <v>0</v>
      </c>
      <c r="BK145" s="20">
        <f ca="1">IF(Table1[[#This Row],[County]]="Norfolk",Table1[[#This Row],[income]],0)</f>
        <v>0</v>
      </c>
      <c r="BL145" s="20">
        <f ca="1">IF(Table1[[#This Row],[County]]="Lincolnshire",Table1[[#This Row],[income]],0)</f>
        <v>0</v>
      </c>
      <c r="BM145" s="20">
        <f ca="1">IF(Table1[[#This Row],[County]]="Somerset",Table1[[#This Row],[income]],0)</f>
        <v>0</v>
      </c>
      <c r="BN145" s="20">
        <f ca="1">IF(Table1[[#This Row],[County]]="Cambridgeshire",Table1[[#This Row],[income]],0)</f>
        <v>0</v>
      </c>
      <c r="BO145" s="20">
        <f ca="1">IF(Table1[[#This Row],[County]]="South Yorkshire",Table1[[#This Row],[income]],0)</f>
        <v>0</v>
      </c>
      <c r="BP145" s="20">
        <f ca="1">IF(Table1[[#This Row],[County]]="Greater London",Table1[[#This Row],[income]],0)</f>
        <v>0</v>
      </c>
      <c r="BQ145" s="20">
        <f ca="1">IF(Table1[[#This Row],[County]]="Hampshire",Table1[[#This Row],[income]],0)</f>
        <v>0</v>
      </c>
      <c r="BR145" s="20">
        <f ca="1">IF(Table1[[#This Row],[County]]="Gloucestershire",Table1[[#This Row],[income]],0)</f>
        <v>0</v>
      </c>
      <c r="BS145" s="20">
        <f ca="1">IF(Table1[[#This Row],[County]]="West Sussex",Table1[[#This Row],[income]],0)</f>
        <v>0</v>
      </c>
      <c r="BT145" s="20">
        <f ca="1">IF(Table1[[#This Row],[County]]="Devon",Table1[[#This Row],[income]],0)</f>
        <v>0</v>
      </c>
      <c r="BU145" s="20">
        <f ca="1">IF(Table1[[#This Row],[County]]="Berkshire",Table1[[#This Row],[income]],0)</f>
        <v>0</v>
      </c>
      <c r="BV145" s="20">
        <f ca="1">IF(Table1[[#This Row],[County]]="Staffordshire",Table1[[#This Row],[income]],0)</f>
        <v>0</v>
      </c>
      <c r="BW145" s="20">
        <f ca="1">IF(Table1[[#This Row],[County]]="Leicestershire",Table1[[#This Row],[income]],0)</f>
        <v>0</v>
      </c>
      <c r="BX145" s="20">
        <f ca="1">IF(Table1[[#This Row],[County]]="Cornwall",Table1[[#This Row],[income]],0)</f>
        <v>0</v>
      </c>
      <c r="BY145" s="20">
        <f ca="1">IF(Table1[[#This Row],[County]]="Isle of Wight",Table1[[#This Row],[income]],0)</f>
        <v>0</v>
      </c>
      <c r="BZ145" s="20">
        <f ca="1">IF(Table1[[#This Row],[County]]="Surrey",Table1[[#This Row],[income]],0)</f>
        <v>0</v>
      </c>
      <c r="CA145" s="20">
        <f ca="1">IF(Table1[[#This Row],[County]]="Derbyshire",Table1[[#This Row],[income]],0)</f>
        <v>0</v>
      </c>
      <c r="CB145" s="20">
        <f ca="1">IF(Table1[[#This Row],[County]]="City of London",Table1[[#This Row],[income]],0)</f>
        <v>0</v>
      </c>
      <c r="CC145" s="20">
        <f ca="1">IF(Table1[[#This Row],[County]]="Bedfordshire",Table1[[#This Row],[income]],0)</f>
        <v>0</v>
      </c>
      <c r="CD145" s="20">
        <f ca="1">IF(Table1[[#This Row],[County]]="County Durham",Table1[[#This Row],[income]],0)</f>
        <v>0</v>
      </c>
      <c r="CE145" s="20">
        <f ca="1">IF(Table1[[#This Row],[County]]="East Riding of Yorkshire",Table1[[#This Row],[income]],0)</f>
        <v>0</v>
      </c>
      <c r="CF145" s="20">
        <f ca="1">IF(Table1[[#This Row],[County]]="West Yorkshire",Table1[[#This Row],[income]],0)</f>
        <v>0</v>
      </c>
      <c r="CG145" s="20">
        <f ca="1">IF(Table1[[#This Row],[County]]="Essex",Table1[[#This Row],[income]],0)</f>
        <v>0</v>
      </c>
      <c r="CH145" s="20">
        <f ca="1">IF(Table1[[#This Row],[County]]="East Sussex",Table1[[#This Row],[income]],0)</f>
        <v>0</v>
      </c>
      <c r="CI145" s="20">
        <f ca="1">IF(Table1[[#This Row],[County]]="Greater Manchester",Table1[[#This Row],[income]],0)</f>
        <v>81552</v>
      </c>
      <c r="CJ145" s="20">
        <f ca="1">IF(Table1[[#This Row],[County]]="Hertfordshire",Table1[[#This Row],[income]],0)</f>
        <v>0</v>
      </c>
      <c r="CK145" s="20">
        <f ca="1">IF(Table1[[#This Row],[County]]="Herefordshire",Table1[[#This Row],[income]],0)</f>
        <v>0</v>
      </c>
      <c r="CL145" s="20">
        <f ca="1">IF(Table1[[#This Row],[County]]="Lancashire",Table1[[#This Row],[income]],0)</f>
        <v>0</v>
      </c>
      <c r="CM145" s="20">
        <f ca="1">IF(Table1[[#This Row],[County]]="Merseyside",Table1[[#This Row],[income]],0)</f>
        <v>0</v>
      </c>
      <c r="CN145" s="20">
        <f ca="1">IF(Table1[[#This Row],[County]]="Northamptonshire",Table1[[#This Row],[income]],0)</f>
        <v>0</v>
      </c>
      <c r="CO145" s="20">
        <f ca="1">IF(Table1[[#This Row],[County]]="Northumberland",Table1[[#This Row],[income]],0)</f>
        <v>0</v>
      </c>
      <c r="CP145" s="20">
        <f ca="1">IF(Table1[[#This Row],[County]]="Wiltshire",Table1[[#This Row],[income]],0)</f>
        <v>0</v>
      </c>
      <c r="CQ145" s="20">
        <f ca="1">IF(Table1[[#This Row],[County]]="West Midlands",Table1[[#This Row],[income]],0)</f>
        <v>0</v>
      </c>
      <c r="CR145" s="20">
        <f ca="1">IF(Table1[[#This Row],[County]]="Warwickshire",Table1[[#This Row],[income]],0)</f>
        <v>0</v>
      </c>
      <c r="CS145" s="20">
        <f ca="1">IF(Table1[[#This Row],[County]]="Tyne and Wear",Table1[[#This Row],[income]],0)</f>
        <v>0</v>
      </c>
      <c r="CT145" s="20">
        <f ca="1">IF(Table1[[#This Row],[County]]="Worcestershire",Table1[[#This Row],[income]],0)</f>
        <v>0</v>
      </c>
      <c r="CU145" s="20">
        <f ca="1">IF(Table1[[#This Row],[County]]="Rutland",Table1[[#This Row],[income]],0)</f>
        <v>0</v>
      </c>
      <c r="CV145" s="20">
        <f ca="1">IF(Table1[[#This Row],[County]]="Shropshire",Table1[[#This Row],[income]],0)</f>
        <v>0</v>
      </c>
      <c r="CW145" s="20">
        <f ca="1">IF(Table1[[#This Row],[County]]="Dorset",Table1[[#This Row],[income]],0)</f>
        <v>0</v>
      </c>
      <c r="CX145" s="20">
        <f ca="1">IF(Table1[[#This Row],[County]]="Buckinghamshire",Table1[[#This Row],[income]],0)</f>
        <v>0</v>
      </c>
      <c r="CY145" s="20">
        <f ca="1">IF(Table1[[#This Row],[County]]="Suffolk",Table1[[#This Row],[income]],0)</f>
        <v>0</v>
      </c>
      <c r="CZ145" s="20">
        <f ca="1">IF(Table1[[#This Row],[County]]="North Yorkshire",Table1[[#This Row],[income]],0)</f>
        <v>0</v>
      </c>
      <c r="DA145" s="20">
        <f ca="1">IF(Table1[[#This Row],[County]]="Kent",Table1[[#This Row],[income]],0)</f>
        <v>0</v>
      </c>
      <c r="DB145" s="5">
        <f ca="1">IF(Table1[[#This Row],[County]]="Derbyshire",Table1[[#This Row],[income]],0)</f>
        <v>0</v>
      </c>
      <c r="DD145" s="6">
        <f ca="1">IF(Table1[[#This Row],[Column1]]="Health",Table1[[#This Row],[income]],0)</f>
        <v>0</v>
      </c>
      <c r="DE145" s="20">
        <f ca="1">IF(Table1[[#This Row],[Column1]]="Agriculture",Table1[[#This Row],[income]],0)</f>
        <v>81552</v>
      </c>
      <c r="DF145" s="20">
        <f ca="1">IF(Table1[[#This Row],[Column1]]="Technology",Table1[[#This Row],[income]],0)</f>
        <v>0</v>
      </c>
      <c r="DG145" s="20">
        <f ca="1">IF(Table1[[#This Row],[Column1]]="Social Service",Table1[[#This Row],[income]],0)</f>
        <v>0</v>
      </c>
      <c r="DH145" s="20">
        <f ca="1">IF(Table1[[#This Row],[Column1]]="Education",Table1[[#This Row],[income]],0)</f>
        <v>0</v>
      </c>
      <c r="DI145" s="5">
        <f ca="1">IF(Table1[[#This Row],[Column1]]="Construction",Table1[[#This Row],[income]],0)</f>
        <v>0</v>
      </c>
      <c r="DK145" s="6">
        <f ca="1">IF(Table1[[#This Row],[Value of Debts]]&gt;Table1[[#This Row],[income]],1,0)</f>
        <v>1</v>
      </c>
      <c r="DL145" s="20"/>
      <c r="DM145" s="20"/>
      <c r="DN145" s="5"/>
      <c r="DP145" s="6">
        <f ca="1">IF(Table1[[#This Row],[Net Worth (£)]]&gt;$DS$5,C145,0)</f>
        <v>0</v>
      </c>
      <c r="DQ145" s="20"/>
      <c r="DR145" s="20"/>
      <c r="DS145" s="5"/>
    </row>
    <row r="146" spans="1:123" x14ac:dyDescent="0.2">
      <c r="A146">
        <f t="shared" ca="1" si="7"/>
        <v>2</v>
      </c>
      <c r="B146" s="1" t="str">
        <f ca="1">IF(A146=1, "men", "women")</f>
        <v>women</v>
      </c>
      <c r="C146" s="1">
        <f ca="1">RANDBETWEEN(25,50)</f>
        <v>40</v>
      </c>
      <c r="D146">
        <f ca="1">RANDBETWEEN(1,6)</f>
        <v>1</v>
      </c>
      <c r="E146" t="str">
        <f ca="1">VLOOKUP(D146,$W$5:$X$10,2)</f>
        <v>Health</v>
      </c>
      <c r="F146">
        <f ca="1">RANDBETWEEN(1,5)</f>
        <v>2</v>
      </c>
      <c r="G146" t="str">
        <f ca="1">VLOOKUP(F146,$Y$5:$Z$9,2)</f>
        <v>College</v>
      </c>
      <c r="H146">
        <f ca="1">RANDBETWEEN(0,4)</f>
        <v>0</v>
      </c>
      <c r="I146">
        <f ca="1">RANDBETWEEN(1,3)</f>
        <v>3</v>
      </c>
      <c r="J146">
        <f ca="1">RANDBETWEEN(30000,100000)</f>
        <v>94224</v>
      </c>
      <c r="K146">
        <f ca="1">RANDBETWEEN(1,48)</f>
        <v>47</v>
      </c>
      <c r="L146" t="str">
        <f ca="1">VLOOKUP(K146,$AA$5:$AB$52,2)</f>
        <v>Wiltshire</v>
      </c>
      <c r="M146">
        <f ca="1">J146*(RANDBETWEEN(2,5))</f>
        <v>471120</v>
      </c>
      <c r="N146">
        <f ca="1">RAND()*M146</f>
        <v>367285.09319579025</v>
      </c>
      <c r="O146">
        <f ca="1">I146*RAND()*J146</f>
        <v>45304.481232925391</v>
      </c>
      <c r="P146">
        <f ca="1">RANDBETWEEN(0,O146)</f>
        <v>21509</v>
      </c>
      <c r="Q146">
        <f ca="1">RAND()*J146*2</f>
        <v>140514.41477651967</v>
      </c>
      <c r="R146">
        <f ca="1">RAND()*J146*1.5</f>
        <v>66281.306404009083</v>
      </c>
      <c r="S146">
        <f ca="1">J146+R146+O146</f>
        <v>205809.78763693449</v>
      </c>
      <c r="T146">
        <f ca="1">N146+P146+Q146</f>
        <v>529308.50797230995</v>
      </c>
      <c r="U146">
        <f ca="1">S146-T146</f>
        <v>-323498.72033537546</v>
      </c>
      <c r="AC146" s="6">
        <f ca="1">IF(Table1[[#This Row],[gender]]="men",1,0)</f>
        <v>0</v>
      </c>
      <c r="AD146">
        <f ca="1">IF(Table1[[#This Row],[gender]]="women",1,0)</f>
        <v>1</v>
      </c>
      <c r="AH146" s="5"/>
      <c r="AJ146" s="6">
        <f ca="1">IF(Table1[[#This Row],[Column1]]="Health",1,0)</f>
        <v>1</v>
      </c>
      <c r="AK146">
        <f ca="1">IF(Table1[[#This Row],[Column1]]="Construction",1,0)</f>
        <v>0</v>
      </c>
      <c r="AL146">
        <f ca="1">IF(Table1[[#This Row],[Column1]]="Technology",1,0)</f>
        <v>0</v>
      </c>
      <c r="AM146">
        <f ca="1">IF(Table1[[#This Row],[Column1]]="Education",1,0)</f>
        <v>0</v>
      </c>
      <c r="AN146">
        <f ca="1">IF(Table1[[#This Row],[Column1]]="Agriculture",1,0)</f>
        <v>0</v>
      </c>
      <c r="AO146">
        <f ca="1">IF(Table1[[#This Row],[Column1]]="Social Service", 1, 0)</f>
        <v>0</v>
      </c>
      <c r="AT146" s="5"/>
      <c r="AV146" s="17">
        <f t="shared" ca="1" si="6"/>
        <v>4900.8918511591119</v>
      </c>
      <c r="AW146" s="5"/>
      <c r="AX146" s="6">
        <f ca="1">IF(Table1[[#This Row],[Value of Debts]]&gt;$AY$4,1,0)</f>
        <v>1</v>
      </c>
      <c r="AY146" s="20"/>
      <c r="AZ146" s="20"/>
      <c r="BA146" s="5"/>
      <c r="BB146" s="25">
        <f ca="1">Table1[[#This Row],[Mortage Left]]/Table1[[#This Row],[Value of House]]</f>
        <v>0.7795998751820985</v>
      </c>
      <c r="BC146" s="20">
        <f t="shared" ca="1" si="8"/>
        <v>0</v>
      </c>
      <c r="BD146" s="20"/>
      <c r="BE146" s="20"/>
      <c r="BF146" s="20"/>
      <c r="BG146" s="6">
        <f ca="1">IF(Table1[[#This Row],[County]]="Cumbria",Table1[[#This Row],[income]],0)</f>
        <v>0</v>
      </c>
      <c r="BH146" s="20">
        <f ca="1">IF(Table1[[#This Row],[County]]="Cheshire",Table1[[#This Row],[income]],0)</f>
        <v>0</v>
      </c>
      <c r="BI146" s="20">
        <f ca="1">IF(Table1[[#This Row],[County]]="Bristol",Table1[[#This Row],[income]],0)</f>
        <v>0</v>
      </c>
      <c r="BJ146" s="20">
        <f ca="1">IF(Table1[[#This Row],[County]]="Surrey",Table1[[#This Row],[income]],0)</f>
        <v>0</v>
      </c>
      <c r="BK146" s="20">
        <f ca="1">IF(Table1[[#This Row],[County]]="Norfolk",Table1[[#This Row],[income]],0)</f>
        <v>0</v>
      </c>
      <c r="BL146" s="20">
        <f ca="1">IF(Table1[[#This Row],[County]]="Lincolnshire",Table1[[#This Row],[income]],0)</f>
        <v>0</v>
      </c>
      <c r="BM146" s="20">
        <f ca="1">IF(Table1[[#This Row],[County]]="Somerset",Table1[[#This Row],[income]],0)</f>
        <v>0</v>
      </c>
      <c r="BN146" s="20">
        <f ca="1">IF(Table1[[#This Row],[County]]="Cambridgeshire",Table1[[#This Row],[income]],0)</f>
        <v>0</v>
      </c>
      <c r="BO146" s="20">
        <f ca="1">IF(Table1[[#This Row],[County]]="South Yorkshire",Table1[[#This Row],[income]],0)</f>
        <v>0</v>
      </c>
      <c r="BP146" s="20">
        <f ca="1">IF(Table1[[#This Row],[County]]="Greater London",Table1[[#This Row],[income]],0)</f>
        <v>0</v>
      </c>
      <c r="BQ146" s="20">
        <f ca="1">IF(Table1[[#This Row],[County]]="Hampshire",Table1[[#This Row],[income]],0)</f>
        <v>0</v>
      </c>
      <c r="BR146" s="20">
        <f ca="1">IF(Table1[[#This Row],[County]]="Gloucestershire",Table1[[#This Row],[income]],0)</f>
        <v>0</v>
      </c>
      <c r="BS146" s="20">
        <f ca="1">IF(Table1[[#This Row],[County]]="West Sussex",Table1[[#This Row],[income]],0)</f>
        <v>0</v>
      </c>
      <c r="BT146" s="20">
        <f ca="1">IF(Table1[[#This Row],[County]]="Devon",Table1[[#This Row],[income]],0)</f>
        <v>0</v>
      </c>
      <c r="BU146" s="20">
        <f ca="1">IF(Table1[[#This Row],[County]]="Berkshire",Table1[[#This Row],[income]],0)</f>
        <v>0</v>
      </c>
      <c r="BV146" s="20">
        <f ca="1">IF(Table1[[#This Row],[County]]="Staffordshire",Table1[[#This Row],[income]],0)</f>
        <v>0</v>
      </c>
      <c r="BW146" s="20">
        <f ca="1">IF(Table1[[#This Row],[County]]="Leicestershire",Table1[[#This Row],[income]],0)</f>
        <v>0</v>
      </c>
      <c r="BX146" s="20">
        <f ca="1">IF(Table1[[#This Row],[County]]="Cornwall",Table1[[#This Row],[income]],0)</f>
        <v>0</v>
      </c>
      <c r="BY146" s="20">
        <f ca="1">IF(Table1[[#This Row],[County]]="Isle of Wight",Table1[[#This Row],[income]],0)</f>
        <v>0</v>
      </c>
      <c r="BZ146" s="20">
        <f ca="1">IF(Table1[[#This Row],[County]]="Surrey",Table1[[#This Row],[income]],0)</f>
        <v>0</v>
      </c>
      <c r="CA146" s="20">
        <f ca="1">IF(Table1[[#This Row],[County]]="Derbyshire",Table1[[#This Row],[income]],0)</f>
        <v>0</v>
      </c>
      <c r="CB146" s="20">
        <f ca="1">IF(Table1[[#This Row],[County]]="City of London",Table1[[#This Row],[income]],0)</f>
        <v>0</v>
      </c>
      <c r="CC146" s="20">
        <f ca="1">IF(Table1[[#This Row],[County]]="Bedfordshire",Table1[[#This Row],[income]],0)</f>
        <v>0</v>
      </c>
      <c r="CD146" s="20">
        <f ca="1">IF(Table1[[#This Row],[County]]="County Durham",Table1[[#This Row],[income]],0)</f>
        <v>0</v>
      </c>
      <c r="CE146" s="20">
        <f ca="1">IF(Table1[[#This Row],[County]]="East Riding of Yorkshire",Table1[[#This Row],[income]],0)</f>
        <v>0</v>
      </c>
      <c r="CF146" s="20">
        <f ca="1">IF(Table1[[#This Row],[County]]="West Yorkshire",Table1[[#This Row],[income]],0)</f>
        <v>0</v>
      </c>
      <c r="CG146" s="20">
        <f ca="1">IF(Table1[[#This Row],[County]]="Essex",Table1[[#This Row],[income]],0)</f>
        <v>0</v>
      </c>
      <c r="CH146" s="20">
        <f ca="1">IF(Table1[[#This Row],[County]]="East Sussex",Table1[[#This Row],[income]],0)</f>
        <v>0</v>
      </c>
      <c r="CI146" s="20">
        <f ca="1">IF(Table1[[#This Row],[County]]="Greater Manchester",Table1[[#This Row],[income]],0)</f>
        <v>0</v>
      </c>
      <c r="CJ146" s="20">
        <f ca="1">IF(Table1[[#This Row],[County]]="Hertfordshire",Table1[[#This Row],[income]],0)</f>
        <v>0</v>
      </c>
      <c r="CK146" s="20">
        <f ca="1">IF(Table1[[#This Row],[County]]="Herefordshire",Table1[[#This Row],[income]],0)</f>
        <v>0</v>
      </c>
      <c r="CL146" s="20">
        <f ca="1">IF(Table1[[#This Row],[County]]="Lancashire",Table1[[#This Row],[income]],0)</f>
        <v>0</v>
      </c>
      <c r="CM146" s="20">
        <f ca="1">IF(Table1[[#This Row],[County]]="Merseyside",Table1[[#This Row],[income]],0)</f>
        <v>0</v>
      </c>
      <c r="CN146" s="20">
        <f ca="1">IF(Table1[[#This Row],[County]]="Northamptonshire",Table1[[#This Row],[income]],0)</f>
        <v>0</v>
      </c>
      <c r="CO146" s="20">
        <f ca="1">IF(Table1[[#This Row],[County]]="Northumberland",Table1[[#This Row],[income]],0)</f>
        <v>0</v>
      </c>
      <c r="CP146" s="20">
        <f ca="1">IF(Table1[[#This Row],[County]]="Wiltshire",Table1[[#This Row],[income]],0)</f>
        <v>94224</v>
      </c>
      <c r="CQ146" s="20">
        <f ca="1">IF(Table1[[#This Row],[County]]="West Midlands",Table1[[#This Row],[income]],0)</f>
        <v>0</v>
      </c>
      <c r="CR146" s="20">
        <f ca="1">IF(Table1[[#This Row],[County]]="Warwickshire",Table1[[#This Row],[income]],0)</f>
        <v>0</v>
      </c>
      <c r="CS146" s="20">
        <f ca="1">IF(Table1[[#This Row],[County]]="Tyne and Wear",Table1[[#This Row],[income]],0)</f>
        <v>0</v>
      </c>
      <c r="CT146" s="20">
        <f ca="1">IF(Table1[[#This Row],[County]]="Worcestershire",Table1[[#This Row],[income]],0)</f>
        <v>0</v>
      </c>
      <c r="CU146" s="20">
        <f ca="1">IF(Table1[[#This Row],[County]]="Rutland",Table1[[#This Row],[income]],0)</f>
        <v>0</v>
      </c>
      <c r="CV146" s="20">
        <f ca="1">IF(Table1[[#This Row],[County]]="Shropshire",Table1[[#This Row],[income]],0)</f>
        <v>0</v>
      </c>
      <c r="CW146" s="20">
        <f ca="1">IF(Table1[[#This Row],[County]]="Dorset",Table1[[#This Row],[income]],0)</f>
        <v>0</v>
      </c>
      <c r="CX146" s="20">
        <f ca="1">IF(Table1[[#This Row],[County]]="Buckinghamshire",Table1[[#This Row],[income]],0)</f>
        <v>0</v>
      </c>
      <c r="CY146" s="20">
        <f ca="1">IF(Table1[[#This Row],[County]]="Suffolk",Table1[[#This Row],[income]],0)</f>
        <v>0</v>
      </c>
      <c r="CZ146" s="20">
        <f ca="1">IF(Table1[[#This Row],[County]]="North Yorkshire",Table1[[#This Row],[income]],0)</f>
        <v>0</v>
      </c>
      <c r="DA146" s="20">
        <f ca="1">IF(Table1[[#This Row],[County]]="Kent",Table1[[#This Row],[income]],0)</f>
        <v>0</v>
      </c>
      <c r="DB146" s="5">
        <f ca="1">IF(Table1[[#This Row],[County]]="Derbyshire",Table1[[#This Row],[income]],0)</f>
        <v>0</v>
      </c>
      <c r="DD146" s="6">
        <f ca="1">IF(Table1[[#This Row],[Column1]]="Health",Table1[[#This Row],[income]],0)</f>
        <v>94224</v>
      </c>
      <c r="DE146" s="20">
        <f ca="1">IF(Table1[[#This Row],[Column1]]="Agriculture",Table1[[#This Row],[income]],0)</f>
        <v>0</v>
      </c>
      <c r="DF146" s="20">
        <f ca="1">IF(Table1[[#This Row],[Column1]]="Technology",Table1[[#This Row],[income]],0)</f>
        <v>0</v>
      </c>
      <c r="DG146" s="20">
        <f ca="1">IF(Table1[[#This Row],[Column1]]="Social Service",Table1[[#This Row],[income]],0)</f>
        <v>0</v>
      </c>
      <c r="DH146" s="20">
        <f ca="1">IF(Table1[[#This Row],[Column1]]="Education",Table1[[#This Row],[income]],0)</f>
        <v>0</v>
      </c>
      <c r="DI146" s="5">
        <f ca="1">IF(Table1[[#This Row],[Column1]]="Construction",Table1[[#This Row],[income]],0)</f>
        <v>0</v>
      </c>
      <c r="DK146" s="6">
        <f ca="1">IF(Table1[[#This Row],[Value of Debts]]&gt;Table1[[#This Row],[income]],1,0)</f>
        <v>1</v>
      </c>
      <c r="DL146" s="20"/>
      <c r="DM146" s="20"/>
      <c r="DN146" s="5"/>
      <c r="DP146" s="6">
        <f ca="1">IF(Table1[[#This Row],[Net Worth (£)]]&gt;$DS$5,C146,0)</f>
        <v>0</v>
      </c>
      <c r="DQ146" s="20"/>
      <c r="DR146" s="20"/>
      <c r="DS146" s="5"/>
    </row>
    <row r="147" spans="1:123" x14ac:dyDescent="0.2">
      <c r="A147">
        <f t="shared" ca="1" si="7"/>
        <v>2</v>
      </c>
      <c r="B147" s="1" t="str">
        <f ca="1">IF(A147=1, "men", "women")</f>
        <v>women</v>
      </c>
      <c r="C147" s="1">
        <f ca="1">RANDBETWEEN(25,50)</f>
        <v>29</v>
      </c>
      <c r="D147">
        <f ca="1">RANDBETWEEN(1,6)</f>
        <v>3</v>
      </c>
      <c r="E147" t="str">
        <f ca="1">VLOOKUP(D147,$W$5:$X$10,2)</f>
        <v>Education</v>
      </c>
      <c r="F147">
        <f ca="1">RANDBETWEEN(1,5)</f>
        <v>1</v>
      </c>
      <c r="G147" t="str">
        <f ca="1">VLOOKUP(F147,$Y$5:$Z$9,2)</f>
        <v>High School</v>
      </c>
      <c r="H147">
        <f ca="1">RANDBETWEEN(0,4)</f>
        <v>0</v>
      </c>
      <c r="I147">
        <f ca="1">RANDBETWEEN(1,3)</f>
        <v>1</v>
      </c>
      <c r="J147">
        <f ca="1">RANDBETWEEN(30000,100000)</f>
        <v>77245</v>
      </c>
      <c r="K147">
        <f ca="1">RANDBETWEEN(1,48)</f>
        <v>38</v>
      </c>
      <c r="L147" t="str">
        <f ca="1">VLOOKUP(K147,$AA$5:$AB$52,2)</f>
        <v>South Yorkshire</v>
      </c>
      <c r="M147">
        <f ca="1">J147*(RANDBETWEEN(2,5))</f>
        <v>308980</v>
      </c>
      <c r="N147">
        <f ca="1">RAND()*M147</f>
        <v>266348.87392587808</v>
      </c>
      <c r="O147">
        <f ca="1">I147*RAND()*J147</f>
        <v>4900.8918511591119</v>
      </c>
      <c r="P147">
        <f ca="1">RANDBETWEEN(0,O147)</f>
        <v>612</v>
      </c>
      <c r="Q147">
        <f ca="1">RAND()*J147*2</f>
        <v>142141.55667091213</v>
      </c>
      <c r="R147">
        <f ca="1">RAND()*J147*1.5</f>
        <v>108515.45531013428</v>
      </c>
      <c r="S147">
        <f ca="1">J147+R147+O147</f>
        <v>190661.34716129338</v>
      </c>
      <c r="T147">
        <f ca="1">N147+P147+Q147</f>
        <v>409102.43059679022</v>
      </c>
      <c r="U147">
        <f ca="1">S147-T147</f>
        <v>-218441.08343549684</v>
      </c>
      <c r="AC147" s="6">
        <f ca="1">IF(Table1[[#This Row],[gender]]="men",1,0)</f>
        <v>0</v>
      </c>
      <c r="AD147">
        <f ca="1">IF(Table1[[#This Row],[gender]]="women",1,0)</f>
        <v>1</v>
      </c>
      <c r="AH147" s="5"/>
      <c r="AJ147" s="6">
        <f ca="1">IF(Table1[[#This Row],[Column1]]="Health",1,0)</f>
        <v>0</v>
      </c>
      <c r="AK147">
        <f ca="1">IF(Table1[[#This Row],[Column1]]="Construction",1,0)</f>
        <v>0</v>
      </c>
      <c r="AL147">
        <f ca="1">IF(Table1[[#This Row],[Column1]]="Technology",1,0)</f>
        <v>0</v>
      </c>
      <c r="AM147">
        <f ca="1">IF(Table1[[#This Row],[Column1]]="Education",1,0)</f>
        <v>1</v>
      </c>
      <c r="AN147">
        <f ca="1">IF(Table1[[#This Row],[Column1]]="Agriculture",1,0)</f>
        <v>0</v>
      </c>
      <c r="AO147">
        <f ca="1">IF(Table1[[#This Row],[Column1]]="Social Service", 1, 0)</f>
        <v>0</v>
      </c>
      <c r="AT147" s="5"/>
      <c r="AV147" s="17">
        <f t="shared" ca="1" si="6"/>
        <v>16111.174666696146</v>
      </c>
      <c r="AW147" s="5"/>
      <c r="AX147" s="6">
        <f ca="1">IF(Table1[[#This Row],[Value of Debts]]&gt;$AY$4,1,0)</f>
        <v>1</v>
      </c>
      <c r="AY147" s="20"/>
      <c r="AZ147" s="20"/>
      <c r="BA147" s="5"/>
      <c r="BB147" s="25">
        <f ca="1">Table1[[#This Row],[Mortage Left]]/Table1[[#This Row],[Value of House]]</f>
        <v>0.86202626035949925</v>
      </c>
      <c r="BC147" s="20">
        <f t="shared" ca="1" si="8"/>
        <v>0</v>
      </c>
      <c r="BD147" s="20"/>
      <c r="BE147" s="20"/>
      <c r="BF147" s="20"/>
      <c r="BG147" s="6">
        <f ca="1">IF(Table1[[#This Row],[County]]="Cumbria",Table1[[#This Row],[income]],0)</f>
        <v>0</v>
      </c>
      <c r="BH147" s="20">
        <f ca="1">IF(Table1[[#This Row],[County]]="Cheshire",Table1[[#This Row],[income]],0)</f>
        <v>0</v>
      </c>
      <c r="BI147" s="20">
        <f ca="1">IF(Table1[[#This Row],[County]]="Bristol",Table1[[#This Row],[income]],0)</f>
        <v>0</v>
      </c>
      <c r="BJ147" s="20">
        <f ca="1">IF(Table1[[#This Row],[County]]="Surrey",Table1[[#This Row],[income]],0)</f>
        <v>0</v>
      </c>
      <c r="BK147" s="20">
        <f ca="1">IF(Table1[[#This Row],[County]]="Norfolk",Table1[[#This Row],[income]],0)</f>
        <v>0</v>
      </c>
      <c r="BL147" s="20">
        <f ca="1">IF(Table1[[#This Row],[County]]="Lincolnshire",Table1[[#This Row],[income]],0)</f>
        <v>0</v>
      </c>
      <c r="BM147" s="20">
        <f ca="1">IF(Table1[[#This Row],[County]]="Somerset",Table1[[#This Row],[income]],0)</f>
        <v>0</v>
      </c>
      <c r="BN147" s="20">
        <f ca="1">IF(Table1[[#This Row],[County]]="Cambridgeshire",Table1[[#This Row],[income]],0)</f>
        <v>0</v>
      </c>
      <c r="BO147" s="20">
        <f ca="1">IF(Table1[[#This Row],[County]]="South Yorkshire",Table1[[#This Row],[income]],0)</f>
        <v>77245</v>
      </c>
      <c r="BP147" s="20">
        <f ca="1">IF(Table1[[#This Row],[County]]="Greater London",Table1[[#This Row],[income]],0)</f>
        <v>0</v>
      </c>
      <c r="BQ147" s="20">
        <f ca="1">IF(Table1[[#This Row],[County]]="Hampshire",Table1[[#This Row],[income]],0)</f>
        <v>0</v>
      </c>
      <c r="BR147" s="20">
        <f ca="1">IF(Table1[[#This Row],[County]]="Gloucestershire",Table1[[#This Row],[income]],0)</f>
        <v>0</v>
      </c>
      <c r="BS147" s="20">
        <f ca="1">IF(Table1[[#This Row],[County]]="West Sussex",Table1[[#This Row],[income]],0)</f>
        <v>0</v>
      </c>
      <c r="BT147" s="20">
        <f ca="1">IF(Table1[[#This Row],[County]]="Devon",Table1[[#This Row],[income]],0)</f>
        <v>0</v>
      </c>
      <c r="BU147" s="20">
        <f ca="1">IF(Table1[[#This Row],[County]]="Berkshire",Table1[[#This Row],[income]],0)</f>
        <v>0</v>
      </c>
      <c r="BV147" s="20">
        <f ca="1">IF(Table1[[#This Row],[County]]="Staffordshire",Table1[[#This Row],[income]],0)</f>
        <v>0</v>
      </c>
      <c r="BW147" s="20">
        <f ca="1">IF(Table1[[#This Row],[County]]="Leicestershire",Table1[[#This Row],[income]],0)</f>
        <v>0</v>
      </c>
      <c r="BX147" s="20">
        <f ca="1">IF(Table1[[#This Row],[County]]="Cornwall",Table1[[#This Row],[income]],0)</f>
        <v>0</v>
      </c>
      <c r="BY147" s="20">
        <f ca="1">IF(Table1[[#This Row],[County]]="Isle of Wight",Table1[[#This Row],[income]],0)</f>
        <v>0</v>
      </c>
      <c r="BZ147" s="20">
        <f ca="1">IF(Table1[[#This Row],[County]]="Surrey",Table1[[#This Row],[income]],0)</f>
        <v>0</v>
      </c>
      <c r="CA147" s="20">
        <f ca="1">IF(Table1[[#This Row],[County]]="Derbyshire",Table1[[#This Row],[income]],0)</f>
        <v>0</v>
      </c>
      <c r="CB147" s="20">
        <f ca="1">IF(Table1[[#This Row],[County]]="City of London",Table1[[#This Row],[income]],0)</f>
        <v>0</v>
      </c>
      <c r="CC147" s="20">
        <f ca="1">IF(Table1[[#This Row],[County]]="Bedfordshire",Table1[[#This Row],[income]],0)</f>
        <v>0</v>
      </c>
      <c r="CD147" s="20">
        <f ca="1">IF(Table1[[#This Row],[County]]="County Durham",Table1[[#This Row],[income]],0)</f>
        <v>0</v>
      </c>
      <c r="CE147" s="20">
        <f ca="1">IF(Table1[[#This Row],[County]]="East Riding of Yorkshire",Table1[[#This Row],[income]],0)</f>
        <v>0</v>
      </c>
      <c r="CF147" s="20">
        <f ca="1">IF(Table1[[#This Row],[County]]="West Yorkshire",Table1[[#This Row],[income]],0)</f>
        <v>0</v>
      </c>
      <c r="CG147" s="20">
        <f ca="1">IF(Table1[[#This Row],[County]]="Essex",Table1[[#This Row],[income]],0)</f>
        <v>0</v>
      </c>
      <c r="CH147" s="20">
        <f ca="1">IF(Table1[[#This Row],[County]]="East Sussex",Table1[[#This Row],[income]],0)</f>
        <v>0</v>
      </c>
      <c r="CI147" s="20">
        <f ca="1">IF(Table1[[#This Row],[County]]="Greater Manchester",Table1[[#This Row],[income]],0)</f>
        <v>0</v>
      </c>
      <c r="CJ147" s="20">
        <f ca="1">IF(Table1[[#This Row],[County]]="Hertfordshire",Table1[[#This Row],[income]],0)</f>
        <v>0</v>
      </c>
      <c r="CK147" s="20">
        <f ca="1">IF(Table1[[#This Row],[County]]="Herefordshire",Table1[[#This Row],[income]],0)</f>
        <v>0</v>
      </c>
      <c r="CL147" s="20">
        <f ca="1">IF(Table1[[#This Row],[County]]="Lancashire",Table1[[#This Row],[income]],0)</f>
        <v>0</v>
      </c>
      <c r="CM147" s="20">
        <f ca="1">IF(Table1[[#This Row],[County]]="Merseyside",Table1[[#This Row],[income]],0)</f>
        <v>0</v>
      </c>
      <c r="CN147" s="20">
        <f ca="1">IF(Table1[[#This Row],[County]]="Northamptonshire",Table1[[#This Row],[income]],0)</f>
        <v>0</v>
      </c>
      <c r="CO147" s="20">
        <f ca="1">IF(Table1[[#This Row],[County]]="Northumberland",Table1[[#This Row],[income]],0)</f>
        <v>0</v>
      </c>
      <c r="CP147" s="20">
        <f ca="1">IF(Table1[[#This Row],[County]]="Wiltshire",Table1[[#This Row],[income]],0)</f>
        <v>0</v>
      </c>
      <c r="CQ147" s="20">
        <f ca="1">IF(Table1[[#This Row],[County]]="West Midlands",Table1[[#This Row],[income]],0)</f>
        <v>0</v>
      </c>
      <c r="CR147" s="20">
        <f ca="1">IF(Table1[[#This Row],[County]]="Warwickshire",Table1[[#This Row],[income]],0)</f>
        <v>0</v>
      </c>
      <c r="CS147" s="20">
        <f ca="1">IF(Table1[[#This Row],[County]]="Tyne and Wear",Table1[[#This Row],[income]],0)</f>
        <v>0</v>
      </c>
      <c r="CT147" s="20">
        <f ca="1">IF(Table1[[#This Row],[County]]="Worcestershire",Table1[[#This Row],[income]],0)</f>
        <v>0</v>
      </c>
      <c r="CU147" s="20">
        <f ca="1">IF(Table1[[#This Row],[County]]="Rutland",Table1[[#This Row],[income]],0)</f>
        <v>0</v>
      </c>
      <c r="CV147" s="20">
        <f ca="1">IF(Table1[[#This Row],[County]]="Shropshire",Table1[[#This Row],[income]],0)</f>
        <v>0</v>
      </c>
      <c r="CW147" s="20">
        <f ca="1">IF(Table1[[#This Row],[County]]="Dorset",Table1[[#This Row],[income]],0)</f>
        <v>0</v>
      </c>
      <c r="CX147" s="20">
        <f ca="1">IF(Table1[[#This Row],[County]]="Buckinghamshire",Table1[[#This Row],[income]],0)</f>
        <v>0</v>
      </c>
      <c r="CY147" s="20">
        <f ca="1">IF(Table1[[#This Row],[County]]="Suffolk",Table1[[#This Row],[income]],0)</f>
        <v>0</v>
      </c>
      <c r="CZ147" s="20">
        <f ca="1">IF(Table1[[#This Row],[County]]="North Yorkshire",Table1[[#This Row],[income]],0)</f>
        <v>0</v>
      </c>
      <c r="DA147" s="20">
        <f ca="1">IF(Table1[[#This Row],[County]]="Kent",Table1[[#This Row],[income]],0)</f>
        <v>0</v>
      </c>
      <c r="DB147" s="5">
        <f ca="1">IF(Table1[[#This Row],[County]]="Derbyshire",Table1[[#This Row],[income]],0)</f>
        <v>0</v>
      </c>
      <c r="DD147" s="6">
        <f ca="1">IF(Table1[[#This Row],[Column1]]="Health",Table1[[#This Row],[income]],0)</f>
        <v>0</v>
      </c>
      <c r="DE147" s="20">
        <f ca="1">IF(Table1[[#This Row],[Column1]]="Agriculture",Table1[[#This Row],[income]],0)</f>
        <v>0</v>
      </c>
      <c r="DF147" s="20">
        <f ca="1">IF(Table1[[#This Row],[Column1]]="Technology",Table1[[#This Row],[income]],0)</f>
        <v>0</v>
      </c>
      <c r="DG147" s="20">
        <f ca="1">IF(Table1[[#This Row],[Column1]]="Social Service",Table1[[#This Row],[income]],0)</f>
        <v>0</v>
      </c>
      <c r="DH147" s="20">
        <f ca="1">IF(Table1[[#This Row],[Column1]]="Education",Table1[[#This Row],[income]],0)</f>
        <v>77245</v>
      </c>
      <c r="DI147" s="5">
        <f ca="1">IF(Table1[[#This Row],[Column1]]="Construction",Table1[[#This Row],[income]],0)</f>
        <v>0</v>
      </c>
      <c r="DK147" s="6">
        <f ca="1">IF(Table1[[#This Row],[Value of Debts]]&gt;Table1[[#This Row],[income]],1,0)</f>
        <v>1</v>
      </c>
      <c r="DL147" s="20"/>
      <c r="DM147" s="20"/>
      <c r="DN147" s="5"/>
      <c r="DP147" s="6">
        <f ca="1">IF(Table1[[#This Row],[Net Worth (£)]]&gt;$DS$5,C147,0)</f>
        <v>0</v>
      </c>
      <c r="DQ147" s="20"/>
      <c r="DR147" s="20"/>
      <c r="DS147" s="5"/>
    </row>
    <row r="148" spans="1:123" x14ac:dyDescent="0.2">
      <c r="A148">
        <f t="shared" ca="1" si="7"/>
        <v>1</v>
      </c>
      <c r="B148" s="1" t="str">
        <f ca="1">IF(A148=1, "men", "women")</f>
        <v>men</v>
      </c>
      <c r="C148" s="1">
        <f ca="1">RANDBETWEEN(25,50)</f>
        <v>45</v>
      </c>
      <c r="D148">
        <f ca="1">RANDBETWEEN(1,6)</f>
        <v>3</v>
      </c>
      <c r="E148" t="str">
        <f ca="1">VLOOKUP(D148,$W$5:$X$10,2)</f>
        <v>Education</v>
      </c>
      <c r="F148">
        <f ca="1">RANDBETWEEN(1,5)</f>
        <v>2</v>
      </c>
      <c r="G148" t="str">
        <f ca="1">VLOOKUP(F148,$Y$5:$Z$9,2)</f>
        <v>College</v>
      </c>
      <c r="H148">
        <f ca="1">RANDBETWEEN(0,4)</f>
        <v>0</v>
      </c>
      <c r="I148">
        <f ca="1">RANDBETWEEN(1,3)</f>
        <v>2</v>
      </c>
      <c r="J148">
        <f ca="1">RANDBETWEEN(30000,100000)</f>
        <v>76167</v>
      </c>
      <c r="K148">
        <f ca="1">RANDBETWEEN(1,48)</f>
        <v>5</v>
      </c>
      <c r="L148" t="str">
        <f ca="1">VLOOKUP(K148,$AA$5:$AB$52,2)</f>
        <v>Cambridgeshire</v>
      </c>
      <c r="M148">
        <f ca="1">J148*(RANDBETWEEN(2,5))</f>
        <v>380835</v>
      </c>
      <c r="N148">
        <f ca="1">RAND()*M148</f>
        <v>150502.68862939041</v>
      </c>
      <c r="O148">
        <f ca="1">I148*RAND()*J148</f>
        <v>32222.349333392292</v>
      </c>
      <c r="P148">
        <f ca="1">RANDBETWEEN(0,O148)</f>
        <v>30292</v>
      </c>
      <c r="Q148">
        <f ca="1">RAND()*J148*2</f>
        <v>15890.741875032627</v>
      </c>
      <c r="R148">
        <f ca="1">RAND()*J148*1.5</f>
        <v>74004.186264239645</v>
      </c>
      <c r="S148">
        <f ca="1">J148+R148+O148</f>
        <v>182393.53559763194</v>
      </c>
      <c r="T148">
        <f ca="1">N148+P148+Q148</f>
        <v>196685.43050442304</v>
      </c>
      <c r="U148">
        <f ca="1">S148-T148</f>
        <v>-14291.894906791102</v>
      </c>
      <c r="AC148" s="6">
        <f ca="1">IF(Table1[[#This Row],[gender]]="men",1,0)</f>
        <v>1</v>
      </c>
      <c r="AD148">
        <f ca="1">IF(Table1[[#This Row],[gender]]="women",1,0)</f>
        <v>0</v>
      </c>
      <c r="AH148" s="5"/>
      <c r="AJ148" s="6">
        <f ca="1">IF(Table1[[#This Row],[Column1]]="Health",1,0)</f>
        <v>0</v>
      </c>
      <c r="AK148">
        <f ca="1">IF(Table1[[#This Row],[Column1]]="Construction",1,0)</f>
        <v>0</v>
      </c>
      <c r="AL148">
        <f ca="1">IF(Table1[[#This Row],[Column1]]="Technology",1,0)</f>
        <v>0</v>
      </c>
      <c r="AM148">
        <f ca="1">IF(Table1[[#This Row],[Column1]]="Education",1,0)</f>
        <v>1</v>
      </c>
      <c r="AN148">
        <f ca="1">IF(Table1[[#This Row],[Column1]]="Agriculture",1,0)</f>
        <v>0</v>
      </c>
      <c r="AO148">
        <f ca="1">IF(Table1[[#This Row],[Column1]]="Social Service", 1, 0)</f>
        <v>0</v>
      </c>
      <c r="AT148" s="5"/>
      <c r="AV148" s="17">
        <f t="shared" ca="1" si="6"/>
        <v>23776.085150319195</v>
      </c>
      <c r="AW148" s="5"/>
      <c r="AX148" s="6">
        <f ca="1">IF(Table1[[#This Row],[Value of Debts]]&gt;$AY$4,1,0)</f>
        <v>1</v>
      </c>
      <c r="AY148" s="20"/>
      <c r="AZ148" s="20"/>
      <c r="BA148" s="5"/>
      <c r="BB148" s="25">
        <f ca="1">Table1[[#This Row],[Mortage Left]]/Table1[[#This Row],[Value of House]]</f>
        <v>0.39519132597946727</v>
      </c>
      <c r="BC148" s="20">
        <f t="shared" ca="1" si="8"/>
        <v>0</v>
      </c>
      <c r="BD148" s="20"/>
      <c r="BE148" s="20"/>
      <c r="BF148" s="20"/>
      <c r="BG148" s="6">
        <f ca="1">IF(Table1[[#This Row],[County]]="Cumbria",Table1[[#This Row],[income]],0)</f>
        <v>0</v>
      </c>
      <c r="BH148" s="20">
        <f ca="1">IF(Table1[[#This Row],[County]]="Cheshire",Table1[[#This Row],[income]],0)</f>
        <v>0</v>
      </c>
      <c r="BI148" s="20">
        <f ca="1">IF(Table1[[#This Row],[County]]="Bristol",Table1[[#This Row],[income]],0)</f>
        <v>0</v>
      </c>
      <c r="BJ148" s="20">
        <f ca="1">IF(Table1[[#This Row],[County]]="Surrey",Table1[[#This Row],[income]],0)</f>
        <v>0</v>
      </c>
      <c r="BK148" s="20">
        <f ca="1">IF(Table1[[#This Row],[County]]="Norfolk",Table1[[#This Row],[income]],0)</f>
        <v>0</v>
      </c>
      <c r="BL148" s="20">
        <f ca="1">IF(Table1[[#This Row],[County]]="Lincolnshire",Table1[[#This Row],[income]],0)</f>
        <v>0</v>
      </c>
      <c r="BM148" s="20">
        <f ca="1">IF(Table1[[#This Row],[County]]="Somerset",Table1[[#This Row],[income]],0)</f>
        <v>0</v>
      </c>
      <c r="BN148" s="20">
        <f ca="1">IF(Table1[[#This Row],[County]]="Cambridgeshire",Table1[[#This Row],[income]],0)</f>
        <v>76167</v>
      </c>
      <c r="BO148" s="20">
        <f ca="1">IF(Table1[[#This Row],[County]]="South Yorkshire",Table1[[#This Row],[income]],0)</f>
        <v>0</v>
      </c>
      <c r="BP148" s="20">
        <f ca="1">IF(Table1[[#This Row],[County]]="Greater London",Table1[[#This Row],[income]],0)</f>
        <v>0</v>
      </c>
      <c r="BQ148" s="20">
        <f ca="1">IF(Table1[[#This Row],[County]]="Hampshire",Table1[[#This Row],[income]],0)</f>
        <v>0</v>
      </c>
      <c r="BR148" s="20">
        <f ca="1">IF(Table1[[#This Row],[County]]="Gloucestershire",Table1[[#This Row],[income]],0)</f>
        <v>0</v>
      </c>
      <c r="BS148" s="20">
        <f ca="1">IF(Table1[[#This Row],[County]]="West Sussex",Table1[[#This Row],[income]],0)</f>
        <v>0</v>
      </c>
      <c r="BT148" s="20">
        <f ca="1">IF(Table1[[#This Row],[County]]="Devon",Table1[[#This Row],[income]],0)</f>
        <v>0</v>
      </c>
      <c r="BU148" s="20">
        <f ca="1">IF(Table1[[#This Row],[County]]="Berkshire",Table1[[#This Row],[income]],0)</f>
        <v>0</v>
      </c>
      <c r="BV148" s="20">
        <f ca="1">IF(Table1[[#This Row],[County]]="Staffordshire",Table1[[#This Row],[income]],0)</f>
        <v>0</v>
      </c>
      <c r="BW148" s="20">
        <f ca="1">IF(Table1[[#This Row],[County]]="Leicestershire",Table1[[#This Row],[income]],0)</f>
        <v>0</v>
      </c>
      <c r="BX148" s="20">
        <f ca="1">IF(Table1[[#This Row],[County]]="Cornwall",Table1[[#This Row],[income]],0)</f>
        <v>0</v>
      </c>
      <c r="BY148" s="20">
        <f ca="1">IF(Table1[[#This Row],[County]]="Isle of Wight",Table1[[#This Row],[income]],0)</f>
        <v>0</v>
      </c>
      <c r="BZ148" s="20">
        <f ca="1">IF(Table1[[#This Row],[County]]="Surrey",Table1[[#This Row],[income]],0)</f>
        <v>0</v>
      </c>
      <c r="CA148" s="20">
        <f ca="1">IF(Table1[[#This Row],[County]]="Derbyshire",Table1[[#This Row],[income]],0)</f>
        <v>0</v>
      </c>
      <c r="CB148" s="20">
        <f ca="1">IF(Table1[[#This Row],[County]]="City of London",Table1[[#This Row],[income]],0)</f>
        <v>0</v>
      </c>
      <c r="CC148" s="20">
        <f ca="1">IF(Table1[[#This Row],[County]]="Bedfordshire",Table1[[#This Row],[income]],0)</f>
        <v>0</v>
      </c>
      <c r="CD148" s="20">
        <f ca="1">IF(Table1[[#This Row],[County]]="County Durham",Table1[[#This Row],[income]],0)</f>
        <v>0</v>
      </c>
      <c r="CE148" s="20">
        <f ca="1">IF(Table1[[#This Row],[County]]="East Riding of Yorkshire",Table1[[#This Row],[income]],0)</f>
        <v>0</v>
      </c>
      <c r="CF148" s="20">
        <f ca="1">IF(Table1[[#This Row],[County]]="West Yorkshire",Table1[[#This Row],[income]],0)</f>
        <v>0</v>
      </c>
      <c r="CG148" s="20">
        <f ca="1">IF(Table1[[#This Row],[County]]="Essex",Table1[[#This Row],[income]],0)</f>
        <v>0</v>
      </c>
      <c r="CH148" s="20">
        <f ca="1">IF(Table1[[#This Row],[County]]="East Sussex",Table1[[#This Row],[income]],0)</f>
        <v>0</v>
      </c>
      <c r="CI148" s="20">
        <f ca="1">IF(Table1[[#This Row],[County]]="Greater Manchester",Table1[[#This Row],[income]],0)</f>
        <v>0</v>
      </c>
      <c r="CJ148" s="20">
        <f ca="1">IF(Table1[[#This Row],[County]]="Hertfordshire",Table1[[#This Row],[income]],0)</f>
        <v>0</v>
      </c>
      <c r="CK148" s="20">
        <f ca="1">IF(Table1[[#This Row],[County]]="Herefordshire",Table1[[#This Row],[income]],0)</f>
        <v>0</v>
      </c>
      <c r="CL148" s="20">
        <f ca="1">IF(Table1[[#This Row],[County]]="Lancashire",Table1[[#This Row],[income]],0)</f>
        <v>0</v>
      </c>
      <c r="CM148" s="20">
        <f ca="1">IF(Table1[[#This Row],[County]]="Merseyside",Table1[[#This Row],[income]],0)</f>
        <v>0</v>
      </c>
      <c r="CN148" s="20">
        <f ca="1">IF(Table1[[#This Row],[County]]="Northamptonshire",Table1[[#This Row],[income]],0)</f>
        <v>0</v>
      </c>
      <c r="CO148" s="20">
        <f ca="1">IF(Table1[[#This Row],[County]]="Northumberland",Table1[[#This Row],[income]],0)</f>
        <v>0</v>
      </c>
      <c r="CP148" s="20">
        <f ca="1">IF(Table1[[#This Row],[County]]="Wiltshire",Table1[[#This Row],[income]],0)</f>
        <v>0</v>
      </c>
      <c r="CQ148" s="20">
        <f ca="1">IF(Table1[[#This Row],[County]]="West Midlands",Table1[[#This Row],[income]],0)</f>
        <v>0</v>
      </c>
      <c r="CR148" s="20">
        <f ca="1">IF(Table1[[#This Row],[County]]="Warwickshire",Table1[[#This Row],[income]],0)</f>
        <v>0</v>
      </c>
      <c r="CS148" s="20">
        <f ca="1">IF(Table1[[#This Row],[County]]="Tyne and Wear",Table1[[#This Row],[income]],0)</f>
        <v>0</v>
      </c>
      <c r="CT148" s="20">
        <f ca="1">IF(Table1[[#This Row],[County]]="Worcestershire",Table1[[#This Row],[income]],0)</f>
        <v>0</v>
      </c>
      <c r="CU148" s="20">
        <f ca="1">IF(Table1[[#This Row],[County]]="Rutland",Table1[[#This Row],[income]],0)</f>
        <v>0</v>
      </c>
      <c r="CV148" s="20">
        <f ca="1">IF(Table1[[#This Row],[County]]="Shropshire",Table1[[#This Row],[income]],0)</f>
        <v>0</v>
      </c>
      <c r="CW148" s="20">
        <f ca="1">IF(Table1[[#This Row],[County]]="Dorset",Table1[[#This Row],[income]],0)</f>
        <v>0</v>
      </c>
      <c r="CX148" s="20">
        <f ca="1">IF(Table1[[#This Row],[County]]="Buckinghamshire",Table1[[#This Row],[income]],0)</f>
        <v>0</v>
      </c>
      <c r="CY148" s="20">
        <f ca="1">IF(Table1[[#This Row],[County]]="Suffolk",Table1[[#This Row],[income]],0)</f>
        <v>0</v>
      </c>
      <c r="CZ148" s="20">
        <f ca="1">IF(Table1[[#This Row],[County]]="North Yorkshire",Table1[[#This Row],[income]],0)</f>
        <v>0</v>
      </c>
      <c r="DA148" s="20">
        <f ca="1">IF(Table1[[#This Row],[County]]="Kent",Table1[[#This Row],[income]],0)</f>
        <v>0</v>
      </c>
      <c r="DB148" s="5">
        <f ca="1">IF(Table1[[#This Row],[County]]="Derbyshire",Table1[[#This Row],[income]],0)</f>
        <v>0</v>
      </c>
      <c r="DD148" s="6">
        <f ca="1">IF(Table1[[#This Row],[Column1]]="Health",Table1[[#This Row],[income]],0)</f>
        <v>0</v>
      </c>
      <c r="DE148" s="20">
        <f ca="1">IF(Table1[[#This Row],[Column1]]="Agriculture",Table1[[#This Row],[income]],0)</f>
        <v>0</v>
      </c>
      <c r="DF148" s="20">
        <f ca="1">IF(Table1[[#This Row],[Column1]]="Technology",Table1[[#This Row],[income]],0)</f>
        <v>0</v>
      </c>
      <c r="DG148" s="20">
        <f ca="1">IF(Table1[[#This Row],[Column1]]="Social Service",Table1[[#This Row],[income]],0)</f>
        <v>0</v>
      </c>
      <c r="DH148" s="20">
        <f ca="1">IF(Table1[[#This Row],[Column1]]="Education",Table1[[#This Row],[income]],0)</f>
        <v>76167</v>
      </c>
      <c r="DI148" s="5">
        <f ca="1">IF(Table1[[#This Row],[Column1]]="Construction",Table1[[#This Row],[income]],0)</f>
        <v>0</v>
      </c>
      <c r="DK148" s="6">
        <f ca="1">IF(Table1[[#This Row],[Value of Debts]]&gt;Table1[[#This Row],[income]],1,0)</f>
        <v>1</v>
      </c>
      <c r="DL148" s="20"/>
      <c r="DM148" s="20"/>
      <c r="DN148" s="5"/>
      <c r="DP148" s="6">
        <f ca="1">IF(Table1[[#This Row],[Net Worth (£)]]&gt;$DS$5,C148,0)</f>
        <v>0</v>
      </c>
      <c r="DQ148" s="20"/>
      <c r="DR148" s="20"/>
      <c r="DS148" s="5"/>
    </row>
    <row r="149" spans="1:123" x14ac:dyDescent="0.2">
      <c r="A149">
        <f t="shared" ca="1" si="7"/>
        <v>2</v>
      </c>
      <c r="B149" s="1" t="str">
        <f ca="1">IF(A149=1, "men", "women")</f>
        <v>women</v>
      </c>
      <c r="C149" s="1">
        <f ca="1">RANDBETWEEN(25,50)</f>
        <v>39</v>
      </c>
      <c r="D149">
        <f ca="1">RANDBETWEEN(1,6)</f>
        <v>6</v>
      </c>
      <c r="E149" t="str">
        <f ca="1">VLOOKUP(D149,$W$5:$X$10,2)</f>
        <v>Agriculture</v>
      </c>
      <c r="F149">
        <f ca="1">RANDBETWEEN(1,5)</f>
        <v>5</v>
      </c>
      <c r="G149" t="str">
        <f ca="1">VLOOKUP(F149,$Y$5:$Z$9,2)</f>
        <v>Other</v>
      </c>
      <c r="H149">
        <f ca="1">RANDBETWEEN(0,4)</f>
        <v>1</v>
      </c>
      <c r="I149">
        <f ca="1">RANDBETWEEN(1,3)</f>
        <v>1</v>
      </c>
      <c r="J149">
        <f ca="1">RANDBETWEEN(30000,100000)</f>
        <v>94963</v>
      </c>
      <c r="K149">
        <f ca="1">RANDBETWEEN(1,48)</f>
        <v>41</v>
      </c>
      <c r="L149" t="str">
        <f ca="1">VLOOKUP(K149,$AA$5:$AB$52,2)</f>
        <v>Surrey</v>
      </c>
      <c r="M149">
        <f ca="1">J149*(RANDBETWEEN(2,5))</f>
        <v>189926</v>
      </c>
      <c r="N149">
        <f ca="1">RAND()*M149</f>
        <v>96673.033134644167</v>
      </c>
      <c r="O149">
        <f ca="1">I149*RAND()*J149</f>
        <v>23776.085150319195</v>
      </c>
      <c r="P149">
        <f ca="1">RANDBETWEEN(0,O149)</f>
        <v>10983</v>
      </c>
      <c r="Q149">
        <f ca="1">RAND()*J149*2</f>
        <v>60980.081848961534</v>
      </c>
      <c r="R149">
        <f ca="1">RAND()*J149*1.5</f>
        <v>52820.143469755712</v>
      </c>
      <c r="S149">
        <f ca="1">J149+R149+O149</f>
        <v>171559.22862007492</v>
      </c>
      <c r="T149">
        <f ca="1">N149+P149+Q149</f>
        <v>168636.11498360569</v>
      </c>
      <c r="U149">
        <f ca="1">S149-T149</f>
        <v>2923.1136364692356</v>
      </c>
      <c r="AC149" s="6">
        <f ca="1">IF(Table1[[#This Row],[gender]]="men",1,0)</f>
        <v>0</v>
      </c>
      <c r="AD149">
        <f ca="1">IF(Table1[[#This Row],[gender]]="women",1,0)</f>
        <v>1</v>
      </c>
      <c r="AH149" s="5"/>
      <c r="AJ149" s="6">
        <f ca="1">IF(Table1[[#This Row],[Column1]]="Health",1,0)</f>
        <v>0</v>
      </c>
      <c r="AK149">
        <f ca="1">IF(Table1[[#This Row],[Column1]]="Construction",1,0)</f>
        <v>0</v>
      </c>
      <c r="AL149">
        <f ca="1">IF(Table1[[#This Row],[Column1]]="Technology",1,0)</f>
        <v>0</v>
      </c>
      <c r="AM149">
        <f ca="1">IF(Table1[[#This Row],[Column1]]="Education",1,0)</f>
        <v>0</v>
      </c>
      <c r="AN149">
        <f ca="1">IF(Table1[[#This Row],[Column1]]="Agriculture",1,0)</f>
        <v>1</v>
      </c>
      <c r="AO149">
        <f ca="1">IF(Table1[[#This Row],[Column1]]="Social Service", 1, 0)</f>
        <v>0</v>
      </c>
      <c r="AT149" s="5"/>
      <c r="AV149" s="17">
        <f t="shared" ca="1" si="6"/>
        <v>64381.146781299038</v>
      </c>
      <c r="AW149" s="5"/>
      <c r="AX149" s="6">
        <f ca="1">IF(Table1[[#This Row],[Value of Debts]]&gt;$AY$4,1,0)</f>
        <v>1</v>
      </c>
      <c r="AY149" s="20"/>
      <c r="AZ149" s="20"/>
      <c r="BA149" s="5"/>
      <c r="BB149" s="25">
        <f ca="1">Table1[[#This Row],[Mortage Left]]/Table1[[#This Row],[Value of House]]</f>
        <v>0.5090036810897095</v>
      </c>
      <c r="BC149" s="20">
        <f t="shared" ca="1" si="8"/>
        <v>0</v>
      </c>
      <c r="BD149" s="20"/>
      <c r="BE149" s="20"/>
      <c r="BF149" s="20"/>
      <c r="BG149" s="6">
        <f ca="1">IF(Table1[[#This Row],[County]]="Cumbria",Table1[[#This Row],[income]],0)</f>
        <v>0</v>
      </c>
      <c r="BH149" s="20">
        <f ca="1">IF(Table1[[#This Row],[County]]="Cheshire",Table1[[#This Row],[income]],0)</f>
        <v>0</v>
      </c>
      <c r="BI149" s="20">
        <f ca="1">IF(Table1[[#This Row],[County]]="Bristol",Table1[[#This Row],[income]],0)</f>
        <v>0</v>
      </c>
      <c r="BJ149" s="20">
        <f ca="1">IF(Table1[[#This Row],[County]]="Surrey",Table1[[#This Row],[income]],0)</f>
        <v>94963</v>
      </c>
      <c r="BK149" s="20">
        <f ca="1">IF(Table1[[#This Row],[County]]="Norfolk",Table1[[#This Row],[income]],0)</f>
        <v>0</v>
      </c>
      <c r="BL149" s="20">
        <f ca="1">IF(Table1[[#This Row],[County]]="Lincolnshire",Table1[[#This Row],[income]],0)</f>
        <v>0</v>
      </c>
      <c r="BM149" s="20">
        <f ca="1">IF(Table1[[#This Row],[County]]="Somerset",Table1[[#This Row],[income]],0)</f>
        <v>0</v>
      </c>
      <c r="BN149" s="20">
        <f ca="1">IF(Table1[[#This Row],[County]]="Cambridgeshire",Table1[[#This Row],[income]],0)</f>
        <v>0</v>
      </c>
      <c r="BO149" s="20">
        <f ca="1">IF(Table1[[#This Row],[County]]="South Yorkshire",Table1[[#This Row],[income]],0)</f>
        <v>0</v>
      </c>
      <c r="BP149" s="20">
        <f ca="1">IF(Table1[[#This Row],[County]]="Greater London",Table1[[#This Row],[income]],0)</f>
        <v>0</v>
      </c>
      <c r="BQ149" s="20">
        <f ca="1">IF(Table1[[#This Row],[County]]="Hampshire",Table1[[#This Row],[income]],0)</f>
        <v>0</v>
      </c>
      <c r="BR149" s="20">
        <f ca="1">IF(Table1[[#This Row],[County]]="Gloucestershire",Table1[[#This Row],[income]],0)</f>
        <v>0</v>
      </c>
      <c r="BS149" s="20">
        <f ca="1">IF(Table1[[#This Row],[County]]="West Sussex",Table1[[#This Row],[income]],0)</f>
        <v>0</v>
      </c>
      <c r="BT149" s="20">
        <f ca="1">IF(Table1[[#This Row],[County]]="Devon",Table1[[#This Row],[income]],0)</f>
        <v>0</v>
      </c>
      <c r="BU149" s="20">
        <f ca="1">IF(Table1[[#This Row],[County]]="Berkshire",Table1[[#This Row],[income]],0)</f>
        <v>0</v>
      </c>
      <c r="BV149" s="20">
        <f ca="1">IF(Table1[[#This Row],[County]]="Staffordshire",Table1[[#This Row],[income]],0)</f>
        <v>0</v>
      </c>
      <c r="BW149" s="20">
        <f ca="1">IF(Table1[[#This Row],[County]]="Leicestershire",Table1[[#This Row],[income]],0)</f>
        <v>0</v>
      </c>
      <c r="BX149" s="20">
        <f ca="1">IF(Table1[[#This Row],[County]]="Cornwall",Table1[[#This Row],[income]],0)</f>
        <v>0</v>
      </c>
      <c r="BY149" s="20">
        <f ca="1">IF(Table1[[#This Row],[County]]="Isle of Wight",Table1[[#This Row],[income]],0)</f>
        <v>0</v>
      </c>
      <c r="BZ149" s="20">
        <f ca="1">IF(Table1[[#This Row],[County]]="Surrey",Table1[[#This Row],[income]],0)</f>
        <v>94963</v>
      </c>
      <c r="CA149" s="20">
        <f ca="1">IF(Table1[[#This Row],[County]]="Derbyshire",Table1[[#This Row],[income]],0)</f>
        <v>0</v>
      </c>
      <c r="CB149" s="20">
        <f ca="1">IF(Table1[[#This Row],[County]]="City of London",Table1[[#This Row],[income]],0)</f>
        <v>0</v>
      </c>
      <c r="CC149" s="20">
        <f ca="1">IF(Table1[[#This Row],[County]]="Bedfordshire",Table1[[#This Row],[income]],0)</f>
        <v>0</v>
      </c>
      <c r="CD149" s="20">
        <f ca="1">IF(Table1[[#This Row],[County]]="County Durham",Table1[[#This Row],[income]],0)</f>
        <v>0</v>
      </c>
      <c r="CE149" s="20">
        <f ca="1">IF(Table1[[#This Row],[County]]="East Riding of Yorkshire",Table1[[#This Row],[income]],0)</f>
        <v>0</v>
      </c>
      <c r="CF149" s="20">
        <f ca="1">IF(Table1[[#This Row],[County]]="West Yorkshire",Table1[[#This Row],[income]],0)</f>
        <v>0</v>
      </c>
      <c r="CG149" s="20">
        <f ca="1">IF(Table1[[#This Row],[County]]="Essex",Table1[[#This Row],[income]],0)</f>
        <v>0</v>
      </c>
      <c r="CH149" s="20">
        <f ca="1">IF(Table1[[#This Row],[County]]="East Sussex",Table1[[#This Row],[income]],0)</f>
        <v>0</v>
      </c>
      <c r="CI149" s="20">
        <f ca="1">IF(Table1[[#This Row],[County]]="Greater Manchester",Table1[[#This Row],[income]],0)</f>
        <v>0</v>
      </c>
      <c r="CJ149" s="20">
        <f ca="1">IF(Table1[[#This Row],[County]]="Hertfordshire",Table1[[#This Row],[income]],0)</f>
        <v>0</v>
      </c>
      <c r="CK149" s="20">
        <f ca="1">IF(Table1[[#This Row],[County]]="Herefordshire",Table1[[#This Row],[income]],0)</f>
        <v>0</v>
      </c>
      <c r="CL149" s="20">
        <f ca="1">IF(Table1[[#This Row],[County]]="Lancashire",Table1[[#This Row],[income]],0)</f>
        <v>0</v>
      </c>
      <c r="CM149" s="20">
        <f ca="1">IF(Table1[[#This Row],[County]]="Merseyside",Table1[[#This Row],[income]],0)</f>
        <v>0</v>
      </c>
      <c r="CN149" s="20">
        <f ca="1">IF(Table1[[#This Row],[County]]="Northamptonshire",Table1[[#This Row],[income]],0)</f>
        <v>0</v>
      </c>
      <c r="CO149" s="20">
        <f ca="1">IF(Table1[[#This Row],[County]]="Northumberland",Table1[[#This Row],[income]],0)</f>
        <v>0</v>
      </c>
      <c r="CP149" s="20">
        <f ca="1">IF(Table1[[#This Row],[County]]="Wiltshire",Table1[[#This Row],[income]],0)</f>
        <v>0</v>
      </c>
      <c r="CQ149" s="20">
        <f ca="1">IF(Table1[[#This Row],[County]]="West Midlands",Table1[[#This Row],[income]],0)</f>
        <v>0</v>
      </c>
      <c r="CR149" s="20">
        <f ca="1">IF(Table1[[#This Row],[County]]="Warwickshire",Table1[[#This Row],[income]],0)</f>
        <v>0</v>
      </c>
      <c r="CS149" s="20">
        <f ca="1">IF(Table1[[#This Row],[County]]="Tyne and Wear",Table1[[#This Row],[income]],0)</f>
        <v>0</v>
      </c>
      <c r="CT149" s="20">
        <f ca="1">IF(Table1[[#This Row],[County]]="Worcestershire",Table1[[#This Row],[income]],0)</f>
        <v>0</v>
      </c>
      <c r="CU149" s="20">
        <f ca="1">IF(Table1[[#This Row],[County]]="Rutland",Table1[[#This Row],[income]],0)</f>
        <v>0</v>
      </c>
      <c r="CV149" s="20">
        <f ca="1">IF(Table1[[#This Row],[County]]="Shropshire",Table1[[#This Row],[income]],0)</f>
        <v>0</v>
      </c>
      <c r="CW149" s="20">
        <f ca="1">IF(Table1[[#This Row],[County]]="Dorset",Table1[[#This Row],[income]],0)</f>
        <v>0</v>
      </c>
      <c r="CX149" s="20">
        <f ca="1">IF(Table1[[#This Row],[County]]="Buckinghamshire",Table1[[#This Row],[income]],0)</f>
        <v>0</v>
      </c>
      <c r="CY149" s="20">
        <f ca="1">IF(Table1[[#This Row],[County]]="Suffolk",Table1[[#This Row],[income]],0)</f>
        <v>0</v>
      </c>
      <c r="CZ149" s="20">
        <f ca="1">IF(Table1[[#This Row],[County]]="North Yorkshire",Table1[[#This Row],[income]],0)</f>
        <v>0</v>
      </c>
      <c r="DA149" s="20">
        <f ca="1">IF(Table1[[#This Row],[County]]="Kent",Table1[[#This Row],[income]],0)</f>
        <v>0</v>
      </c>
      <c r="DB149" s="5">
        <f ca="1">IF(Table1[[#This Row],[County]]="Derbyshire",Table1[[#This Row],[income]],0)</f>
        <v>0</v>
      </c>
      <c r="DD149" s="6">
        <f ca="1">IF(Table1[[#This Row],[Column1]]="Health",Table1[[#This Row],[income]],0)</f>
        <v>0</v>
      </c>
      <c r="DE149" s="20">
        <f ca="1">IF(Table1[[#This Row],[Column1]]="Agriculture",Table1[[#This Row],[income]],0)</f>
        <v>94963</v>
      </c>
      <c r="DF149" s="20">
        <f ca="1">IF(Table1[[#This Row],[Column1]]="Technology",Table1[[#This Row],[income]],0)</f>
        <v>0</v>
      </c>
      <c r="DG149" s="20">
        <f ca="1">IF(Table1[[#This Row],[Column1]]="Social Service",Table1[[#This Row],[income]],0)</f>
        <v>0</v>
      </c>
      <c r="DH149" s="20">
        <f ca="1">IF(Table1[[#This Row],[Column1]]="Education",Table1[[#This Row],[income]],0)</f>
        <v>0</v>
      </c>
      <c r="DI149" s="5">
        <f ca="1">IF(Table1[[#This Row],[Column1]]="Construction",Table1[[#This Row],[income]],0)</f>
        <v>0</v>
      </c>
      <c r="DK149" s="6">
        <f ca="1">IF(Table1[[#This Row],[Value of Debts]]&gt;Table1[[#This Row],[income]],1,0)</f>
        <v>1</v>
      </c>
      <c r="DL149" s="20"/>
      <c r="DM149" s="20"/>
      <c r="DN149" s="5"/>
      <c r="DP149" s="6">
        <f ca="1">IF(Table1[[#This Row],[Net Worth (£)]]&gt;$DS$5,C149,0)</f>
        <v>0</v>
      </c>
      <c r="DQ149" s="20"/>
      <c r="DR149" s="20"/>
      <c r="DS149" s="5"/>
    </row>
    <row r="150" spans="1:123" x14ac:dyDescent="0.2">
      <c r="A150">
        <f t="shared" ca="1" si="7"/>
        <v>2</v>
      </c>
      <c r="B150" s="1" t="str">
        <f ca="1">IF(A150=1, "men", "women")</f>
        <v>women</v>
      </c>
      <c r="C150" s="1">
        <f ca="1">RANDBETWEEN(25,50)</f>
        <v>49</v>
      </c>
      <c r="D150">
        <f ca="1">RANDBETWEEN(1,6)</f>
        <v>2</v>
      </c>
      <c r="E150" t="str">
        <f ca="1">VLOOKUP(D150,$W$5:$X$10,2)</f>
        <v>Construction</v>
      </c>
      <c r="F150">
        <f ca="1">RANDBETWEEN(1,5)</f>
        <v>1</v>
      </c>
      <c r="G150" t="str">
        <f ca="1">VLOOKUP(F150,$Y$5:$Z$9,2)</f>
        <v>High School</v>
      </c>
      <c r="H150">
        <f ca="1">RANDBETWEEN(0,4)</f>
        <v>2</v>
      </c>
      <c r="I150">
        <f ca="1">RANDBETWEEN(1,3)</f>
        <v>3</v>
      </c>
      <c r="J150">
        <f ca="1">RANDBETWEEN(30000,100000)</f>
        <v>73538</v>
      </c>
      <c r="K150">
        <f ca="1">RANDBETWEEN(1,48)</f>
        <v>32</v>
      </c>
      <c r="L150" t="str">
        <f ca="1">VLOOKUP(K150,$AA$5:$AB$52,2)</f>
        <v>Northumberland</v>
      </c>
      <c r="M150">
        <f ca="1">J150*(RANDBETWEEN(2,5))</f>
        <v>220614</v>
      </c>
      <c r="N150">
        <f ca="1">RAND()*M150</f>
        <v>69158.41003329755</v>
      </c>
      <c r="O150">
        <f ca="1">I150*RAND()*J150</f>
        <v>193143.44034389712</v>
      </c>
      <c r="P150">
        <f ca="1">RANDBETWEEN(0,O150)</f>
        <v>54886</v>
      </c>
      <c r="Q150">
        <f ca="1">RAND()*J150*2</f>
        <v>59787.8199419882</v>
      </c>
      <c r="R150">
        <f ca="1">RAND()*J150*1.5</f>
        <v>82149.006700657628</v>
      </c>
      <c r="S150">
        <f ca="1">J150+R150+O150</f>
        <v>348830.44704455475</v>
      </c>
      <c r="T150">
        <f ca="1">N150+P150+Q150</f>
        <v>183832.22997528577</v>
      </c>
      <c r="U150">
        <f ca="1">S150-T150</f>
        <v>164998.21706926898</v>
      </c>
      <c r="AC150" s="6">
        <f ca="1">IF(Table1[[#This Row],[gender]]="men",1,0)</f>
        <v>0</v>
      </c>
      <c r="AD150">
        <f ca="1">IF(Table1[[#This Row],[gender]]="women",1,0)</f>
        <v>1</v>
      </c>
      <c r="AH150" s="5"/>
      <c r="AJ150" s="6">
        <f ca="1">IF(Table1[[#This Row],[Column1]]="Health",1,0)</f>
        <v>0</v>
      </c>
      <c r="AK150">
        <f ca="1">IF(Table1[[#This Row],[Column1]]="Construction",1,0)</f>
        <v>1</v>
      </c>
      <c r="AL150">
        <f ca="1">IF(Table1[[#This Row],[Column1]]="Technology",1,0)</f>
        <v>0</v>
      </c>
      <c r="AM150">
        <f ca="1">IF(Table1[[#This Row],[Column1]]="Education",1,0)</f>
        <v>0</v>
      </c>
      <c r="AN150">
        <f ca="1">IF(Table1[[#This Row],[Column1]]="Agriculture",1,0)</f>
        <v>0</v>
      </c>
      <c r="AO150">
        <f ca="1">IF(Table1[[#This Row],[Column1]]="Social Service", 1, 0)</f>
        <v>0</v>
      </c>
      <c r="AT150" s="5"/>
      <c r="AV150" s="17">
        <f t="shared" ca="1" si="6"/>
        <v>21241.30316107428</v>
      </c>
      <c r="AW150" s="5"/>
      <c r="AX150" s="6">
        <f ca="1">IF(Table1[[#This Row],[Value of Debts]]&gt;$AY$4,1,0)</f>
        <v>1</v>
      </c>
      <c r="AY150" s="20"/>
      <c r="AZ150" s="20"/>
      <c r="BA150" s="5"/>
      <c r="BB150" s="25">
        <f ca="1">Table1[[#This Row],[Mortage Left]]/Table1[[#This Row],[Value of House]]</f>
        <v>0.31348151084381565</v>
      </c>
      <c r="BC150" s="20">
        <f t="shared" ca="1" si="8"/>
        <v>0</v>
      </c>
      <c r="BD150" s="20"/>
      <c r="BE150" s="20"/>
      <c r="BF150" s="20"/>
      <c r="BG150" s="6">
        <f ca="1">IF(Table1[[#This Row],[County]]="Cumbria",Table1[[#This Row],[income]],0)</f>
        <v>0</v>
      </c>
      <c r="BH150" s="20">
        <f ca="1">IF(Table1[[#This Row],[County]]="Cheshire",Table1[[#This Row],[income]],0)</f>
        <v>0</v>
      </c>
      <c r="BI150" s="20">
        <f ca="1">IF(Table1[[#This Row],[County]]="Bristol",Table1[[#This Row],[income]],0)</f>
        <v>0</v>
      </c>
      <c r="BJ150" s="20">
        <f ca="1">IF(Table1[[#This Row],[County]]="Surrey",Table1[[#This Row],[income]],0)</f>
        <v>0</v>
      </c>
      <c r="BK150" s="20">
        <f ca="1">IF(Table1[[#This Row],[County]]="Norfolk",Table1[[#This Row],[income]],0)</f>
        <v>0</v>
      </c>
      <c r="BL150" s="20">
        <f ca="1">IF(Table1[[#This Row],[County]]="Lincolnshire",Table1[[#This Row],[income]],0)</f>
        <v>0</v>
      </c>
      <c r="BM150" s="20">
        <f ca="1">IF(Table1[[#This Row],[County]]="Somerset",Table1[[#This Row],[income]],0)</f>
        <v>0</v>
      </c>
      <c r="BN150" s="20">
        <f ca="1">IF(Table1[[#This Row],[County]]="Cambridgeshire",Table1[[#This Row],[income]],0)</f>
        <v>0</v>
      </c>
      <c r="BO150" s="20">
        <f ca="1">IF(Table1[[#This Row],[County]]="South Yorkshire",Table1[[#This Row],[income]],0)</f>
        <v>0</v>
      </c>
      <c r="BP150" s="20">
        <f ca="1">IF(Table1[[#This Row],[County]]="Greater London",Table1[[#This Row],[income]],0)</f>
        <v>0</v>
      </c>
      <c r="BQ150" s="20">
        <f ca="1">IF(Table1[[#This Row],[County]]="Hampshire",Table1[[#This Row],[income]],0)</f>
        <v>0</v>
      </c>
      <c r="BR150" s="20">
        <f ca="1">IF(Table1[[#This Row],[County]]="Gloucestershire",Table1[[#This Row],[income]],0)</f>
        <v>0</v>
      </c>
      <c r="BS150" s="20">
        <f ca="1">IF(Table1[[#This Row],[County]]="West Sussex",Table1[[#This Row],[income]],0)</f>
        <v>0</v>
      </c>
      <c r="BT150" s="20">
        <f ca="1">IF(Table1[[#This Row],[County]]="Devon",Table1[[#This Row],[income]],0)</f>
        <v>0</v>
      </c>
      <c r="BU150" s="20">
        <f ca="1">IF(Table1[[#This Row],[County]]="Berkshire",Table1[[#This Row],[income]],0)</f>
        <v>0</v>
      </c>
      <c r="BV150" s="20">
        <f ca="1">IF(Table1[[#This Row],[County]]="Staffordshire",Table1[[#This Row],[income]],0)</f>
        <v>0</v>
      </c>
      <c r="BW150" s="20">
        <f ca="1">IF(Table1[[#This Row],[County]]="Leicestershire",Table1[[#This Row],[income]],0)</f>
        <v>0</v>
      </c>
      <c r="BX150" s="20">
        <f ca="1">IF(Table1[[#This Row],[County]]="Cornwall",Table1[[#This Row],[income]],0)</f>
        <v>0</v>
      </c>
      <c r="BY150" s="20">
        <f ca="1">IF(Table1[[#This Row],[County]]="Isle of Wight",Table1[[#This Row],[income]],0)</f>
        <v>0</v>
      </c>
      <c r="BZ150" s="20">
        <f ca="1">IF(Table1[[#This Row],[County]]="Surrey",Table1[[#This Row],[income]],0)</f>
        <v>0</v>
      </c>
      <c r="CA150" s="20">
        <f ca="1">IF(Table1[[#This Row],[County]]="Derbyshire",Table1[[#This Row],[income]],0)</f>
        <v>0</v>
      </c>
      <c r="CB150" s="20">
        <f ca="1">IF(Table1[[#This Row],[County]]="City of London",Table1[[#This Row],[income]],0)</f>
        <v>0</v>
      </c>
      <c r="CC150" s="20">
        <f ca="1">IF(Table1[[#This Row],[County]]="Bedfordshire",Table1[[#This Row],[income]],0)</f>
        <v>0</v>
      </c>
      <c r="CD150" s="20">
        <f ca="1">IF(Table1[[#This Row],[County]]="County Durham",Table1[[#This Row],[income]],0)</f>
        <v>0</v>
      </c>
      <c r="CE150" s="20">
        <f ca="1">IF(Table1[[#This Row],[County]]="East Riding of Yorkshire",Table1[[#This Row],[income]],0)</f>
        <v>0</v>
      </c>
      <c r="CF150" s="20">
        <f ca="1">IF(Table1[[#This Row],[County]]="West Yorkshire",Table1[[#This Row],[income]],0)</f>
        <v>0</v>
      </c>
      <c r="CG150" s="20">
        <f ca="1">IF(Table1[[#This Row],[County]]="Essex",Table1[[#This Row],[income]],0)</f>
        <v>0</v>
      </c>
      <c r="CH150" s="20">
        <f ca="1">IF(Table1[[#This Row],[County]]="East Sussex",Table1[[#This Row],[income]],0)</f>
        <v>0</v>
      </c>
      <c r="CI150" s="20">
        <f ca="1">IF(Table1[[#This Row],[County]]="Greater Manchester",Table1[[#This Row],[income]],0)</f>
        <v>0</v>
      </c>
      <c r="CJ150" s="20">
        <f ca="1">IF(Table1[[#This Row],[County]]="Hertfordshire",Table1[[#This Row],[income]],0)</f>
        <v>0</v>
      </c>
      <c r="CK150" s="20">
        <f ca="1">IF(Table1[[#This Row],[County]]="Herefordshire",Table1[[#This Row],[income]],0)</f>
        <v>0</v>
      </c>
      <c r="CL150" s="20">
        <f ca="1">IF(Table1[[#This Row],[County]]="Lancashire",Table1[[#This Row],[income]],0)</f>
        <v>0</v>
      </c>
      <c r="CM150" s="20">
        <f ca="1">IF(Table1[[#This Row],[County]]="Merseyside",Table1[[#This Row],[income]],0)</f>
        <v>0</v>
      </c>
      <c r="CN150" s="20">
        <f ca="1">IF(Table1[[#This Row],[County]]="Northamptonshire",Table1[[#This Row],[income]],0)</f>
        <v>0</v>
      </c>
      <c r="CO150" s="20">
        <f ca="1">IF(Table1[[#This Row],[County]]="Northumberland",Table1[[#This Row],[income]],0)</f>
        <v>73538</v>
      </c>
      <c r="CP150" s="20">
        <f ca="1">IF(Table1[[#This Row],[County]]="Wiltshire",Table1[[#This Row],[income]],0)</f>
        <v>0</v>
      </c>
      <c r="CQ150" s="20">
        <f ca="1">IF(Table1[[#This Row],[County]]="West Midlands",Table1[[#This Row],[income]],0)</f>
        <v>0</v>
      </c>
      <c r="CR150" s="20">
        <f ca="1">IF(Table1[[#This Row],[County]]="Warwickshire",Table1[[#This Row],[income]],0)</f>
        <v>0</v>
      </c>
      <c r="CS150" s="20">
        <f ca="1">IF(Table1[[#This Row],[County]]="Tyne and Wear",Table1[[#This Row],[income]],0)</f>
        <v>0</v>
      </c>
      <c r="CT150" s="20">
        <f ca="1">IF(Table1[[#This Row],[County]]="Worcestershire",Table1[[#This Row],[income]],0)</f>
        <v>0</v>
      </c>
      <c r="CU150" s="20">
        <f ca="1">IF(Table1[[#This Row],[County]]="Rutland",Table1[[#This Row],[income]],0)</f>
        <v>0</v>
      </c>
      <c r="CV150" s="20">
        <f ca="1">IF(Table1[[#This Row],[County]]="Shropshire",Table1[[#This Row],[income]],0)</f>
        <v>0</v>
      </c>
      <c r="CW150" s="20">
        <f ca="1">IF(Table1[[#This Row],[County]]="Dorset",Table1[[#This Row],[income]],0)</f>
        <v>0</v>
      </c>
      <c r="CX150" s="20">
        <f ca="1">IF(Table1[[#This Row],[County]]="Buckinghamshire",Table1[[#This Row],[income]],0)</f>
        <v>0</v>
      </c>
      <c r="CY150" s="20">
        <f ca="1">IF(Table1[[#This Row],[County]]="Suffolk",Table1[[#This Row],[income]],0)</f>
        <v>0</v>
      </c>
      <c r="CZ150" s="20">
        <f ca="1">IF(Table1[[#This Row],[County]]="North Yorkshire",Table1[[#This Row],[income]],0)</f>
        <v>0</v>
      </c>
      <c r="DA150" s="20">
        <f ca="1">IF(Table1[[#This Row],[County]]="Kent",Table1[[#This Row],[income]],0)</f>
        <v>0</v>
      </c>
      <c r="DB150" s="5">
        <f ca="1">IF(Table1[[#This Row],[County]]="Derbyshire",Table1[[#This Row],[income]],0)</f>
        <v>0</v>
      </c>
      <c r="DD150" s="6">
        <f ca="1">IF(Table1[[#This Row],[Column1]]="Health",Table1[[#This Row],[income]],0)</f>
        <v>0</v>
      </c>
      <c r="DE150" s="20">
        <f ca="1">IF(Table1[[#This Row],[Column1]]="Agriculture",Table1[[#This Row],[income]],0)</f>
        <v>0</v>
      </c>
      <c r="DF150" s="20">
        <f ca="1">IF(Table1[[#This Row],[Column1]]="Technology",Table1[[#This Row],[income]],0)</f>
        <v>0</v>
      </c>
      <c r="DG150" s="20">
        <f ca="1">IF(Table1[[#This Row],[Column1]]="Social Service",Table1[[#This Row],[income]],0)</f>
        <v>0</v>
      </c>
      <c r="DH150" s="20">
        <f ca="1">IF(Table1[[#This Row],[Column1]]="Education",Table1[[#This Row],[income]],0)</f>
        <v>0</v>
      </c>
      <c r="DI150" s="5">
        <f ca="1">IF(Table1[[#This Row],[Column1]]="Construction",Table1[[#This Row],[income]],0)</f>
        <v>73538</v>
      </c>
      <c r="DK150" s="6">
        <f ca="1">IF(Table1[[#This Row],[Value of Debts]]&gt;Table1[[#This Row],[income]],1,0)</f>
        <v>1</v>
      </c>
      <c r="DL150" s="20"/>
      <c r="DM150" s="20"/>
      <c r="DN150" s="5"/>
      <c r="DP150" s="6">
        <f ca="1">IF(Table1[[#This Row],[Net Worth (£)]]&gt;$DS$5,C150,0)</f>
        <v>49</v>
      </c>
      <c r="DQ150" s="20"/>
      <c r="DR150" s="20"/>
      <c r="DS150" s="5"/>
    </row>
    <row r="151" spans="1:123" x14ac:dyDescent="0.2">
      <c r="A151">
        <f t="shared" ca="1" si="7"/>
        <v>2</v>
      </c>
      <c r="B151" s="1" t="str">
        <f ca="1">IF(A151=1, "men", "women")</f>
        <v>women</v>
      </c>
      <c r="C151" s="1">
        <f ca="1">RANDBETWEEN(25,50)</f>
        <v>48</v>
      </c>
      <c r="D151">
        <f ca="1">RANDBETWEEN(1,6)</f>
        <v>2</v>
      </c>
      <c r="E151" t="str">
        <f ca="1">VLOOKUP(D151,$W$5:$X$10,2)</f>
        <v>Construction</v>
      </c>
      <c r="F151">
        <f ca="1">RANDBETWEEN(1,5)</f>
        <v>4</v>
      </c>
      <c r="G151" t="str">
        <f ca="1">VLOOKUP(F151,$Y$5:$Z$9,2)</f>
        <v xml:space="preserve">Technical </v>
      </c>
      <c r="H151">
        <f ca="1">RANDBETWEEN(0,4)</f>
        <v>3</v>
      </c>
      <c r="I151">
        <f ca="1">RANDBETWEEN(1,3)</f>
        <v>2</v>
      </c>
      <c r="J151">
        <f ca="1">RANDBETWEEN(30000,100000)</f>
        <v>68040</v>
      </c>
      <c r="K151">
        <f ca="1">RANDBETWEEN(1,48)</f>
        <v>40</v>
      </c>
      <c r="L151" t="str">
        <f ca="1">VLOOKUP(K151,$AA$5:$AB$52,2)</f>
        <v>Suffolk</v>
      </c>
      <c r="M151">
        <f ca="1">J151*(RANDBETWEEN(2,5))</f>
        <v>340200</v>
      </c>
      <c r="N151">
        <f ca="1">RAND()*M151</f>
        <v>132166.32033896729</v>
      </c>
      <c r="O151">
        <f ca="1">I151*RAND()*J151</f>
        <v>42482.60632214856</v>
      </c>
      <c r="P151">
        <f ca="1">RANDBETWEEN(0,O151)</f>
        <v>36706</v>
      </c>
      <c r="Q151">
        <f ca="1">RAND()*J151*2</f>
        <v>72217.468510311955</v>
      </c>
      <c r="R151">
        <f ca="1">RAND()*J151*1.5</f>
        <v>83404.607285103266</v>
      </c>
      <c r="S151">
        <f ca="1">J151+R151+O151</f>
        <v>193927.21360725182</v>
      </c>
      <c r="T151">
        <f ca="1">N151+P151+Q151</f>
        <v>241089.78884927923</v>
      </c>
      <c r="U151">
        <f ca="1">S151-T151</f>
        <v>-47162.575242027408</v>
      </c>
      <c r="AC151" s="6">
        <f ca="1">IF(Table1[[#This Row],[gender]]="men",1,0)</f>
        <v>0</v>
      </c>
      <c r="AD151">
        <f ca="1">IF(Table1[[#This Row],[gender]]="women",1,0)</f>
        <v>1</v>
      </c>
      <c r="AH151" s="5"/>
      <c r="AJ151" s="6">
        <f ca="1">IF(Table1[[#This Row],[Column1]]="Health",1,0)</f>
        <v>0</v>
      </c>
      <c r="AK151">
        <f ca="1">IF(Table1[[#This Row],[Column1]]="Construction",1,0)</f>
        <v>1</v>
      </c>
      <c r="AL151">
        <f ca="1">IF(Table1[[#This Row],[Column1]]="Technology",1,0)</f>
        <v>0</v>
      </c>
      <c r="AM151">
        <f ca="1">IF(Table1[[#This Row],[Column1]]="Education",1,0)</f>
        <v>0</v>
      </c>
      <c r="AN151">
        <f ca="1">IF(Table1[[#This Row],[Column1]]="Agriculture",1,0)</f>
        <v>0</v>
      </c>
      <c r="AO151">
        <f ca="1">IF(Table1[[#This Row],[Column1]]="Social Service", 1, 0)</f>
        <v>0</v>
      </c>
      <c r="AT151" s="5"/>
      <c r="AV151" s="17">
        <f t="shared" ca="1" si="6"/>
        <v>55428.442566175538</v>
      </c>
      <c r="AW151" s="5"/>
      <c r="AX151" s="6">
        <f ca="1">IF(Table1[[#This Row],[Value of Debts]]&gt;$AY$4,1,0)</f>
        <v>1</v>
      </c>
      <c r="AY151" s="20"/>
      <c r="AZ151" s="20"/>
      <c r="BA151" s="5"/>
      <c r="BB151" s="25">
        <f ca="1">Table1[[#This Row],[Mortage Left]]/Table1[[#This Row],[Value of House]]</f>
        <v>0.38849594455898673</v>
      </c>
      <c r="BC151" s="20">
        <f t="shared" ca="1" si="8"/>
        <v>0</v>
      </c>
      <c r="BD151" s="20"/>
      <c r="BE151" s="20"/>
      <c r="BF151" s="20"/>
      <c r="BG151" s="6">
        <f ca="1">IF(Table1[[#This Row],[County]]="Cumbria",Table1[[#This Row],[income]],0)</f>
        <v>0</v>
      </c>
      <c r="BH151" s="20">
        <f ca="1">IF(Table1[[#This Row],[County]]="Cheshire",Table1[[#This Row],[income]],0)</f>
        <v>0</v>
      </c>
      <c r="BI151" s="20">
        <f ca="1">IF(Table1[[#This Row],[County]]="Bristol",Table1[[#This Row],[income]],0)</f>
        <v>0</v>
      </c>
      <c r="BJ151" s="20">
        <f ca="1">IF(Table1[[#This Row],[County]]="Surrey",Table1[[#This Row],[income]],0)</f>
        <v>0</v>
      </c>
      <c r="BK151" s="20">
        <f ca="1">IF(Table1[[#This Row],[County]]="Norfolk",Table1[[#This Row],[income]],0)</f>
        <v>0</v>
      </c>
      <c r="BL151" s="20">
        <f ca="1">IF(Table1[[#This Row],[County]]="Lincolnshire",Table1[[#This Row],[income]],0)</f>
        <v>0</v>
      </c>
      <c r="BM151" s="20">
        <f ca="1">IF(Table1[[#This Row],[County]]="Somerset",Table1[[#This Row],[income]],0)</f>
        <v>0</v>
      </c>
      <c r="BN151" s="20">
        <f ca="1">IF(Table1[[#This Row],[County]]="Cambridgeshire",Table1[[#This Row],[income]],0)</f>
        <v>0</v>
      </c>
      <c r="BO151" s="20">
        <f ca="1">IF(Table1[[#This Row],[County]]="South Yorkshire",Table1[[#This Row],[income]],0)</f>
        <v>0</v>
      </c>
      <c r="BP151" s="20">
        <f ca="1">IF(Table1[[#This Row],[County]]="Greater London",Table1[[#This Row],[income]],0)</f>
        <v>0</v>
      </c>
      <c r="BQ151" s="20">
        <f ca="1">IF(Table1[[#This Row],[County]]="Hampshire",Table1[[#This Row],[income]],0)</f>
        <v>0</v>
      </c>
      <c r="BR151" s="20">
        <f ca="1">IF(Table1[[#This Row],[County]]="Gloucestershire",Table1[[#This Row],[income]],0)</f>
        <v>0</v>
      </c>
      <c r="BS151" s="20">
        <f ca="1">IF(Table1[[#This Row],[County]]="West Sussex",Table1[[#This Row],[income]],0)</f>
        <v>0</v>
      </c>
      <c r="BT151" s="20">
        <f ca="1">IF(Table1[[#This Row],[County]]="Devon",Table1[[#This Row],[income]],0)</f>
        <v>0</v>
      </c>
      <c r="BU151" s="20">
        <f ca="1">IF(Table1[[#This Row],[County]]="Berkshire",Table1[[#This Row],[income]],0)</f>
        <v>0</v>
      </c>
      <c r="BV151" s="20">
        <f ca="1">IF(Table1[[#This Row],[County]]="Staffordshire",Table1[[#This Row],[income]],0)</f>
        <v>0</v>
      </c>
      <c r="BW151" s="20">
        <f ca="1">IF(Table1[[#This Row],[County]]="Leicestershire",Table1[[#This Row],[income]],0)</f>
        <v>0</v>
      </c>
      <c r="BX151" s="20">
        <f ca="1">IF(Table1[[#This Row],[County]]="Cornwall",Table1[[#This Row],[income]],0)</f>
        <v>0</v>
      </c>
      <c r="BY151" s="20">
        <f ca="1">IF(Table1[[#This Row],[County]]="Isle of Wight",Table1[[#This Row],[income]],0)</f>
        <v>0</v>
      </c>
      <c r="BZ151" s="20">
        <f ca="1">IF(Table1[[#This Row],[County]]="Surrey",Table1[[#This Row],[income]],0)</f>
        <v>0</v>
      </c>
      <c r="CA151" s="20">
        <f ca="1">IF(Table1[[#This Row],[County]]="Derbyshire",Table1[[#This Row],[income]],0)</f>
        <v>0</v>
      </c>
      <c r="CB151" s="20">
        <f ca="1">IF(Table1[[#This Row],[County]]="City of London",Table1[[#This Row],[income]],0)</f>
        <v>0</v>
      </c>
      <c r="CC151" s="20">
        <f ca="1">IF(Table1[[#This Row],[County]]="Bedfordshire",Table1[[#This Row],[income]],0)</f>
        <v>0</v>
      </c>
      <c r="CD151" s="20">
        <f ca="1">IF(Table1[[#This Row],[County]]="County Durham",Table1[[#This Row],[income]],0)</f>
        <v>0</v>
      </c>
      <c r="CE151" s="20">
        <f ca="1">IF(Table1[[#This Row],[County]]="East Riding of Yorkshire",Table1[[#This Row],[income]],0)</f>
        <v>0</v>
      </c>
      <c r="CF151" s="20">
        <f ca="1">IF(Table1[[#This Row],[County]]="West Yorkshire",Table1[[#This Row],[income]],0)</f>
        <v>0</v>
      </c>
      <c r="CG151" s="20">
        <f ca="1">IF(Table1[[#This Row],[County]]="Essex",Table1[[#This Row],[income]],0)</f>
        <v>0</v>
      </c>
      <c r="CH151" s="20">
        <f ca="1">IF(Table1[[#This Row],[County]]="East Sussex",Table1[[#This Row],[income]],0)</f>
        <v>0</v>
      </c>
      <c r="CI151" s="20">
        <f ca="1">IF(Table1[[#This Row],[County]]="Greater Manchester",Table1[[#This Row],[income]],0)</f>
        <v>0</v>
      </c>
      <c r="CJ151" s="20">
        <f ca="1">IF(Table1[[#This Row],[County]]="Hertfordshire",Table1[[#This Row],[income]],0)</f>
        <v>0</v>
      </c>
      <c r="CK151" s="20">
        <f ca="1">IF(Table1[[#This Row],[County]]="Herefordshire",Table1[[#This Row],[income]],0)</f>
        <v>0</v>
      </c>
      <c r="CL151" s="20">
        <f ca="1">IF(Table1[[#This Row],[County]]="Lancashire",Table1[[#This Row],[income]],0)</f>
        <v>0</v>
      </c>
      <c r="CM151" s="20">
        <f ca="1">IF(Table1[[#This Row],[County]]="Merseyside",Table1[[#This Row],[income]],0)</f>
        <v>0</v>
      </c>
      <c r="CN151" s="20">
        <f ca="1">IF(Table1[[#This Row],[County]]="Northamptonshire",Table1[[#This Row],[income]],0)</f>
        <v>0</v>
      </c>
      <c r="CO151" s="20">
        <f ca="1">IF(Table1[[#This Row],[County]]="Northumberland",Table1[[#This Row],[income]],0)</f>
        <v>0</v>
      </c>
      <c r="CP151" s="20">
        <f ca="1">IF(Table1[[#This Row],[County]]="Wiltshire",Table1[[#This Row],[income]],0)</f>
        <v>0</v>
      </c>
      <c r="CQ151" s="20">
        <f ca="1">IF(Table1[[#This Row],[County]]="West Midlands",Table1[[#This Row],[income]],0)</f>
        <v>0</v>
      </c>
      <c r="CR151" s="20">
        <f ca="1">IF(Table1[[#This Row],[County]]="Warwickshire",Table1[[#This Row],[income]],0)</f>
        <v>0</v>
      </c>
      <c r="CS151" s="20">
        <f ca="1">IF(Table1[[#This Row],[County]]="Tyne and Wear",Table1[[#This Row],[income]],0)</f>
        <v>0</v>
      </c>
      <c r="CT151" s="20">
        <f ca="1">IF(Table1[[#This Row],[County]]="Worcestershire",Table1[[#This Row],[income]],0)</f>
        <v>0</v>
      </c>
      <c r="CU151" s="20">
        <f ca="1">IF(Table1[[#This Row],[County]]="Rutland",Table1[[#This Row],[income]],0)</f>
        <v>0</v>
      </c>
      <c r="CV151" s="20">
        <f ca="1">IF(Table1[[#This Row],[County]]="Shropshire",Table1[[#This Row],[income]],0)</f>
        <v>0</v>
      </c>
      <c r="CW151" s="20">
        <f ca="1">IF(Table1[[#This Row],[County]]="Dorset",Table1[[#This Row],[income]],0)</f>
        <v>0</v>
      </c>
      <c r="CX151" s="20">
        <f ca="1">IF(Table1[[#This Row],[County]]="Buckinghamshire",Table1[[#This Row],[income]],0)</f>
        <v>0</v>
      </c>
      <c r="CY151" s="20">
        <f ca="1">IF(Table1[[#This Row],[County]]="Suffolk",Table1[[#This Row],[income]],0)</f>
        <v>68040</v>
      </c>
      <c r="CZ151" s="20">
        <f ca="1">IF(Table1[[#This Row],[County]]="North Yorkshire",Table1[[#This Row],[income]],0)</f>
        <v>0</v>
      </c>
      <c r="DA151" s="20">
        <f ca="1">IF(Table1[[#This Row],[County]]="Kent",Table1[[#This Row],[income]],0)</f>
        <v>0</v>
      </c>
      <c r="DB151" s="5">
        <f ca="1">IF(Table1[[#This Row],[County]]="Derbyshire",Table1[[#This Row],[income]],0)</f>
        <v>0</v>
      </c>
      <c r="DD151" s="6">
        <f ca="1">IF(Table1[[#This Row],[Column1]]="Health",Table1[[#This Row],[income]],0)</f>
        <v>0</v>
      </c>
      <c r="DE151" s="20">
        <f ca="1">IF(Table1[[#This Row],[Column1]]="Agriculture",Table1[[#This Row],[income]],0)</f>
        <v>0</v>
      </c>
      <c r="DF151" s="20">
        <f ca="1">IF(Table1[[#This Row],[Column1]]="Technology",Table1[[#This Row],[income]],0)</f>
        <v>0</v>
      </c>
      <c r="DG151" s="20">
        <f ca="1">IF(Table1[[#This Row],[Column1]]="Social Service",Table1[[#This Row],[income]],0)</f>
        <v>0</v>
      </c>
      <c r="DH151" s="20">
        <f ca="1">IF(Table1[[#This Row],[Column1]]="Education",Table1[[#This Row],[income]],0)</f>
        <v>0</v>
      </c>
      <c r="DI151" s="5">
        <f ca="1">IF(Table1[[#This Row],[Column1]]="Construction",Table1[[#This Row],[income]],0)</f>
        <v>68040</v>
      </c>
      <c r="DK151" s="6">
        <f ca="1">IF(Table1[[#This Row],[Value of Debts]]&gt;Table1[[#This Row],[income]],1,0)</f>
        <v>1</v>
      </c>
      <c r="DL151" s="20"/>
      <c r="DM151" s="20"/>
      <c r="DN151" s="5"/>
      <c r="DP151" s="6">
        <f ca="1">IF(Table1[[#This Row],[Net Worth (£)]]&gt;$DS$5,C151,0)</f>
        <v>0</v>
      </c>
      <c r="DQ151" s="20"/>
      <c r="DR151" s="20"/>
      <c r="DS151" s="5"/>
    </row>
    <row r="152" spans="1:123" x14ac:dyDescent="0.2">
      <c r="A152">
        <f t="shared" ca="1" si="7"/>
        <v>1</v>
      </c>
      <c r="B152" s="1" t="str">
        <f ca="1">IF(A152=1, "men", "women")</f>
        <v>men</v>
      </c>
      <c r="C152" s="1">
        <f ca="1">RANDBETWEEN(25,50)</f>
        <v>38</v>
      </c>
      <c r="D152">
        <f ca="1">RANDBETWEEN(1,6)</f>
        <v>5</v>
      </c>
      <c r="E152" t="str">
        <f ca="1">VLOOKUP(D152,$W$5:$X$10,2)</f>
        <v>Social Service</v>
      </c>
      <c r="F152">
        <f ca="1">RANDBETWEEN(1,5)</f>
        <v>2</v>
      </c>
      <c r="G152" t="str">
        <f ca="1">VLOOKUP(F152,$Y$5:$Z$9,2)</f>
        <v>College</v>
      </c>
      <c r="H152">
        <f ca="1">RANDBETWEEN(0,4)</f>
        <v>4</v>
      </c>
      <c r="I152">
        <f ca="1">RANDBETWEEN(1,3)</f>
        <v>3</v>
      </c>
      <c r="J152">
        <f ca="1">RANDBETWEEN(30000,100000)</f>
        <v>80740</v>
      </c>
      <c r="K152">
        <f ca="1">RANDBETWEEN(1,48)</f>
        <v>28</v>
      </c>
      <c r="L152" t="str">
        <f ca="1">VLOOKUP(K152,$AA$5:$AB$52,2)</f>
        <v>Lincolnshire</v>
      </c>
      <c r="M152">
        <f ca="1">J152*(RANDBETWEEN(2,5))</f>
        <v>161480</v>
      </c>
      <c r="N152">
        <f ca="1">RAND()*M152</f>
        <v>35574.132158642235</v>
      </c>
      <c r="O152">
        <f ca="1">I152*RAND()*J152</f>
        <v>166285.32769852661</v>
      </c>
      <c r="P152">
        <f ca="1">RANDBETWEEN(0,O152)</f>
        <v>52013</v>
      </c>
      <c r="Q152">
        <f ca="1">RAND()*J152*2</f>
        <v>107493.98829666876</v>
      </c>
      <c r="R152">
        <f ca="1">RAND()*J152*1.5</f>
        <v>6618.2994875251588</v>
      </c>
      <c r="S152">
        <f ca="1">J152+R152+O152</f>
        <v>253643.62718605177</v>
      </c>
      <c r="T152">
        <f ca="1">N152+P152+Q152</f>
        <v>195081.12045531097</v>
      </c>
      <c r="U152">
        <f ca="1">S152-T152</f>
        <v>58562.506730740803</v>
      </c>
      <c r="AC152" s="6">
        <f ca="1">IF(Table1[[#This Row],[gender]]="men",1,0)</f>
        <v>1</v>
      </c>
      <c r="AD152">
        <f ca="1">IF(Table1[[#This Row],[gender]]="women",1,0)</f>
        <v>0</v>
      </c>
      <c r="AH152" s="5"/>
      <c r="AJ152" s="6">
        <f ca="1">IF(Table1[[#This Row],[Column1]]="Health",1,0)</f>
        <v>0</v>
      </c>
      <c r="AK152">
        <f ca="1">IF(Table1[[#This Row],[Column1]]="Construction",1,0)</f>
        <v>0</v>
      </c>
      <c r="AL152">
        <f ca="1">IF(Table1[[#This Row],[Column1]]="Technology",1,0)</f>
        <v>0</v>
      </c>
      <c r="AM152">
        <f ca="1">IF(Table1[[#This Row],[Column1]]="Education",1,0)</f>
        <v>0</v>
      </c>
      <c r="AN152">
        <f ca="1">IF(Table1[[#This Row],[Column1]]="Agriculture",1,0)</f>
        <v>0</v>
      </c>
      <c r="AO152">
        <f ca="1">IF(Table1[[#This Row],[Column1]]="Social Service", 1, 0)</f>
        <v>1</v>
      </c>
      <c r="AT152" s="5"/>
      <c r="AV152" s="17">
        <f t="shared" ca="1" si="6"/>
        <v>28150.868474453902</v>
      </c>
      <c r="AW152" s="5"/>
      <c r="AX152" s="6">
        <f ca="1">IF(Table1[[#This Row],[Value of Debts]]&gt;$AY$4,1,0)</f>
        <v>1</v>
      </c>
      <c r="AY152" s="20"/>
      <c r="AZ152" s="20"/>
      <c r="BA152" s="5"/>
      <c r="BB152" s="25">
        <f ca="1">Table1[[#This Row],[Mortage Left]]/Table1[[#This Row],[Value of House]]</f>
        <v>0.2203005459415546</v>
      </c>
      <c r="BC152" s="20">
        <f t="shared" ca="1" si="8"/>
        <v>1</v>
      </c>
      <c r="BD152" s="20"/>
      <c r="BE152" s="20"/>
      <c r="BF152" s="20"/>
      <c r="BG152" s="6">
        <f ca="1">IF(Table1[[#This Row],[County]]="Cumbria",Table1[[#This Row],[income]],0)</f>
        <v>0</v>
      </c>
      <c r="BH152" s="20">
        <f ca="1">IF(Table1[[#This Row],[County]]="Cheshire",Table1[[#This Row],[income]],0)</f>
        <v>0</v>
      </c>
      <c r="BI152" s="20">
        <f ca="1">IF(Table1[[#This Row],[County]]="Bristol",Table1[[#This Row],[income]],0)</f>
        <v>0</v>
      </c>
      <c r="BJ152" s="20">
        <f ca="1">IF(Table1[[#This Row],[County]]="Surrey",Table1[[#This Row],[income]],0)</f>
        <v>0</v>
      </c>
      <c r="BK152" s="20">
        <f ca="1">IF(Table1[[#This Row],[County]]="Norfolk",Table1[[#This Row],[income]],0)</f>
        <v>0</v>
      </c>
      <c r="BL152" s="20">
        <f ca="1">IF(Table1[[#This Row],[County]]="Lincolnshire",Table1[[#This Row],[income]],0)</f>
        <v>80740</v>
      </c>
      <c r="BM152" s="20">
        <f ca="1">IF(Table1[[#This Row],[County]]="Somerset",Table1[[#This Row],[income]],0)</f>
        <v>0</v>
      </c>
      <c r="BN152" s="20">
        <f ca="1">IF(Table1[[#This Row],[County]]="Cambridgeshire",Table1[[#This Row],[income]],0)</f>
        <v>0</v>
      </c>
      <c r="BO152" s="20">
        <f ca="1">IF(Table1[[#This Row],[County]]="South Yorkshire",Table1[[#This Row],[income]],0)</f>
        <v>0</v>
      </c>
      <c r="BP152" s="20">
        <f ca="1">IF(Table1[[#This Row],[County]]="Greater London",Table1[[#This Row],[income]],0)</f>
        <v>0</v>
      </c>
      <c r="BQ152" s="20">
        <f ca="1">IF(Table1[[#This Row],[County]]="Hampshire",Table1[[#This Row],[income]],0)</f>
        <v>0</v>
      </c>
      <c r="BR152" s="20">
        <f ca="1">IF(Table1[[#This Row],[County]]="Gloucestershire",Table1[[#This Row],[income]],0)</f>
        <v>0</v>
      </c>
      <c r="BS152" s="20">
        <f ca="1">IF(Table1[[#This Row],[County]]="West Sussex",Table1[[#This Row],[income]],0)</f>
        <v>0</v>
      </c>
      <c r="BT152" s="20">
        <f ca="1">IF(Table1[[#This Row],[County]]="Devon",Table1[[#This Row],[income]],0)</f>
        <v>0</v>
      </c>
      <c r="BU152" s="20">
        <f ca="1">IF(Table1[[#This Row],[County]]="Berkshire",Table1[[#This Row],[income]],0)</f>
        <v>0</v>
      </c>
      <c r="BV152" s="20">
        <f ca="1">IF(Table1[[#This Row],[County]]="Staffordshire",Table1[[#This Row],[income]],0)</f>
        <v>0</v>
      </c>
      <c r="BW152" s="20">
        <f ca="1">IF(Table1[[#This Row],[County]]="Leicestershire",Table1[[#This Row],[income]],0)</f>
        <v>0</v>
      </c>
      <c r="BX152" s="20">
        <f ca="1">IF(Table1[[#This Row],[County]]="Cornwall",Table1[[#This Row],[income]],0)</f>
        <v>0</v>
      </c>
      <c r="BY152" s="20">
        <f ca="1">IF(Table1[[#This Row],[County]]="Isle of Wight",Table1[[#This Row],[income]],0)</f>
        <v>0</v>
      </c>
      <c r="BZ152" s="20">
        <f ca="1">IF(Table1[[#This Row],[County]]="Surrey",Table1[[#This Row],[income]],0)</f>
        <v>0</v>
      </c>
      <c r="CA152" s="20">
        <f ca="1">IF(Table1[[#This Row],[County]]="Derbyshire",Table1[[#This Row],[income]],0)</f>
        <v>0</v>
      </c>
      <c r="CB152" s="20">
        <f ca="1">IF(Table1[[#This Row],[County]]="City of London",Table1[[#This Row],[income]],0)</f>
        <v>0</v>
      </c>
      <c r="CC152" s="20">
        <f ca="1">IF(Table1[[#This Row],[County]]="Bedfordshire",Table1[[#This Row],[income]],0)</f>
        <v>0</v>
      </c>
      <c r="CD152" s="20">
        <f ca="1">IF(Table1[[#This Row],[County]]="County Durham",Table1[[#This Row],[income]],0)</f>
        <v>0</v>
      </c>
      <c r="CE152" s="20">
        <f ca="1">IF(Table1[[#This Row],[County]]="East Riding of Yorkshire",Table1[[#This Row],[income]],0)</f>
        <v>0</v>
      </c>
      <c r="CF152" s="20">
        <f ca="1">IF(Table1[[#This Row],[County]]="West Yorkshire",Table1[[#This Row],[income]],0)</f>
        <v>0</v>
      </c>
      <c r="CG152" s="20">
        <f ca="1">IF(Table1[[#This Row],[County]]="Essex",Table1[[#This Row],[income]],0)</f>
        <v>0</v>
      </c>
      <c r="CH152" s="20">
        <f ca="1">IF(Table1[[#This Row],[County]]="East Sussex",Table1[[#This Row],[income]],0)</f>
        <v>0</v>
      </c>
      <c r="CI152" s="20">
        <f ca="1">IF(Table1[[#This Row],[County]]="Greater Manchester",Table1[[#This Row],[income]],0)</f>
        <v>0</v>
      </c>
      <c r="CJ152" s="20">
        <f ca="1">IF(Table1[[#This Row],[County]]="Hertfordshire",Table1[[#This Row],[income]],0)</f>
        <v>0</v>
      </c>
      <c r="CK152" s="20">
        <f ca="1">IF(Table1[[#This Row],[County]]="Herefordshire",Table1[[#This Row],[income]],0)</f>
        <v>0</v>
      </c>
      <c r="CL152" s="20">
        <f ca="1">IF(Table1[[#This Row],[County]]="Lancashire",Table1[[#This Row],[income]],0)</f>
        <v>0</v>
      </c>
      <c r="CM152" s="20">
        <f ca="1">IF(Table1[[#This Row],[County]]="Merseyside",Table1[[#This Row],[income]],0)</f>
        <v>0</v>
      </c>
      <c r="CN152" s="20">
        <f ca="1">IF(Table1[[#This Row],[County]]="Northamptonshire",Table1[[#This Row],[income]],0)</f>
        <v>0</v>
      </c>
      <c r="CO152" s="20">
        <f ca="1">IF(Table1[[#This Row],[County]]="Northumberland",Table1[[#This Row],[income]],0)</f>
        <v>0</v>
      </c>
      <c r="CP152" s="20">
        <f ca="1">IF(Table1[[#This Row],[County]]="Wiltshire",Table1[[#This Row],[income]],0)</f>
        <v>0</v>
      </c>
      <c r="CQ152" s="20">
        <f ca="1">IF(Table1[[#This Row],[County]]="West Midlands",Table1[[#This Row],[income]],0)</f>
        <v>0</v>
      </c>
      <c r="CR152" s="20">
        <f ca="1">IF(Table1[[#This Row],[County]]="Warwickshire",Table1[[#This Row],[income]],0)</f>
        <v>0</v>
      </c>
      <c r="CS152" s="20">
        <f ca="1">IF(Table1[[#This Row],[County]]="Tyne and Wear",Table1[[#This Row],[income]],0)</f>
        <v>0</v>
      </c>
      <c r="CT152" s="20">
        <f ca="1">IF(Table1[[#This Row],[County]]="Worcestershire",Table1[[#This Row],[income]],0)</f>
        <v>0</v>
      </c>
      <c r="CU152" s="20">
        <f ca="1">IF(Table1[[#This Row],[County]]="Rutland",Table1[[#This Row],[income]],0)</f>
        <v>0</v>
      </c>
      <c r="CV152" s="20">
        <f ca="1">IF(Table1[[#This Row],[County]]="Shropshire",Table1[[#This Row],[income]],0)</f>
        <v>0</v>
      </c>
      <c r="CW152" s="20">
        <f ca="1">IF(Table1[[#This Row],[County]]="Dorset",Table1[[#This Row],[income]],0)</f>
        <v>0</v>
      </c>
      <c r="CX152" s="20">
        <f ca="1">IF(Table1[[#This Row],[County]]="Buckinghamshire",Table1[[#This Row],[income]],0)</f>
        <v>0</v>
      </c>
      <c r="CY152" s="20">
        <f ca="1">IF(Table1[[#This Row],[County]]="Suffolk",Table1[[#This Row],[income]],0)</f>
        <v>0</v>
      </c>
      <c r="CZ152" s="20">
        <f ca="1">IF(Table1[[#This Row],[County]]="North Yorkshire",Table1[[#This Row],[income]],0)</f>
        <v>0</v>
      </c>
      <c r="DA152" s="20">
        <f ca="1">IF(Table1[[#This Row],[County]]="Kent",Table1[[#This Row],[income]],0)</f>
        <v>0</v>
      </c>
      <c r="DB152" s="5">
        <f ca="1">IF(Table1[[#This Row],[County]]="Derbyshire",Table1[[#This Row],[income]],0)</f>
        <v>0</v>
      </c>
      <c r="DD152" s="6">
        <f ca="1">IF(Table1[[#This Row],[Column1]]="Health",Table1[[#This Row],[income]],0)</f>
        <v>0</v>
      </c>
      <c r="DE152" s="20">
        <f ca="1">IF(Table1[[#This Row],[Column1]]="Agriculture",Table1[[#This Row],[income]],0)</f>
        <v>0</v>
      </c>
      <c r="DF152" s="20">
        <f ca="1">IF(Table1[[#This Row],[Column1]]="Technology",Table1[[#This Row],[income]],0)</f>
        <v>0</v>
      </c>
      <c r="DG152" s="20">
        <f ca="1">IF(Table1[[#This Row],[Column1]]="Social Service",Table1[[#This Row],[income]],0)</f>
        <v>80740</v>
      </c>
      <c r="DH152" s="20">
        <f ca="1">IF(Table1[[#This Row],[Column1]]="Education",Table1[[#This Row],[income]],0)</f>
        <v>0</v>
      </c>
      <c r="DI152" s="5">
        <f ca="1">IF(Table1[[#This Row],[Column1]]="Construction",Table1[[#This Row],[income]],0)</f>
        <v>0</v>
      </c>
      <c r="DK152" s="6">
        <f ca="1">IF(Table1[[#This Row],[Value of Debts]]&gt;Table1[[#This Row],[income]],1,0)</f>
        <v>1</v>
      </c>
      <c r="DL152" s="20"/>
      <c r="DM152" s="20"/>
      <c r="DN152" s="5"/>
      <c r="DP152" s="6">
        <f ca="1">IF(Table1[[#This Row],[Net Worth (£)]]&gt;$DS$5,C152,0)</f>
        <v>38</v>
      </c>
      <c r="DQ152" s="20"/>
      <c r="DR152" s="20"/>
      <c r="DS152" s="5"/>
    </row>
    <row r="153" spans="1:123" x14ac:dyDescent="0.2">
      <c r="A153">
        <f t="shared" ca="1" si="7"/>
        <v>1</v>
      </c>
      <c r="B153" s="1" t="str">
        <f ca="1">IF(A153=1, "men", "women")</f>
        <v>men</v>
      </c>
      <c r="C153" s="1">
        <f ca="1">RANDBETWEEN(25,50)</f>
        <v>48</v>
      </c>
      <c r="D153">
        <f ca="1">RANDBETWEEN(1,6)</f>
        <v>5</v>
      </c>
      <c r="E153" t="str">
        <f ca="1">VLOOKUP(D153,$W$5:$X$10,2)</f>
        <v>Social Service</v>
      </c>
      <c r="F153">
        <f ca="1">RANDBETWEEN(1,5)</f>
        <v>1</v>
      </c>
      <c r="G153" t="str">
        <f ca="1">VLOOKUP(F153,$Y$5:$Z$9,2)</f>
        <v>High School</v>
      </c>
      <c r="H153">
        <f ca="1">RANDBETWEEN(0,4)</f>
        <v>3</v>
      </c>
      <c r="I153">
        <f ca="1">RANDBETWEEN(1,3)</f>
        <v>1</v>
      </c>
      <c r="J153">
        <f ca="1">RANDBETWEEN(30000,100000)</f>
        <v>54349</v>
      </c>
      <c r="K153">
        <f ca="1">RANDBETWEEN(1,48)</f>
        <v>12</v>
      </c>
      <c r="L153" t="str">
        <f ca="1">VLOOKUP(K153,$AA$5:$AB$52,2)</f>
        <v>Dorset</v>
      </c>
      <c r="M153">
        <f ca="1">J153*(RANDBETWEEN(2,5))</f>
        <v>163047</v>
      </c>
      <c r="N153">
        <f ca="1">RAND()*M153</f>
        <v>115100.52804110467</v>
      </c>
      <c r="O153">
        <f ca="1">I153*RAND()*J153</f>
        <v>28150.868474453902</v>
      </c>
      <c r="P153">
        <f ca="1">RANDBETWEEN(0,O153)</f>
        <v>23371</v>
      </c>
      <c r="Q153">
        <f ca="1">RAND()*J153*2</f>
        <v>107704.41151813202</v>
      </c>
      <c r="R153">
        <f ca="1">RAND()*J153*1.5</f>
        <v>14661.125048788956</v>
      </c>
      <c r="S153">
        <f ca="1">J153+R153+O153</f>
        <v>97160.993523242869</v>
      </c>
      <c r="T153">
        <f ca="1">N153+P153+Q153</f>
        <v>246175.93955923669</v>
      </c>
      <c r="U153">
        <f ca="1">S153-T153</f>
        <v>-149014.94603599381</v>
      </c>
      <c r="AC153" s="6">
        <f ca="1">IF(Table1[[#This Row],[gender]]="men",1,0)</f>
        <v>1</v>
      </c>
      <c r="AD153">
        <f ca="1">IF(Table1[[#This Row],[gender]]="women",1,0)</f>
        <v>0</v>
      </c>
      <c r="AH153" s="5"/>
      <c r="AJ153" s="6">
        <f ca="1">IF(Table1[[#This Row],[Column1]]="Health",1,0)</f>
        <v>0</v>
      </c>
      <c r="AK153">
        <f ca="1">IF(Table1[[#This Row],[Column1]]="Construction",1,0)</f>
        <v>0</v>
      </c>
      <c r="AL153">
        <f ca="1">IF(Table1[[#This Row],[Column1]]="Technology",1,0)</f>
        <v>0</v>
      </c>
      <c r="AM153">
        <f ca="1">IF(Table1[[#This Row],[Column1]]="Education",1,0)</f>
        <v>0</v>
      </c>
      <c r="AN153">
        <f ca="1">IF(Table1[[#This Row],[Column1]]="Agriculture",1,0)</f>
        <v>0</v>
      </c>
      <c r="AO153">
        <f ca="1">IF(Table1[[#This Row],[Column1]]="Social Service", 1, 0)</f>
        <v>1</v>
      </c>
      <c r="AT153" s="5"/>
      <c r="AV153" s="17">
        <f t="shared" ca="1" si="6"/>
        <v>4135.1870280196354</v>
      </c>
      <c r="AW153" s="5"/>
      <c r="AX153" s="6">
        <f ca="1">IF(Table1[[#This Row],[Value of Debts]]&gt;$AY$4,1,0)</f>
        <v>1</v>
      </c>
      <c r="AY153" s="20"/>
      <c r="AZ153" s="20"/>
      <c r="BA153" s="5"/>
      <c r="BB153" s="25">
        <f ca="1">Table1[[#This Row],[Mortage Left]]/Table1[[#This Row],[Value of House]]</f>
        <v>0.70593465713018133</v>
      </c>
      <c r="BC153" s="20">
        <f t="shared" ca="1" si="8"/>
        <v>0</v>
      </c>
      <c r="BD153" s="20"/>
      <c r="BE153" s="20"/>
      <c r="BF153" s="20"/>
      <c r="BG153" s="6">
        <f ca="1">IF(Table1[[#This Row],[County]]="Cumbria",Table1[[#This Row],[income]],0)</f>
        <v>0</v>
      </c>
      <c r="BH153" s="20">
        <f ca="1">IF(Table1[[#This Row],[County]]="Cheshire",Table1[[#This Row],[income]],0)</f>
        <v>0</v>
      </c>
      <c r="BI153" s="20">
        <f ca="1">IF(Table1[[#This Row],[County]]="Bristol",Table1[[#This Row],[income]],0)</f>
        <v>0</v>
      </c>
      <c r="BJ153" s="20">
        <f ca="1">IF(Table1[[#This Row],[County]]="Surrey",Table1[[#This Row],[income]],0)</f>
        <v>0</v>
      </c>
      <c r="BK153" s="20">
        <f ca="1">IF(Table1[[#This Row],[County]]="Norfolk",Table1[[#This Row],[income]],0)</f>
        <v>0</v>
      </c>
      <c r="BL153" s="20">
        <f ca="1">IF(Table1[[#This Row],[County]]="Lincolnshire",Table1[[#This Row],[income]],0)</f>
        <v>0</v>
      </c>
      <c r="BM153" s="20">
        <f ca="1">IF(Table1[[#This Row],[County]]="Somerset",Table1[[#This Row],[income]],0)</f>
        <v>0</v>
      </c>
      <c r="BN153" s="20">
        <f ca="1">IF(Table1[[#This Row],[County]]="Cambridgeshire",Table1[[#This Row],[income]],0)</f>
        <v>0</v>
      </c>
      <c r="BO153" s="20">
        <f ca="1">IF(Table1[[#This Row],[County]]="South Yorkshire",Table1[[#This Row],[income]],0)</f>
        <v>0</v>
      </c>
      <c r="BP153" s="20">
        <f ca="1">IF(Table1[[#This Row],[County]]="Greater London",Table1[[#This Row],[income]],0)</f>
        <v>0</v>
      </c>
      <c r="BQ153" s="20">
        <f ca="1">IF(Table1[[#This Row],[County]]="Hampshire",Table1[[#This Row],[income]],0)</f>
        <v>0</v>
      </c>
      <c r="BR153" s="20">
        <f ca="1">IF(Table1[[#This Row],[County]]="Gloucestershire",Table1[[#This Row],[income]],0)</f>
        <v>0</v>
      </c>
      <c r="BS153" s="20">
        <f ca="1">IF(Table1[[#This Row],[County]]="West Sussex",Table1[[#This Row],[income]],0)</f>
        <v>0</v>
      </c>
      <c r="BT153" s="20">
        <f ca="1">IF(Table1[[#This Row],[County]]="Devon",Table1[[#This Row],[income]],0)</f>
        <v>0</v>
      </c>
      <c r="BU153" s="20">
        <f ca="1">IF(Table1[[#This Row],[County]]="Berkshire",Table1[[#This Row],[income]],0)</f>
        <v>0</v>
      </c>
      <c r="BV153" s="20">
        <f ca="1">IF(Table1[[#This Row],[County]]="Staffordshire",Table1[[#This Row],[income]],0)</f>
        <v>0</v>
      </c>
      <c r="BW153" s="20">
        <f ca="1">IF(Table1[[#This Row],[County]]="Leicestershire",Table1[[#This Row],[income]],0)</f>
        <v>0</v>
      </c>
      <c r="BX153" s="20">
        <f ca="1">IF(Table1[[#This Row],[County]]="Cornwall",Table1[[#This Row],[income]],0)</f>
        <v>0</v>
      </c>
      <c r="BY153" s="20">
        <f ca="1">IF(Table1[[#This Row],[County]]="Isle of Wight",Table1[[#This Row],[income]],0)</f>
        <v>0</v>
      </c>
      <c r="BZ153" s="20">
        <f ca="1">IF(Table1[[#This Row],[County]]="Surrey",Table1[[#This Row],[income]],0)</f>
        <v>0</v>
      </c>
      <c r="CA153" s="20">
        <f ca="1">IF(Table1[[#This Row],[County]]="Derbyshire",Table1[[#This Row],[income]],0)</f>
        <v>0</v>
      </c>
      <c r="CB153" s="20">
        <f ca="1">IF(Table1[[#This Row],[County]]="City of London",Table1[[#This Row],[income]],0)</f>
        <v>0</v>
      </c>
      <c r="CC153" s="20">
        <f ca="1">IF(Table1[[#This Row],[County]]="Bedfordshire",Table1[[#This Row],[income]],0)</f>
        <v>0</v>
      </c>
      <c r="CD153" s="20">
        <f ca="1">IF(Table1[[#This Row],[County]]="County Durham",Table1[[#This Row],[income]],0)</f>
        <v>0</v>
      </c>
      <c r="CE153" s="20">
        <f ca="1">IF(Table1[[#This Row],[County]]="East Riding of Yorkshire",Table1[[#This Row],[income]],0)</f>
        <v>0</v>
      </c>
      <c r="CF153" s="20">
        <f ca="1">IF(Table1[[#This Row],[County]]="West Yorkshire",Table1[[#This Row],[income]],0)</f>
        <v>0</v>
      </c>
      <c r="CG153" s="20">
        <f ca="1">IF(Table1[[#This Row],[County]]="Essex",Table1[[#This Row],[income]],0)</f>
        <v>0</v>
      </c>
      <c r="CH153" s="20">
        <f ca="1">IF(Table1[[#This Row],[County]]="East Sussex",Table1[[#This Row],[income]],0)</f>
        <v>0</v>
      </c>
      <c r="CI153" s="20">
        <f ca="1">IF(Table1[[#This Row],[County]]="Greater Manchester",Table1[[#This Row],[income]],0)</f>
        <v>0</v>
      </c>
      <c r="CJ153" s="20">
        <f ca="1">IF(Table1[[#This Row],[County]]="Hertfordshire",Table1[[#This Row],[income]],0)</f>
        <v>0</v>
      </c>
      <c r="CK153" s="20">
        <f ca="1">IF(Table1[[#This Row],[County]]="Herefordshire",Table1[[#This Row],[income]],0)</f>
        <v>0</v>
      </c>
      <c r="CL153" s="20">
        <f ca="1">IF(Table1[[#This Row],[County]]="Lancashire",Table1[[#This Row],[income]],0)</f>
        <v>0</v>
      </c>
      <c r="CM153" s="20">
        <f ca="1">IF(Table1[[#This Row],[County]]="Merseyside",Table1[[#This Row],[income]],0)</f>
        <v>0</v>
      </c>
      <c r="CN153" s="20">
        <f ca="1">IF(Table1[[#This Row],[County]]="Northamptonshire",Table1[[#This Row],[income]],0)</f>
        <v>0</v>
      </c>
      <c r="CO153" s="20">
        <f ca="1">IF(Table1[[#This Row],[County]]="Northumberland",Table1[[#This Row],[income]],0)</f>
        <v>0</v>
      </c>
      <c r="CP153" s="20">
        <f ca="1">IF(Table1[[#This Row],[County]]="Wiltshire",Table1[[#This Row],[income]],0)</f>
        <v>0</v>
      </c>
      <c r="CQ153" s="20">
        <f ca="1">IF(Table1[[#This Row],[County]]="West Midlands",Table1[[#This Row],[income]],0)</f>
        <v>0</v>
      </c>
      <c r="CR153" s="20">
        <f ca="1">IF(Table1[[#This Row],[County]]="Warwickshire",Table1[[#This Row],[income]],0)</f>
        <v>0</v>
      </c>
      <c r="CS153" s="20">
        <f ca="1">IF(Table1[[#This Row],[County]]="Tyne and Wear",Table1[[#This Row],[income]],0)</f>
        <v>0</v>
      </c>
      <c r="CT153" s="20">
        <f ca="1">IF(Table1[[#This Row],[County]]="Worcestershire",Table1[[#This Row],[income]],0)</f>
        <v>0</v>
      </c>
      <c r="CU153" s="20">
        <f ca="1">IF(Table1[[#This Row],[County]]="Rutland",Table1[[#This Row],[income]],0)</f>
        <v>0</v>
      </c>
      <c r="CV153" s="20">
        <f ca="1">IF(Table1[[#This Row],[County]]="Shropshire",Table1[[#This Row],[income]],0)</f>
        <v>0</v>
      </c>
      <c r="CW153" s="20">
        <f ca="1">IF(Table1[[#This Row],[County]]="Dorset",Table1[[#This Row],[income]],0)</f>
        <v>54349</v>
      </c>
      <c r="CX153" s="20">
        <f ca="1">IF(Table1[[#This Row],[County]]="Buckinghamshire",Table1[[#This Row],[income]],0)</f>
        <v>0</v>
      </c>
      <c r="CY153" s="20">
        <f ca="1">IF(Table1[[#This Row],[County]]="Suffolk",Table1[[#This Row],[income]],0)</f>
        <v>0</v>
      </c>
      <c r="CZ153" s="20">
        <f ca="1">IF(Table1[[#This Row],[County]]="North Yorkshire",Table1[[#This Row],[income]],0)</f>
        <v>0</v>
      </c>
      <c r="DA153" s="20">
        <f ca="1">IF(Table1[[#This Row],[County]]="Kent",Table1[[#This Row],[income]],0)</f>
        <v>0</v>
      </c>
      <c r="DB153" s="5">
        <f ca="1">IF(Table1[[#This Row],[County]]="Derbyshire",Table1[[#This Row],[income]],0)</f>
        <v>0</v>
      </c>
      <c r="DD153" s="6">
        <f ca="1">IF(Table1[[#This Row],[Column1]]="Health",Table1[[#This Row],[income]],0)</f>
        <v>0</v>
      </c>
      <c r="DE153" s="20">
        <f ca="1">IF(Table1[[#This Row],[Column1]]="Agriculture",Table1[[#This Row],[income]],0)</f>
        <v>0</v>
      </c>
      <c r="DF153" s="20">
        <f ca="1">IF(Table1[[#This Row],[Column1]]="Technology",Table1[[#This Row],[income]],0)</f>
        <v>0</v>
      </c>
      <c r="DG153" s="20">
        <f ca="1">IF(Table1[[#This Row],[Column1]]="Social Service",Table1[[#This Row],[income]],0)</f>
        <v>54349</v>
      </c>
      <c r="DH153" s="20">
        <f ca="1">IF(Table1[[#This Row],[Column1]]="Education",Table1[[#This Row],[income]],0)</f>
        <v>0</v>
      </c>
      <c r="DI153" s="5">
        <f ca="1">IF(Table1[[#This Row],[Column1]]="Construction",Table1[[#This Row],[income]],0)</f>
        <v>0</v>
      </c>
      <c r="DK153" s="6">
        <f ca="1">IF(Table1[[#This Row],[Value of Debts]]&gt;Table1[[#This Row],[income]],1,0)</f>
        <v>1</v>
      </c>
      <c r="DL153" s="20"/>
      <c r="DM153" s="20"/>
      <c r="DN153" s="5"/>
      <c r="DP153" s="6">
        <f ca="1">IF(Table1[[#This Row],[Net Worth (£)]]&gt;$DS$5,C153,0)</f>
        <v>0</v>
      </c>
      <c r="DQ153" s="20"/>
      <c r="DR153" s="20"/>
      <c r="DS153" s="5"/>
    </row>
    <row r="154" spans="1:123" x14ac:dyDescent="0.2">
      <c r="A154">
        <f t="shared" ca="1" si="7"/>
        <v>1</v>
      </c>
      <c r="B154" s="1" t="str">
        <f ca="1">IF(A154=1, "men", "women")</f>
        <v>men</v>
      </c>
      <c r="C154" s="1">
        <f ca="1">RANDBETWEEN(25,50)</f>
        <v>46</v>
      </c>
      <c r="D154">
        <f ca="1">RANDBETWEEN(1,6)</f>
        <v>4</v>
      </c>
      <c r="E154" t="str">
        <f ca="1">VLOOKUP(D154,$W$5:$X$10,2)</f>
        <v>Technology</v>
      </c>
      <c r="F154">
        <f ca="1">RANDBETWEEN(1,5)</f>
        <v>4</v>
      </c>
      <c r="G154" t="str">
        <f ca="1">VLOOKUP(F154,$Y$5:$Z$9,2)</f>
        <v xml:space="preserve">Technical </v>
      </c>
      <c r="H154">
        <f ca="1">RANDBETWEEN(0,4)</f>
        <v>1</v>
      </c>
      <c r="I154">
        <f ca="1">RANDBETWEEN(1,3)</f>
        <v>2</v>
      </c>
      <c r="J154">
        <f ca="1">RANDBETWEEN(30000,100000)</f>
        <v>34218</v>
      </c>
      <c r="K154">
        <f ca="1">RANDBETWEEN(1,48)</f>
        <v>4</v>
      </c>
      <c r="L154" t="str">
        <f ca="1">VLOOKUP(K154,$AA$5:$AB$52,2)</f>
        <v>Buckinghamshire</v>
      </c>
      <c r="M154">
        <f ca="1">J154*(RANDBETWEEN(2,5))</f>
        <v>171090</v>
      </c>
      <c r="N154">
        <f ca="1">RAND()*M154</f>
        <v>63841.568250850862</v>
      </c>
      <c r="O154">
        <f ca="1">I154*RAND()*J154</f>
        <v>8270.3740560392707</v>
      </c>
      <c r="P154">
        <f ca="1">RANDBETWEEN(0,O154)</f>
        <v>6145</v>
      </c>
      <c r="Q154">
        <f ca="1">RAND()*J154*2</f>
        <v>38747.369650204215</v>
      </c>
      <c r="R154">
        <f ca="1">RAND()*J154*1.5</f>
        <v>38375.012833070905</v>
      </c>
      <c r="S154">
        <f ca="1">J154+R154+O154</f>
        <v>80863.386889110188</v>
      </c>
      <c r="T154">
        <f ca="1">N154+P154+Q154</f>
        <v>108733.93790105508</v>
      </c>
      <c r="U154">
        <f ca="1">S154-T154</f>
        <v>-27870.551011944888</v>
      </c>
      <c r="AC154" s="6">
        <f ca="1">IF(Table1[[#This Row],[gender]]="men",1,0)</f>
        <v>1</v>
      </c>
      <c r="AD154">
        <f ca="1">IF(Table1[[#This Row],[gender]]="women",1,0)</f>
        <v>0</v>
      </c>
      <c r="AH154" s="5"/>
      <c r="AJ154" s="6">
        <f ca="1">IF(Table1[[#This Row],[Column1]]="Health",1,0)</f>
        <v>0</v>
      </c>
      <c r="AK154">
        <f ca="1">IF(Table1[[#This Row],[Column1]]="Construction",1,0)</f>
        <v>0</v>
      </c>
      <c r="AL154">
        <f ca="1">IF(Table1[[#This Row],[Column1]]="Technology",1,0)</f>
        <v>1</v>
      </c>
      <c r="AM154">
        <f ca="1">IF(Table1[[#This Row],[Column1]]="Education",1,0)</f>
        <v>0</v>
      </c>
      <c r="AN154">
        <f ca="1">IF(Table1[[#This Row],[Column1]]="Agriculture",1,0)</f>
        <v>0</v>
      </c>
      <c r="AO154">
        <f ca="1">IF(Table1[[#This Row],[Column1]]="Social Service", 1, 0)</f>
        <v>0</v>
      </c>
      <c r="AT154" s="5"/>
      <c r="AV154" s="17">
        <f t="shared" ca="1" si="6"/>
        <v>4854.3334288072811</v>
      </c>
      <c r="AW154" s="5"/>
      <c r="AX154" s="6">
        <f ca="1">IF(Table1[[#This Row],[Value of Debts]]&gt;$AY$4,1,0)</f>
        <v>1</v>
      </c>
      <c r="AY154" s="20"/>
      <c r="AZ154" s="20"/>
      <c r="BA154" s="5"/>
      <c r="BB154" s="25">
        <f ca="1">Table1[[#This Row],[Mortage Left]]/Table1[[#This Row],[Value of House]]</f>
        <v>0.37314611170057199</v>
      </c>
      <c r="BC154" s="20">
        <f t="shared" ca="1" si="8"/>
        <v>0</v>
      </c>
      <c r="BD154" s="20"/>
      <c r="BE154" s="20"/>
      <c r="BF154" s="20"/>
      <c r="BG154" s="6">
        <f ca="1">IF(Table1[[#This Row],[County]]="Cumbria",Table1[[#This Row],[income]],0)</f>
        <v>0</v>
      </c>
      <c r="BH154" s="20">
        <f ca="1">IF(Table1[[#This Row],[County]]="Cheshire",Table1[[#This Row],[income]],0)</f>
        <v>0</v>
      </c>
      <c r="BI154" s="20">
        <f ca="1">IF(Table1[[#This Row],[County]]="Bristol",Table1[[#This Row],[income]],0)</f>
        <v>0</v>
      </c>
      <c r="BJ154" s="20">
        <f ca="1">IF(Table1[[#This Row],[County]]="Surrey",Table1[[#This Row],[income]],0)</f>
        <v>0</v>
      </c>
      <c r="BK154" s="20">
        <f ca="1">IF(Table1[[#This Row],[County]]="Norfolk",Table1[[#This Row],[income]],0)</f>
        <v>0</v>
      </c>
      <c r="BL154" s="20">
        <f ca="1">IF(Table1[[#This Row],[County]]="Lincolnshire",Table1[[#This Row],[income]],0)</f>
        <v>0</v>
      </c>
      <c r="BM154" s="20">
        <f ca="1">IF(Table1[[#This Row],[County]]="Somerset",Table1[[#This Row],[income]],0)</f>
        <v>0</v>
      </c>
      <c r="BN154" s="20">
        <f ca="1">IF(Table1[[#This Row],[County]]="Cambridgeshire",Table1[[#This Row],[income]],0)</f>
        <v>0</v>
      </c>
      <c r="BO154" s="20">
        <f ca="1">IF(Table1[[#This Row],[County]]="South Yorkshire",Table1[[#This Row],[income]],0)</f>
        <v>0</v>
      </c>
      <c r="BP154" s="20">
        <f ca="1">IF(Table1[[#This Row],[County]]="Greater London",Table1[[#This Row],[income]],0)</f>
        <v>0</v>
      </c>
      <c r="BQ154" s="20">
        <f ca="1">IF(Table1[[#This Row],[County]]="Hampshire",Table1[[#This Row],[income]],0)</f>
        <v>0</v>
      </c>
      <c r="BR154" s="20">
        <f ca="1">IF(Table1[[#This Row],[County]]="Gloucestershire",Table1[[#This Row],[income]],0)</f>
        <v>0</v>
      </c>
      <c r="BS154" s="20">
        <f ca="1">IF(Table1[[#This Row],[County]]="West Sussex",Table1[[#This Row],[income]],0)</f>
        <v>0</v>
      </c>
      <c r="BT154" s="20">
        <f ca="1">IF(Table1[[#This Row],[County]]="Devon",Table1[[#This Row],[income]],0)</f>
        <v>0</v>
      </c>
      <c r="BU154" s="20">
        <f ca="1">IF(Table1[[#This Row],[County]]="Berkshire",Table1[[#This Row],[income]],0)</f>
        <v>0</v>
      </c>
      <c r="BV154" s="20">
        <f ca="1">IF(Table1[[#This Row],[County]]="Staffordshire",Table1[[#This Row],[income]],0)</f>
        <v>0</v>
      </c>
      <c r="BW154" s="20">
        <f ca="1">IF(Table1[[#This Row],[County]]="Leicestershire",Table1[[#This Row],[income]],0)</f>
        <v>0</v>
      </c>
      <c r="BX154" s="20">
        <f ca="1">IF(Table1[[#This Row],[County]]="Cornwall",Table1[[#This Row],[income]],0)</f>
        <v>0</v>
      </c>
      <c r="BY154" s="20">
        <f ca="1">IF(Table1[[#This Row],[County]]="Isle of Wight",Table1[[#This Row],[income]],0)</f>
        <v>0</v>
      </c>
      <c r="BZ154" s="20">
        <f ca="1">IF(Table1[[#This Row],[County]]="Surrey",Table1[[#This Row],[income]],0)</f>
        <v>0</v>
      </c>
      <c r="CA154" s="20">
        <f ca="1">IF(Table1[[#This Row],[County]]="Derbyshire",Table1[[#This Row],[income]],0)</f>
        <v>0</v>
      </c>
      <c r="CB154" s="20">
        <f ca="1">IF(Table1[[#This Row],[County]]="City of London",Table1[[#This Row],[income]],0)</f>
        <v>0</v>
      </c>
      <c r="CC154" s="20">
        <f ca="1">IF(Table1[[#This Row],[County]]="Bedfordshire",Table1[[#This Row],[income]],0)</f>
        <v>0</v>
      </c>
      <c r="CD154" s="20">
        <f ca="1">IF(Table1[[#This Row],[County]]="County Durham",Table1[[#This Row],[income]],0)</f>
        <v>0</v>
      </c>
      <c r="CE154" s="20">
        <f ca="1">IF(Table1[[#This Row],[County]]="East Riding of Yorkshire",Table1[[#This Row],[income]],0)</f>
        <v>0</v>
      </c>
      <c r="CF154" s="20">
        <f ca="1">IF(Table1[[#This Row],[County]]="West Yorkshire",Table1[[#This Row],[income]],0)</f>
        <v>0</v>
      </c>
      <c r="CG154" s="20">
        <f ca="1">IF(Table1[[#This Row],[County]]="Essex",Table1[[#This Row],[income]],0)</f>
        <v>0</v>
      </c>
      <c r="CH154" s="20">
        <f ca="1">IF(Table1[[#This Row],[County]]="East Sussex",Table1[[#This Row],[income]],0)</f>
        <v>0</v>
      </c>
      <c r="CI154" s="20">
        <f ca="1">IF(Table1[[#This Row],[County]]="Greater Manchester",Table1[[#This Row],[income]],0)</f>
        <v>0</v>
      </c>
      <c r="CJ154" s="20">
        <f ca="1">IF(Table1[[#This Row],[County]]="Hertfordshire",Table1[[#This Row],[income]],0)</f>
        <v>0</v>
      </c>
      <c r="CK154" s="20">
        <f ca="1">IF(Table1[[#This Row],[County]]="Herefordshire",Table1[[#This Row],[income]],0)</f>
        <v>0</v>
      </c>
      <c r="CL154" s="20">
        <f ca="1">IF(Table1[[#This Row],[County]]="Lancashire",Table1[[#This Row],[income]],0)</f>
        <v>0</v>
      </c>
      <c r="CM154" s="20">
        <f ca="1">IF(Table1[[#This Row],[County]]="Merseyside",Table1[[#This Row],[income]],0)</f>
        <v>0</v>
      </c>
      <c r="CN154" s="20">
        <f ca="1">IF(Table1[[#This Row],[County]]="Northamptonshire",Table1[[#This Row],[income]],0)</f>
        <v>0</v>
      </c>
      <c r="CO154" s="20">
        <f ca="1">IF(Table1[[#This Row],[County]]="Northumberland",Table1[[#This Row],[income]],0)</f>
        <v>0</v>
      </c>
      <c r="CP154" s="20">
        <f ca="1">IF(Table1[[#This Row],[County]]="Wiltshire",Table1[[#This Row],[income]],0)</f>
        <v>0</v>
      </c>
      <c r="CQ154" s="20">
        <f ca="1">IF(Table1[[#This Row],[County]]="West Midlands",Table1[[#This Row],[income]],0)</f>
        <v>0</v>
      </c>
      <c r="CR154" s="20">
        <f ca="1">IF(Table1[[#This Row],[County]]="Warwickshire",Table1[[#This Row],[income]],0)</f>
        <v>0</v>
      </c>
      <c r="CS154" s="20">
        <f ca="1">IF(Table1[[#This Row],[County]]="Tyne and Wear",Table1[[#This Row],[income]],0)</f>
        <v>0</v>
      </c>
      <c r="CT154" s="20">
        <f ca="1">IF(Table1[[#This Row],[County]]="Worcestershire",Table1[[#This Row],[income]],0)</f>
        <v>0</v>
      </c>
      <c r="CU154" s="20">
        <f ca="1">IF(Table1[[#This Row],[County]]="Rutland",Table1[[#This Row],[income]],0)</f>
        <v>0</v>
      </c>
      <c r="CV154" s="20">
        <f ca="1">IF(Table1[[#This Row],[County]]="Shropshire",Table1[[#This Row],[income]],0)</f>
        <v>0</v>
      </c>
      <c r="CW154" s="20">
        <f ca="1">IF(Table1[[#This Row],[County]]="Dorset",Table1[[#This Row],[income]],0)</f>
        <v>0</v>
      </c>
      <c r="CX154" s="20">
        <f ca="1">IF(Table1[[#This Row],[County]]="Buckinghamshire",Table1[[#This Row],[income]],0)</f>
        <v>34218</v>
      </c>
      <c r="CY154" s="20">
        <f ca="1">IF(Table1[[#This Row],[County]]="Suffolk",Table1[[#This Row],[income]],0)</f>
        <v>0</v>
      </c>
      <c r="CZ154" s="20">
        <f ca="1">IF(Table1[[#This Row],[County]]="North Yorkshire",Table1[[#This Row],[income]],0)</f>
        <v>0</v>
      </c>
      <c r="DA154" s="20">
        <f ca="1">IF(Table1[[#This Row],[County]]="Kent",Table1[[#This Row],[income]],0)</f>
        <v>0</v>
      </c>
      <c r="DB154" s="5">
        <f ca="1">IF(Table1[[#This Row],[County]]="Derbyshire",Table1[[#This Row],[income]],0)</f>
        <v>0</v>
      </c>
      <c r="DD154" s="6">
        <f ca="1">IF(Table1[[#This Row],[Column1]]="Health",Table1[[#This Row],[income]],0)</f>
        <v>0</v>
      </c>
      <c r="DE154" s="20">
        <f ca="1">IF(Table1[[#This Row],[Column1]]="Agriculture",Table1[[#This Row],[income]],0)</f>
        <v>0</v>
      </c>
      <c r="DF154" s="20">
        <f ca="1">IF(Table1[[#This Row],[Column1]]="Technology",Table1[[#This Row],[income]],0)</f>
        <v>34218</v>
      </c>
      <c r="DG154" s="20">
        <f ca="1">IF(Table1[[#This Row],[Column1]]="Social Service",Table1[[#This Row],[income]],0)</f>
        <v>0</v>
      </c>
      <c r="DH154" s="20">
        <f ca="1">IF(Table1[[#This Row],[Column1]]="Education",Table1[[#This Row],[income]],0)</f>
        <v>0</v>
      </c>
      <c r="DI154" s="5">
        <f ca="1">IF(Table1[[#This Row],[Column1]]="Construction",Table1[[#This Row],[income]],0)</f>
        <v>0</v>
      </c>
      <c r="DK154" s="6">
        <f ca="1">IF(Table1[[#This Row],[Value of Debts]]&gt;Table1[[#This Row],[income]],1,0)</f>
        <v>1</v>
      </c>
      <c r="DL154" s="20"/>
      <c r="DM154" s="20"/>
      <c r="DN154" s="5"/>
      <c r="DP154" s="6">
        <f ca="1">IF(Table1[[#This Row],[Net Worth (£)]]&gt;$DS$5,C154,0)</f>
        <v>0</v>
      </c>
      <c r="DQ154" s="20"/>
      <c r="DR154" s="20"/>
      <c r="DS154" s="5"/>
    </row>
    <row r="155" spans="1:123" x14ac:dyDescent="0.2">
      <c r="A155">
        <f t="shared" ca="1" si="7"/>
        <v>1</v>
      </c>
      <c r="B155" s="1" t="str">
        <f ca="1">IF(A155=1, "men", "women")</f>
        <v>men</v>
      </c>
      <c r="C155" s="1">
        <f ca="1">RANDBETWEEN(25,50)</f>
        <v>48</v>
      </c>
      <c r="D155">
        <f ca="1">RANDBETWEEN(1,6)</f>
        <v>1</v>
      </c>
      <c r="E155" t="str">
        <f ca="1">VLOOKUP(D155,$W$5:$X$10,2)</f>
        <v>Health</v>
      </c>
      <c r="F155">
        <f ca="1">RANDBETWEEN(1,5)</f>
        <v>3</v>
      </c>
      <c r="G155" t="str">
        <f ca="1">VLOOKUP(F155,$Y$5:$Z$9,2)</f>
        <v>University</v>
      </c>
      <c r="H155">
        <f ca="1">RANDBETWEEN(0,4)</f>
        <v>3</v>
      </c>
      <c r="I155">
        <f ca="1">RANDBETWEEN(1,3)</f>
        <v>2</v>
      </c>
      <c r="J155">
        <f ca="1">RANDBETWEEN(30000,100000)</f>
        <v>32636</v>
      </c>
      <c r="K155">
        <f ca="1">RANDBETWEEN(1,48)</f>
        <v>6</v>
      </c>
      <c r="L155" t="str">
        <f ca="1">VLOOKUP(K155,$AA$5:$AB$52,2)</f>
        <v>Cheshire</v>
      </c>
      <c r="M155">
        <f ca="1">J155*(RANDBETWEEN(2,5))</f>
        <v>130544</v>
      </c>
      <c r="N155">
        <f ca="1">RAND()*M155</f>
        <v>118896.25888229243</v>
      </c>
      <c r="O155">
        <f ca="1">I155*RAND()*J155</f>
        <v>9708.6668576145621</v>
      </c>
      <c r="P155">
        <f ca="1">RANDBETWEEN(0,O155)</f>
        <v>3592</v>
      </c>
      <c r="Q155">
        <f ca="1">RAND()*J155*2</f>
        <v>61204.945224626172</v>
      </c>
      <c r="R155">
        <f ca="1">RAND()*J155*1.5</f>
        <v>6629.7378733352998</v>
      </c>
      <c r="S155">
        <f ca="1">J155+R155+O155</f>
        <v>48974.404730949856</v>
      </c>
      <c r="T155">
        <f ca="1">N155+P155+Q155</f>
        <v>183693.20410691859</v>
      </c>
      <c r="U155">
        <f ca="1">S155-T155</f>
        <v>-134718.79937596875</v>
      </c>
      <c r="AC155" s="6">
        <f ca="1">IF(Table1[[#This Row],[gender]]="men",1,0)</f>
        <v>1</v>
      </c>
      <c r="AD155">
        <f ca="1">IF(Table1[[#This Row],[gender]]="women",1,0)</f>
        <v>0</v>
      </c>
      <c r="AH155" s="5"/>
      <c r="AJ155" s="6">
        <f ca="1">IF(Table1[[#This Row],[Column1]]="Health",1,0)</f>
        <v>1</v>
      </c>
      <c r="AK155">
        <f ca="1">IF(Table1[[#This Row],[Column1]]="Construction",1,0)</f>
        <v>0</v>
      </c>
      <c r="AL155">
        <f ca="1">IF(Table1[[#This Row],[Column1]]="Technology",1,0)</f>
        <v>0</v>
      </c>
      <c r="AM155">
        <f ca="1">IF(Table1[[#This Row],[Column1]]="Education",1,0)</f>
        <v>0</v>
      </c>
      <c r="AN155">
        <f ca="1">IF(Table1[[#This Row],[Column1]]="Agriculture",1,0)</f>
        <v>0</v>
      </c>
      <c r="AO155">
        <f ca="1">IF(Table1[[#This Row],[Column1]]="Social Service", 1, 0)</f>
        <v>0</v>
      </c>
      <c r="AT155" s="5"/>
      <c r="AV155" s="17">
        <f t="shared" ca="1" si="6"/>
        <v>6217.3618304171687</v>
      </c>
      <c r="AW155" s="5"/>
      <c r="AX155" s="6">
        <f ca="1">IF(Table1[[#This Row],[Value of Debts]]&gt;$AY$4,1,0)</f>
        <v>1</v>
      </c>
      <c r="AY155" s="20"/>
      <c r="AZ155" s="20"/>
      <c r="BA155" s="5"/>
      <c r="BB155" s="25">
        <f ca="1">Table1[[#This Row],[Mortage Left]]/Table1[[#This Row],[Value of House]]</f>
        <v>0.91077536219429789</v>
      </c>
      <c r="BC155" s="20">
        <f t="shared" ca="1" si="8"/>
        <v>0</v>
      </c>
      <c r="BD155" s="20"/>
      <c r="BE155" s="20"/>
      <c r="BF155" s="20"/>
      <c r="BG155" s="6">
        <f ca="1">IF(Table1[[#This Row],[County]]="Cumbria",Table1[[#This Row],[income]],0)</f>
        <v>0</v>
      </c>
      <c r="BH155" s="20">
        <f ca="1">IF(Table1[[#This Row],[County]]="Cheshire",Table1[[#This Row],[income]],0)</f>
        <v>32636</v>
      </c>
      <c r="BI155" s="20">
        <f ca="1">IF(Table1[[#This Row],[County]]="Bristol",Table1[[#This Row],[income]],0)</f>
        <v>0</v>
      </c>
      <c r="BJ155" s="20">
        <f ca="1">IF(Table1[[#This Row],[County]]="Surrey",Table1[[#This Row],[income]],0)</f>
        <v>0</v>
      </c>
      <c r="BK155" s="20">
        <f ca="1">IF(Table1[[#This Row],[County]]="Norfolk",Table1[[#This Row],[income]],0)</f>
        <v>0</v>
      </c>
      <c r="BL155" s="20">
        <f ca="1">IF(Table1[[#This Row],[County]]="Lincolnshire",Table1[[#This Row],[income]],0)</f>
        <v>0</v>
      </c>
      <c r="BM155" s="20">
        <f ca="1">IF(Table1[[#This Row],[County]]="Somerset",Table1[[#This Row],[income]],0)</f>
        <v>0</v>
      </c>
      <c r="BN155" s="20">
        <f ca="1">IF(Table1[[#This Row],[County]]="Cambridgeshire",Table1[[#This Row],[income]],0)</f>
        <v>0</v>
      </c>
      <c r="BO155" s="20">
        <f ca="1">IF(Table1[[#This Row],[County]]="South Yorkshire",Table1[[#This Row],[income]],0)</f>
        <v>0</v>
      </c>
      <c r="BP155" s="20">
        <f ca="1">IF(Table1[[#This Row],[County]]="Greater London",Table1[[#This Row],[income]],0)</f>
        <v>0</v>
      </c>
      <c r="BQ155" s="20">
        <f ca="1">IF(Table1[[#This Row],[County]]="Hampshire",Table1[[#This Row],[income]],0)</f>
        <v>0</v>
      </c>
      <c r="BR155" s="20">
        <f ca="1">IF(Table1[[#This Row],[County]]="Gloucestershire",Table1[[#This Row],[income]],0)</f>
        <v>0</v>
      </c>
      <c r="BS155" s="20">
        <f ca="1">IF(Table1[[#This Row],[County]]="West Sussex",Table1[[#This Row],[income]],0)</f>
        <v>0</v>
      </c>
      <c r="BT155" s="20">
        <f ca="1">IF(Table1[[#This Row],[County]]="Devon",Table1[[#This Row],[income]],0)</f>
        <v>0</v>
      </c>
      <c r="BU155" s="20">
        <f ca="1">IF(Table1[[#This Row],[County]]="Berkshire",Table1[[#This Row],[income]],0)</f>
        <v>0</v>
      </c>
      <c r="BV155" s="20">
        <f ca="1">IF(Table1[[#This Row],[County]]="Staffordshire",Table1[[#This Row],[income]],0)</f>
        <v>0</v>
      </c>
      <c r="BW155" s="20">
        <f ca="1">IF(Table1[[#This Row],[County]]="Leicestershire",Table1[[#This Row],[income]],0)</f>
        <v>0</v>
      </c>
      <c r="BX155" s="20">
        <f ca="1">IF(Table1[[#This Row],[County]]="Cornwall",Table1[[#This Row],[income]],0)</f>
        <v>0</v>
      </c>
      <c r="BY155" s="20">
        <f ca="1">IF(Table1[[#This Row],[County]]="Isle of Wight",Table1[[#This Row],[income]],0)</f>
        <v>0</v>
      </c>
      <c r="BZ155" s="20">
        <f ca="1">IF(Table1[[#This Row],[County]]="Surrey",Table1[[#This Row],[income]],0)</f>
        <v>0</v>
      </c>
      <c r="CA155" s="20">
        <f ca="1">IF(Table1[[#This Row],[County]]="Derbyshire",Table1[[#This Row],[income]],0)</f>
        <v>0</v>
      </c>
      <c r="CB155" s="20">
        <f ca="1">IF(Table1[[#This Row],[County]]="City of London",Table1[[#This Row],[income]],0)</f>
        <v>0</v>
      </c>
      <c r="CC155" s="20">
        <f ca="1">IF(Table1[[#This Row],[County]]="Bedfordshire",Table1[[#This Row],[income]],0)</f>
        <v>0</v>
      </c>
      <c r="CD155" s="20">
        <f ca="1">IF(Table1[[#This Row],[County]]="County Durham",Table1[[#This Row],[income]],0)</f>
        <v>0</v>
      </c>
      <c r="CE155" s="20">
        <f ca="1">IF(Table1[[#This Row],[County]]="East Riding of Yorkshire",Table1[[#This Row],[income]],0)</f>
        <v>0</v>
      </c>
      <c r="CF155" s="20">
        <f ca="1">IF(Table1[[#This Row],[County]]="West Yorkshire",Table1[[#This Row],[income]],0)</f>
        <v>0</v>
      </c>
      <c r="CG155" s="20">
        <f ca="1">IF(Table1[[#This Row],[County]]="Essex",Table1[[#This Row],[income]],0)</f>
        <v>0</v>
      </c>
      <c r="CH155" s="20">
        <f ca="1">IF(Table1[[#This Row],[County]]="East Sussex",Table1[[#This Row],[income]],0)</f>
        <v>0</v>
      </c>
      <c r="CI155" s="20">
        <f ca="1">IF(Table1[[#This Row],[County]]="Greater Manchester",Table1[[#This Row],[income]],0)</f>
        <v>0</v>
      </c>
      <c r="CJ155" s="20">
        <f ca="1">IF(Table1[[#This Row],[County]]="Hertfordshire",Table1[[#This Row],[income]],0)</f>
        <v>0</v>
      </c>
      <c r="CK155" s="20">
        <f ca="1">IF(Table1[[#This Row],[County]]="Herefordshire",Table1[[#This Row],[income]],0)</f>
        <v>0</v>
      </c>
      <c r="CL155" s="20">
        <f ca="1">IF(Table1[[#This Row],[County]]="Lancashire",Table1[[#This Row],[income]],0)</f>
        <v>0</v>
      </c>
      <c r="CM155" s="20">
        <f ca="1">IF(Table1[[#This Row],[County]]="Merseyside",Table1[[#This Row],[income]],0)</f>
        <v>0</v>
      </c>
      <c r="CN155" s="20">
        <f ca="1">IF(Table1[[#This Row],[County]]="Northamptonshire",Table1[[#This Row],[income]],0)</f>
        <v>0</v>
      </c>
      <c r="CO155" s="20">
        <f ca="1">IF(Table1[[#This Row],[County]]="Northumberland",Table1[[#This Row],[income]],0)</f>
        <v>0</v>
      </c>
      <c r="CP155" s="20">
        <f ca="1">IF(Table1[[#This Row],[County]]="Wiltshire",Table1[[#This Row],[income]],0)</f>
        <v>0</v>
      </c>
      <c r="CQ155" s="20">
        <f ca="1">IF(Table1[[#This Row],[County]]="West Midlands",Table1[[#This Row],[income]],0)</f>
        <v>0</v>
      </c>
      <c r="CR155" s="20">
        <f ca="1">IF(Table1[[#This Row],[County]]="Warwickshire",Table1[[#This Row],[income]],0)</f>
        <v>0</v>
      </c>
      <c r="CS155" s="20">
        <f ca="1">IF(Table1[[#This Row],[County]]="Tyne and Wear",Table1[[#This Row],[income]],0)</f>
        <v>0</v>
      </c>
      <c r="CT155" s="20">
        <f ca="1">IF(Table1[[#This Row],[County]]="Worcestershire",Table1[[#This Row],[income]],0)</f>
        <v>0</v>
      </c>
      <c r="CU155" s="20">
        <f ca="1">IF(Table1[[#This Row],[County]]="Rutland",Table1[[#This Row],[income]],0)</f>
        <v>0</v>
      </c>
      <c r="CV155" s="20">
        <f ca="1">IF(Table1[[#This Row],[County]]="Shropshire",Table1[[#This Row],[income]],0)</f>
        <v>0</v>
      </c>
      <c r="CW155" s="20">
        <f ca="1">IF(Table1[[#This Row],[County]]="Dorset",Table1[[#This Row],[income]],0)</f>
        <v>0</v>
      </c>
      <c r="CX155" s="20">
        <f ca="1">IF(Table1[[#This Row],[County]]="Buckinghamshire",Table1[[#This Row],[income]],0)</f>
        <v>0</v>
      </c>
      <c r="CY155" s="20">
        <f ca="1">IF(Table1[[#This Row],[County]]="Suffolk",Table1[[#This Row],[income]],0)</f>
        <v>0</v>
      </c>
      <c r="CZ155" s="20">
        <f ca="1">IF(Table1[[#This Row],[County]]="North Yorkshire",Table1[[#This Row],[income]],0)</f>
        <v>0</v>
      </c>
      <c r="DA155" s="20">
        <f ca="1">IF(Table1[[#This Row],[County]]="Kent",Table1[[#This Row],[income]],0)</f>
        <v>0</v>
      </c>
      <c r="DB155" s="5">
        <f ca="1">IF(Table1[[#This Row],[County]]="Derbyshire",Table1[[#This Row],[income]],0)</f>
        <v>0</v>
      </c>
      <c r="DD155" s="6">
        <f ca="1">IF(Table1[[#This Row],[Column1]]="Health",Table1[[#This Row],[income]],0)</f>
        <v>32636</v>
      </c>
      <c r="DE155" s="20">
        <f ca="1">IF(Table1[[#This Row],[Column1]]="Agriculture",Table1[[#This Row],[income]],0)</f>
        <v>0</v>
      </c>
      <c r="DF155" s="20">
        <f ca="1">IF(Table1[[#This Row],[Column1]]="Technology",Table1[[#This Row],[income]],0)</f>
        <v>0</v>
      </c>
      <c r="DG155" s="20">
        <f ca="1">IF(Table1[[#This Row],[Column1]]="Social Service",Table1[[#This Row],[income]],0)</f>
        <v>0</v>
      </c>
      <c r="DH155" s="20">
        <f ca="1">IF(Table1[[#This Row],[Column1]]="Education",Table1[[#This Row],[income]],0)</f>
        <v>0</v>
      </c>
      <c r="DI155" s="5">
        <f ca="1">IF(Table1[[#This Row],[Column1]]="Construction",Table1[[#This Row],[income]],0)</f>
        <v>0</v>
      </c>
      <c r="DK155" s="6">
        <f ca="1">IF(Table1[[#This Row],[Value of Debts]]&gt;Table1[[#This Row],[income]],1,0)</f>
        <v>1</v>
      </c>
      <c r="DL155" s="20"/>
      <c r="DM155" s="20"/>
      <c r="DN155" s="5"/>
      <c r="DP155" s="6">
        <f ca="1">IF(Table1[[#This Row],[Net Worth (£)]]&gt;$DS$5,C155,0)</f>
        <v>0</v>
      </c>
      <c r="DQ155" s="20"/>
      <c r="DR155" s="20"/>
      <c r="DS155" s="5"/>
    </row>
    <row r="156" spans="1:123" x14ac:dyDescent="0.2">
      <c r="A156">
        <f t="shared" ca="1" si="7"/>
        <v>1</v>
      </c>
      <c r="B156" s="1" t="str">
        <f ca="1">IF(A156=1, "men", "women")</f>
        <v>men</v>
      </c>
      <c r="C156" s="1">
        <f ca="1">RANDBETWEEN(25,50)</f>
        <v>49</v>
      </c>
      <c r="D156">
        <f ca="1">RANDBETWEEN(1,6)</f>
        <v>3</v>
      </c>
      <c r="E156" t="str">
        <f ca="1">VLOOKUP(D156,$W$5:$X$10,2)</f>
        <v>Education</v>
      </c>
      <c r="F156">
        <f ca="1">RANDBETWEEN(1,5)</f>
        <v>4</v>
      </c>
      <c r="G156" t="str">
        <f ca="1">VLOOKUP(F156,$Y$5:$Z$9,2)</f>
        <v xml:space="preserve">Technical </v>
      </c>
      <c r="H156">
        <f ca="1">RANDBETWEEN(0,4)</f>
        <v>2</v>
      </c>
      <c r="I156">
        <f ca="1">RANDBETWEEN(1,3)</f>
        <v>3</v>
      </c>
      <c r="J156">
        <f ca="1">RANDBETWEEN(30000,100000)</f>
        <v>52670</v>
      </c>
      <c r="K156">
        <f ca="1">RANDBETWEEN(1,48)</f>
        <v>18</v>
      </c>
      <c r="L156" t="str">
        <f ca="1">VLOOKUP(K156,$AA$5:$AB$52,2)</f>
        <v>Greater London</v>
      </c>
      <c r="M156">
        <f ca="1">J156*(RANDBETWEEN(2,5))</f>
        <v>158010</v>
      </c>
      <c r="N156">
        <f ca="1">RAND()*M156</f>
        <v>142282.44823734797</v>
      </c>
      <c r="O156">
        <f ca="1">I156*RAND()*J156</f>
        <v>18652.085491251506</v>
      </c>
      <c r="P156">
        <f ca="1">RANDBETWEEN(0,O156)</f>
        <v>12385</v>
      </c>
      <c r="Q156">
        <f ca="1">RAND()*J156*2</f>
        <v>66917.684331227865</v>
      </c>
      <c r="R156">
        <f ca="1">RAND()*J156*1.5</f>
        <v>47755.618988639588</v>
      </c>
      <c r="S156">
        <f ca="1">J156+R156+O156</f>
        <v>119077.70447989109</v>
      </c>
      <c r="T156">
        <f ca="1">N156+P156+Q156</f>
        <v>221585.13256857585</v>
      </c>
      <c r="U156">
        <f ca="1">S156-T156</f>
        <v>-102507.42808868476</v>
      </c>
      <c r="AC156" s="6">
        <f ca="1">IF(Table1[[#This Row],[gender]]="men",1,0)</f>
        <v>1</v>
      </c>
      <c r="AD156">
        <f ca="1">IF(Table1[[#This Row],[gender]]="women",1,0)</f>
        <v>0</v>
      </c>
      <c r="AH156" s="5"/>
      <c r="AJ156" s="6">
        <f ca="1">IF(Table1[[#This Row],[Column1]]="Health",1,0)</f>
        <v>0</v>
      </c>
      <c r="AK156">
        <f ca="1">IF(Table1[[#This Row],[Column1]]="Construction",1,0)</f>
        <v>0</v>
      </c>
      <c r="AL156">
        <f ca="1">IF(Table1[[#This Row],[Column1]]="Technology",1,0)</f>
        <v>0</v>
      </c>
      <c r="AM156">
        <f ca="1">IF(Table1[[#This Row],[Column1]]="Education",1,0)</f>
        <v>1</v>
      </c>
      <c r="AN156">
        <f ca="1">IF(Table1[[#This Row],[Column1]]="Agriculture",1,0)</f>
        <v>0</v>
      </c>
      <c r="AO156">
        <f ca="1">IF(Table1[[#This Row],[Column1]]="Social Service", 1, 0)</f>
        <v>0</v>
      </c>
      <c r="AT156" s="5"/>
      <c r="AV156" s="17">
        <f t="shared" ca="1" si="6"/>
        <v>20033.430870021362</v>
      </c>
      <c r="AW156" s="5"/>
      <c r="AX156" s="6">
        <f ca="1">IF(Table1[[#This Row],[Value of Debts]]&gt;$AY$4,1,0)</f>
        <v>1</v>
      </c>
      <c r="AY156" s="20"/>
      <c r="AZ156" s="20"/>
      <c r="BA156" s="5"/>
      <c r="BB156" s="25">
        <f ca="1">Table1[[#This Row],[Mortage Left]]/Table1[[#This Row],[Value of House]]</f>
        <v>0.90046483284189593</v>
      </c>
      <c r="BC156" s="20">
        <f t="shared" ca="1" si="8"/>
        <v>0</v>
      </c>
      <c r="BD156" s="20"/>
      <c r="BE156" s="20"/>
      <c r="BF156" s="20"/>
      <c r="BG156" s="6">
        <f ca="1">IF(Table1[[#This Row],[County]]="Cumbria",Table1[[#This Row],[income]],0)</f>
        <v>0</v>
      </c>
      <c r="BH156" s="20">
        <f ca="1">IF(Table1[[#This Row],[County]]="Cheshire",Table1[[#This Row],[income]],0)</f>
        <v>0</v>
      </c>
      <c r="BI156" s="20">
        <f ca="1">IF(Table1[[#This Row],[County]]="Bristol",Table1[[#This Row],[income]],0)</f>
        <v>0</v>
      </c>
      <c r="BJ156" s="20">
        <f ca="1">IF(Table1[[#This Row],[County]]="Surrey",Table1[[#This Row],[income]],0)</f>
        <v>0</v>
      </c>
      <c r="BK156" s="20">
        <f ca="1">IF(Table1[[#This Row],[County]]="Norfolk",Table1[[#This Row],[income]],0)</f>
        <v>0</v>
      </c>
      <c r="BL156" s="20">
        <f ca="1">IF(Table1[[#This Row],[County]]="Lincolnshire",Table1[[#This Row],[income]],0)</f>
        <v>0</v>
      </c>
      <c r="BM156" s="20">
        <f ca="1">IF(Table1[[#This Row],[County]]="Somerset",Table1[[#This Row],[income]],0)</f>
        <v>0</v>
      </c>
      <c r="BN156" s="20">
        <f ca="1">IF(Table1[[#This Row],[County]]="Cambridgeshire",Table1[[#This Row],[income]],0)</f>
        <v>0</v>
      </c>
      <c r="BO156" s="20">
        <f ca="1">IF(Table1[[#This Row],[County]]="South Yorkshire",Table1[[#This Row],[income]],0)</f>
        <v>0</v>
      </c>
      <c r="BP156" s="20">
        <f ca="1">IF(Table1[[#This Row],[County]]="Greater London",Table1[[#This Row],[income]],0)</f>
        <v>52670</v>
      </c>
      <c r="BQ156" s="20">
        <f ca="1">IF(Table1[[#This Row],[County]]="Hampshire",Table1[[#This Row],[income]],0)</f>
        <v>0</v>
      </c>
      <c r="BR156" s="20">
        <f ca="1">IF(Table1[[#This Row],[County]]="Gloucestershire",Table1[[#This Row],[income]],0)</f>
        <v>0</v>
      </c>
      <c r="BS156" s="20">
        <f ca="1">IF(Table1[[#This Row],[County]]="West Sussex",Table1[[#This Row],[income]],0)</f>
        <v>0</v>
      </c>
      <c r="BT156" s="20">
        <f ca="1">IF(Table1[[#This Row],[County]]="Devon",Table1[[#This Row],[income]],0)</f>
        <v>0</v>
      </c>
      <c r="BU156" s="20">
        <f ca="1">IF(Table1[[#This Row],[County]]="Berkshire",Table1[[#This Row],[income]],0)</f>
        <v>0</v>
      </c>
      <c r="BV156" s="20">
        <f ca="1">IF(Table1[[#This Row],[County]]="Staffordshire",Table1[[#This Row],[income]],0)</f>
        <v>0</v>
      </c>
      <c r="BW156" s="20">
        <f ca="1">IF(Table1[[#This Row],[County]]="Leicestershire",Table1[[#This Row],[income]],0)</f>
        <v>0</v>
      </c>
      <c r="BX156" s="20">
        <f ca="1">IF(Table1[[#This Row],[County]]="Cornwall",Table1[[#This Row],[income]],0)</f>
        <v>0</v>
      </c>
      <c r="BY156" s="20">
        <f ca="1">IF(Table1[[#This Row],[County]]="Isle of Wight",Table1[[#This Row],[income]],0)</f>
        <v>0</v>
      </c>
      <c r="BZ156" s="20">
        <f ca="1">IF(Table1[[#This Row],[County]]="Surrey",Table1[[#This Row],[income]],0)</f>
        <v>0</v>
      </c>
      <c r="CA156" s="20">
        <f ca="1">IF(Table1[[#This Row],[County]]="Derbyshire",Table1[[#This Row],[income]],0)</f>
        <v>0</v>
      </c>
      <c r="CB156" s="20">
        <f ca="1">IF(Table1[[#This Row],[County]]="City of London",Table1[[#This Row],[income]],0)</f>
        <v>0</v>
      </c>
      <c r="CC156" s="20">
        <f ca="1">IF(Table1[[#This Row],[County]]="Bedfordshire",Table1[[#This Row],[income]],0)</f>
        <v>0</v>
      </c>
      <c r="CD156" s="20">
        <f ca="1">IF(Table1[[#This Row],[County]]="County Durham",Table1[[#This Row],[income]],0)</f>
        <v>0</v>
      </c>
      <c r="CE156" s="20">
        <f ca="1">IF(Table1[[#This Row],[County]]="East Riding of Yorkshire",Table1[[#This Row],[income]],0)</f>
        <v>0</v>
      </c>
      <c r="CF156" s="20">
        <f ca="1">IF(Table1[[#This Row],[County]]="West Yorkshire",Table1[[#This Row],[income]],0)</f>
        <v>0</v>
      </c>
      <c r="CG156" s="20">
        <f ca="1">IF(Table1[[#This Row],[County]]="Essex",Table1[[#This Row],[income]],0)</f>
        <v>0</v>
      </c>
      <c r="CH156" s="20">
        <f ca="1">IF(Table1[[#This Row],[County]]="East Sussex",Table1[[#This Row],[income]],0)</f>
        <v>0</v>
      </c>
      <c r="CI156" s="20">
        <f ca="1">IF(Table1[[#This Row],[County]]="Greater Manchester",Table1[[#This Row],[income]],0)</f>
        <v>0</v>
      </c>
      <c r="CJ156" s="20">
        <f ca="1">IF(Table1[[#This Row],[County]]="Hertfordshire",Table1[[#This Row],[income]],0)</f>
        <v>0</v>
      </c>
      <c r="CK156" s="20">
        <f ca="1">IF(Table1[[#This Row],[County]]="Herefordshire",Table1[[#This Row],[income]],0)</f>
        <v>0</v>
      </c>
      <c r="CL156" s="20">
        <f ca="1">IF(Table1[[#This Row],[County]]="Lancashire",Table1[[#This Row],[income]],0)</f>
        <v>0</v>
      </c>
      <c r="CM156" s="20">
        <f ca="1">IF(Table1[[#This Row],[County]]="Merseyside",Table1[[#This Row],[income]],0)</f>
        <v>0</v>
      </c>
      <c r="CN156" s="20">
        <f ca="1">IF(Table1[[#This Row],[County]]="Northamptonshire",Table1[[#This Row],[income]],0)</f>
        <v>0</v>
      </c>
      <c r="CO156" s="20">
        <f ca="1">IF(Table1[[#This Row],[County]]="Northumberland",Table1[[#This Row],[income]],0)</f>
        <v>0</v>
      </c>
      <c r="CP156" s="20">
        <f ca="1">IF(Table1[[#This Row],[County]]="Wiltshire",Table1[[#This Row],[income]],0)</f>
        <v>0</v>
      </c>
      <c r="CQ156" s="20">
        <f ca="1">IF(Table1[[#This Row],[County]]="West Midlands",Table1[[#This Row],[income]],0)</f>
        <v>0</v>
      </c>
      <c r="CR156" s="20">
        <f ca="1">IF(Table1[[#This Row],[County]]="Warwickshire",Table1[[#This Row],[income]],0)</f>
        <v>0</v>
      </c>
      <c r="CS156" s="20">
        <f ca="1">IF(Table1[[#This Row],[County]]="Tyne and Wear",Table1[[#This Row],[income]],0)</f>
        <v>0</v>
      </c>
      <c r="CT156" s="20">
        <f ca="1">IF(Table1[[#This Row],[County]]="Worcestershire",Table1[[#This Row],[income]],0)</f>
        <v>0</v>
      </c>
      <c r="CU156" s="20">
        <f ca="1">IF(Table1[[#This Row],[County]]="Rutland",Table1[[#This Row],[income]],0)</f>
        <v>0</v>
      </c>
      <c r="CV156" s="20">
        <f ca="1">IF(Table1[[#This Row],[County]]="Shropshire",Table1[[#This Row],[income]],0)</f>
        <v>0</v>
      </c>
      <c r="CW156" s="20">
        <f ca="1">IF(Table1[[#This Row],[County]]="Dorset",Table1[[#This Row],[income]],0)</f>
        <v>0</v>
      </c>
      <c r="CX156" s="20">
        <f ca="1">IF(Table1[[#This Row],[County]]="Buckinghamshire",Table1[[#This Row],[income]],0)</f>
        <v>0</v>
      </c>
      <c r="CY156" s="20">
        <f ca="1">IF(Table1[[#This Row],[County]]="Suffolk",Table1[[#This Row],[income]],0)</f>
        <v>0</v>
      </c>
      <c r="CZ156" s="20">
        <f ca="1">IF(Table1[[#This Row],[County]]="North Yorkshire",Table1[[#This Row],[income]],0)</f>
        <v>0</v>
      </c>
      <c r="DA156" s="20">
        <f ca="1">IF(Table1[[#This Row],[County]]="Kent",Table1[[#This Row],[income]],0)</f>
        <v>0</v>
      </c>
      <c r="DB156" s="5">
        <f ca="1">IF(Table1[[#This Row],[County]]="Derbyshire",Table1[[#This Row],[income]],0)</f>
        <v>0</v>
      </c>
      <c r="DD156" s="6">
        <f ca="1">IF(Table1[[#This Row],[Column1]]="Health",Table1[[#This Row],[income]],0)</f>
        <v>0</v>
      </c>
      <c r="DE156" s="20">
        <f ca="1">IF(Table1[[#This Row],[Column1]]="Agriculture",Table1[[#This Row],[income]],0)</f>
        <v>0</v>
      </c>
      <c r="DF156" s="20">
        <f ca="1">IF(Table1[[#This Row],[Column1]]="Technology",Table1[[#This Row],[income]],0)</f>
        <v>0</v>
      </c>
      <c r="DG156" s="20">
        <f ca="1">IF(Table1[[#This Row],[Column1]]="Social Service",Table1[[#This Row],[income]],0)</f>
        <v>0</v>
      </c>
      <c r="DH156" s="20">
        <f ca="1">IF(Table1[[#This Row],[Column1]]="Education",Table1[[#This Row],[income]],0)</f>
        <v>52670</v>
      </c>
      <c r="DI156" s="5">
        <f ca="1">IF(Table1[[#This Row],[Column1]]="Construction",Table1[[#This Row],[income]],0)</f>
        <v>0</v>
      </c>
      <c r="DK156" s="6">
        <f ca="1">IF(Table1[[#This Row],[Value of Debts]]&gt;Table1[[#This Row],[income]],1,0)</f>
        <v>1</v>
      </c>
      <c r="DL156" s="20"/>
      <c r="DM156" s="20"/>
      <c r="DN156" s="5"/>
      <c r="DP156" s="6">
        <f ca="1">IF(Table1[[#This Row],[Net Worth (£)]]&gt;$DS$5,C156,0)</f>
        <v>0</v>
      </c>
      <c r="DQ156" s="20"/>
      <c r="DR156" s="20"/>
      <c r="DS156" s="5"/>
    </row>
    <row r="157" spans="1:123" hidden="1" x14ac:dyDescent="0.2">
      <c r="A157">
        <f t="shared" ca="1" si="7"/>
        <v>2</v>
      </c>
      <c r="B157" s="1" t="str">
        <f ca="1">IF(A157=1, "men", "women")</f>
        <v>women</v>
      </c>
      <c r="C157" s="1">
        <f ca="1">RANDBETWEEN(25,50)</f>
        <v>47</v>
      </c>
      <c r="D157">
        <f ca="1">RANDBETWEEN(1,6)</f>
        <v>1</v>
      </c>
      <c r="E157" t="str">
        <f ca="1">VLOOKUP(D157,$W$5:$X$10,2)</f>
        <v>Health</v>
      </c>
      <c r="F157">
        <f ca="1">RANDBETWEEN(1,5)</f>
        <v>4</v>
      </c>
      <c r="G157" t="str">
        <f ca="1">VLOOKUP(F157,$Y$5:$Z$9,2)</f>
        <v xml:space="preserve">Technical </v>
      </c>
      <c r="H157">
        <f ca="1">RANDBETWEEN(0,4)</f>
        <v>3</v>
      </c>
      <c r="I157">
        <f ca="1">RANDBETWEEN(1,3)</f>
        <v>1</v>
      </c>
      <c r="J157">
        <f ca="1">RANDBETWEEN(30000,100000)</f>
        <v>30330</v>
      </c>
      <c r="K157">
        <f ca="1">RANDBETWEEN(1,48)</f>
        <v>39</v>
      </c>
      <c r="L157" t="str">
        <f ca="1">VLOOKUP(K157,$AA$5:$AB$52,2)</f>
        <v>Staffordshire</v>
      </c>
      <c r="M157">
        <f ca="1">J157*(RANDBETWEEN(2,5))</f>
        <v>121320</v>
      </c>
      <c r="N157">
        <f ca="1">RAND()*M157</f>
        <v>20503.952565687876</v>
      </c>
      <c r="O157">
        <f ca="1">I157*RAND()*J157</f>
        <v>20033.430870021362</v>
      </c>
      <c r="P157">
        <f ca="1">RANDBETWEEN(0,O157)</f>
        <v>13892</v>
      </c>
      <c r="Q157">
        <f ca="1">RAND()*J157*2</f>
        <v>4566.6751094738429</v>
      </c>
      <c r="R157">
        <f ca="1">RAND()*J157*1.5</f>
        <v>35747.067407050628</v>
      </c>
      <c r="S157">
        <f ca="1">J157+R157+O157</f>
        <v>86110.498277071994</v>
      </c>
      <c r="T157">
        <f ca="1">N157+P157+Q157</f>
        <v>38962.627675161719</v>
      </c>
      <c r="U157">
        <f ca="1">S157-T157</f>
        <v>47147.870601910276</v>
      </c>
      <c r="AC157" s="6">
        <f ca="1">IF(Table1[[#This Row],[gender]]="men",1,0)</f>
        <v>0</v>
      </c>
      <c r="AD157">
        <f ca="1">IF(Table1[[#This Row],[gender]]="women",1,0)</f>
        <v>1</v>
      </c>
      <c r="AH157" s="5"/>
      <c r="AJ157" s="6">
        <f ca="1">IF(Table1[[#This Row],[Column1]]="Health",1,0)</f>
        <v>1</v>
      </c>
      <c r="AK157">
        <f ca="1">IF(Table1[[#This Row],[Column1]]="Construction",1,0)</f>
        <v>0</v>
      </c>
      <c r="AL157">
        <f ca="1">IF(Table1[[#This Row],[Column1]]="Technology",1,0)</f>
        <v>0</v>
      </c>
      <c r="AM157">
        <f ca="1">IF(Table1[[#This Row],[Column1]]="Education",1,0)</f>
        <v>0</v>
      </c>
      <c r="AN157">
        <f ca="1">IF(Table1[[#This Row],[Column1]]="Agriculture",1,0)</f>
        <v>0</v>
      </c>
      <c r="AO157">
        <f ca="1">IF(Table1[[#This Row],[Column1]]="Social Service", 1, 0)</f>
        <v>0</v>
      </c>
      <c r="AT157" s="5"/>
      <c r="AV157" s="17">
        <f t="shared" ca="1" si="6"/>
        <v>94075.006789481762</v>
      </c>
      <c r="AW157" s="5"/>
      <c r="AX157" s="6">
        <f ca="1">IF(Table1[[#This Row],[Value of Debts]]&gt;$AY$4,1,0)</f>
        <v>0</v>
      </c>
      <c r="AY157" s="20"/>
      <c r="AZ157" s="20"/>
      <c r="BA157" s="5"/>
      <c r="BB157" s="25">
        <f ca="1">Table1[[#This Row],[Mortage Left]]/Table1[[#This Row],[Value of House]]</f>
        <v>0.1690071922658084</v>
      </c>
      <c r="BC157" s="20">
        <f t="shared" ca="1" si="8"/>
        <v>1</v>
      </c>
      <c r="BD157" s="20"/>
      <c r="BE157" s="20"/>
      <c r="BF157" s="20"/>
      <c r="BG157" s="6">
        <f ca="1">IF(Table1[[#This Row],[County]]="Cumbria",Table1[[#This Row],[income]],0)</f>
        <v>0</v>
      </c>
      <c r="BH157" s="20">
        <f ca="1">IF(Table1[[#This Row],[County]]="Cheshire",Table1[[#This Row],[income]],0)</f>
        <v>0</v>
      </c>
      <c r="BI157" s="20">
        <f ca="1">IF(Table1[[#This Row],[County]]="Bristol",Table1[[#This Row],[income]],0)</f>
        <v>0</v>
      </c>
      <c r="BJ157" s="20">
        <f ca="1">IF(Table1[[#This Row],[County]]="Surrey",Table1[[#This Row],[income]],0)</f>
        <v>0</v>
      </c>
      <c r="BK157" s="20">
        <f ca="1">IF(Table1[[#This Row],[County]]="Norfolk",Table1[[#This Row],[income]],0)</f>
        <v>0</v>
      </c>
      <c r="BL157" s="20">
        <f ca="1">IF(Table1[[#This Row],[County]]="Lincolnshire",Table1[[#This Row],[income]],0)</f>
        <v>0</v>
      </c>
      <c r="BM157" s="20">
        <f ca="1">IF(Table1[[#This Row],[County]]="Somerset",Table1[[#This Row],[income]],0)</f>
        <v>0</v>
      </c>
      <c r="BN157" s="20">
        <f ca="1">IF(Table1[[#This Row],[County]]="Cambridgeshire",Table1[[#This Row],[income]],0)</f>
        <v>0</v>
      </c>
      <c r="BO157" s="20">
        <f ca="1">IF(Table1[[#This Row],[County]]="South Yorkshire",Table1[[#This Row],[income]],0)</f>
        <v>0</v>
      </c>
      <c r="BP157" s="20">
        <f ca="1">IF(Table1[[#This Row],[County]]="Greater London",Table1[[#This Row],[income]],0)</f>
        <v>0</v>
      </c>
      <c r="BQ157" s="20">
        <f ca="1">IF(Table1[[#This Row],[County]]="Hampshire",Table1[[#This Row],[income]],0)</f>
        <v>0</v>
      </c>
      <c r="BR157" s="20">
        <f ca="1">IF(Table1[[#This Row],[County]]="Gloucestershire",Table1[[#This Row],[income]],0)</f>
        <v>0</v>
      </c>
      <c r="BS157" s="20">
        <f ca="1">IF(Table1[[#This Row],[County]]="West Sussex",Table1[[#This Row],[income]],0)</f>
        <v>0</v>
      </c>
      <c r="BT157" s="20">
        <f ca="1">IF(Table1[[#This Row],[County]]="Devon",Table1[[#This Row],[income]],0)</f>
        <v>0</v>
      </c>
      <c r="BU157" s="20">
        <f ca="1">IF(Table1[[#This Row],[County]]="Berkshire",Table1[[#This Row],[income]],0)</f>
        <v>0</v>
      </c>
      <c r="BV157" s="20">
        <f ca="1">IF(Table1[[#This Row],[County]]="Staffordshire",Table1[[#This Row],[income]],0)</f>
        <v>30330</v>
      </c>
      <c r="BW157" s="20">
        <f ca="1">IF(Table1[[#This Row],[County]]="Leicestershire",Table1[[#This Row],[income]],0)</f>
        <v>0</v>
      </c>
      <c r="BX157" s="20">
        <f ca="1">IF(Table1[[#This Row],[County]]="Cornwall",Table1[[#This Row],[income]],0)</f>
        <v>0</v>
      </c>
      <c r="BY157" s="20">
        <f ca="1">IF(Table1[[#This Row],[County]]="Isle of Wight",Table1[[#This Row],[income]],0)</f>
        <v>0</v>
      </c>
      <c r="BZ157" s="20">
        <f ca="1">IF(Table1[[#This Row],[County]]="Surrey",Table1[[#This Row],[income]],0)</f>
        <v>0</v>
      </c>
      <c r="CA157" s="20">
        <f ca="1">IF(Table1[[#This Row],[County]]="Derbyshire",Table1[[#This Row],[income]],0)</f>
        <v>0</v>
      </c>
      <c r="CB157" s="20">
        <f ca="1">IF(Table1[[#This Row],[County]]="City of London",Table1[[#This Row],[income]],0)</f>
        <v>0</v>
      </c>
      <c r="CC157" s="20">
        <f ca="1">IF(Table1[[#This Row],[County]]="Bedfordshire",Table1[[#This Row],[income]],0)</f>
        <v>0</v>
      </c>
      <c r="CD157" s="20">
        <f ca="1">IF(Table1[[#This Row],[County]]="County Durham",Table1[[#This Row],[income]],0)</f>
        <v>0</v>
      </c>
      <c r="CE157" s="20">
        <f ca="1">IF(Table1[[#This Row],[County]]="East Riding of Yorkshire",Table1[[#This Row],[income]],0)</f>
        <v>0</v>
      </c>
      <c r="CF157" s="20">
        <f ca="1">IF(Table1[[#This Row],[County]]="West Yorkshire",Table1[[#This Row],[income]],0)</f>
        <v>0</v>
      </c>
      <c r="CG157" s="20">
        <f ca="1">IF(Table1[[#This Row],[County]]="Essex",Table1[[#This Row],[income]],0)</f>
        <v>0</v>
      </c>
      <c r="CH157" s="20">
        <f ca="1">IF(Table1[[#This Row],[County]]="East Sussex",Table1[[#This Row],[income]],0)</f>
        <v>0</v>
      </c>
      <c r="CI157" s="20">
        <f ca="1">IF(Table1[[#This Row],[County]]="Greater Manchester",Table1[[#This Row],[income]],0)</f>
        <v>0</v>
      </c>
      <c r="CJ157" s="20">
        <f ca="1">IF(Table1[[#This Row],[County]]="Hertfordshire",Table1[[#This Row],[income]],0)</f>
        <v>0</v>
      </c>
      <c r="CK157" s="20">
        <f ca="1">IF(Table1[[#This Row],[County]]="Herefordshire",Table1[[#This Row],[income]],0)</f>
        <v>0</v>
      </c>
      <c r="CL157" s="20">
        <f ca="1">IF(Table1[[#This Row],[County]]="Lancashire",Table1[[#This Row],[income]],0)</f>
        <v>0</v>
      </c>
      <c r="CM157" s="20">
        <f ca="1">IF(Table1[[#This Row],[County]]="Merseyside",Table1[[#This Row],[income]],0)</f>
        <v>0</v>
      </c>
      <c r="CN157" s="20">
        <f ca="1">IF(Table1[[#This Row],[County]]="Northamptonshire",Table1[[#This Row],[income]],0)</f>
        <v>0</v>
      </c>
      <c r="CO157" s="20">
        <f ca="1">IF(Table1[[#This Row],[County]]="Northumberland",Table1[[#This Row],[income]],0)</f>
        <v>0</v>
      </c>
      <c r="CP157" s="20">
        <f ca="1">IF(Table1[[#This Row],[County]]="Wiltshire",Table1[[#This Row],[income]],0)</f>
        <v>0</v>
      </c>
      <c r="CQ157" s="20">
        <f ca="1">IF(Table1[[#This Row],[County]]="West Midlands",Table1[[#This Row],[income]],0)</f>
        <v>0</v>
      </c>
      <c r="CR157" s="20">
        <f ca="1">IF(Table1[[#This Row],[County]]="Warwickshire",Table1[[#This Row],[income]],0)</f>
        <v>0</v>
      </c>
      <c r="CS157" s="20">
        <f ca="1">IF(Table1[[#This Row],[County]]="Tyne and Wear",Table1[[#This Row],[income]],0)</f>
        <v>0</v>
      </c>
      <c r="CT157" s="20">
        <f ca="1">IF(Table1[[#This Row],[County]]="Worcestershire",Table1[[#This Row],[income]],0)</f>
        <v>0</v>
      </c>
      <c r="CU157" s="20">
        <f ca="1">IF(Table1[[#This Row],[County]]="Rutland",Table1[[#This Row],[income]],0)</f>
        <v>0</v>
      </c>
      <c r="CV157" s="20">
        <f ca="1">IF(Table1[[#This Row],[County]]="Shropshire",Table1[[#This Row],[income]],0)</f>
        <v>0</v>
      </c>
      <c r="CW157" s="20">
        <f ca="1">IF(Table1[[#This Row],[County]]="Dorset",Table1[[#This Row],[income]],0)</f>
        <v>0</v>
      </c>
      <c r="CX157" s="20">
        <f ca="1">IF(Table1[[#This Row],[County]]="Buckinghamshire",Table1[[#This Row],[income]],0)</f>
        <v>0</v>
      </c>
      <c r="CY157" s="20">
        <f ca="1">IF(Table1[[#This Row],[County]]="Suffolk",Table1[[#This Row],[income]],0)</f>
        <v>0</v>
      </c>
      <c r="CZ157" s="20">
        <f ca="1">IF(Table1[[#This Row],[County]]="North Yorkshire",Table1[[#This Row],[income]],0)</f>
        <v>0</v>
      </c>
      <c r="DA157" s="20">
        <f ca="1">IF(Table1[[#This Row],[County]]="Kent",Table1[[#This Row],[income]],0)</f>
        <v>0</v>
      </c>
      <c r="DB157" s="5">
        <f ca="1">IF(Table1[[#This Row],[County]]="Derbyshire",Table1[[#This Row],[income]],0)</f>
        <v>0</v>
      </c>
      <c r="DD157" s="6">
        <f ca="1">IF(Table1[[#This Row],[Column1]]="Health",Table1[[#This Row],[income]],0)</f>
        <v>30330</v>
      </c>
      <c r="DE157" s="20">
        <f ca="1">IF(Table1[[#This Row],[Column1]]="Agriculture",Table1[[#This Row],[income]],0)</f>
        <v>0</v>
      </c>
      <c r="DF157" s="20">
        <f ca="1">IF(Table1[[#This Row],[Column1]]="Technology",Table1[[#This Row],[income]],0)</f>
        <v>0</v>
      </c>
      <c r="DG157" s="20">
        <f ca="1">IF(Table1[[#This Row],[Column1]]="Social Service",Table1[[#This Row],[income]],0)</f>
        <v>0</v>
      </c>
      <c r="DH157" s="20">
        <f ca="1">IF(Table1[[#This Row],[Column1]]="Education",Table1[[#This Row],[income]],0)</f>
        <v>0</v>
      </c>
      <c r="DI157" s="5">
        <f ca="1">IF(Table1[[#This Row],[Column1]]="Construction",Table1[[#This Row],[income]],0)</f>
        <v>0</v>
      </c>
      <c r="DK157" s="6">
        <f ca="1">IF(Table1[[#This Row],[Value of Debts]]&gt;Table1[[#This Row],[income]],1,0)</f>
        <v>1</v>
      </c>
      <c r="DL157" s="20"/>
      <c r="DM157" s="20"/>
      <c r="DN157" s="5"/>
      <c r="DP157" s="6">
        <f ca="1">IF(Table1[[#This Row],[Net Worth (£)]]&gt;$DS$5,C157,0)</f>
        <v>0</v>
      </c>
      <c r="DQ157" s="20"/>
      <c r="DR157" s="20"/>
      <c r="DS157" s="5"/>
    </row>
    <row r="158" spans="1:123" x14ac:dyDescent="0.2">
      <c r="A158">
        <f t="shared" ca="1" si="7"/>
        <v>2</v>
      </c>
      <c r="B158" s="1" t="str">
        <f ca="1">IF(A158=1, "men", "women")</f>
        <v>women</v>
      </c>
      <c r="C158" s="1">
        <f ca="1">RANDBETWEEN(25,50)</f>
        <v>28</v>
      </c>
      <c r="D158">
        <f ca="1">RANDBETWEEN(1,6)</f>
        <v>2</v>
      </c>
      <c r="E158" t="str">
        <f ca="1">VLOOKUP(D158,$W$5:$X$10,2)</f>
        <v>Construction</v>
      </c>
      <c r="F158">
        <f ca="1">RANDBETWEEN(1,5)</f>
        <v>4</v>
      </c>
      <c r="G158" t="str">
        <f ca="1">VLOOKUP(F158,$Y$5:$Z$9,2)</f>
        <v xml:space="preserve">Technical </v>
      </c>
      <c r="H158">
        <f ca="1">RANDBETWEEN(0,4)</f>
        <v>1</v>
      </c>
      <c r="I158">
        <f ca="1">RANDBETWEEN(1,3)</f>
        <v>1</v>
      </c>
      <c r="J158">
        <f ca="1">RANDBETWEEN(30000,100000)</f>
        <v>97955</v>
      </c>
      <c r="K158">
        <f ca="1">RANDBETWEEN(1,48)</f>
        <v>25</v>
      </c>
      <c r="L158" t="str">
        <f ca="1">VLOOKUP(K158,$AA$5:$AB$52,2)</f>
        <v>Lancashire</v>
      </c>
      <c r="M158">
        <f ca="1">J158*(RANDBETWEEN(2,5))</f>
        <v>293865</v>
      </c>
      <c r="N158">
        <f ca="1">RAND()*M158</f>
        <v>288103.84045282548</v>
      </c>
      <c r="O158">
        <f ca="1">I158*RAND()*J158</f>
        <v>94075.006789481762</v>
      </c>
      <c r="P158">
        <f ca="1">RANDBETWEEN(0,O158)</f>
        <v>10978</v>
      </c>
      <c r="Q158">
        <f ca="1">RAND()*J158*2</f>
        <v>7647.7802895556297</v>
      </c>
      <c r="R158">
        <f ca="1">RAND()*J158*1.5</f>
        <v>90751.682467697145</v>
      </c>
      <c r="S158">
        <f ca="1">J158+R158+O158</f>
        <v>282781.68925717892</v>
      </c>
      <c r="T158">
        <f ca="1">N158+P158+Q158</f>
        <v>306729.62074238108</v>
      </c>
      <c r="U158">
        <f ca="1">S158-T158</f>
        <v>-23947.931485202163</v>
      </c>
      <c r="AC158" s="6">
        <f ca="1">IF(Table1[[#This Row],[gender]]="men",1,0)</f>
        <v>0</v>
      </c>
      <c r="AD158">
        <f ca="1">IF(Table1[[#This Row],[gender]]="women",1,0)</f>
        <v>1</v>
      </c>
      <c r="AH158" s="5"/>
      <c r="AJ158" s="6">
        <f ca="1">IF(Table1[[#This Row],[Column1]]="Health",1,0)</f>
        <v>0</v>
      </c>
      <c r="AK158">
        <f ca="1">IF(Table1[[#This Row],[Column1]]="Construction",1,0)</f>
        <v>1</v>
      </c>
      <c r="AL158">
        <f ca="1">IF(Table1[[#This Row],[Column1]]="Technology",1,0)</f>
        <v>0</v>
      </c>
      <c r="AM158">
        <f ca="1">IF(Table1[[#This Row],[Column1]]="Education",1,0)</f>
        <v>0</v>
      </c>
      <c r="AN158">
        <f ca="1">IF(Table1[[#This Row],[Column1]]="Agriculture",1,0)</f>
        <v>0</v>
      </c>
      <c r="AO158">
        <f ca="1">IF(Table1[[#This Row],[Column1]]="Social Service", 1, 0)</f>
        <v>0</v>
      </c>
      <c r="AT158" s="5"/>
      <c r="AV158" s="17">
        <f t="shared" ca="1" si="6"/>
        <v>14507.518185146033</v>
      </c>
      <c r="AW158" s="5"/>
      <c r="AX158" s="6">
        <f ca="1">IF(Table1[[#This Row],[Value of Debts]]&gt;$AY$4,1,0)</f>
        <v>1</v>
      </c>
      <c r="AY158" s="20"/>
      <c r="AZ158" s="20"/>
      <c r="BA158" s="5"/>
      <c r="BB158" s="25">
        <f ca="1">Table1[[#This Row],[Mortage Left]]/Table1[[#This Row],[Value of House]]</f>
        <v>0.98039521703103627</v>
      </c>
      <c r="BC158" s="20">
        <f t="shared" ca="1" si="8"/>
        <v>0</v>
      </c>
      <c r="BD158" s="20"/>
      <c r="BE158" s="20"/>
      <c r="BF158" s="20"/>
      <c r="BG158" s="6">
        <f ca="1">IF(Table1[[#This Row],[County]]="Cumbria",Table1[[#This Row],[income]],0)</f>
        <v>0</v>
      </c>
      <c r="BH158" s="20">
        <f ca="1">IF(Table1[[#This Row],[County]]="Cheshire",Table1[[#This Row],[income]],0)</f>
        <v>0</v>
      </c>
      <c r="BI158" s="20">
        <f ca="1">IF(Table1[[#This Row],[County]]="Bristol",Table1[[#This Row],[income]],0)</f>
        <v>0</v>
      </c>
      <c r="BJ158" s="20">
        <f ca="1">IF(Table1[[#This Row],[County]]="Surrey",Table1[[#This Row],[income]],0)</f>
        <v>0</v>
      </c>
      <c r="BK158" s="20">
        <f ca="1">IF(Table1[[#This Row],[County]]="Norfolk",Table1[[#This Row],[income]],0)</f>
        <v>0</v>
      </c>
      <c r="BL158" s="20">
        <f ca="1">IF(Table1[[#This Row],[County]]="Lincolnshire",Table1[[#This Row],[income]],0)</f>
        <v>0</v>
      </c>
      <c r="BM158" s="20">
        <f ca="1">IF(Table1[[#This Row],[County]]="Somerset",Table1[[#This Row],[income]],0)</f>
        <v>0</v>
      </c>
      <c r="BN158" s="20">
        <f ca="1">IF(Table1[[#This Row],[County]]="Cambridgeshire",Table1[[#This Row],[income]],0)</f>
        <v>0</v>
      </c>
      <c r="BO158" s="20">
        <f ca="1">IF(Table1[[#This Row],[County]]="South Yorkshire",Table1[[#This Row],[income]],0)</f>
        <v>0</v>
      </c>
      <c r="BP158" s="20">
        <f ca="1">IF(Table1[[#This Row],[County]]="Greater London",Table1[[#This Row],[income]],0)</f>
        <v>0</v>
      </c>
      <c r="BQ158" s="20">
        <f ca="1">IF(Table1[[#This Row],[County]]="Hampshire",Table1[[#This Row],[income]],0)</f>
        <v>0</v>
      </c>
      <c r="BR158" s="20">
        <f ca="1">IF(Table1[[#This Row],[County]]="Gloucestershire",Table1[[#This Row],[income]],0)</f>
        <v>0</v>
      </c>
      <c r="BS158" s="20">
        <f ca="1">IF(Table1[[#This Row],[County]]="West Sussex",Table1[[#This Row],[income]],0)</f>
        <v>0</v>
      </c>
      <c r="BT158" s="20">
        <f ca="1">IF(Table1[[#This Row],[County]]="Devon",Table1[[#This Row],[income]],0)</f>
        <v>0</v>
      </c>
      <c r="BU158" s="20">
        <f ca="1">IF(Table1[[#This Row],[County]]="Berkshire",Table1[[#This Row],[income]],0)</f>
        <v>0</v>
      </c>
      <c r="BV158" s="20">
        <f ca="1">IF(Table1[[#This Row],[County]]="Staffordshire",Table1[[#This Row],[income]],0)</f>
        <v>0</v>
      </c>
      <c r="BW158" s="20">
        <f ca="1">IF(Table1[[#This Row],[County]]="Leicestershire",Table1[[#This Row],[income]],0)</f>
        <v>0</v>
      </c>
      <c r="BX158" s="20">
        <f ca="1">IF(Table1[[#This Row],[County]]="Cornwall",Table1[[#This Row],[income]],0)</f>
        <v>0</v>
      </c>
      <c r="BY158" s="20">
        <f ca="1">IF(Table1[[#This Row],[County]]="Isle of Wight",Table1[[#This Row],[income]],0)</f>
        <v>0</v>
      </c>
      <c r="BZ158" s="20">
        <f ca="1">IF(Table1[[#This Row],[County]]="Surrey",Table1[[#This Row],[income]],0)</f>
        <v>0</v>
      </c>
      <c r="CA158" s="20">
        <f ca="1">IF(Table1[[#This Row],[County]]="Derbyshire",Table1[[#This Row],[income]],0)</f>
        <v>0</v>
      </c>
      <c r="CB158" s="20">
        <f ca="1">IF(Table1[[#This Row],[County]]="City of London",Table1[[#This Row],[income]],0)</f>
        <v>0</v>
      </c>
      <c r="CC158" s="20">
        <f ca="1">IF(Table1[[#This Row],[County]]="Bedfordshire",Table1[[#This Row],[income]],0)</f>
        <v>0</v>
      </c>
      <c r="CD158" s="20">
        <f ca="1">IF(Table1[[#This Row],[County]]="County Durham",Table1[[#This Row],[income]],0)</f>
        <v>0</v>
      </c>
      <c r="CE158" s="20">
        <f ca="1">IF(Table1[[#This Row],[County]]="East Riding of Yorkshire",Table1[[#This Row],[income]],0)</f>
        <v>0</v>
      </c>
      <c r="CF158" s="20">
        <f ca="1">IF(Table1[[#This Row],[County]]="West Yorkshire",Table1[[#This Row],[income]],0)</f>
        <v>0</v>
      </c>
      <c r="CG158" s="20">
        <f ca="1">IF(Table1[[#This Row],[County]]="Essex",Table1[[#This Row],[income]],0)</f>
        <v>0</v>
      </c>
      <c r="CH158" s="20">
        <f ca="1">IF(Table1[[#This Row],[County]]="East Sussex",Table1[[#This Row],[income]],0)</f>
        <v>0</v>
      </c>
      <c r="CI158" s="20">
        <f ca="1">IF(Table1[[#This Row],[County]]="Greater Manchester",Table1[[#This Row],[income]],0)</f>
        <v>0</v>
      </c>
      <c r="CJ158" s="20">
        <f ca="1">IF(Table1[[#This Row],[County]]="Hertfordshire",Table1[[#This Row],[income]],0)</f>
        <v>0</v>
      </c>
      <c r="CK158" s="20">
        <f ca="1">IF(Table1[[#This Row],[County]]="Herefordshire",Table1[[#This Row],[income]],0)</f>
        <v>0</v>
      </c>
      <c r="CL158" s="20">
        <f ca="1">IF(Table1[[#This Row],[County]]="Lancashire",Table1[[#This Row],[income]],0)</f>
        <v>97955</v>
      </c>
      <c r="CM158" s="20">
        <f ca="1">IF(Table1[[#This Row],[County]]="Merseyside",Table1[[#This Row],[income]],0)</f>
        <v>0</v>
      </c>
      <c r="CN158" s="20">
        <f ca="1">IF(Table1[[#This Row],[County]]="Northamptonshire",Table1[[#This Row],[income]],0)</f>
        <v>0</v>
      </c>
      <c r="CO158" s="20">
        <f ca="1">IF(Table1[[#This Row],[County]]="Northumberland",Table1[[#This Row],[income]],0)</f>
        <v>0</v>
      </c>
      <c r="CP158" s="20">
        <f ca="1">IF(Table1[[#This Row],[County]]="Wiltshire",Table1[[#This Row],[income]],0)</f>
        <v>0</v>
      </c>
      <c r="CQ158" s="20">
        <f ca="1">IF(Table1[[#This Row],[County]]="West Midlands",Table1[[#This Row],[income]],0)</f>
        <v>0</v>
      </c>
      <c r="CR158" s="20">
        <f ca="1">IF(Table1[[#This Row],[County]]="Warwickshire",Table1[[#This Row],[income]],0)</f>
        <v>0</v>
      </c>
      <c r="CS158" s="20">
        <f ca="1">IF(Table1[[#This Row],[County]]="Tyne and Wear",Table1[[#This Row],[income]],0)</f>
        <v>0</v>
      </c>
      <c r="CT158" s="20">
        <f ca="1">IF(Table1[[#This Row],[County]]="Worcestershire",Table1[[#This Row],[income]],0)</f>
        <v>0</v>
      </c>
      <c r="CU158" s="20">
        <f ca="1">IF(Table1[[#This Row],[County]]="Rutland",Table1[[#This Row],[income]],0)</f>
        <v>0</v>
      </c>
      <c r="CV158" s="20">
        <f ca="1">IF(Table1[[#This Row],[County]]="Shropshire",Table1[[#This Row],[income]],0)</f>
        <v>0</v>
      </c>
      <c r="CW158" s="20">
        <f ca="1">IF(Table1[[#This Row],[County]]="Dorset",Table1[[#This Row],[income]],0)</f>
        <v>0</v>
      </c>
      <c r="CX158" s="20">
        <f ca="1">IF(Table1[[#This Row],[County]]="Buckinghamshire",Table1[[#This Row],[income]],0)</f>
        <v>0</v>
      </c>
      <c r="CY158" s="20">
        <f ca="1">IF(Table1[[#This Row],[County]]="Suffolk",Table1[[#This Row],[income]],0)</f>
        <v>0</v>
      </c>
      <c r="CZ158" s="20">
        <f ca="1">IF(Table1[[#This Row],[County]]="North Yorkshire",Table1[[#This Row],[income]],0)</f>
        <v>0</v>
      </c>
      <c r="DA158" s="20">
        <f ca="1">IF(Table1[[#This Row],[County]]="Kent",Table1[[#This Row],[income]],0)</f>
        <v>0</v>
      </c>
      <c r="DB158" s="5">
        <f ca="1">IF(Table1[[#This Row],[County]]="Derbyshire",Table1[[#This Row],[income]],0)</f>
        <v>0</v>
      </c>
      <c r="DD158" s="6">
        <f ca="1">IF(Table1[[#This Row],[Column1]]="Health",Table1[[#This Row],[income]],0)</f>
        <v>0</v>
      </c>
      <c r="DE158" s="20">
        <f ca="1">IF(Table1[[#This Row],[Column1]]="Agriculture",Table1[[#This Row],[income]],0)</f>
        <v>0</v>
      </c>
      <c r="DF158" s="20">
        <f ca="1">IF(Table1[[#This Row],[Column1]]="Technology",Table1[[#This Row],[income]],0)</f>
        <v>0</v>
      </c>
      <c r="DG158" s="20">
        <f ca="1">IF(Table1[[#This Row],[Column1]]="Social Service",Table1[[#This Row],[income]],0)</f>
        <v>0</v>
      </c>
      <c r="DH158" s="20">
        <f ca="1">IF(Table1[[#This Row],[Column1]]="Education",Table1[[#This Row],[income]],0)</f>
        <v>0</v>
      </c>
      <c r="DI158" s="5">
        <f ca="1">IF(Table1[[#This Row],[Column1]]="Construction",Table1[[#This Row],[income]],0)</f>
        <v>97955</v>
      </c>
      <c r="DK158" s="6">
        <f ca="1">IF(Table1[[#This Row],[Value of Debts]]&gt;Table1[[#This Row],[income]],1,0)</f>
        <v>1</v>
      </c>
      <c r="DL158" s="20"/>
      <c r="DM158" s="20"/>
      <c r="DN158" s="5"/>
      <c r="DP158" s="6">
        <f ca="1">IF(Table1[[#This Row],[Net Worth (£)]]&gt;$DS$5,C158,0)</f>
        <v>0</v>
      </c>
      <c r="DQ158" s="20"/>
      <c r="DR158" s="20"/>
      <c r="DS158" s="5"/>
    </row>
    <row r="159" spans="1:123" x14ac:dyDescent="0.2">
      <c r="A159">
        <f t="shared" ca="1" si="7"/>
        <v>1</v>
      </c>
      <c r="B159" s="1" t="str">
        <f ca="1">IF(A159=1, "men", "women")</f>
        <v>men</v>
      </c>
      <c r="C159" s="1">
        <f ca="1">RANDBETWEEN(25,50)</f>
        <v>34</v>
      </c>
      <c r="D159">
        <f ca="1">RANDBETWEEN(1,6)</f>
        <v>2</v>
      </c>
      <c r="E159" t="str">
        <f ca="1">VLOOKUP(D159,$W$5:$X$10,2)</f>
        <v>Construction</v>
      </c>
      <c r="F159">
        <f ca="1">RANDBETWEEN(1,5)</f>
        <v>2</v>
      </c>
      <c r="G159" t="str">
        <f ca="1">VLOOKUP(F159,$Y$5:$Z$9,2)</f>
        <v>College</v>
      </c>
      <c r="H159">
        <f ca="1">RANDBETWEEN(0,4)</f>
        <v>4</v>
      </c>
      <c r="I159">
        <f ca="1">RANDBETWEEN(1,3)</f>
        <v>1</v>
      </c>
      <c r="J159">
        <f ca="1">RANDBETWEEN(30000,100000)</f>
        <v>33310</v>
      </c>
      <c r="K159">
        <f ca="1">RANDBETWEEN(1,48)</f>
        <v>19</v>
      </c>
      <c r="L159" t="str">
        <f ca="1">VLOOKUP(K159,$AA$5:$AB$52,2)</f>
        <v>Greater Manchester</v>
      </c>
      <c r="M159">
        <f ca="1">J159*(RANDBETWEEN(2,5))</f>
        <v>166550</v>
      </c>
      <c r="N159">
        <f ca="1">RAND()*M159</f>
        <v>110875.33130720395</v>
      </c>
      <c r="O159">
        <f ca="1">I159*RAND()*J159</f>
        <v>14507.518185146033</v>
      </c>
      <c r="P159">
        <f ca="1">RANDBETWEEN(0,O159)</f>
        <v>5664</v>
      </c>
      <c r="Q159">
        <f ca="1">RAND()*J159*2</f>
        <v>34897.399548352907</v>
      </c>
      <c r="R159">
        <f ca="1">RAND()*J159*1.5</f>
        <v>7620.4031616136399</v>
      </c>
      <c r="S159">
        <f ca="1">J159+R159+O159</f>
        <v>55437.921346759671</v>
      </c>
      <c r="T159">
        <f ca="1">N159+P159+Q159</f>
        <v>151436.73085555685</v>
      </c>
      <c r="U159">
        <f ca="1">S159-T159</f>
        <v>-95998.809508797174</v>
      </c>
      <c r="AC159" s="6">
        <f ca="1">IF(Table1[[#This Row],[gender]]="men",1,0)</f>
        <v>1</v>
      </c>
      <c r="AD159">
        <f ca="1">IF(Table1[[#This Row],[gender]]="women",1,0)</f>
        <v>0</v>
      </c>
      <c r="AH159" s="5"/>
      <c r="AJ159" s="6">
        <f ca="1">IF(Table1[[#This Row],[Column1]]="Health",1,0)</f>
        <v>0</v>
      </c>
      <c r="AK159">
        <f ca="1">IF(Table1[[#This Row],[Column1]]="Construction",1,0)</f>
        <v>1</v>
      </c>
      <c r="AL159">
        <f ca="1">IF(Table1[[#This Row],[Column1]]="Technology",1,0)</f>
        <v>0</v>
      </c>
      <c r="AM159">
        <f ca="1">IF(Table1[[#This Row],[Column1]]="Education",1,0)</f>
        <v>0</v>
      </c>
      <c r="AN159">
        <f ca="1">IF(Table1[[#This Row],[Column1]]="Agriculture",1,0)</f>
        <v>0</v>
      </c>
      <c r="AO159">
        <f ca="1">IF(Table1[[#This Row],[Column1]]="Social Service", 1, 0)</f>
        <v>0</v>
      </c>
      <c r="AT159" s="5"/>
      <c r="AV159" s="17">
        <f t="shared" ca="1" si="6"/>
        <v>52688.906730531824</v>
      </c>
      <c r="AW159" s="5"/>
      <c r="AX159" s="6">
        <f ca="1">IF(Table1[[#This Row],[Value of Debts]]&gt;$AY$4,1,0)</f>
        <v>1</v>
      </c>
      <c r="AY159" s="20"/>
      <c r="AZ159" s="20"/>
      <c r="BA159" s="5"/>
      <c r="BB159" s="25">
        <f ca="1">Table1[[#This Row],[Mortage Left]]/Table1[[#This Row],[Value of House]]</f>
        <v>0.66571799043652924</v>
      </c>
      <c r="BC159" s="20">
        <f t="shared" ca="1" si="8"/>
        <v>0</v>
      </c>
      <c r="BD159" s="20"/>
      <c r="BE159" s="20"/>
      <c r="BF159" s="20"/>
      <c r="BG159" s="6">
        <f ca="1">IF(Table1[[#This Row],[County]]="Cumbria",Table1[[#This Row],[income]],0)</f>
        <v>0</v>
      </c>
      <c r="BH159" s="20">
        <f ca="1">IF(Table1[[#This Row],[County]]="Cheshire",Table1[[#This Row],[income]],0)</f>
        <v>0</v>
      </c>
      <c r="BI159" s="20">
        <f ca="1">IF(Table1[[#This Row],[County]]="Bristol",Table1[[#This Row],[income]],0)</f>
        <v>0</v>
      </c>
      <c r="BJ159" s="20">
        <f ca="1">IF(Table1[[#This Row],[County]]="Surrey",Table1[[#This Row],[income]],0)</f>
        <v>0</v>
      </c>
      <c r="BK159" s="20">
        <f ca="1">IF(Table1[[#This Row],[County]]="Norfolk",Table1[[#This Row],[income]],0)</f>
        <v>0</v>
      </c>
      <c r="BL159" s="20">
        <f ca="1">IF(Table1[[#This Row],[County]]="Lincolnshire",Table1[[#This Row],[income]],0)</f>
        <v>0</v>
      </c>
      <c r="BM159" s="20">
        <f ca="1">IF(Table1[[#This Row],[County]]="Somerset",Table1[[#This Row],[income]],0)</f>
        <v>0</v>
      </c>
      <c r="BN159" s="20">
        <f ca="1">IF(Table1[[#This Row],[County]]="Cambridgeshire",Table1[[#This Row],[income]],0)</f>
        <v>0</v>
      </c>
      <c r="BO159" s="20">
        <f ca="1">IF(Table1[[#This Row],[County]]="South Yorkshire",Table1[[#This Row],[income]],0)</f>
        <v>0</v>
      </c>
      <c r="BP159" s="20">
        <f ca="1">IF(Table1[[#This Row],[County]]="Greater London",Table1[[#This Row],[income]],0)</f>
        <v>0</v>
      </c>
      <c r="BQ159" s="20">
        <f ca="1">IF(Table1[[#This Row],[County]]="Hampshire",Table1[[#This Row],[income]],0)</f>
        <v>0</v>
      </c>
      <c r="BR159" s="20">
        <f ca="1">IF(Table1[[#This Row],[County]]="Gloucestershire",Table1[[#This Row],[income]],0)</f>
        <v>0</v>
      </c>
      <c r="BS159" s="20">
        <f ca="1">IF(Table1[[#This Row],[County]]="West Sussex",Table1[[#This Row],[income]],0)</f>
        <v>0</v>
      </c>
      <c r="BT159" s="20">
        <f ca="1">IF(Table1[[#This Row],[County]]="Devon",Table1[[#This Row],[income]],0)</f>
        <v>0</v>
      </c>
      <c r="BU159" s="20">
        <f ca="1">IF(Table1[[#This Row],[County]]="Berkshire",Table1[[#This Row],[income]],0)</f>
        <v>0</v>
      </c>
      <c r="BV159" s="20">
        <f ca="1">IF(Table1[[#This Row],[County]]="Staffordshire",Table1[[#This Row],[income]],0)</f>
        <v>0</v>
      </c>
      <c r="BW159" s="20">
        <f ca="1">IF(Table1[[#This Row],[County]]="Leicestershire",Table1[[#This Row],[income]],0)</f>
        <v>0</v>
      </c>
      <c r="BX159" s="20">
        <f ca="1">IF(Table1[[#This Row],[County]]="Cornwall",Table1[[#This Row],[income]],0)</f>
        <v>0</v>
      </c>
      <c r="BY159" s="20">
        <f ca="1">IF(Table1[[#This Row],[County]]="Isle of Wight",Table1[[#This Row],[income]],0)</f>
        <v>0</v>
      </c>
      <c r="BZ159" s="20">
        <f ca="1">IF(Table1[[#This Row],[County]]="Surrey",Table1[[#This Row],[income]],0)</f>
        <v>0</v>
      </c>
      <c r="CA159" s="20">
        <f ca="1">IF(Table1[[#This Row],[County]]="Derbyshire",Table1[[#This Row],[income]],0)</f>
        <v>0</v>
      </c>
      <c r="CB159" s="20">
        <f ca="1">IF(Table1[[#This Row],[County]]="City of London",Table1[[#This Row],[income]],0)</f>
        <v>0</v>
      </c>
      <c r="CC159" s="20">
        <f ca="1">IF(Table1[[#This Row],[County]]="Bedfordshire",Table1[[#This Row],[income]],0)</f>
        <v>0</v>
      </c>
      <c r="CD159" s="20">
        <f ca="1">IF(Table1[[#This Row],[County]]="County Durham",Table1[[#This Row],[income]],0)</f>
        <v>0</v>
      </c>
      <c r="CE159" s="20">
        <f ca="1">IF(Table1[[#This Row],[County]]="East Riding of Yorkshire",Table1[[#This Row],[income]],0)</f>
        <v>0</v>
      </c>
      <c r="CF159" s="20">
        <f ca="1">IF(Table1[[#This Row],[County]]="West Yorkshire",Table1[[#This Row],[income]],0)</f>
        <v>0</v>
      </c>
      <c r="CG159" s="20">
        <f ca="1">IF(Table1[[#This Row],[County]]="Essex",Table1[[#This Row],[income]],0)</f>
        <v>0</v>
      </c>
      <c r="CH159" s="20">
        <f ca="1">IF(Table1[[#This Row],[County]]="East Sussex",Table1[[#This Row],[income]],0)</f>
        <v>0</v>
      </c>
      <c r="CI159" s="20">
        <f ca="1">IF(Table1[[#This Row],[County]]="Greater Manchester",Table1[[#This Row],[income]],0)</f>
        <v>33310</v>
      </c>
      <c r="CJ159" s="20">
        <f ca="1">IF(Table1[[#This Row],[County]]="Hertfordshire",Table1[[#This Row],[income]],0)</f>
        <v>0</v>
      </c>
      <c r="CK159" s="20">
        <f ca="1">IF(Table1[[#This Row],[County]]="Herefordshire",Table1[[#This Row],[income]],0)</f>
        <v>0</v>
      </c>
      <c r="CL159" s="20">
        <f ca="1">IF(Table1[[#This Row],[County]]="Lancashire",Table1[[#This Row],[income]],0)</f>
        <v>0</v>
      </c>
      <c r="CM159" s="20">
        <f ca="1">IF(Table1[[#This Row],[County]]="Merseyside",Table1[[#This Row],[income]],0)</f>
        <v>0</v>
      </c>
      <c r="CN159" s="20">
        <f ca="1">IF(Table1[[#This Row],[County]]="Northamptonshire",Table1[[#This Row],[income]],0)</f>
        <v>0</v>
      </c>
      <c r="CO159" s="20">
        <f ca="1">IF(Table1[[#This Row],[County]]="Northumberland",Table1[[#This Row],[income]],0)</f>
        <v>0</v>
      </c>
      <c r="CP159" s="20">
        <f ca="1">IF(Table1[[#This Row],[County]]="Wiltshire",Table1[[#This Row],[income]],0)</f>
        <v>0</v>
      </c>
      <c r="CQ159" s="20">
        <f ca="1">IF(Table1[[#This Row],[County]]="West Midlands",Table1[[#This Row],[income]],0)</f>
        <v>0</v>
      </c>
      <c r="CR159" s="20">
        <f ca="1">IF(Table1[[#This Row],[County]]="Warwickshire",Table1[[#This Row],[income]],0)</f>
        <v>0</v>
      </c>
      <c r="CS159" s="20">
        <f ca="1">IF(Table1[[#This Row],[County]]="Tyne and Wear",Table1[[#This Row],[income]],0)</f>
        <v>0</v>
      </c>
      <c r="CT159" s="20">
        <f ca="1">IF(Table1[[#This Row],[County]]="Worcestershire",Table1[[#This Row],[income]],0)</f>
        <v>0</v>
      </c>
      <c r="CU159" s="20">
        <f ca="1">IF(Table1[[#This Row],[County]]="Rutland",Table1[[#This Row],[income]],0)</f>
        <v>0</v>
      </c>
      <c r="CV159" s="20">
        <f ca="1">IF(Table1[[#This Row],[County]]="Shropshire",Table1[[#This Row],[income]],0)</f>
        <v>0</v>
      </c>
      <c r="CW159" s="20">
        <f ca="1">IF(Table1[[#This Row],[County]]="Dorset",Table1[[#This Row],[income]],0)</f>
        <v>0</v>
      </c>
      <c r="CX159" s="20">
        <f ca="1">IF(Table1[[#This Row],[County]]="Buckinghamshire",Table1[[#This Row],[income]],0)</f>
        <v>0</v>
      </c>
      <c r="CY159" s="20">
        <f ca="1">IF(Table1[[#This Row],[County]]="Suffolk",Table1[[#This Row],[income]],0)</f>
        <v>0</v>
      </c>
      <c r="CZ159" s="20">
        <f ca="1">IF(Table1[[#This Row],[County]]="North Yorkshire",Table1[[#This Row],[income]],0)</f>
        <v>0</v>
      </c>
      <c r="DA159" s="20">
        <f ca="1">IF(Table1[[#This Row],[County]]="Kent",Table1[[#This Row],[income]],0)</f>
        <v>0</v>
      </c>
      <c r="DB159" s="5">
        <f ca="1">IF(Table1[[#This Row],[County]]="Derbyshire",Table1[[#This Row],[income]],0)</f>
        <v>0</v>
      </c>
      <c r="DD159" s="6">
        <f ca="1">IF(Table1[[#This Row],[Column1]]="Health",Table1[[#This Row],[income]],0)</f>
        <v>0</v>
      </c>
      <c r="DE159" s="20">
        <f ca="1">IF(Table1[[#This Row],[Column1]]="Agriculture",Table1[[#This Row],[income]],0)</f>
        <v>0</v>
      </c>
      <c r="DF159" s="20">
        <f ca="1">IF(Table1[[#This Row],[Column1]]="Technology",Table1[[#This Row],[income]],0)</f>
        <v>0</v>
      </c>
      <c r="DG159" s="20">
        <f ca="1">IF(Table1[[#This Row],[Column1]]="Social Service",Table1[[#This Row],[income]],0)</f>
        <v>0</v>
      </c>
      <c r="DH159" s="20">
        <f ca="1">IF(Table1[[#This Row],[Column1]]="Education",Table1[[#This Row],[income]],0)</f>
        <v>0</v>
      </c>
      <c r="DI159" s="5">
        <f ca="1">IF(Table1[[#This Row],[Column1]]="Construction",Table1[[#This Row],[income]],0)</f>
        <v>33310</v>
      </c>
      <c r="DK159" s="6">
        <f ca="1">IF(Table1[[#This Row],[Value of Debts]]&gt;Table1[[#This Row],[income]],1,0)</f>
        <v>1</v>
      </c>
      <c r="DL159" s="20"/>
      <c r="DM159" s="20"/>
      <c r="DN159" s="5"/>
      <c r="DP159" s="6">
        <f ca="1">IF(Table1[[#This Row],[Net Worth (£)]]&gt;$DS$5,C159,0)</f>
        <v>0</v>
      </c>
      <c r="DQ159" s="20"/>
      <c r="DR159" s="20"/>
      <c r="DS159" s="5"/>
    </row>
    <row r="160" spans="1:123" x14ac:dyDescent="0.2">
      <c r="A160">
        <f t="shared" ca="1" si="7"/>
        <v>2</v>
      </c>
      <c r="B160" s="1" t="str">
        <f ca="1">IF(A160=1, "men", "women")</f>
        <v>women</v>
      </c>
      <c r="C160" s="1">
        <f ca="1">RANDBETWEEN(25,50)</f>
        <v>28</v>
      </c>
      <c r="D160">
        <f ca="1">RANDBETWEEN(1,6)</f>
        <v>6</v>
      </c>
      <c r="E160" t="str">
        <f ca="1">VLOOKUP(D160,$W$5:$X$10,2)</f>
        <v>Agriculture</v>
      </c>
      <c r="F160">
        <f ca="1">RANDBETWEEN(1,5)</f>
        <v>2</v>
      </c>
      <c r="G160" t="str">
        <f ca="1">VLOOKUP(F160,$Y$5:$Z$9,2)</f>
        <v>College</v>
      </c>
      <c r="H160">
        <f ca="1">RANDBETWEEN(0,4)</f>
        <v>1</v>
      </c>
      <c r="I160">
        <f ca="1">RANDBETWEEN(1,3)</f>
        <v>3</v>
      </c>
      <c r="J160">
        <f ca="1">RANDBETWEEN(30000,100000)</f>
        <v>84431</v>
      </c>
      <c r="K160">
        <f ca="1">RANDBETWEEN(1,48)</f>
        <v>21</v>
      </c>
      <c r="L160" t="str">
        <f ca="1">VLOOKUP(K160,$AA$5:$AB$52,2)</f>
        <v>Herefordshire</v>
      </c>
      <c r="M160">
        <f ca="1">J160*(RANDBETWEEN(2,5))</f>
        <v>253293</v>
      </c>
      <c r="N160">
        <f ca="1">RAND()*M160</f>
        <v>32042.640920440172</v>
      </c>
      <c r="O160">
        <f ca="1">I160*RAND()*J160</f>
        <v>158066.72019159546</v>
      </c>
      <c r="P160">
        <f ca="1">RANDBETWEEN(0,O160)</f>
        <v>76735</v>
      </c>
      <c r="Q160">
        <f ca="1">RAND()*J160*2</f>
        <v>9154.9169677332393</v>
      </c>
      <c r="R160">
        <f ca="1">RAND()*J160*1.5</f>
        <v>119444.16023808281</v>
      </c>
      <c r="S160">
        <f ca="1">J160+R160+O160</f>
        <v>361941.88042967825</v>
      </c>
      <c r="T160">
        <f ca="1">N160+P160+Q160</f>
        <v>117932.55788817341</v>
      </c>
      <c r="U160">
        <f ca="1">S160-T160</f>
        <v>244009.32254150484</v>
      </c>
      <c r="AC160" s="6">
        <f ca="1">IF(Table1[[#This Row],[gender]]="men",1,0)</f>
        <v>0</v>
      </c>
      <c r="AD160">
        <f ca="1">IF(Table1[[#This Row],[gender]]="women",1,0)</f>
        <v>1</v>
      </c>
      <c r="AH160" s="5"/>
      <c r="AJ160" s="6">
        <f ca="1">IF(Table1[[#This Row],[Column1]]="Health",1,0)</f>
        <v>0</v>
      </c>
      <c r="AK160">
        <f ca="1">IF(Table1[[#This Row],[Column1]]="Construction",1,0)</f>
        <v>0</v>
      </c>
      <c r="AL160">
        <f ca="1">IF(Table1[[#This Row],[Column1]]="Technology",1,0)</f>
        <v>0</v>
      </c>
      <c r="AM160">
        <f ca="1">IF(Table1[[#This Row],[Column1]]="Education",1,0)</f>
        <v>0</v>
      </c>
      <c r="AN160">
        <f ca="1">IF(Table1[[#This Row],[Column1]]="Agriculture",1,0)</f>
        <v>1</v>
      </c>
      <c r="AO160">
        <f ca="1">IF(Table1[[#This Row],[Column1]]="Social Service", 1, 0)</f>
        <v>0</v>
      </c>
      <c r="AT160" s="5"/>
      <c r="AV160" s="17">
        <f t="shared" ca="1" si="6"/>
        <v>59988.378287869396</v>
      </c>
      <c r="AW160" s="5"/>
      <c r="AX160" s="6">
        <f ca="1">IF(Table1[[#This Row],[Value of Debts]]&gt;$AY$4,1,0)</f>
        <v>1</v>
      </c>
      <c r="AY160" s="20"/>
      <c r="AZ160" s="20"/>
      <c r="BA160" s="5"/>
      <c r="BB160" s="25">
        <f ca="1">Table1[[#This Row],[Mortage Left]]/Table1[[#This Row],[Value of House]]</f>
        <v>0.12650424970465102</v>
      </c>
      <c r="BC160" s="20">
        <f t="shared" ca="1" si="8"/>
        <v>1</v>
      </c>
      <c r="BD160" s="20"/>
      <c r="BE160" s="20"/>
      <c r="BF160" s="20"/>
      <c r="BG160" s="6">
        <f ca="1">IF(Table1[[#This Row],[County]]="Cumbria",Table1[[#This Row],[income]],0)</f>
        <v>0</v>
      </c>
      <c r="BH160" s="20">
        <f ca="1">IF(Table1[[#This Row],[County]]="Cheshire",Table1[[#This Row],[income]],0)</f>
        <v>0</v>
      </c>
      <c r="BI160" s="20">
        <f ca="1">IF(Table1[[#This Row],[County]]="Bristol",Table1[[#This Row],[income]],0)</f>
        <v>0</v>
      </c>
      <c r="BJ160" s="20">
        <f ca="1">IF(Table1[[#This Row],[County]]="Surrey",Table1[[#This Row],[income]],0)</f>
        <v>0</v>
      </c>
      <c r="BK160" s="20">
        <f ca="1">IF(Table1[[#This Row],[County]]="Norfolk",Table1[[#This Row],[income]],0)</f>
        <v>0</v>
      </c>
      <c r="BL160" s="20">
        <f ca="1">IF(Table1[[#This Row],[County]]="Lincolnshire",Table1[[#This Row],[income]],0)</f>
        <v>0</v>
      </c>
      <c r="BM160" s="20">
        <f ca="1">IF(Table1[[#This Row],[County]]="Somerset",Table1[[#This Row],[income]],0)</f>
        <v>0</v>
      </c>
      <c r="BN160" s="20">
        <f ca="1">IF(Table1[[#This Row],[County]]="Cambridgeshire",Table1[[#This Row],[income]],0)</f>
        <v>0</v>
      </c>
      <c r="BO160" s="20">
        <f ca="1">IF(Table1[[#This Row],[County]]="South Yorkshire",Table1[[#This Row],[income]],0)</f>
        <v>0</v>
      </c>
      <c r="BP160" s="20">
        <f ca="1">IF(Table1[[#This Row],[County]]="Greater London",Table1[[#This Row],[income]],0)</f>
        <v>0</v>
      </c>
      <c r="BQ160" s="20">
        <f ca="1">IF(Table1[[#This Row],[County]]="Hampshire",Table1[[#This Row],[income]],0)</f>
        <v>0</v>
      </c>
      <c r="BR160" s="20">
        <f ca="1">IF(Table1[[#This Row],[County]]="Gloucestershire",Table1[[#This Row],[income]],0)</f>
        <v>0</v>
      </c>
      <c r="BS160" s="20">
        <f ca="1">IF(Table1[[#This Row],[County]]="West Sussex",Table1[[#This Row],[income]],0)</f>
        <v>0</v>
      </c>
      <c r="BT160" s="20">
        <f ca="1">IF(Table1[[#This Row],[County]]="Devon",Table1[[#This Row],[income]],0)</f>
        <v>0</v>
      </c>
      <c r="BU160" s="20">
        <f ca="1">IF(Table1[[#This Row],[County]]="Berkshire",Table1[[#This Row],[income]],0)</f>
        <v>0</v>
      </c>
      <c r="BV160" s="20">
        <f ca="1">IF(Table1[[#This Row],[County]]="Staffordshire",Table1[[#This Row],[income]],0)</f>
        <v>0</v>
      </c>
      <c r="BW160" s="20">
        <f ca="1">IF(Table1[[#This Row],[County]]="Leicestershire",Table1[[#This Row],[income]],0)</f>
        <v>0</v>
      </c>
      <c r="BX160" s="20">
        <f ca="1">IF(Table1[[#This Row],[County]]="Cornwall",Table1[[#This Row],[income]],0)</f>
        <v>0</v>
      </c>
      <c r="BY160" s="20">
        <f ca="1">IF(Table1[[#This Row],[County]]="Isle of Wight",Table1[[#This Row],[income]],0)</f>
        <v>0</v>
      </c>
      <c r="BZ160" s="20">
        <f ca="1">IF(Table1[[#This Row],[County]]="Surrey",Table1[[#This Row],[income]],0)</f>
        <v>0</v>
      </c>
      <c r="CA160" s="20">
        <f ca="1">IF(Table1[[#This Row],[County]]="Derbyshire",Table1[[#This Row],[income]],0)</f>
        <v>0</v>
      </c>
      <c r="CB160" s="20">
        <f ca="1">IF(Table1[[#This Row],[County]]="City of London",Table1[[#This Row],[income]],0)</f>
        <v>0</v>
      </c>
      <c r="CC160" s="20">
        <f ca="1">IF(Table1[[#This Row],[County]]="Bedfordshire",Table1[[#This Row],[income]],0)</f>
        <v>0</v>
      </c>
      <c r="CD160" s="20">
        <f ca="1">IF(Table1[[#This Row],[County]]="County Durham",Table1[[#This Row],[income]],0)</f>
        <v>0</v>
      </c>
      <c r="CE160" s="20">
        <f ca="1">IF(Table1[[#This Row],[County]]="East Riding of Yorkshire",Table1[[#This Row],[income]],0)</f>
        <v>0</v>
      </c>
      <c r="CF160" s="20">
        <f ca="1">IF(Table1[[#This Row],[County]]="West Yorkshire",Table1[[#This Row],[income]],0)</f>
        <v>0</v>
      </c>
      <c r="CG160" s="20">
        <f ca="1">IF(Table1[[#This Row],[County]]="Essex",Table1[[#This Row],[income]],0)</f>
        <v>0</v>
      </c>
      <c r="CH160" s="20">
        <f ca="1">IF(Table1[[#This Row],[County]]="East Sussex",Table1[[#This Row],[income]],0)</f>
        <v>0</v>
      </c>
      <c r="CI160" s="20">
        <f ca="1">IF(Table1[[#This Row],[County]]="Greater Manchester",Table1[[#This Row],[income]],0)</f>
        <v>0</v>
      </c>
      <c r="CJ160" s="20">
        <f ca="1">IF(Table1[[#This Row],[County]]="Hertfordshire",Table1[[#This Row],[income]],0)</f>
        <v>0</v>
      </c>
      <c r="CK160" s="20">
        <f ca="1">IF(Table1[[#This Row],[County]]="Herefordshire",Table1[[#This Row],[income]],0)</f>
        <v>84431</v>
      </c>
      <c r="CL160" s="20">
        <f ca="1">IF(Table1[[#This Row],[County]]="Lancashire",Table1[[#This Row],[income]],0)</f>
        <v>0</v>
      </c>
      <c r="CM160" s="20">
        <f ca="1">IF(Table1[[#This Row],[County]]="Merseyside",Table1[[#This Row],[income]],0)</f>
        <v>0</v>
      </c>
      <c r="CN160" s="20">
        <f ca="1">IF(Table1[[#This Row],[County]]="Northamptonshire",Table1[[#This Row],[income]],0)</f>
        <v>0</v>
      </c>
      <c r="CO160" s="20">
        <f ca="1">IF(Table1[[#This Row],[County]]="Northumberland",Table1[[#This Row],[income]],0)</f>
        <v>0</v>
      </c>
      <c r="CP160" s="20">
        <f ca="1">IF(Table1[[#This Row],[County]]="Wiltshire",Table1[[#This Row],[income]],0)</f>
        <v>0</v>
      </c>
      <c r="CQ160" s="20">
        <f ca="1">IF(Table1[[#This Row],[County]]="West Midlands",Table1[[#This Row],[income]],0)</f>
        <v>0</v>
      </c>
      <c r="CR160" s="20">
        <f ca="1">IF(Table1[[#This Row],[County]]="Warwickshire",Table1[[#This Row],[income]],0)</f>
        <v>0</v>
      </c>
      <c r="CS160" s="20">
        <f ca="1">IF(Table1[[#This Row],[County]]="Tyne and Wear",Table1[[#This Row],[income]],0)</f>
        <v>0</v>
      </c>
      <c r="CT160" s="20">
        <f ca="1">IF(Table1[[#This Row],[County]]="Worcestershire",Table1[[#This Row],[income]],0)</f>
        <v>0</v>
      </c>
      <c r="CU160" s="20">
        <f ca="1">IF(Table1[[#This Row],[County]]="Rutland",Table1[[#This Row],[income]],0)</f>
        <v>0</v>
      </c>
      <c r="CV160" s="20">
        <f ca="1">IF(Table1[[#This Row],[County]]="Shropshire",Table1[[#This Row],[income]],0)</f>
        <v>0</v>
      </c>
      <c r="CW160" s="20">
        <f ca="1">IF(Table1[[#This Row],[County]]="Dorset",Table1[[#This Row],[income]],0)</f>
        <v>0</v>
      </c>
      <c r="CX160" s="20">
        <f ca="1">IF(Table1[[#This Row],[County]]="Buckinghamshire",Table1[[#This Row],[income]],0)</f>
        <v>0</v>
      </c>
      <c r="CY160" s="20">
        <f ca="1">IF(Table1[[#This Row],[County]]="Suffolk",Table1[[#This Row],[income]],0)</f>
        <v>0</v>
      </c>
      <c r="CZ160" s="20">
        <f ca="1">IF(Table1[[#This Row],[County]]="North Yorkshire",Table1[[#This Row],[income]],0)</f>
        <v>0</v>
      </c>
      <c r="DA160" s="20">
        <f ca="1">IF(Table1[[#This Row],[County]]="Kent",Table1[[#This Row],[income]],0)</f>
        <v>0</v>
      </c>
      <c r="DB160" s="5">
        <f ca="1">IF(Table1[[#This Row],[County]]="Derbyshire",Table1[[#This Row],[income]],0)</f>
        <v>0</v>
      </c>
      <c r="DD160" s="6">
        <f ca="1">IF(Table1[[#This Row],[Column1]]="Health",Table1[[#This Row],[income]],0)</f>
        <v>0</v>
      </c>
      <c r="DE160" s="20">
        <f ca="1">IF(Table1[[#This Row],[Column1]]="Agriculture",Table1[[#This Row],[income]],0)</f>
        <v>84431</v>
      </c>
      <c r="DF160" s="20">
        <f ca="1">IF(Table1[[#This Row],[Column1]]="Technology",Table1[[#This Row],[income]],0)</f>
        <v>0</v>
      </c>
      <c r="DG160" s="20">
        <f ca="1">IF(Table1[[#This Row],[Column1]]="Social Service",Table1[[#This Row],[income]],0)</f>
        <v>0</v>
      </c>
      <c r="DH160" s="20">
        <f ca="1">IF(Table1[[#This Row],[Column1]]="Education",Table1[[#This Row],[income]],0)</f>
        <v>0</v>
      </c>
      <c r="DI160" s="5">
        <f ca="1">IF(Table1[[#This Row],[Column1]]="Construction",Table1[[#This Row],[income]],0)</f>
        <v>0</v>
      </c>
      <c r="DK160" s="6">
        <f ca="1">IF(Table1[[#This Row],[Value of Debts]]&gt;Table1[[#This Row],[income]],1,0)</f>
        <v>1</v>
      </c>
      <c r="DL160" s="20"/>
      <c r="DM160" s="20"/>
      <c r="DN160" s="5"/>
      <c r="DP160" s="6">
        <f ca="1">IF(Table1[[#This Row],[Net Worth (£)]]&gt;$DS$5,C160,0)</f>
        <v>28</v>
      </c>
      <c r="DQ160" s="20"/>
      <c r="DR160" s="20"/>
      <c r="DS160" s="5"/>
    </row>
    <row r="161" spans="1:123" x14ac:dyDescent="0.2">
      <c r="A161">
        <f t="shared" ca="1" si="7"/>
        <v>2</v>
      </c>
      <c r="B161" s="1" t="str">
        <f ca="1">IF(A161=1, "men", "women")</f>
        <v>women</v>
      </c>
      <c r="C161" s="1">
        <f ca="1">RANDBETWEEN(25,50)</f>
        <v>26</v>
      </c>
      <c r="D161">
        <f ca="1">RANDBETWEEN(1,6)</f>
        <v>1</v>
      </c>
      <c r="E161" t="str">
        <f ca="1">VLOOKUP(D161,$W$5:$X$10,2)</f>
        <v>Health</v>
      </c>
      <c r="F161">
        <f ca="1">RANDBETWEEN(1,5)</f>
        <v>2</v>
      </c>
      <c r="G161" t="str">
        <f ca="1">VLOOKUP(F161,$Y$5:$Z$9,2)</f>
        <v>College</v>
      </c>
      <c r="H161">
        <f ca="1">RANDBETWEEN(0,4)</f>
        <v>1</v>
      </c>
      <c r="I161">
        <f ca="1">RANDBETWEEN(1,3)</f>
        <v>2</v>
      </c>
      <c r="J161">
        <f ca="1">RANDBETWEEN(30000,100000)</f>
        <v>88545</v>
      </c>
      <c r="K161">
        <f ca="1">RANDBETWEEN(1,48)</f>
        <v>37</v>
      </c>
      <c r="L161" t="str">
        <f ca="1">VLOOKUP(K161,$AA$5:$AB$52,2)</f>
        <v>Somerset</v>
      </c>
      <c r="M161">
        <f ca="1">J161*(RANDBETWEEN(2,5))</f>
        <v>442725</v>
      </c>
      <c r="N161">
        <f ca="1">RAND()*M161</f>
        <v>47487.317626106102</v>
      </c>
      <c r="O161">
        <f ca="1">I161*RAND()*J161</f>
        <v>119976.75657573879</v>
      </c>
      <c r="P161">
        <f ca="1">RANDBETWEEN(0,O161)</f>
        <v>42726</v>
      </c>
      <c r="Q161">
        <f ca="1">RAND()*J161*2</f>
        <v>141009.88677100779</v>
      </c>
      <c r="R161">
        <f ca="1">RAND()*J161*1.5</f>
        <v>50813.535355143576</v>
      </c>
      <c r="S161">
        <f ca="1">J161+R161+O161</f>
        <v>259335.29193088238</v>
      </c>
      <c r="T161">
        <f ca="1">N161+P161+Q161</f>
        <v>231223.20439711388</v>
      </c>
      <c r="U161">
        <f ca="1">S161-T161</f>
        <v>28112.087533768499</v>
      </c>
      <c r="AC161" s="6">
        <f ca="1">IF(Table1[[#This Row],[gender]]="men",1,0)</f>
        <v>0</v>
      </c>
      <c r="AD161">
        <f ca="1">IF(Table1[[#This Row],[gender]]="women",1,0)</f>
        <v>1</v>
      </c>
      <c r="AH161" s="5"/>
      <c r="AJ161" s="6">
        <f ca="1">IF(Table1[[#This Row],[Column1]]="Health",1,0)</f>
        <v>1</v>
      </c>
      <c r="AK161">
        <f ca="1">IF(Table1[[#This Row],[Column1]]="Construction",1,0)</f>
        <v>0</v>
      </c>
      <c r="AL161">
        <f ca="1">IF(Table1[[#This Row],[Column1]]="Technology",1,0)</f>
        <v>0</v>
      </c>
      <c r="AM161">
        <f ca="1">IF(Table1[[#This Row],[Column1]]="Education",1,0)</f>
        <v>0</v>
      </c>
      <c r="AN161">
        <f ca="1">IF(Table1[[#This Row],[Column1]]="Agriculture",1,0)</f>
        <v>0</v>
      </c>
      <c r="AO161">
        <f ca="1">IF(Table1[[#This Row],[Column1]]="Social Service", 1, 0)</f>
        <v>0</v>
      </c>
      <c r="AT161" s="5"/>
      <c r="AV161" s="17">
        <f t="shared" ca="1" si="6"/>
        <v>61309.102643396043</v>
      </c>
      <c r="AW161" s="5"/>
      <c r="AX161" s="6">
        <f ca="1">IF(Table1[[#This Row],[Value of Debts]]&gt;$AY$4,1,0)</f>
        <v>1</v>
      </c>
      <c r="AY161" s="20"/>
      <c r="AZ161" s="20"/>
      <c r="BA161" s="5"/>
      <c r="BB161" s="25">
        <f ca="1">Table1[[#This Row],[Mortage Left]]/Table1[[#This Row],[Value of House]]</f>
        <v>0.10726143232504626</v>
      </c>
      <c r="BC161" s="20">
        <f t="shared" ca="1" si="8"/>
        <v>1</v>
      </c>
      <c r="BD161" s="20"/>
      <c r="BE161" s="20"/>
      <c r="BF161" s="20"/>
      <c r="BG161" s="6">
        <f ca="1">IF(Table1[[#This Row],[County]]="Cumbria",Table1[[#This Row],[income]],0)</f>
        <v>0</v>
      </c>
      <c r="BH161" s="20">
        <f ca="1">IF(Table1[[#This Row],[County]]="Cheshire",Table1[[#This Row],[income]],0)</f>
        <v>0</v>
      </c>
      <c r="BI161" s="20">
        <f ca="1">IF(Table1[[#This Row],[County]]="Bristol",Table1[[#This Row],[income]],0)</f>
        <v>0</v>
      </c>
      <c r="BJ161" s="20">
        <f ca="1">IF(Table1[[#This Row],[County]]="Surrey",Table1[[#This Row],[income]],0)</f>
        <v>0</v>
      </c>
      <c r="BK161" s="20">
        <f ca="1">IF(Table1[[#This Row],[County]]="Norfolk",Table1[[#This Row],[income]],0)</f>
        <v>0</v>
      </c>
      <c r="BL161" s="20">
        <f ca="1">IF(Table1[[#This Row],[County]]="Lincolnshire",Table1[[#This Row],[income]],0)</f>
        <v>0</v>
      </c>
      <c r="BM161" s="20">
        <f ca="1">IF(Table1[[#This Row],[County]]="Somerset",Table1[[#This Row],[income]],0)</f>
        <v>88545</v>
      </c>
      <c r="BN161" s="20">
        <f ca="1">IF(Table1[[#This Row],[County]]="Cambridgeshire",Table1[[#This Row],[income]],0)</f>
        <v>0</v>
      </c>
      <c r="BO161" s="20">
        <f ca="1">IF(Table1[[#This Row],[County]]="South Yorkshire",Table1[[#This Row],[income]],0)</f>
        <v>0</v>
      </c>
      <c r="BP161" s="20">
        <f ca="1">IF(Table1[[#This Row],[County]]="Greater London",Table1[[#This Row],[income]],0)</f>
        <v>0</v>
      </c>
      <c r="BQ161" s="20">
        <f ca="1">IF(Table1[[#This Row],[County]]="Hampshire",Table1[[#This Row],[income]],0)</f>
        <v>0</v>
      </c>
      <c r="BR161" s="20">
        <f ca="1">IF(Table1[[#This Row],[County]]="Gloucestershire",Table1[[#This Row],[income]],0)</f>
        <v>0</v>
      </c>
      <c r="BS161" s="20">
        <f ca="1">IF(Table1[[#This Row],[County]]="West Sussex",Table1[[#This Row],[income]],0)</f>
        <v>0</v>
      </c>
      <c r="BT161" s="20">
        <f ca="1">IF(Table1[[#This Row],[County]]="Devon",Table1[[#This Row],[income]],0)</f>
        <v>0</v>
      </c>
      <c r="BU161" s="20">
        <f ca="1">IF(Table1[[#This Row],[County]]="Berkshire",Table1[[#This Row],[income]],0)</f>
        <v>0</v>
      </c>
      <c r="BV161" s="20">
        <f ca="1">IF(Table1[[#This Row],[County]]="Staffordshire",Table1[[#This Row],[income]],0)</f>
        <v>0</v>
      </c>
      <c r="BW161" s="20">
        <f ca="1">IF(Table1[[#This Row],[County]]="Leicestershire",Table1[[#This Row],[income]],0)</f>
        <v>0</v>
      </c>
      <c r="BX161" s="20">
        <f ca="1">IF(Table1[[#This Row],[County]]="Cornwall",Table1[[#This Row],[income]],0)</f>
        <v>0</v>
      </c>
      <c r="BY161" s="20">
        <f ca="1">IF(Table1[[#This Row],[County]]="Isle of Wight",Table1[[#This Row],[income]],0)</f>
        <v>0</v>
      </c>
      <c r="BZ161" s="20">
        <f ca="1">IF(Table1[[#This Row],[County]]="Surrey",Table1[[#This Row],[income]],0)</f>
        <v>0</v>
      </c>
      <c r="CA161" s="20">
        <f ca="1">IF(Table1[[#This Row],[County]]="Derbyshire",Table1[[#This Row],[income]],0)</f>
        <v>0</v>
      </c>
      <c r="CB161" s="20">
        <f ca="1">IF(Table1[[#This Row],[County]]="City of London",Table1[[#This Row],[income]],0)</f>
        <v>0</v>
      </c>
      <c r="CC161" s="20">
        <f ca="1">IF(Table1[[#This Row],[County]]="Bedfordshire",Table1[[#This Row],[income]],0)</f>
        <v>0</v>
      </c>
      <c r="CD161" s="20">
        <f ca="1">IF(Table1[[#This Row],[County]]="County Durham",Table1[[#This Row],[income]],0)</f>
        <v>0</v>
      </c>
      <c r="CE161" s="20">
        <f ca="1">IF(Table1[[#This Row],[County]]="East Riding of Yorkshire",Table1[[#This Row],[income]],0)</f>
        <v>0</v>
      </c>
      <c r="CF161" s="20">
        <f ca="1">IF(Table1[[#This Row],[County]]="West Yorkshire",Table1[[#This Row],[income]],0)</f>
        <v>0</v>
      </c>
      <c r="CG161" s="20">
        <f ca="1">IF(Table1[[#This Row],[County]]="Essex",Table1[[#This Row],[income]],0)</f>
        <v>0</v>
      </c>
      <c r="CH161" s="20">
        <f ca="1">IF(Table1[[#This Row],[County]]="East Sussex",Table1[[#This Row],[income]],0)</f>
        <v>0</v>
      </c>
      <c r="CI161" s="20">
        <f ca="1">IF(Table1[[#This Row],[County]]="Greater Manchester",Table1[[#This Row],[income]],0)</f>
        <v>0</v>
      </c>
      <c r="CJ161" s="20">
        <f ca="1">IF(Table1[[#This Row],[County]]="Hertfordshire",Table1[[#This Row],[income]],0)</f>
        <v>0</v>
      </c>
      <c r="CK161" s="20">
        <f ca="1">IF(Table1[[#This Row],[County]]="Herefordshire",Table1[[#This Row],[income]],0)</f>
        <v>0</v>
      </c>
      <c r="CL161" s="20">
        <f ca="1">IF(Table1[[#This Row],[County]]="Lancashire",Table1[[#This Row],[income]],0)</f>
        <v>0</v>
      </c>
      <c r="CM161" s="20">
        <f ca="1">IF(Table1[[#This Row],[County]]="Merseyside",Table1[[#This Row],[income]],0)</f>
        <v>0</v>
      </c>
      <c r="CN161" s="20">
        <f ca="1">IF(Table1[[#This Row],[County]]="Northamptonshire",Table1[[#This Row],[income]],0)</f>
        <v>0</v>
      </c>
      <c r="CO161" s="20">
        <f ca="1">IF(Table1[[#This Row],[County]]="Northumberland",Table1[[#This Row],[income]],0)</f>
        <v>0</v>
      </c>
      <c r="CP161" s="20">
        <f ca="1">IF(Table1[[#This Row],[County]]="Wiltshire",Table1[[#This Row],[income]],0)</f>
        <v>0</v>
      </c>
      <c r="CQ161" s="20">
        <f ca="1">IF(Table1[[#This Row],[County]]="West Midlands",Table1[[#This Row],[income]],0)</f>
        <v>0</v>
      </c>
      <c r="CR161" s="20">
        <f ca="1">IF(Table1[[#This Row],[County]]="Warwickshire",Table1[[#This Row],[income]],0)</f>
        <v>0</v>
      </c>
      <c r="CS161" s="20">
        <f ca="1">IF(Table1[[#This Row],[County]]="Tyne and Wear",Table1[[#This Row],[income]],0)</f>
        <v>0</v>
      </c>
      <c r="CT161" s="20">
        <f ca="1">IF(Table1[[#This Row],[County]]="Worcestershire",Table1[[#This Row],[income]],0)</f>
        <v>0</v>
      </c>
      <c r="CU161" s="20">
        <f ca="1">IF(Table1[[#This Row],[County]]="Rutland",Table1[[#This Row],[income]],0)</f>
        <v>0</v>
      </c>
      <c r="CV161" s="20">
        <f ca="1">IF(Table1[[#This Row],[County]]="Shropshire",Table1[[#This Row],[income]],0)</f>
        <v>0</v>
      </c>
      <c r="CW161" s="20">
        <f ca="1">IF(Table1[[#This Row],[County]]="Dorset",Table1[[#This Row],[income]],0)</f>
        <v>0</v>
      </c>
      <c r="CX161" s="20">
        <f ca="1">IF(Table1[[#This Row],[County]]="Buckinghamshire",Table1[[#This Row],[income]],0)</f>
        <v>0</v>
      </c>
      <c r="CY161" s="20">
        <f ca="1">IF(Table1[[#This Row],[County]]="Suffolk",Table1[[#This Row],[income]],0)</f>
        <v>0</v>
      </c>
      <c r="CZ161" s="20">
        <f ca="1">IF(Table1[[#This Row],[County]]="North Yorkshire",Table1[[#This Row],[income]],0)</f>
        <v>0</v>
      </c>
      <c r="DA161" s="20">
        <f ca="1">IF(Table1[[#This Row],[County]]="Kent",Table1[[#This Row],[income]],0)</f>
        <v>0</v>
      </c>
      <c r="DB161" s="5">
        <f ca="1">IF(Table1[[#This Row],[County]]="Derbyshire",Table1[[#This Row],[income]],0)</f>
        <v>0</v>
      </c>
      <c r="DD161" s="6">
        <f ca="1">IF(Table1[[#This Row],[Column1]]="Health",Table1[[#This Row],[income]],0)</f>
        <v>88545</v>
      </c>
      <c r="DE161" s="20">
        <f ca="1">IF(Table1[[#This Row],[Column1]]="Agriculture",Table1[[#This Row],[income]],0)</f>
        <v>0</v>
      </c>
      <c r="DF161" s="20">
        <f ca="1">IF(Table1[[#This Row],[Column1]]="Technology",Table1[[#This Row],[income]],0)</f>
        <v>0</v>
      </c>
      <c r="DG161" s="20">
        <f ca="1">IF(Table1[[#This Row],[Column1]]="Social Service",Table1[[#This Row],[income]],0)</f>
        <v>0</v>
      </c>
      <c r="DH161" s="20">
        <f ca="1">IF(Table1[[#This Row],[Column1]]="Education",Table1[[#This Row],[income]],0)</f>
        <v>0</v>
      </c>
      <c r="DI161" s="5">
        <f ca="1">IF(Table1[[#This Row],[Column1]]="Construction",Table1[[#This Row],[income]],0)</f>
        <v>0</v>
      </c>
      <c r="DK161" s="6">
        <f ca="1">IF(Table1[[#This Row],[Value of Debts]]&gt;Table1[[#This Row],[income]],1,0)</f>
        <v>1</v>
      </c>
      <c r="DL161" s="20"/>
      <c r="DM161" s="20"/>
      <c r="DN161" s="5"/>
      <c r="DP161" s="6">
        <f ca="1">IF(Table1[[#This Row],[Net Worth (£)]]&gt;$DS$5,C161,0)</f>
        <v>0</v>
      </c>
      <c r="DQ161" s="20"/>
      <c r="DR161" s="20"/>
      <c r="DS161" s="5"/>
    </row>
    <row r="162" spans="1:123" x14ac:dyDescent="0.2">
      <c r="A162">
        <f t="shared" ca="1" si="7"/>
        <v>1</v>
      </c>
      <c r="B162" s="1" t="str">
        <f ca="1">IF(A162=1, "men", "women")</f>
        <v>men</v>
      </c>
      <c r="C162" s="1">
        <f ca="1">RANDBETWEEN(25,50)</f>
        <v>36</v>
      </c>
      <c r="D162">
        <f ca="1">RANDBETWEEN(1,6)</f>
        <v>3</v>
      </c>
      <c r="E162" t="str">
        <f ca="1">VLOOKUP(D162,$W$5:$X$10,2)</f>
        <v>Education</v>
      </c>
      <c r="F162">
        <f ca="1">RANDBETWEEN(1,5)</f>
        <v>4</v>
      </c>
      <c r="G162" t="str">
        <f ca="1">VLOOKUP(F162,$Y$5:$Z$9,2)</f>
        <v xml:space="preserve">Technical </v>
      </c>
      <c r="H162">
        <f ca="1">RANDBETWEEN(0,4)</f>
        <v>3</v>
      </c>
      <c r="I162">
        <f ca="1">RANDBETWEEN(1,3)</f>
        <v>2</v>
      </c>
      <c r="J162">
        <f ca="1">RANDBETWEEN(30000,100000)</f>
        <v>90906</v>
      </c>
      <c r="K162">
        <f ca="1">RANDBETWEEN(1,48)</f>
        <v>3</v>
      </c>
      <c r="L162" t="str">
        <f ca="1">VLOOKUP(K162,$AA$5:$AB$52,2)</f>
        <v>Bristol</v>
      </c>
      <c r="M162">
        <f ca="1">J162*(RANDBETWEEN(2,5))</f>
        <v>363624</v>
      </c>
      <c r="N162">
        <f ca="1">RAND()*M162</f>
        <v>284650.3462233835</v>
      </c>
      <c r="O162">
        <f ca="1">I162*RAND()*J162</f>
        <v>122618.20528679209</v>
      </c>
      <c r="P162">
        <f ca="1">RANDBETWEEN(0,O162)</f>
        <v>6072</v>
      </c>
      <c r="Q162">
        <f ca="1">RAND()*J162*2</f>
        <v>49697.472699906357</v>
      </c>
      <c r="R162">
        <f ca="1">RAND()*J162*1.5</f>
        <v>18751.053979263605</v>
      </c>
      <c r="S162">
        <f ca="1">J162+R162+O162</f>
        <v>232275.25926605571</v>
      </c>
      <c r="T162">
        <f ca="1">N162+P162+Q162</f>
        <v>340419.81892328989</v>
      </c>
      <c r="U162">
        <f ca="1">S162-T162</f>
        <v>-108144.55965723417</v>
      </c>
      <c r="AC162" s="6">
        <f ca="1">IF(Table1[[#This Row],[gender]]="men",1,0)</f>
        <v>1</v>
      </c>
      <c r="AD162">
        <f ca="1">IF(Table1[[#This Row],[gender]]="women",1,0)</f>
        <v>0</v>
      </c>
      <c r="AH162" s="5"/>
      <c r="AJ162" s="6">
        <f ca="1">IF(Table1[[#This Row],[Column1]]="Health",1,0)</f>
        <v>0</v>
      </c>
      <c r="AK162">
        <f ca="1">IF(Table1[[#This Row],[Column1]]="Construction",1,0)</f>
        <v>0</v>
      </c>
      <c r="AL162">
        <f ca="1">IF(Table1[[#This Row],[Column1]]="Technology",1,0)</f>
        <v>0</v>
      </c>
      <c r="AM162">
        <f ca="1">IF(Table1[[#This Row],[Column1]]="Education",1,0)</f>
        <v>1</v>
      </c>
      <c r="AN162">
        <f ca="1">IF(Table1[[#This Row],[Column1]]="Agriculture",1,0)</f>
        <v>0</v>
      </c>
      <c r="AO162">
        <f ca="1">IF(Table1[[#This Row],[Column1]]="Social Service", 1, 0)</f>
        <v>0</v>
      </c>
      <c r="AT162" s="5"/>
      <c r="AV162" s="17">
        <f t="shared" ca="1" si="6"/>
        <v>28155.608477996775</v>
      </c>
      <c r="AW162" s="5"/>
      <c r="AX162" s="6">
        <f ca="1">IF(Table1[[#This Row],[Value of Debts]]&gt;$AY$4,1,0)</f>
        <v>1</v>
      </c>
      <c r="AY162" s="20"/>
      <c r="AZ162" s="20"/>
      <c r="BA162" s="5"/>
      <c r="BB162" s="25">
        <f ca="1">Table1[[#This Row],[Mortage Left]]/Table1[[#This Row],[Value of House]]</f>
        <v>0.7828150678266107</v>
      </c>
      <c r="BC162" s="20">
        <f t="shared" ca="1" si="8"/>
        <v>0</v>
      </c>
      <c r="BD162" s="20"/>
      <c r="BE162" s="20"/>
      <c r="BF162" s="20"/>
      <c r="BG162" s="6">
        <f ca="1">IF(Table1[[#This Row],[County]]="Cumbria",Table1[[#This Row],[income]],0)</f>
        <v>0</v>
      </c>
      <c r="BH162" s="20">
        <f ca="1">IF(Table1[[#This Row],[County]]="Cheshire",Table1[[#This Row],[income]],0)</f>
        <v>0</v>
      </c>
      <c r="BI162" s="20">
        <f ca="1">IF(Table1[[#This Row],[County]]="Bristol",Table1[[#This Row],[income]],0)</f>
        <v>90906</v>
      </c>
      <c r="BJ162" s="20">
        <f ca="1">IF(Table1[[#This Row],[County]]="Surrey",Table1[[#This Row],[income]],0)</f>
        <v>0</v>
      </c>
      <c r="BK162" s="20">
        <f ca="1">IF(Table1[[#This Row],[County]]="Norfolk",Table1[[#This Row],[income]],0)</f>
        <v>0</v>
      </c>
      <c r="BL162" s="20">
        <f ca="1">IF(Table1[[#This Row],[County]]="Lincolnshire",Table1[[#This Row],[income]],0)</f>
        <v>0</v>
      </c>
      <c r="BM162" s="20">
        <f ca="1">IF(Table1[[#This Row],[County]]="Somerset",Table1[[#This Row],[income]],0)</f>
        <v>0</v>
      </c>
      <c r="BN162" s="20">
        <f ca="1">IF(Table1[[#This Row],[County]]="Cambridgeshire",Table1[[#This Row],[income]],0)</f>
        <v>0</v>
      </c>
      <c r="BO162" s="20">
        <f ca="1">IF(Table1[[#This Row],[County]]="South Yorkshire",Table1[[#This Row],[income]],0)</f>
        <v>0</v>
      </c>
      <c r="BP162" s="20">
        <f ca="1">IF(Table1[[#This Row],[County]]="Greater London",Table1[[#This Row],[income]],0)</f>
        <v>0</v>
      </c>
      <c r="BQ162" s="20">
        <f ca="1">IF(Table1[[#This Row],[County]]="Hampshire",Table1[[#This Row],[income]],0)</f>
        <v>0</v>
      </c>
      <c r="BR162" s="20">
        <f ca="1">IF(Table1[[#This Row],[County]]="Gloucestershire",Table1[[#This Row],[income]],0)</f>
        <v>0</v>
      </c>
      <c r="BS162" s="20">
        <f ca="1">IF(Table1[[#This Row],[County]]="West Sussex",Table1[[#This Row],[income]],0)</f>
        <v>0</v>
      </c>
      <c r="BT162" s="20">
        <f ca="1">IF(Table1[[#This Row],[County]]="Devon",Table1[[#This Row],[income]],0)</f>
        <v>0</v>
      </c>
      <c r="BU162" s="20">
        <f ca="1">IF(Table1[[#This Row],[County]]="Berkshire",Table1[[#This Row],[income]],0)</f>
        <v>0</v>
      </c>
      <c r="BV162" s="20">
        <f ca="1">IF(Table1[[#This Row],[County]]="Staffordshire",Table1[[#This Row],[income]],0)</f>
        <v>0</v>
      </c>
      <c r="BW162" s="20">
        <f ca="1">IF(Table1[[#This Row],[County]]="Leicestershire",Table1[[#This Row],[income]],0)</f>
        <v>0</v>
      </c>
      <c r="BX162" s="20">
        <f ca="1">IF(Table1[[#This Row],[County]]="Cornwall",Table1[[#This Row],[income]],0)</f>
        <v>0</v>
      </c>
      <c r="BY162" s="20">
        <f ca="1">IF(Table1[[#This Row],[County]]="Isle of Wight",Table1[[#This Row],[income]],0)</f>
        <v>0</v>
      </c>
      <c r="BZ162" s="20">
        <f ca="1">IF(Table1[[#This Row],[County]]="Surrey",Table1[[#This Row],[income]],0)</f>
        <v>0</v>
      </c>
      <c r="CA162" s="20">
        <f ca="1">IF(Table1[[#This Row],[County]]="Derbyshire",Table1[[#This Row],[income]],0)</f>
        <v>0</v>
      </c>
      <c r="CB162" s="20">
        <f ca="1">IF(Table1[[#This Row],[County]]="City of London",Table1[[#This Row],[income]],0)</f>
        <v>0</v>
      </c>
      <c r="CC162" s="20">
        <f ca="1">IF(Table1[[#This Row],[County]]="Bedfordshire",Table1[[#This Row],[income]],0)</f>
        <v>0</v>
      </c>
      <c r="CD162" s="20">
        <f ca="1">IF(Table1[[#This Row],[County]]="County Durham",Table1[[#This Row],[income]],0)</f>
        <v>0</v>
      </c>
      <c r="CE162" s="20">
        <f ca="1">IF(Table1[[#This Row],[County]]="East Riding of Yorkshire",Table1[[#This Row],[income]],0)</f>
        <v>0</v>
      </c>
      <c r="CF162" s="20">
        <f ca="1">IF(Table1[[#This Row],[County]]="West Yorkshire",Table1[[#This Row],[income]],0)</f>
        <v>0</v>
      </c>
      <c r="CG162" s="20">
        <f ca="1">IF(Table1[[#This Row],[County]]="Essex",Table1[[#This Row],[income]],0)</f>
        <v>0</v>
      </c>
      <c r="CH162" s="20">
        <f ca="1">IF(Table1[[#This Row],[County]]="East Sussex",Table1[[#This Row],[income]],0)</f>
        <v>0</v>
      </c>
      <c r="CI162" s="20">
        <f ca="1">IF(Table1[[#This Row],[County]]="Greater Manchester",Table1[[#This Row],[income]],0)</f>
        <v>0</v>
      </c>
      <c r="CJ162" s="20">
        <f ca="1">IF(Table1[[#This Row],[County]]="Hertfordshire",Table1[[#This Row],[income]],0)</f>
        <v>0</v>
      </c>
      <c r="CK162" s="20">
        <f ca="1">IF(Table1[[#This Row],[County]]="Herefordshire",Table1[[#This Row],[income]],0)</f>
        <v>0</v>
      </c>
      <c r="CL162" s="20">
        <f ca="1">IF(Table1[[#This Row],[County]]="Lancashire",Table1[[#This Row],[income]],0)</f>
        <v>0</v>
      </c>
      <c r="CM162" s="20">
        <f ca="1">IF(Table1[[#This Row],[County]]="Merseyside",Table1[[#This Row],[income]],0)</f>
        <v>0</v>
      </c>
      <c r="CN162" s="20">
        <f ca="1">IF(Table1[[#This Row],[County]]="Northamptonshire",Table1[[#This Row],[income]],0)</f>
        <v>0</v>
      </c>
      <c r="CO162" s="20">
        <f ca="1">IF(Table1[[#This Row],[County]]="Northumberland",Table1[[#This Row],[income]],0)</f>
        <v>0</v>
      </c>
      <c r="CP162" s="20">
        <f ca="1">IF(Table1[[#This Row],[County]]="Wiltshire",Table1[[#This Row],[income]],0)</f>
        <v>0</v>
      </c>
      <c r="CQ162" s="20">
        <f ca="1">IF(Table1[[#This Row],[County]]="West Midlands",Table1[[#This Row],[income]],0)</f>
        <v>0</v>
      </c>
      <c r="CR162" s="20">
        <f ca="1">IF(Table1[[#This Row],[County]]="Warwickshire",Table1[[#This Row],[income]],0)</f>
        <v>0</v>
      </c>
      <c r="CS162" s="20">
        <f ca="1">IF(Table1[[#This Row],[County]]="Tyne and Wear",Table1[[#This Row],[income]],0)</f>
        <v>0</v>
      </c>
      <c r="CT162" s="20">
        <f ca="1">IF(Table1[[#This Row],[County]]="Worcestershire",Table1[[#This Row],[income]],0)</f>
        <v>0</v>
      </c>
      <c r="CU162" s="20">
        <f ca="1">IF(Table1[[#This Row],[County]]="Rutland",Table1[[#This Row],[income]],0)</f>
        <v>0</v>
      </c>
      <c r="CV162" s="20">
        <f ca="1">IF(Table1[[#This Row],[County]]="Shropshire",Table1[[#This Row],[income]],0)</f>
        <v>0</v>
      </c>
      <c r="CW162" s="20">
        <f ca="1">IF(Table1[[#This Row],[County]]="Dorset",Table1[[#This Row],[income]],0)</f>
        <v>0</v>
      </c>
      <c r="CX162" s="20">
        <f ca="1">IF(Table1[[#This Row],[County]]="Buckinghamshire",Table1[[#This Row],[income]],0)</f>
        <v>0</v>
      </c>
      <c r="CY162" s="20">
        <f ca="1">IF(Table1[[#This Row],[County]]="Suffolk",Table1[[#This Row],[income]],0)</f>
        <v>0</v>
      </c>
      <c r="CZ162" s="20">
        <f ca="1">IF(Table1[[#This Row],[County]]="North Yorkshire",Table1[[#This Row],[income]],0)</f>
        <v>0</v>
      </c>
      <c r="DA162" s="20">
        <f ca="1">IF(Table1[[#This Row],[County]]="Kent",Table1[[#This Row],[income]],0)</f>
        <v>0</v>
      </c>
      <c r="DB162" s="5">
        <f ca="1">IF(Table1[[#This Row],[County]]="Derbyshire",Table1[[#This Row],[income]],0)</f>
        <v>0</v>
      </c>
      <c r="DD162" s="6">
        <f ca="1">IF(Table1[[#This Row],[Column1]]="Health",Table1[[#This Row],[income]],0)</f>
        <v>0</v>
      </c>
      <c r="DE162" s="20">
        <f ca="1">IF(Table1[[#This Row],[Column1]]="Agriculture",Table1[[#This Row],[income]],0)</f>
        <v>0</v>
      </c>
      <c r="DF162" s="20">
        <f ca="1">IF(Table1[[#This Row],[Column1]]="Technology",Table1[[#This Row],[income]],0)</f>
        <v>0</v>
      </c>
      <c r="DG162" s="20">
        <f ca="1">IF(Table1[[#This Row],[Column1]]="Social Service",Table1[[#This Row],[income]],0)</f>
        <v>0</v>
      </c>
      <c r="DH162" s="20">
        <f ca="1">IF(Table1[[#This Row],[Column1]]="Education",Table1[[#This Row],[income]],0)</f>
        <v>90906</v>
      </c>
      <c r="DI162" s="5">
        <f ca="1">IF(Table1[[#This Row],[Column1]]="Construction",Table1[[#This Row],[income]],0)</f>
        <v>0</v>
      </c>
      <c r="DK162" s="6">
        <f ca="1">IF(Table1[[#This Row],[Value of Debts]]&gt;Table1[[#This Row],[income]],1,0)</f>
        <v>1</v>
      </c>
      <c r="DL162" s="20"/>
      <c r="DM162" s="20"/>
      <c r="DN162" s="5"/>
      <c r="DP162" s="6">
        <f ca="1">IF(Table1[[#This Row],[Net Worth (£)]]&gt;$DS$5,C162,0)</f>
        <v>0</v>
      </c>
      <c r="DQ162" s="20"/>
      <c r="DR162" s="20"/>
      <c r="DS162" s="5"/>
    </row>
    <row r="163" spans="1:123" x14ac:dyDescent="0.2">
      <c r="A163">
        <f t="shared" ca="1" si="7"/>
        <v>1</v>
      </c>
      <c r="B163" s="1" t="str">
        <f ca="1">IF(A163=1, "men", "women")</f>
        <v>men</v>
      </c>
      <c r="C163" s="1">
        <f ca="1">RANDBETWEEN(25,50)</f>
        <v>39</v>
      </c>
      <c r="D163">
        <f ca="1">RANDBETWEEN(1,6)</f>
        <v>5</v>
      </c>
      <c r="E163" t="str">
        <f ca="1">VLOOKUP(D163,$W$5:$X$10,2)</f>
        <v>Social Service</v>
      </c>
      <c r="F163">
        <f ca="1">RANDBETWEEN(1,5)</f>
        <v>4</v>
      </c>
      <c r="G163" t="str">
        <f ca="1">VLOOKUP(F163,$Y$5:$Z$9,2)</f>
        <v xml:space="preserve">Technical </v>
      </c>
      <c r="H163">
        <f ca="1">RANDBETWEEN(0,4)</f>
        <v>0</v>
      </c>
      <c r="I163">
        <f ca="1">RANDBETWEEN(1,3)</f>
        <v>2</v>
      </c>
      <c r="J163">
        <f ca="1">RANDBETWEEN(30000,100000)</f>
        <v>35259</v>
      </c>
      <c r="K163">
        <f ca="1">RANDBETWEEN(1,48)</f>
        <v>41</v>
      </c>
      <c r="L163" t="str">
        <f ca="1">VLOOKUP(K163,$AA$5:$AB$52,2)</f>
        <v>Surrey</v>
      </c>
      <c r="M163">
        <f ca="1">J163*(RANDBETWEEN(2,5))</f>
        <v>141036</v>
      </c>
      <c r="N163">
        <f ca="1">RAND()*M163</f>
        <v>104857.01428225488</v>
      </c>
      <c r="O163">
        <f ca="1">I163*RAND()*J163</f>
        <v>56311.21695599355</v>
      </c>
      <c r="P163">
        <f ca="1">RANDBETWEEN(0,O163)</f>
        <v>50996</v>
      </c>
      <c r="Q163">
        <f ca="1">RAND()*J163*2</f>
        <v>70117.908702923931</v>
      </c>
      <c r="R163">
        <f ca="1">RAND()*J163*1.5</f>
        <v>20192.309272706796</v>
      </c>
      <c r="S163">
        <f ca="1">J163+R163+O163</f>
        <v>111762.52622870036</v>
      </c>
      <c r="T163">
        <f ca="1">N163+P163+Q163</f>
        <v>225970.92298517883</v>
      </c>
      <c r="U163">
        <f ca="1">S163-T163</f>
        <v>-114208.39675647847</v>
      </c>
      <c r="AC163" s="6">
        <f ca="1">IF(Table1[[#This Row],[gender]]="men",1,0)</f>
        <v>1</v>
      </c>
      <c r="AD163">
        <f ca="1">IF(Table1[[#This Row],[gender]]="women",1,0)</f>
        <v>0</v>
      </c>
      <c r="AH163" s="5"/>
      <c r="AJ163" s="6">
        <f ca="1">IF(Table1[[#This Row],[Column1]]="Health",1,0)</f>
        <v>0</v>
      </c>
      <c r="AK163">
        <f ca="1">IF(Table1[[#This Row],[Column1]]="Construction",1,0)</f>
        <v>0</v>
      </c>
      <c r="AL163">
        <f ca="1">IF(Table1[[#This Row],[Column1]]="Technology",1,0)</f>
        <v>0</v>
      </c>
      <c r="AM163">
        <f ca="1">IF(Table1[[#This Row],[Column1]]="Education",1,0)</f>
        <v>0</v>
      </c>
      <c r="AN163">
        <f ca="1">IF(Table1[[#This Row],[Column1]]="Agriculture",1,0)</f>
        <v>0</v>
      </c>
      <c r="AO163">
        <f ca="1">IF(Table1[[#This Row],[Column1]]="Social Service", 1, 0)</f>
        <v>1</v>
      </c>
      <c r="AT163" s="5"/>
      <c r="AV163" s="17">
        <f t="shared" ca="1" si="6"/>
        <v>29788.25127625198</v>
      </c>
      <c r="AW163" s="5"/>
      <c r="AX163" s="6">
        <f ca="1">IF(Table1[[#This Row],[Value of Debts]]&gt;$AY$4,1,0)</f>
        <v>1</v>
      </c>
      <c r="AY163" s="20"/>
      <c r="AZ163" s="20"/>
      <c r="BA163" s="5"/>
      <c r="BB163" s="25">
        <f ca="1">Table1[[#This Row],[Mortage Left]]/Table1[[#This Row],[Value of House]]</f>
        <v>0.74347694405864373</v>
      </c>
      <c r="BC163" s="20">
        <f t="shared" ca="1" si="8"/>
        <v>0</v>
      </c>
      <c r="BD163" s="20"/>
      <c r="BE163" s="20"/>
      <c r="BF163" s="20"/>
      <c r="BG163" s="6">
        <f ca="1">IF(Table1[[#This Row],[County]]="Cumbria",Table1[[#This Row],[income]],0)</f>
        <v>0</v>
      </c>
      <c r="BH163" s="20">
        <f ca="1">IF(Table1[[#This Row],[County]]="Cheshire",Table1[[#This Row],[income]],0)</f>
        <v>0</v>
      </c>
      <c r="BI163" s="20">
        <f ca="1">IF(Table1[[#This Row],[County]]="Bristol",Table1[[#This Row],[income]],0)</f>
        <v>0</v>
      </c>
      <c r="BJ163" s="20">
        <f ca="1">IF(Table1[[#This Row],[County]]="Surrey",Table1[[#This Row],[income]],0)</f>
        <v>35259</v>
      </c>
      <c r="BK163" s="20">
        <f ca="1">IF(Table1[[#This Row],[County]]="Norfolk",Table1[[#This Row],[income]],0)</f>
        <v>0</v>
      </c>
      <c r="BL163" s="20">
        <f ca="1">IF(Table1[[#This Row],[County]]="Lincolnshire",Table1[[#This Row],[income]],0)</f>
        <v>0</v>
      </c>
      <c r="BM163" s="20">
        <f ca="1">IF(Table1[[#This Row],[County]]="Somerset",Table1[[#This Row],[income]],0)</f>
        <v>0</v>
      </c>
      <c r="BN163" s="20">
        <f ca="1">IF(Table1[[#This Row],[County]]="Cambridgeshire",Table1[[#This Row],[income]],0)</f>
        <v>0</v>
      </c>
      <c r="BO163" s="20">
        <f ca="1">IF(Table1[[#This Row],[County]]="South Yorkshire",Table1[[#This Row],[income]],0)</f>
        <v>0</v>
      </c>
      <c r="BP163" s="20">
        <f ca="1">IF(Table1[[#This Row],[County]]="Greater London",Table1[[#This Row],[income]],0)</f>
        <v>0</v>
      </c>
      <c r="BQ163" s="20">
        <f ca="1">IF(Table1[[#This Row],[County]]="Hampshire",Table1[[#This Row],[income]],0)</f>
        <v>0</v>
      </c>
      <c r="BR163" s="20">
        <f ca="1">IF(Table1[[#This Row],[County]]="Gloucestershire",Table1[[#This Row],[income]],0)</f>
        <v>0</v>
      </c>
      <c r="BS163" s="20">
        <f ca="1">IF(Table1[[#This Row],[County]]="West Sussex",Table1[[#This Row],[income]],0)</f>
        <v>0</v>
      </c>
      <c r="BT163" s="20">
        <f ca="1">IF(Table1[[#This Row],[County]]="Devon",Table1[[#This Row],[income]],0)</f>
        <v>0</v>
      </c>
      <c r="BU163" s="20">
        <f ca="1">IF(Table1[[#This Row],[County]]="Berkshire",Table1[[#This Row],[income]],0)</f>
        <v>0</v>
      </c>
      <c r="BV163" s="20">
        <f ca="1">IF(Table1[[#This Row],[County]]="Staffordshire",Table1[[#This Row],[income]],0)</f>
        <v>0</v>
      </c>
      <c r="BW163" s="20">
        <f ca="1">IF(Table1[[#This Row],[County]]="Leicestershire",Table1[[#This Row],[income]],0)</f>
        <v>0</v>
      </c>
      <c r="BX163" s="20">
        <f ca="1">IF(Table1[[#This Row],[County]]="Cornwall",Table1[[#This Row],[income]],0)</f>
        <v>0</v>
      </c>
      <c r="BY163" s="20">
        <f ca="1">IF(Table1[[#This Row],[County]]="Isle of Wight",Table1[[#This Row],[income]],0)</f>
        <v>0</v>
      </c>
      <c r="BZ163" s="20">
        <f ca="1">IF(Table1[[#This Row],[County]]="Surrey",Table1[[#This Row],[income]],0)</f>
        <v>35259</v>
      </c>
      <c r="CA163" s="20">
        <f ca="1">IF(Table1[[#This Row],[County]]="Derbyshire",Table1[[#This Row],[income]],0)</f>
        <v>0</v>
      </c>
      <c r="CB163" s="20">
        <f ca="1">IF(Table1[[#This Row],[County]]="City of London",Table1[[#This Row],[income]],0)</f>
        <v>0</v>
      </c>
      <c r="CC163" s="20">
        <f ca="1">IF(Table1[[#This Row],[County]]="Bedfordshire",Table1[[#This Row],[income]],0)</f>
        <v>0</v>
      </c>
      <c r="CD163" s="20">
        <f ca="1">IF(Table1[[#This Row],[County]]="County Durham",Table1[[#This Row],[income]],0)</f>
        <v>0</v>
      </c>
      <c r="CE163" s="20">
        <f ca="1">IF(Table1[[#This Row],[County]]="East Riding of Yorkshire",Table1[[#This Row],[income]],0)</f>
        <v>0</v>
      </c>
      <c r="CF163" s="20">
        <f ca="1">IF(Table1[[#This Row],[County]]="West Yorkshire",Table1[[#This Row],[income]],0)</f>
        <v>0</v>
      </c>
      <c r="CG163" s="20">
        <f ca="1">IF(Table1[[#This Row],[County]]="Essex",Table1[[#This Row],[income]],0)</f>
        <v>0</v>
      </c>
      <c r="CH163" s="20">
        <f ca="1">IF(Table1[[#This Row],[County]]="East Sussex",Table1[[#This Row],[income]],0)</f>
        <v>0</v>
      </c>
      <c r="CI163" s="20">
        <f ca="1">IF(Table1[[#This Row],[County]]="Greater Manchester",Table1[[#This Row],[income]],0)</f>
        <v>0</v>
      </c>
      <c r="CJ163" s="20">
        <f ca="1">IF(Table1[[#This Row],[County]]="Hertfordshire",Table1[[#This Row],[income]],0)</f>
        <v>0</v>
      </c>
      <c r="CK163" s="20">
        <f ca="1">IF(Table1[[#This Row],[County]]="Herefordshire",Table1[[#This Row],[income]],0)</f>
        <v>0</v>
      </c>
      <c r="CL163" s="20">
        <f ca="1">IF(Table1[[#This Row],[County]]="Lancashire",Table1[[#This Row],[income]],0)</f>
        <v>0</v>
      </c>
      <c r="CM163" s="20">
        <f ca="1">IF(Table1[[#This Row],[County]]="Merseyside",Table1[[#This Row],[income]],0)</f>
        <v>0</v>
      </c>
      <c r="CN163" s="20">
        <f ca="1">IF(Table1[[#This Row],[County]]="Northamptonshire",Table1[[#This Row],[income]],0)</f>
        <v>0</v>
      </c>
      <c r="CO163" s="20">
        <f ca="1">IF(Table1[[#This Row],[County]]="Northumberland",Table1[[#This Row],[income]],0)</f>
        <v>0</v>
      </c>
      <c r="CP163" s="20">
        <f ca="1">IF(Table1[[#This Row],[County]]="Wiltshire",Table1[[#This Row],[income]],0)</f>
        <v>0</v>
      </c>
      <c r="CQ163" s="20">
        <f ca="1">IF(Table1[[#This Row],[County]]="West Midlands",Table1[[#This Row],[income]],0)</f>
        <v>0</v>
      </c>
      <c r="CR163" s="20">
        <f ca="1">IF(Table1[[#This Row],[County]]="Warwickshire",Table1[[#This Row],[income]],0)</f>
        <v>0</v>
      </c>
      <c r="CS163" s="20">
        <f ca="1">IF(Table1[[#This Row],[County]]="Tyne and Wear",Table1[[#This Row],[income]],0)</f>
        <v>0</v>
      </c>
      <c r="CT163" s="20">
        <f ca="1">IF(Table1[[#This Row],[County]]="Worcestershire",Table1[[#This Row],[income]],0)</f>
        <v>0</v>
      </c>
      <c r="CU163" s="20">
        <f ca="1">IF(Table1[[#This Row],[County]]="Rutland",Table1[[#This Row],[income]],0)</f>
        <v>0</v>
      </c>
      <c r="CV163" s="20">
        <f ca="1">IF(Table1[[#This Row],[County]]="Shropshire",Table1[[#This Row],[income]],0)</f>
        <v>0</v>
      </c>
      <c r="CW163" s="20">
        <f ca="1">IF(Table1[[#This Row],[County]]="Dorset",Table1[[#This Row],[income]],0)</f>
        <v>0</v>
      </c>
      <c r="CX163" s="20">
        <f ca="1">IF(Table1[[#This Row],[County]]="Buckinghamshire",Table1[[#This Row],[income]],0)</f>
        <v>0</v>
      </c>
      <c r="CY163" s="20">
        <f ca="1">IF(Table1[[#This Row],[County]]="Suffolk",Table1[[#This Row],[income]],0)</f>
        <v>0</v>
      </c>
      <c r="CZ163" s="20">
        <f ca="1">IF(Table1[[#This Row],[County]]="North Yorkshire",Table1[[#This Row],[income]],0)</f>
        <v>0</v>
      </c>
      <c r="DA163" s="20">
        <f ca="1">IF(Table1[[#This Row],[County]]="Kent",Table1[[#This Row],[income]],0)</f>
        <v>0</v>
      </c>
      <c r="DB163" s="5">
        <f ca="1">IF(Table1[[#This Row],[County]]="Derbyshire",Table1[[#This Row],[income]],0)</f>
        <v>0</v>
      </c>
      <c r="DD163" s="6">
        <f ca="1">IF(Table1[[#This Row],[Column1]]="Health",Table1[[#This Row],[income]],0)</f>
        <v>0</v>
      </c>
      <c r="DE163" s="20">
        <f ca="1">IF(Table1[[#This Row],[Column1]]="Agriculture",Table1[[#This Row],[income]],0)</f>
        <v>0</v>
      </c>
      <c r="DF163" s="20">
        <f ca="1">IF(Table1[[#This Row],[Column1]]="Technology",Table1[[#This Row],[income]],0)</f>
        <v>0</v>
      </c>
      <c r="DG163" s="20">
        <f ca="1">IF(Table1[[#This Row],[Column1]]="Social Service",Table1[[#This Row],[income]],0)</f>
        <v>35259</v>
      </c>
      <c r="DH163" s="20">
        <f ca="1">IF(Table1[[#This Row],[Column1]]="Education",Table1[[#This Row],[income]],0)</f>
        <v>0</v>
      </c>
      <c r="DI163" s="5">
        <f ca="1">IF(Table1[[#This Row],[Column1]]="Construction",Table1[[#This Row],[income]],0)</f>
        <v>0</v>
      </c>
      <c r="DK163" s="6">
        <f ca="1">IF(Table1[[#This Row],[Value of Debts]]&gt;Table1[[#This Row],[income]],1,0)</f>
        <v>1</v>
      </c>
      <c r="DL163" s="20"/>
      <c r="DM163" s="20"/>
      <c r="DN163" s="5"/>
      <c r="DP163" s="6">
        <f ca="1">IF(Table1[[#This Row],[Net Worth (£)]]&gt;$DS$5,C163,0)</f>
        <v>0</v>
      </c>
      <c r="DQ163" s="20"/>
      <c r="DR163" s="20"/>
      <c r="DS163" s="5"/>
    </row>
    <row r="164" spans="1:123" x14ac:dyDescent="0.2">
      <c r="A164">
        <f t="shared" ca="1" si="7"/>
        <v>2</v>
      </c>
      <c r="B164" s="1" t="str">
        <f ca="1">IF(A164=1, "men", "women")</f>
        <v>women</v>
      </c>
      <c r="C164" s="1">
        <f ca="1">RANDBETWEEN(25,50)</f>
        <v>29</v>
      </c>
      <c r="D164">
        <f ca="1">RANDBETWEEN(1,6)</f>
        <v>2</v>
      </c>
      <c r="E164" t="str">
        <f ca="1">VLOOKUP(D164,$W$5:$X$10,2)</f>
        <v>Construction</v>
      </c>
      <c r="F164">
        <f ca="1">RANDBETWEEN(1,5)</f>
        <v>5</v>
      </c>
      <c r="G164" t="str">
        <f ca="1">VLOOKUP(F164,$Y$5:$Z$9,2)</f>
        <v>Other</v>
      </c>
      <c r="H164">
        <f ca="1">RANDBETWEEN(0,4)</f>
        <v>0</v>
      </c>
      <c r="I164">
        <f ca="1">RANDBETWEEN(1,3)</f>
        <v>2</v>
      </c>
      <c r="J164">
        <f ca="1">RANDBETWEEN(30000,100000)</f>
        <v>96235</v>
      </c>
      <c r="K164">
        <f ca="1">RANDBETWEEN(1,48)</f>
        <v>40</v>
      </c>
      <c r="L164" t="str">
        <f ca="1">VLOOKUP(K164,$AA$5:$AB$52,2)</f>
        <v>Suffolk</v>
      </c>
      <c r="M164">
        <f ca="1">J164*(RANDBETWEEN(2,5))</f>
        <v>288705</v>
      </c>
      <c r="N164">
        <f ca="1">RAND()*M164</f>
        <v>79111.036883875902</v>
      </c>
      <c r="O164">
        <f ca="1">I164*RAND()*J164</f>
        <v>59576.50255250396</v>
      </c>
      <c r="P164">
        <f ca="1">RANDBETWEEN(0,O164)</f>
        <v>4286</v>
      </c>
      <c r="Q164">
        <f ca="1">RAND()*J164*2</f>
        <v>95378.457994653785</v>
      </c>
      <c r="R164">
        <f ca="1">RAND()*J164*1.5</f>
        <v>34615.48823255318</v>
      </c>
      <c r="S164">
        <f ca="1">J164+R164+O164</f>
        <v>190426.99078505713</v>
      </c>
      <c r="T164">
        <f ca="1">N164+P164+Q164</f>
        <v>178775.49487852969</v>
      </c>
      <c r="U164">
        <f ca="1">S164-T164</f>
        <v>11651.495906527445</v>
      </c>
      <c r="AC164" s="6">
        <f ca="1">IF(Table1[[#This Row],[gender]]="men",1,0)</f>
        <v>0</v>
      </c>
      <c r="AD164">
        <f ca="1">IF(Table1[[#This Row],[gender]]="women",1,0)</f>
        <v>1</v>
      </c>
      <c r="AH164" s="5"/>
      <c r="AJ164" s="6">
        <f ca="1">IF(Table1[[#This Row],[Column1]]="Health",1,0)</f>
        <v>0</v>
      </c>
      <c r="AK164">
        <f ca="1">IF(Table1[[#This Row],[Column1]]="Construction",1,0)</f>
        <v>1</v>
      </c>
      <c r="AL164">
        <f ca="1">IF(Table1[[#This Row],[Column1]]="Technology",1,0)</f>
        <v>0</v>
      </c>
      <c r="AM164">
        <f ca="1">IF(Table1[[#This Row],[Column1]]="Education",1,0)</f>
        <v>0</v>
      </c>
      <c r="AN164">
        <f ca="1">IF(Table1[[#This Row],[Column1]]="Agriculture",1,0)</f>
        <v>0</v>
      </c>
      <c r="AO164">
        <f ca="1">IF(Table1[[#This Row],[Column1]]="Social Service", 1, 0)</f>
        <v>0</v>
      </c>
      <c r="AT164" s="5"/>
      <c r="AV164" s="17">
        <f t="shared" ca="1" si="6"/>
        <v>42405.792400095015</v>
      </c>
      <c r="AW164" s="5"/>
      <c r="AX164" s="6">
        <f ca="1">IF(Table1[[#This Row],[Value of Debts]]&gt;$AY$4,1,0)</f>
        <v>1</v>
      </c>
      <c r="AY164" s="20"/>
      <c r="AZ164" s="20"/>
      <c r="BA164" s="5"/>
      <c r="BB164" s="25">
        <f ca="1">Table1[[#This Row],[Mortage Left]]/Table1[[#This Row],[Value of House]]</f>
        <v>0.27402032137952548</v>
      </c>
      <c r="BC164" s="20">
        <f t="shared" ca="1" si="8"/>
        <v>1</v>
      </c>
      <c r="BD164" s="20"/>
      <c r="BE164" s="20"/>
      <c r="BF164" s="20"/>
      <c r="BG164" s="6">
        <f ca="1">IF(Table1[[#This Row],[County]]="Cumbria",Table1[[#This Row],[income]],0)</f>
        <v>0</v>
      </c>
      <c r="BH164" s="20">
        <f ca="1">IF(Table1[[#This Row],[County]]="Cheshire",Table1[[#This Row],[income]],0)</f>
        <v>0</v>
      </c>
      <c r="BI164" s="20">
        <f ca="1">IF(Table1[[#This Row],[County]]="Bristol",Table1[[#This Row],[income]],0)</f>
        <v>0</v>
      </c>
      <c r="BJ164" s="20">
        <f ca="1">IF(Table1[[#This Row],[County]]="Surrey",Table1[[#This Row],[income]],0)</f>
        <v>0</v>
      </c>
      <c r="BK164" s="20">
        <f ca="1">IF(Table1[[#This Row],[County]]="Norfolk",Table1[[#This Row],[income]],0)</f>
        <v>0</v>
      </c>
      <c r="BL164" s="20">
        <f ca="1">IF(Table1[[#This Row],[County]]="Lincolnshire",Table1[[#This Row],[income]],0)</f>
        <v>0</v>
      </c>
      <c r="BM164" s="20">
        <f ca="1">IF(Table1[[#This Row],[County]]="Somerset",Table1[[#This Row],[income]],0)</f>
        <v>0</v>
      </c>
      <c r="BN164" s="20">
        <f ca="1">IF(Table1[[#This Row],[County]]="Cambridgeshire",Table1[[#This Row],[income]],0)</f>
        <v>0</v>
      </c>
      <c r="BO164" s="20">
        <f ca="1">IF(Table1[[#This Row],[County]]="South Yorkshire",Table1[[#This Row],[income]],0)</f>
        <v>0</v>
      </c>
      <c r="BP164" s="20">
        <f ca="1">IF(Table1[[#This Row],[County]]="Greater London",Table1[[#This Row],[income]],0)</f>
        <v>0</v>
      </c>
      <c r="BQ164" s="20">
        <f ca="1">IF(Table1[[#This Row],[County]]="Hampshire",Table1[[#This Row],[income]],0)</f>
        <v>0</v>
      </c>
      <c r="BR164" s="20">
        <f ca="1">IF(Table1[[#This Row],[County]]="Gloucestershire",Table1[[#This Row],[income]],0)</f>
        <v>0</v>
      </c>
      <c r="BS164" s="20">
        <f ca="1">IF(Table1[[#This Row],[County]]="West Sussex",Table1[[#This Row],[income]],0)</f>
        <v>0</v>
      </c>
      <c r="BT164" s="20">
        <f ca="1">IF(Table1[[#This Row],[County]]="Devon",Table1[[#This Row],[income]],0)</f>
        <v>0</v>
      </c>
      <c r="BU164" s="20">
        <f ca="1">IF(Table1[[#This Row],[County]]="Berkshire",Table1[[#This Row],[income]],0)</f>
        <v>0</v>
      </c>
      <c r="BV164" s="20">
        <f ca="1">IF(Table1[[#This Row],[County]]="Staffordshire",Table1[[#This Row],[income]],0)</f>
        <v>0</v>
      </c>
      <c r="BW164" s="20">
        <f ca="1">IF(Table1[[#This Row],[County]]="Leicestershire",Table1[[#This Row],[income]],0)</f>
        <v>0</v>
      </c>
      <c r="BX164" s="20">
        <f ca="1">IF(Table1[[#This Row],[County]]="Cornwall",Table1[[#This Row],[income]],0)</f>
        <v>0</v>
      </c>
      <c r="BY164" s="20">
        <f ca="1">IF(Table1[[#This Row],[County]]="Isle of Wight",Table1[[#This Row],[income]],0)</f>
        <v>0</v>
      </c>
      <c r="BZ164" s="20">
        <f ca="1">IF(Table1[[#This Row],[County]]="Surrey",Table1[[#This Row],[income]],0)</f>
        <v>0</v>
      </c>
      <c r="CA164" s="20">
        <f ca="1">IF(Table1[[#This Row],[County]]="Derbyshire",Table1[[#This Row],[income]],0)</f>
        <v>0</v>
      </c>
      <c r="CB164" s="20">
        <f ca="1">IF(Table1[[#This Row],[County]]="City of London",Table1[[#This Row],[income]],0)</f>
        <v>0</v>
      </c>
      <c r="CC164" s="20">
        <f ca="1">IF(Table1[[#This Row],[County]]="Bedfordshire",Table1[[#This Row],[income]],0)</f>
        <v>0</v>
      </c>
      <c r="CD164" s="20">
        <f ca="1">IF(Table1[[#This Row],[County]]="County Durham",Table1[[#This Row],[income]],0)</f>
        <v>0</v>
      </c>
      <c r="CE164" s="20">
        <f ca="1">IF(Table1[[#This Row],[County]]="East Riding of Yorkshire",Table1[[#This Row],[income]],0)</f>
        <v>0</v>
      </c>
      <c r="CF164" s="20">
        <f ca="1">IF(Table1[[#This Row],[County]]="West Yorkshire",Table1[[#This Row],[income]],0)</f>
        <v>0</v>
      </c>
      <c r="CG164" s="20">
        <f ca="1">IF(Table1[[#This Row],[County]]="Essex",Table1[[#This Row],[income]],0)</f>
        <v>0</v>
      </c>
      <c r="CH164" s="20">
        <f ca="1">IF(Table1[[#This Row],[County]]="East Sussex",Table1[[#This Row],[income]],0)</f>
        <v>0</v>
      </c>
      <c r="CI164" s="20">
        <f ca="1">IF(Table1[[#This Row],[County]]="Greater Manchester",Table1[[#This Row],[income]],0)</f>
        <v>0</v>
      </c>
      <c r="CJ164" s="20">
        <f ca="1">IF(Table1[[#This Row],[County]]="Hertfordshire",Table1[[#This Row],[income]],0)</f>
        <v>0</v>
      </c>
      <c r="CK164" s="20">
        <f ca="1">IF(Table1[[#This Row],[County]]="Herefordshire",Table1[[#This Row],[income]],0)</f>
        <v>0</v>
      </c>
      <c r="CL164" s="20">
        <f ca="1">IF(Table1[[#This Row],[County]]="Lancashire",Table1[[#This Row],[income]],0)</f>
        <v>0</v>
      </c>
      <c r="CM164" s="20">
        <f ca="1">IF(Table1[[#This Row],[County]]="Merseyside",Table1[[#This Row],[income]],0)</f>
        <v>0</v>
      </c>
      <c r="CN164" s="20">
        <f ca="1">IF(Table1[[#This Row],[County]]="Northamptonshire",Table1[[#This Row],[income]],0)</f>
        <v>0</v>
      </c>
      <c r="CO164" s="20">
        <f ca="1">IF(Table1[[#This Row],[County]]="Northumberland",Table1[[#This Row],[income]],0)</f>
        <v>0</v>
      </c>
      <c r="CP164" s="20">
        <f ca="1">IF(Table1[[#This Row],[County]]="Wiltshire",Table1[[#This Row],[income]],0)</f>
        <v>0</v>
      </c>
      <c r="CQ164" s="20">
        <f ca="1">IF(Table1[[#This Row],[County]]="West Midlands",Table1[[#This Row],[income]],0)</f>
        <v>0</v>
      </c>
      <c r="CR164" s="20">
        <f ca="1">IF(Table1[[#This Row],[County]]="Warwickshire",Table1[[#This Row],[income]],0)</f>
        <v>0</v>
      </c>
      <c r="CS164" s="20">
        <f ca="1">IF(Table1[[#This Row],[County]]="Tyne and Wear",Table1[[#This Row],[income]],0)</f>
        <v>0</v>
      </c>
      <c r="CT164" s="20">
        <f ca="1">IF(Table1[[#This Row],[County]]="Worcestershire",Table1[[#This Row],[income]],0)</f>
        <v>0</v>
      </c>
      <c r="CU164" s="20">
        <f ca="1">IF(Table1[[#This Row],[County]]="Rutland",Table1[[#This Row],[income]],0)</f>
        <v>0</v>
      </c>
      <c r="CV164" s="20">
        <f ca="1">IF(Table1[[#This Row],[County]]="Shropshire",Table1[[#This Row],[income]],0)</f>
        <v>0</v>
      </c>
      <c r="CW164" s="20">
        <f ca="1">IF(Table1[[#This Row],[County]]="Dorset",Table1[[#This Row],[income]],0)</f>
        <v>0</v>
      </c>
      <c r="CX164" s="20">
        <f ca="1">IF(Table1[[#This Row],[County]]="Buckinghamshire",Table1[[#This Row],[income]],0)</f>
        <v>0</v>
      </c>
      <c r="CY164" s="20">
        <f ca="1">IF(Table1[[#This Row],[County]]="Suffolk",Table1[[#This Row],[income]],0)</f>
        <v>96235</v>
      </c>
      <c r="CZ164" s="20">
        <f ca="1">IF(Table1[[#This Row],[County]]="North Yorkshire",Table1[[#This Row],[income]],0)</f>
        <v>0</v>
      </c>
      <c r="DA164" s="20">
        <f ca="1">IF(Table1[[#This Row],[County]]="Kent",Table1[[#This Row],[income]],0)</f>
        <v>0</v>
      </c>
      <c r="DB164" s="5">
        <f ca="1">IF(Table1[[#This Row],[County]]="Derbyshire",Table1[[#This Row],[income]],0)</f>
        <v>0</v>
      </c>
      <c r="DD164" s="6">
        <f ca="1">IF(Table1[[#This Row],[Column1]]="Health",Table1[[#This Row],[income]],0)</f>
        <v>0</v>
      </c>
      <c r="DE164" s="20">
        <f ca="1">IF(Table1[[#This Row],[Column1]]="Agriculture",Table1[[#This Row],[income]],0)</f>
        <v>0</v>
      </c>
      <c r="DF164" s="20">
        <f ca="1">IF(Table1[[#This Row],[Column1]]="Technology",Table1[[#This Row],[income]],0)</f>
        <v>0</v>
      </c>
      <c r="DG164" s="20">
        <f ca="1">IF(Table1[[#This Row],[Column1]]="Social Service",Table1[[#This Row],[income]],0)</f>
        <v>0</v>
      </c>
      <c r="DH164" s="20">
        <f ca="1">IF(Table1[[#This Row],[Column1]]="Education",Table1[[#This Row],[income]],0)</f>
        <v>0</v>
      </c>
      <c r="DI164" s="5">
        <f ca="1">IF(Table1[[#This Row],[Column1]]="Construction",Table1[[#This Row],[income]],0)</f>
        <v>96235</v>
      </c>
      <c r="DK164" s="6">
        <f ca="1">IF(Table1[[#This Row],[Value of Debts]]&gt;Table1[[#This Row],[income]],1,0)</f>
        <v>1</v>
      </c>
      <c r="DL164" s="20"/>
      <c r="DM164" s="20"/>
      <c r="DN164" s="5"/>
      <c r="DP164" s="6">
        <f ca="1">IF(Table1[[#This Row],[Net Worth (£)]]&gt;$DS$5,C164,0)</f>
        <v>0</v>
      </c>
      <c r="DQ164" s="20"/>
      <c r="DR164" s="20"/>
      <c r="DS164" s="5"/>
    </row>
    <row r="165" spans="1:123" x14ac:dyDescent="0.2">
      <c r="A165">
        <f t="shared" ca="1" si="7"/>
        <v>2</v>
      </c>
      <c r="B165" s="1" t="str">
        <f ca="1">IF(A165=1, "men", "women")</f>
        <v>women</v>
      </c>
      <c r="C165" s="1">
        <f ca="1">RANDBETWEEN(25,50)</f>
        <v>40</v>
      </c>
      <c r="D165">
        <f ca="1">RANDBETWEEN(1,6)</f>
        <v>2</v>
      </c>
      <c r="E165" t="str">
        <f ca="1">VLOOKUP(D165,$W$5:$X$10,2)</f>
        <v>Construction</v>
      </c>
      <c r="F165">
        <f ca="1">RANDBETWEEN(1,5)</f>
        <v>5</v>
      </c>
      <c r="G165" t="str">
        <f ca="1">VLOOKUP(F165,$Y$5:$Z$9,2)</f>
        <v>Other</v>
      </c>
      <c r="H165">
        <f ca="1">RANDBETWEEN(0,4)</f>
        <v>0</v>
      </c>
      <c r="I165">
        <f ca="1">RANDBETWEEN(1,3)</f>
        <v>2</v>
      </c>
      <c r="J165">
        <f ca="1">RANDBETWEEN(30000,100000)</f>
        <v>87561</v>
      </c>
      <c r="K165">
        <f ca="1">RANDBETWEEN(1,48)</f>
        <v>41</v>
      </c>
      <c r="L165" t="str">
        <f ca="1">VLOOKUP(K165,$AA$5:$AB$52,2)</f>
        <v>Surrey</v>
      </c>
      <c r="M165">
        <f ca="1">J165*(RANDBETWEEN(2,5))</f>
        <v>175122</v>
      </c>
      <c r="N165">
        <f ca="1">RAND()*M165</f>
        <v>90916.843059933279</v>
      </c>
      <c r="O165">
        <f ca="1">I165*RAND()*J165</f>
        <v>84811.58480019003</v>
      </c>
      <c r="P165">
        <f ca="1">RANDBETWEEN(0,O165)</f>
        <v>27584</v>
      </c>
      <c r="Q165">
        <f ca="1">RAND()*J165*2</f>
        <v>20095.953042169815</v>
      </c>
      <c r="R165">
        <f ca="1">RAND()*J165*1.5</f>
        <v>78502.848502478431</v>
      </c>
      <c r="S165">
        <f ca="1">J165+R165+O165</f>
        <v>250875.43330266848</v>
      </c>
      <c r="T165">
        <f ca="1">N165+P165+Q165</f>
        <v>138596.79610210308</v>
      </c>
      <c r="U165">
        <f ca="1">S165-T165</f>
        <v>112278.6372005654</v>
      </c>
      <c r="AC165" s="6">
        <f ca="1">IF(Table1[[#This Row],[gender]]="men",1,0)</f>
        <v>0</v>
      </c>
      <c r="AD165">
        <f ca="1">IF(Table1[[#This Row],[gender]]="women",1,0)</f>
        <v>1</v>
      </c>
      <c r="AH165" s="5"/>
      <c r="AJ165" s="6">
        <f ca="1">IF(Table1[[#This Row],[Column1]]="Health",1,0)</f>
        <v>0</v>
      </c>
      <c r="AK165">
        <f ca="1">IF(Table1[[#This Row],[Column1]]="Construction",1,0)</f>
        <v>1</v>
      </c>
      <c r="AL165">
        <f ca="1">IF(Table1[[#This Row],[Column1]]="Technology",1,0)</f>
        <v>0</v>
      </c>
      <c r="AM165">
        <f ca="1">IF(Table1[[#This Row],[Column1]]="Education",1,0)</f>
        <v>0</v>
      </c>
      <c r="AN165">
        <f ca="1">IF(Table1[[#This Row],[Column1]]="Agriculture",1,0)</f>
        <v>0</v>
      </c>
      <c r="AO165">
        <f ca="1">IF(Table1[[#This Row],[Column1]]="Social Service", 1, 0)</f>
        <v>0</v>
      </c>
      <c r="AT165" s="5"/>
      <c r="AV165" s="17">
        <f t="shared" ca="1" si="6"/>
        <v>17276.677857507064</v>
      </c>
      <c r="AW165" s="5"/>
      <c r="AX165" s="6">
        <f ca="1">IF(Table1[[#This Row],[Value of Debts]]&gt;$AY$4,1,0)</f>
        <v>1</v>
      </c>
      <c r="AY165" s="20"/>
      <c r="AZ165" s="20"/>
      <c r="BA165" s="5"/>
      <c r="BB165" s="25">
        <f ca="1">Table1[[#This Row],[Mortage Left]]/Table1[[#This Row],[Value of House]]</f>
        <v>0.51916288678711575</v>
      </c>
      <c r="BC165" s="20">
        <f t="shared" ca="1" si="8"/>
        <v>0</v>
      </c>
      <c r="BD165" s="20"/>
      <c r="BE165" s="20"/>
      <c r="BF165" s="20"/>
      <c r="BG165" s="6">
        <f ca="1">IF(Table1[[#This Row],[County]]="Cumbria",Table1[[#This Row],[income]],0)</f>
        <v>0</v>
      </c>
      <c r="BH165" s="20">
        <f ca="1">IF(Table1[[#This Row],[County]]="Cheshire",Table1[[#This Row],[income]],0)</f>
        <v>0</v>
      </c>
      <c r="BI165" s="20">
        <f ca="1">IF(Table1[[#This Row],[County]]="Bristol",Table1[[#This Row],[income]],0)</f>
        <v>0</v>
      </c>
      <c r="BJ165" s="20">
        <f ca="1">IF(Table1[[#This Row],[County]]="Surrey",Table1[[#This Row],[income]],0)</f>
        <v>87561</v>
      </c>
      <c r="BK165" s="20">
        <f ca="1">IF(Table1[[#This Row],[County]]="Norfolk",Table1[[#This Row],[income]],0)</f>
        <v>0</v>
      </c>
      <c r="BL165" s="20">
        <f ca="1">IF(Table1[[#This Row],[County]]="Lincolnshire",Table1[[#This Row],[income]],0)</f>
        <v>0</v>
      </c>
      <c r="BM165" s="20">
        <f ca="1">IF(Table1[[#This Row],[County]]="Somerset",Table1[[#This Row],[income]],0)</f>
        <v>0</v>
      </c>
      <c r="BN165" s="20">
        <f ca="1">IF(Table1[[#This Row],[County]]="Cambridgeshire",Table1[[#This Row],[income]],0)</f>
        <v>0</v>
      </c>
      <c r="BO165" s="20">
        <f ca="1">IF(Table1[[#This Row],[County]]="South Yorkshire",Table1[[#This Row],[income]],0)</f>
        <v>0</v>
      </c>
      <c r="BP165" s="20">
        <f ca="1">IF(Table1[[#This Row],[County]]="Greater London",Table1[[#This Row],[income]],0)</f>
        <v>0</v>
      </c>
      <c r="BQ165" s="20">
        <f ca="1">IF(Table1[[#This Row],[County]]="Hampshire",Table1[[#This Row],[income]],0)</f>
        <v>0</v>
      </c>
      <c r="BR165" s="20">
        <f ca="1">IF(Table1[[#This Row],[County]]="Gloucestershire",Table1[[#This Row],[income]],0)</f>
        <v>0</v>
      </c>
      <c r="BS165" s="20">
        <f ca="1">IF(Table1[[#This Row],[County]]="West Sussex",Table1[[#This Row],[income]],0)</f>
        <v>0</v>
      </c>
      <c r="BT165" s="20">
        <f ca="1">IF(Table1[[#This Row],[County]]="Devon",Table1[[#This Row],[income]],0)</f>
        <v>0</v>
      </c>
      <c r="BU165" s="20">
        <f ca="1">IF(Table1[[#This Row],[County]]="Berkshire",Table1[[#This Row],[income]],0)</f>
        <v>0</v>
      </c>
      <c r="BV165" s="20">
        <f ca="1">IF(Table1[[#This Row],[County]]="Staffordshire",Table1[[#This Row],[income]],0)</f>
        <v>0</v>
      </c>
      <c r="BW165" s="20">
        <f ca="1">IF(Table1[[#This Row],[County]]="Leicestershire",Table1[[#This Row],[income]],0)</f>
        <v>0</v>
      </c>
      <c r="BX165" s="20">
        <f ca="1">IF(Table1[[#This Row],[County]]="Cornwall",Table1[[#This Row],[income]],0)</f>
        <v>0</v>
      </c>
      <c r="BY165" s="20">
        <f ca="1">IF(Table1[[#This Row],[County]]="Isle of Wight",Table1[[#This Row],[income]],0)</f>
        <v>0</v>
      </c>
      <c r="BZ165" s="20">
        <f ca="1">IF(Table1[[#This Row],[County]]="Surrey",Table1[[#This Row],[income]],0)</f>
        <v>87561</v>
      </c>
      <c r="CA165" s="20">
        <f ca="1">IF(Table1[[#This Row],[County]]="Derbyshire",Table1[[#This Row],[income]],0)</f>
        <v>0</v>
      </c>
      <c r="CB165" s="20">
        <f ca="1">IF(Table1[[#This Row],[County]]="City of London",Table1[[#This Row],[income]],0)</f>
        <v>0</v>
      </c>
      <c r="CC165" s="20">
        <f ca="1">IF(Table1[[#This Row],[County]]="Bedfordshire",Table1[[#This Row],[income]],0)</f>
        <v>0</v>
      </c>
      <c r="CD165" s="20">
        <f ca="1">IF(Table1[[#This Row],[County]]="County Durham",Table1[[#This Row],[income]],0)</f>
        <v>0</v>
      </c>
      <c r="CE165" s="20">
        <f ca="1">IF(Table1[[#This Row],[County]]="East Riding of Yorkshire",Table1[[#This Row],[income]],0)</f>
        <v>0</v>
      </c>
      <c r="CF165" s="20">
        <f ca="1">IF(Table1[[#This Row],[County]]="West Yorkshire",Table1[[#This Row],[income]],0)</f>
        <v>0</v>
      </c>
      <c r="CG165" s="20">
        <f ca="1">IF(Table1[[#This Row],[County]]="Essex",Table1[[#This Row],[income]],0)</f>
        <v>0</v>
      </c>
      <c r="CH165" s="20">
        <f ca="1">IF(Table1[[#This Row],[County]]="East Sussex",Table1[[#This Row],[income]],0)</f>
        <v>0</v>
      </c>
      <c r="CI165" s="20">
        <f ca="1">IF(Table1[[#This Row],[County]]="Greater Manchester",Table1[[#This Row],[income]],0)</f>
        <v>0</v>
      </c>
      <c r="CJ165" s="20">
        <f ca="1">IF(Table1[[#This Row],[County]]="Hertfordshire",Table1[[#This Row],[income]],0)</f>
        <v>0</v>
      </c>
      <c r="CK165" s="20">
        <f ca="1">IF(Table1[[#This Row],[County]]="Herefordshire",Table1[[#This Row],[income]],0)</f>
        <v>0</v>
      </c>
      <c r="CL165" s="20">
        <f ca="1">IF(Table1[[#This Row],[County]]="Lancashire",Table1[[#This Row],[income]],0)</f>
        <v>0</v>
      </c>
      <c r="CM165" s="20">
        <f ca="1">IF(Table1[[#This Row],[County]]="Merseyside",Table1[[#This Row],[income]],0)</f>
        <v>0</v>
      </c>
      <c r="CN165" s="20">
        <f ca="1">IF(Table1[[#This Row],[County]]="Northamptonshire",Table1[[#This Row],[income]],0)</f>
        <v>0</v>
      </c>
      <c r="CO165" s="20">
        <f ca="1">IF(Table1[[#This Row],[County]]="Northumberland",Table1[[#This Row],[income]],0)</f>
        <v>0</v>
      </c>
      <c r="CP165" s="20">
        <f ca="1">IF(Table1[[#This Row],[County]]="Wiltshire",Table1[[#This Row],[income]],0)</f>
        <v>0</v>
      </c>
      <c r="CQ165" s="20">
        <f ca="1">IF(Table1[[#This Row],[County]]="West Midlands",Table1[[#This Row],[income]],0)</f>
        <v>0</v>
      </c>
      <c r="CR165" s="20">
        <f ca="1">IF(Table1[[#This Row],[County]]="Warwickshire",Table1[[#This Row],[income]],0)</f>
        <v>0</v>
      </c>
      <c r="CS165" s="20">
        <f ca="1">IF(Table1[[#This Row],[County]]="Tyne and Wear",Table1[[#This Row],[income]],0)</f>
        <v>0</v>
      </c>
      <c r="CT165" s="20">
        <f ca="1">IF(Table1[[#This Row],[County]]="Worcestershire",Table1[[#This Row],[income]],0)</f>
        <v>0</v>
      </c>
      <c r="CU165" s="20">
        <f ca="1">IF(Table1[[#This Row],[County]]="Rutland",Table1[[#This Row],[income]],0)</f>
        <v>0</v>
      </c>
      <c r="CV165" s="20">
        <f ca="1">IF(Table1[[#This Row],[County]]="Shropshire",Table1[[#This Row],[income]],0)</f>
        <v>0</v>
      </c>
      <c r="CW165" s="20">
        <f ca="1">IF(Table1[[#This Row],[County]]="Dorset",Table1[[#This Row],[income]],0)</f>
        <v>0</v>
      </c>
      <c r="CX165" s="20">
        <f ca="1">IF(Table1[[#This Row],[County]]="Buckinghamshire",Table1[[#This Row],[income]],0)</f>
        <v>0</v>
      </c>
      <c r="CY165" s="20">
        <f ca="1">IF(Table1[[#This Row],[County]]="Suffolk",Table1[[#This Row],[income]],0)</f>
        <v>0</v>
      </c>
      <c r="CZ165" s="20">
        <f ca="1">IF(Table1[[#This Row],[County]]="North Yorkshire",Table1[[#This Row],[income]],0)</f>
        <v>0</v>
      </c>
      <c r="DA165" s="20">
        <f ca="1">IF(Table1[[#This Row],[County]]="Kent",Table1[[#This Row],[income]],0)</f>
        <v>0</v>
      </c>
      <c r="DB165" s="5">
        <f ca="1">IF(Table1[[#This Row],[County]]="Derbyshire",Table1[[#This Row],[income]],0)</f>
        <v>0</v>
      </c>
      <c r="DD165" s="6">
        <f ca="1">IF(Table1[[#This Row],[Column1]]="Health",Table1[[#This Row],[income]],0)</f>
        <v>0</v>
      </c>
      <c r="DE165" s="20">
        <f ca="1">IF(Table1[[#This Row],[Column1]]="Agriculture",Table1[[#This Row],[income]],0)</f>
        <v>0</v>
      </c>
      <c r="DF165" s="20">
        <f ca="1">IF(Table1[[#This Row],[Column1]]="Technology",Table1[[#This Row],[income]],0)</f>
        <v>0</v>
      </c>
      <c r="DG165" s="20">
        <f ca="1">IF(Table1[[#This Row],[Column1]]="Social Service",Table1[[#This Row],[income]],0)</f>
        <v>0</v>
      </c>
      <c r="DH165" s="20">
        <f ca="1">IF(Table1[[#This Row],[Column1]]="Education",Table1[[#This Row],[income]],0)</f>
        <v>0</v>
      </c>
      <c r="DI165" s="5">
        <f ca="1">IF(Table1[[#This Row],[Column1]]="Construction",Table1[[#This Row],[income]],0)</f>
        <v>87561</v>
      </c>
      <c r="DK165" s="6">
        <f ca="1">IF(Table1[[#This Row],[Value of Debts]]&gt;Table1[[#This Row],[income]],1,0)</f>
        <v>1</v>
      </c>
      <c r="DL165" s="20"/>
      <c r="DM165" s="20"/>
      <c r="DN165" s="5"/>
      <c r="DP165" s="6">
        <f ca="1">IF(Table1[[#This Row],[Net Worth (£)]]&gt;$DS$5,C165,0)</f>
        <v>40</v>
      </c>
      <c r="DQ165" s="20"/>
      <c r="DR165" s="20"/>
      <c r="DS165" s="5"/>
    </row>
    <row r="166" spans="1:123" x14ac:dyDescent="0.2">
      <c r="A166">
        <f t="shared" ca="1" si="7"/>
        <v>1</v>
      </c>
      <c r="B166" s="1" t="str">
        <f ca="1">IF(A166=1, "men", "women")</f>
        <v>men</v>
      </c>
      <c r="C166" s="1">
        <f ca="1">RANDBETWEEN(25,50)</f>
        <v>39</v>
      </c>
      <c r="D166">
        <f ca="1">RANDBETWEEN(1,6)</f>
        <v>2</v>
      </c>
      <c r="E166" t="str">
        <f ca="1">VLOOKUP(D166,$W$5:$X$10,2)</f>
        <v>Construction</v>
      </c>
      <c r="F166">
        <f ca="1">RANDBETWEEN(1,5)</f>
        <v>4</v>
      </c>
      <c r="G166" t="str">
        <f ca="1">VLOOKUP(F166,$Y$5:$Z$9,2)</f>
        <v xml:space="preserve">Technical </v>
      </c>
      <c r="H166">
        <f ca="1">RANDBETWEEN(0,4)</f>
        <v>2</v>
      </c>
      <c r="I166">
        <f ca="1">RANDBETWEEN(1,3)</f>
        <v>1</v>
      </c>
      <c r="J166">
        <f ca="1">RANDBETWEEN(30000,100000)</f>
        <v>94908</v>
      </c>
      <c r="K166">
        <f ca="1">RANDBETWEEN(1,48)</f>
        <v>47</v>
      </c>
      <c r="L166" t="str">
        <f ca="1">VLOOKUP(K166,$AA$5:$AB$52,2)</f>
        <v>Wiltshire</v>
      </c>
      <c r="M166">
        <f ca="1">J166*(RANDBETWEEN(2,5))</f>
        <v>379632</v>
      </c>
      <c r="N166">
        <f ca="1">RAND()*M166</f>
        <v>286244.80949931295</v>
      </c>
      <c r="O166">
        <f ca="1">I166*RAND()*J166</f>
        <v>17276.677857507064</v>
      </c>
      <c r="P166">
        <f ca="1">RANDBETWEEN(0,O166)</f>
        <v>7329</v>
      </c>
      <c r="Q166">
        <f ca="1">RAND()*J166*2</f>
        <v>82840.048067794851</v>
      </c>
      <c r="R166">
        <f ca="1">RAND()*J166*1.5</f>
        <v>17733.994365939205</v>
      </c>
      <c r="S166">
        <f ca="1">J166+R166+O166</f>
        <v>129918.67222344626</v>
      </c>
      <c r="T166">
        <f ca="1">N166+P166+Q166</f>
        <v>376413.85756710777</v>
      </c>
      <c r="U166">
        <f ca="1">S166-T166</f>
        <v>-246495.18534366152</v>
      </c>
      <c r="AC166" s="6">
        <f ca="1">IF(Table1[[#This Row],[gender]]="men",1,0)</f>
        <v>1</v>
      </c>
      <c r="AD166">
        <f ca="1">IF(Table1[[#This Row],[gender]]="women",1,0)</f>
        <v>0</v>
      </c>
      <c r="AH166" s="5"/>
      <c r="AJ166" s="6">
        <f ca="1">IF(Table1[[#This Row],[Column1]]="Health",1,0)</f>
        <v>0</v>
      </c>
      <c r="AK166">
        <f ca="1">IF(Table1[[#This Row],[Column1]]="Construction",1,0)</f>
        <v>1</v>
      </c>
      <c r="AL166">
        <f ca="1">IF(Table1[[#This Row],[Column1]]="Technology",1,0)</f>
        <v>0</v>
      </c>
      <c r="AM166">
        <f ca="1">IF(Table1[[#This Row],[Column1]]="Education",1,0)</f>
        <v>0</v>
      </c>
      <c r="AN166">
        <f ca="1">IF(Table1[[#This Row],[Column1]]="Agriculture",1,0)</f>
        <v>0</v>
      </c>
      <c r="AO166">
        <f ca="1">IF(Table1[[#This Row],[Column1]]="Social Service", 1, 0)</f>
        <v>0</v>
      </c>
      <c r="AT166" s="5"/>
      <c r="AV166" s="17">
        <f t="shared" ca="1" si="6"/>
        <v>11607.585492715993</v>
      </c>
      <c r="AW166" s="5"/>
      <c r="AX166" s="6">
        <f ca="1">IF(Table1[[#This Row],[Value of Debts]]&gt;$AY$4,1,0)</f>
        <v>1</v>
      </c>
      <c r="AY166" s="20"/>
      <c r="AZ166" s="20"/>
      <c r="BA166" s="5"/>
      <c r="BB166" s="25">
        <f ca="1">Table1[[#This Row],[Mortage Left]]/Table1[[#This Row],[Value of House]]</f>
        <v>0.75400600976554388</v>
      </c>
      <c r="BC166" s="20">
        <f t="shared" ca="1" si="8"/>
        <v>0</v>
      </c>
      <c r="BD166" s="20"/>
      <c r="BE166" s="20"/>
      <c r="BF166" s="20"/>
      <c r="BG166" s="6">
        <f ca="1">IF(Table1[[#This Row],[County]]="Cumbria",Table1[[#This Row],[income]],0)</f>
        <v>0</v>
      </c>
      <c r="BH166" s="20">
        <f ca="1">IF(Table1[[#This Row],[County]]="Cheshire",Table1[[#This Row],[income]],0)</f>
        <v>0</v>
      </c>
      <c r="BI166" s="20">
        <f ca="1">IF(Table1[[#This Row],[County]]="Bristol",Table1[[#This Row],[income]],0)</f>
        <v>0</v>
      </c>
      <c r="BJ166" s="20">
        <f ca="1">IF(Table1[[#This Row],[County]]="Surrey",Table1[[#This Row],[income]],0)</f>
        <v>0</v>
      </c>
      <c r="BK166" s="20">
        <f ca="1">IF(Table1[[#This Row],[County]]="Norfolk",Table1[[#This Row],[income]],0)</f>
        <v>0</v>
      </c>
      <c r="BL166" s="20">
        <f ca="1">IF(Table1[[#This Row],[County]]="Lincolnshire",Table1[[#This Row],[income]],0)</f>
        <v>0</v>
      </c>
      <c r="BM166" s="20">
        <f ca="1">IF(Table1[[#This Row],[County]]="Somerset",Table1[[#This Row],[income]],0)</f>
        <v>0</v>
      </c>
      <c r="BN166" s="20">
        <f ca="1">IF(Table1[[#This Row],[County]]="Cambridgeshire",Table1[[#This Row],[income]],0)</f>
        <v>0</v>
      </c>
      <c r="BO166" s="20">
        <f ca="1">IF(Table1[[#This Row],[County]]="South Yorkshire",Table1[[#This Row],[income]],0)</f>
        <v>0</v>
      </c>
      <c r="BP166" s="20">
        <f ca="1">IF(Table1[[#This Row],[County]]="Greater London",Table1[[#This Row],[income]],0)</f>
        <v>0</v>
      </c>
      <c r="BQ166" s="20">
        <f ca="1">IF(Table1[[#This Row],[County]]="Hampshire",Table1[[#This Row],[income]],0)</f>
        <v>0</v>
      </c>
      <c r="BR166" s="20">
        <f ca="1">IF(Table1[[#This Row],[County]]="Gloucestershire",Table1[[#This Row],[income]],0)</f>
        <v>0</v>
      </c>
      <c r="BS166" s="20">
        <f ca="1">IF(Table1[[#This Row],[County]]="West Sussex",Table1[[#This Row],[income]],0)</f>
        <v>0</v>
      </c>
      <c r="BT166" s="20">
        <f ca="1">IF(Table1[[#This Row],[County]]="Devon",Table1[[#This Row],[income]],0)</f>
        <v>0</v>
      </c>
      <c r="BU166" s="20">
        <f ca="1">IF(Table1[[#This Row],[County]]="Berkshire",Table1[[#This Row],[income]],0)</f>
        <v>0</v>
      </c>
      <c r="BV166" s="20">
        <f ca="1">IF(Table1[[#This Row],[County]]="Staffordshire",Table1[[#This Row],[income]],0)</f>
        <v>0</v>
      </c>
      <c r="BW166" s="20">
        <f ca="1">IF(Table1[[#This Row],[County]]="Leicestershire",Table1[[#This Row],[income]],0)</f>
        <v>0</v>
      </c>
      <c r="BX166" s="20">
        <f ca="1">IF(Table1[[#This Row],[County]]="Cornwall",Table1[[#This Row],[income]],0)</f>
        <v>0</v>
      </c>
      <c r="BY166" s="20">
        <f ca="1">IF(Table1[[#This Row],[County]]="Isle of Wight",Table1[[#This Row],[income]],0)</f>
        <v>0</v>
      </c>
      <c r="BZ166" s="20">
        <f ca="1">IF(Table1[[#This Row],[County]]="Surrey",Table1[[#This Row],[income]],0)</f>
        <v>0</v>
      </c>
      <c r="CA166" s="20">
        <f ca="1">IF(Table1[[#This Row],[County]]="Derbyshire",Table1[[#This Row],[income]],0)</f>
        <v>0</v>
      </c>
      <c r="CB166" s="20">
        <f ca="1">IF(Table1[[#This Row],[County]]="City of London",Table1[[#This Row],[income]],0)</f>
        <v>0</v>
      </c>
      <c r="CC166" s="20">
        <f ca="1">IF(Table1[[#This Row],[County]]="Bedfordshire",Table1[[#This Row],[income]],0)</f>
        <v>0</v>
      </c>
      <c r="CD166" s="20">
        <f ca="1">IF(Table1[[#This Row],[County]]="County Durham",Table1[[#This Row],[income]],0)</f>
        <v>0</v>
      </c>
      <c r="CE166" s="20">
        <f ca="1">IF(Table1[[#This Row],[County]]="East Riding of Yorkshire",Table1[[#This Row],[income]],0)</f>
        <v>0</v>
      </c>
      <c r="CF166" s="20">
        <f ca="1">IF(Table1[[#This Row],[County]]="West Yorkshire",Table1[[#This Row],[income]],0)</f>
        <v>0</v>
      </c>
      <c r="CG166" s="20">
        <f ca="1">IF(Table1[[#This Row],[County]]="Essex",Table1[[#This Row],[income]],0)</f>
        <v>0</v>
      </c>
      <c r="CH166" s="20">
        <f ca="1">IF(Table1[[#This Row],[County]]="East Sussex",Table1[[#This Row],[income]],0)</f>
        <v>0</v>
      </c>
      <c r="CI166" s="20">
        <f ca="1">IF(Table1[[#This Row],[County]]="Greater Manchester",Table1[[#This Row],[income]],0)</f>
        <v>0</v>
      </c>
      <c r="CJ166" s="20">
        <f ca="1">IF(Table1[[#This Row],[County]]="Hertfordshire",Table1[[#This Row],[income]],0)</f>
        <v>0</v>
      </c>
      <c r="CK166" s="20">
        <f ca="1">IF(Table1[[#This Row],[County]]="Herefordshire",Table1[[#This Row],[income]],0)</f>
        <v>0</v>
      </c>
      <c r="CL166" s="20">
        <f ca="1">IF(Table1[[#This Row],[County]]="Lancashire",Table1[[#This Row],[income]],0)</f>
        <v>0</v>
      </c>
      <c r="CM166" s="20">
        <f ca="1">IF(Table1[[#This Row],[County]]="Merseyside",Table1[[#This Row],[income]],0)</f>
        <v>0</v>
      </c>
      <c r="CN166" s="20">
        <f ca="1">IF(Table1[[#This Row],[County]]="Northamptonshire",Table1[[#This Row],[income]],0)</f>
        <v>0</v>
      </c>
      <c r="CO166" s="20">
        <f ca="1">IF(Table1[[#This Row],[County]]="Northumberland",Table1[[#This Row],[income]],0)</f>
        <v>0</v>
      </c>
      <c r="CP166" s="20">
        <f ca="1">IF(Table1[[#This Row],[County]]="Wiltshire",Table1[[#This Row],[income]],0)</f>
        <v>94908</v>
      </c>
      <c r="CQ166" s="20">
        <f ca="1">IF(Table1[[#This Row],[County]]="West Midlands",Table1[[#This Row],[income]],0)</f>
        <v>0</v>
      </c>
      <c r="CR166" s="20">
        <f ca="1">IF(Table1[[#This Row],[County]]="Warwickshire",Table1[[#This Row],[income]],0)</f>
        <v>0</v>
      </c>
      <c r="CS166" s="20">
        <f ca="1">IF(Table1[[#This Row],[County]]="Tyne and Wear",Table1[[#This Row],[income]],0)</f>
        <v>0</v>
      </c>
      <c r="CT166" s="20">
        <f ca="1">IF(Table1[[#This Row],[County]]="Worcestershire",Table1[[#This Row],[income]],0)</f>
        <v>0</v>
      </c>
      <c r="CU166" s="20">
        <f ca="1">IF(Table1[[#This Row],[County]]="Rutland",Table1[[#This Row],[income]],0)</f>
        <v>0</v>
      </c>
      <c r="CV166" s="20">
        <f ca="1">IF(Table1[[#This Row],[County]]="Shropshire",Table1[[#This Row],[income]],0)</f>
        <v>0</v>
      </c>
      <c r="CW166" s="20">
        <f ca="1">IF(Table1[[#This Row],[County]]="Dorset",Table1[[#This Row],[income]],0)</f>
        <v>0</v>
      </c>
      <c r="CX166" s="20">
        <f ca="1">IF(Table1[[#This Row],[County]]="Buckinghamshire",Table1[[#This Row],[income]],0)</f>
        <v>0</v>
      </c>
      <c r="CY166" s="20">
        <f ca="1">IF(Table1[[#This Row],[County]]="Suffolk",Table1[[#This Row],[income]],0)</f>
        <v>0</v>
      </c>
      <c r="CZ166" s="20">
        <f ca="1">IF(Table1[[#This Row],[County]]="North Yorkshire",Table1[[#This Row],[income]],0)</f>
        <v>0</v>
      </c>
      <c r="DA166" s="20">
        <f ca="1">IF(Table1[[#This Row],[County]]="Kent",Table1[[#This Row],[income]],0)</f>
        <v>0</v>
      </c>
      <c r="DB166" s="5">
        <f ca="1">IF(Table1[[#This Row],[County]]="Derbyshire",Table1[[#This Row],[income]],0)</f>
        <v>0</v>
      </c>
      <c r="DD166" s="6">
        <f ca="1">IF(Table1[[#This Row],[Column1]]="Health",Table1[[#This Row],[income]],0)</f>
        <v>0</v>
      </c>
      <c r="DE166" s="20">
        <f ca="1">IF(Table1[[#This Row],[Column1]]="Agriculture",Table1[[#This Row],[income]],0)</f>
        <v>0</v>
      </c>
      <c r="DF166" s="20">
        <f ca="1">IF(Table1[[#This Row],[Column1]]="Technology",Table1[[#This Row],[income]],0)</f>
        <v>0</v>
      </c>
      <c r="DG166" s="20">
        <f ca="1">IF(Table1[[#This Row],[Column1]]="Social Service",Table1[[#This Row],[income]],0)</f>
        <v>0</v>
      </c>
      <c r="DH166" s="20">
        <f ca="1">IF(Table1[[#This Row],[Column1]]="Education",Table1[[#This Row],[income]],0)</f>
        <v>0</v>
      </c>
      <c r="DI166" s="5">
        <f ca="1">IF(Table1[[#This Row],[Column1]]="Construction",Table1[[#This Row],[income]],0)</f>
        <v>94908</v>
      </c>
      <c r="DK166" s="6">
        <f ca="1">IF(Table1[[#This Row],[Value of Debts]]&gt;Table1[[#This Row],[income]],1,0)</f>
        <v>1</v>
      </c>
      <c r="DL166" s="20"/>
      <c r="DM166" s="20"/>
      <c r="DN166" s="5"/>
      <c r="DP166" s="6">
        <f ca="1">IF(Table1[[#This Row],[Net Worth (£)]]&gt;$DS$5,C166,0)</f>
        <v>0</v>
      </c>
      <c r="DQ166" s="20"/>
      <c r="DR166" s="20"/>
      <c r="DS166" s="5"/>
    </row>
    <row r="167" spans="1:123" x14ac:dyDescent="0.2">
      <c r="A167">
        <f t="shared" ca="1" si="7"/>
        <v>2</v>
      </c>
      <c r="B167" s="1" t="str">
        <f ca="1">IF(A167=1, "men", "women")</f>
        <v>women</v>
      </c>
      <c r="C167" s="1">
        <f ca="1">RANDBETWEEN(25,50)</f>
        <v>42</v>
      </c>
      <c r="D167">
        <f ca="1">RANDBETWEEN(1,6)</f>
        <v>6</v>
      </c>
      <c r="E167" t="str">
        <f ca="1">VLOOKUP(D167,$W$5:$X$10,2)</f>
        <v>Agriculture</v>
      </c>
      <c r="F167">
        <f ca="1">RANDBETWEEN(1,5)</f>
        <v>5</v>
      </c>
      <c r="G167" t="str">
        <f ca="1">VLOOKUP(F167,$Y$5:$Z$9,2)</f>
        <v>Other</v>
      </c>
      <c r="H167">
        <f ca="1">RANDBETWEEN(0,4)</f>
        <v>0</v>
      </c>
      <c r="I167">
        <f ca="1">RANDBETWEEN(1,3)</f>
        <v>2</v>
      </c>
      <c r="J167">
        <f ca="1">RANDBETWEEN(30000,100000)</f>
        <v>72270</v>
      </c>
      <c r="K167">
        <f ca="1">RANDBETWEEN(1,48)</f>
        <v>1</v>
      </c>
      <c r="L167" t="str">
        <f ca="1">VLOOKUP(K167,$AA$5:$AB$52,2)</f>
        <v>Bedfordshire</v>
      </c>
      <c r="M167">
        <f ca="1">J167*(RANDBETWEEN(2,5))</f>
        <v>361350</v>
      </c>
      <c r="N167">
        <f ca="1">RAND()*M167</f>
        <v>361320.83290389116</v>
      </c>
      <c r="O167">
        <f ca="1">I167*RAND()*J167</f>
        <v>23215.170985431985</v>
      </c>
      <c r="P167">
        <f ca="1">RANDBETWEEN(0,O167)</f>
        <v>17452</v>
      </c>
      <c r="Q167">
        <f ca="1">RAND()*J167*2</f>
        <v>24499.812603468396</v>
      </c>
      <c r="R167">
        <f ca="1">RAND()*J167*1.5</f>
        <v>78353.563002234616</v>
      </c>
      <c r="S167">
        <f ca="1">J167+R167+O167</f>
        <v>173838.73398766661</v>
      </c>
      <c r="T167">
        <f ca="1">N167+P167+Q167</f>
        <v>403272.64550735953</v>
      </c>
      <c r="U167">
        <f ca="1">S167-T167</f>
        <v>-229433.91151969292</v>
      </c>
      <c r="AC167" s="6">
        <f ca="1">IF(Table1[[#This Row],[gender]]="men",1,0)</f>
        <v>0</v>
      </c>
      <c r="AD167">
        <f ca="1">IF(Table1[[#This Row],[gender]]="women",1,0)</f>
        <v>1</v>
      </c>
      <c r="AH167" s="5"/>
      <c r="AJ167" s="6">
        <f ca="1">IF(Table1[[#This Row],[Column1]]="Health",1,0)</f>
        <v>0</v>
      </c>
      <c r="AK167">
        <f ca="1">IF(Table1[[#This Row],[Column1]]="Construction",1,0)</f>
        <v>0</v>
      </c>
      <c r="AL167">
        <f ca="1">IF(Table1[[#This Row],[Column1]]="Technology",1,0)</f>
        <v>0</v>
      </c>
      <c r="AM167">
        <f ca="1">IF(Table1[[#This Row],[Column1]]="Education",1,0)</f>
        <v>0</v>
      </c>
      <c r="AN167">
        <f ca="1">IF(Table1[[#This Row],[Column1]]="Agriculture",1,0)</f>
        <v>1</v>
      </c>
      <c r="AO167">
        <f ca="1">IF(Table1[[#This Row],[Column1]]="Social Service", 1, 0)</f>
        <v>0</v>
      </c>
      <c r="AT167" s="5"/>
      <c r="AV167" s="17">
        <f t="shared" ca="1" si="6"/>
        <v>19170.874261223529</v>
      </c>
      <c r="AW167" s="5"/>
      <c r="AX167" s="6">
        <f ca="1">IF(Table1[[#This Row],[Value of Debts]]&gt;$AY$4,1,0)</f>
        <v>1</v>
      </c>
      <c r="AY167" s="20"/>
      <c r="AZ167" s="20"/>
      <c r="BA167" s="5"/>
      <c r="BB167" s="25">
        <f ca="1">Table1[[#This Row],[Mortage Left]]/Table1[[#This Row],[Value of House]]</f>
        <v>0.99991928297742128</v>
      </c>
      <c r="BC167" s="20">
        <f t="shared" ca="1" si="8"/>
        <v>0</v>
      </c>
      <c r="BD167" s="20"/>
      <c r="BE167" s="20"/>
      <c r="BF167" s="20"/>
      <c r="BG167" s="6">
        <f ca="1">IF(Table1[[#This Row],[County]]="Cumbria",Table1[[#This Row],[income]],0)</f>
        <v>0</v>
      </c>
      <c r="BH167" s="20">
        <f ca="1">IF(Table1[[#This Row],[County]]="Cheshire",Table1[[#This Row],[income]],0)</f>
        <v>0</v>
      </c>
      <c r="BI167" s="20">
        <f ca="1">IF(Table1[[#This Row],[County]]="Bristol",Table1[[#This Row],[income]],0)</f>
        <v>0</v>
      </c>
      <c r="BJ167" s="20">
        <f ca="1">IF(Table1[[#This Row],[County]]="Surrey",Table1[[#This Row],[income]],0)</f>
        <v>0</v>
      </c>
      <c r="BK167" s="20">
        <f ca="1">IF(Table1[[#This Row],[County]]="Norfolk",Table1[[#This Row],[income]],0)</f>
        <v>0</v>
      </c>
      <c r="BL167" s="20">
        <f ca="1">IF(Table1[[#This Row],[County]]="Lincolnshire",Table1[[#This Row],[income]],0)</f>
        <v>0</v>
      </c>
      <c r="BM167" s="20">
        <f ca="1">IF(Table1[[#This Row],[County]]="Somerset",Table1[[#This Row],[income]],0)</f>
        <v>0</v>
      </c>
      <c r="BN167" s="20">
        <f ca="1">IF(Table1[[#This Row],[County]]="Cambridgeshire",Table1[[#This Row],[income]],0)</f>
        <v>0</v>
      </c>
      <c r="BO167" s="20">
        <f ca="1">IF(Table1[[#This Row],[County]]="South Yorkshire",Table1[[#This Row],[income]],0)</f>
        <v>0</v>
      </c>
      <c r="BP167" s="20">
        <f ca="1">IF(Table1[[#This Row],[County]]="Greater London",Table1[[#This Row],[income]],0)</f>
        <v>0</v>
      </c>
      <c r="BQ167" s="20">
        <f ca="1">IF(Table1[[#This Row],[County]]="Hampshire",Table1[[#This Row],[income]],0)</f>
        <v>0</v>
      </c>
      <c r="BR167" s="20">
        <f ca="1">IF(Table1[[#This Row],[County]]="Gloucestershire",Table1[[#This Row],[income]],0)</f>
        <v>0</v>
      </c>
      <c r="BS167" s="20">
        <f ca="1">IF(Table1[[#This Row],[County]]="West Sussex",Table1[[#This Row],[income]],0)</f>
        <v>0</v>
      </c>
      <c r="BT167" s="20">
        <f ca="1">IF(Table1[[#This Row],[County]]="Devon",Table1[[#This Row],[income]],0)</f>
        <v>0</v>
      </c>
      <c r="BU167" s="20">
        <f ca="1">IF(Table1[[#This Row],[County]]="Berkshire",Table1[[#This Row],[income]],0)</f>
        <v>0</v>
      </c>
      <c r="BV167" s="20">
        <f ca="1">IF(Table1[[#This Row],[County]]="Staffordshire",Table1[[#This Row],[income]],0)</f>
        <v>0</v>
      </c>
      <c r="BW167" s="20">
        <f ca="1">IF(Table1[[#This Row],[County]]="Leicestershire",Table1[[#This Row],[income]],0)</f>
        <v>0</v>
      </c>
      <c r="BX167" s="20">
        <f ca="1">IF(Table1[[#This Row],[County]]="Cornwall",Table1[[#This Row],[income]],0)</f>
        <v>0</v>
      </c>
      <c r="BY167" s="20">
        <f ca="1">IF(Table1[[#This Row],[County]]="Isle of Wight",Table1[[#This Row],[income]],0)</f>
        <v>0</v>
      </c>
      <c r="BZ167" s="20">
        <f ca="1">IF(Table1[[#This Row],[County]]="Surrey",Table1[[#This Row],[income]],0)</f>
        <v>0</v>
      </c>
      <c r="CA167" s="20">
        <f ca="1">IF(Table1[[#This Row],[County]]="Derbyshire",Table1[[#This Row],[income]],0)</f>
        <v>0</v>
      </c>
      <c r="CB167" s="20">
        <f ca="1">IF(Table1[[#This Row],[County]]="City of London",Table1[[#This Row],[income]],0)</f>
        <v>0</v>
      </c>
      <c r="CC167" s="20">
        <f ca="1">IF(Table1[[#This Row],[County]]="Bedfordshire",Table1[[#This Row],[income]],0)</f>
        <v>72270</v>
      </c>
      <c r="CD167" s="20">
        <f ca="1">IF(Table1[[#This Row],[County]]="County Durham",Table1[[#This Row],[income]],0)</f>
        <v>0</v>
      </c>
      <c r="CE167" s="20">
        <f ca="1">IF(Table1[[#This Row],[County]]="East Riding of Yorkshire",Table1[[#This Row],[income]],0)</f>
        <v>0</v>
      </c>
      <c r="CF167" s="20">
        <f ca="1">IF(Table1[[#This Row],[County]]="West Yorkshire",Table1[[#This Row],[income]],0)</f>
        <v>0</v>
      </c>
      <c r="CG167" s="20">
        <f ca="1">IF(Table1[[#This Row],[County]]="Essex",Table1[[#This Row],[income]],0)</f>
        <v>0</v>
      </c>
      <c r="CH167" s="20">
        <f ca="1">IF(Table1[[#This Row],[County]]="East Sussex",Table1[[#This Row],[income]],0)</f>
        <v>0</v>
      </c>
      <c r="CI167" s="20">
        <f ca="1">IF(Table1[[#This Row],[County]]="Greater Manchester",Table1[[#This Row],[income]],0)</f>
        <v>0</v>
      </c>
      <c r="CJ167" s="20">
        <f ca="1">IF(Table1[[#This Row],[County]]="Hertfordshire",Table1[[#This Row],[income]],0)</f>
        <v>0</v>
      </c>
      <c r="CK167" s="20">
        <f ca="1">IF(Table1[[#This Row],[County]]="Herefordshire",Table1[[#This Row],[income]],0)</f>
        <v>0</v>
      </c>
      <c r="CL167" s="20">
        <f ca="1">IF(Table1[[#This Row],[County]]="Lancashire",Table1[[#This Row],[income]],0)</f>
        <v>0</v>
      </c>
      <c r="CM167" s="20">
        <f ca="1">IF(Table1[[#This Row],[County]]="Merseyside",Table1[[#This Row],[income]],0)</f>
        <v>0</v>
      </c>
      <c r="CN167" s="20">
        <f ca="1">IF(Table1[[#This Row],[County]]="Northamptonshire",Table1[[#This Row],[income]],0)</f>
        <v>0</v>
      </c>
      <c r="CO167" s="20">
        <f ca="1">IF(Table1[[#This Row],[County]]="Northumberland",Table1[[#This Row],[income]],0)</f>
        <v>0</v>
      </c>
      <c r="CP167" s="20">
        <f ca="1">IF(Table1[[#This Row],[County]]="Wiltshire",Table1[[#This Row],[income]],0)</f>
        <v>0</v>
      </c>
      <c r="CQ167" s="20">
        <f ca="1">IF(Table1[[#This Row],[County]]="West Midlands",Table1[[#This Row],[income]],0)</f>
        <v>0</v>
      </c>
      <c r="CR167" s="20">
        <f ca="1">IF(Table1[[#This Row],[County]]="Warwickshire",Table1[[#This Row],[income]],0)</f>
        <v>0</v>
      </c>
      <c r="CS167" s="20">
        <f ca="1">IF(Table1[[#This Row],[County]]="Tyne and Wear",Table1[[#This Row],[income]],0)</f>
        <v>0</v>
      </c>
      <c r="CT167" s="20">
        <f ca="1">IF(Table1[[#This Row],[County]]="Worcestershire",Table1[[#This Row],[income]],0)</f>
        <v>0</v>
      </c>
      <c r="CU167" s="20">
        <f ca="1">IF(Table1[[#This Row],[County]]="Rutland",Table1[[#This Row],[income]],0)</f>
        <v>0</v>
      </c>
      <c r="CV167" s="20">
        <f ca="1">IF(Table1[[#This Row],[County]]="Shropshire",Table1[[#This Row],[income]],0)</f>
        <v>0</v>
      </c>
      <c r="CW167" s="20">
        <f ca="1">IF(Table1[[#This Row],[County]]="Dorset",Table1[[#This Row],[income]],0)</f>
        <v>0</v>
      </c>
      <c r="CX167" s="20">
        <f ca="1">IF(Table1[[#This Row],[County]]="Buckinghamshire",Table1[[#This Row],[income]],0)</f>
        <v>0</v>
      </c>
      <c r="CY167" s="20">
        <f ca="1">IF(Table1[[#This Row],[County]]="Suffolk",Table1[[#This Row],[income]],0)</f>
        <v>0</v>
      </c>
      <c r="CZ167" s="20">
        <f ca="1">IF(Table1[[#This Row],[County]]="North Yorkshire",Table1[[#This Row],[income]],0)</f>
        <v>0</v>
      </c>
      <c r="DA167" s="20">
        <f ca="1">IF(Table1[[#This Row],[County]]="Kent",Table1[[#This Row],[income]],0)</f>
        <v>0</v>
      </c>
      <c r="DB167" s="5">
        <f ca="1">IF(Table1[[#This Row],[County]]="Derbyshire",Table1[[#This Row],[income]],0)</f>
        <v>0</v>
      </c>
      <c r="DD167" s="6">
        <f ca="1">IF(Table1[[#This Row],[Column1]]="Health",Table1[[#This Row],[income]],0)</f>
        <v>0</v>
      </c>
      <c r="DE167" s="20">
        <f ca="1">IF(Table1[[#This Row],[Column1]]="Agriculture",Table1[[#This Row],[income]],0)</f>
        <v>72270</v>
      </c>
      <c r="DF167" s="20">
        <f ca="1">IF(Table1[[#This Row],[Column1]]="Technology",Table1[[#This Row],[income]],0)</f>
        <v>0</v>
      </c>
      <c r="DG167" s="20">
        <f ca="1">IF(Table1[[#This Row],[Column1]]="Social Service",Table1[[#This Row],[income]],0)</f>
        <v>0</v>
      </c>
      <c r="DH167" s="20">
        <f ca="1">IF(Table1[[#This Row],[Column1]]="Education",Table1[[#This Row],[income]],0)</f>
        <v>0</v>
      </c>
      <c r="DI167" s="5">
        <f ca="1">IF(Table1[[#This Row],[Column1]]="Construction",Table1[[#This Row],[income]],0)</f>
        <v>0</v>
      </c>
      <c r="DK167" s="6">
        <f ca="1">IF(Table1[[#This Row],[Value of Debts]]&gt;Table1[[#This Row],[income]],1,0)</f>
        <v>1</v>
      </c>
      <c r="DL167" s="20"/>
      <c r="DM167" s="20"/>
      <c r="DN167" s="5"/>
      <c r="DP167" s="6">
        <f ca="1">IF(Table1[[#This Row],[Net Worth (£)]]&gt;$DS$5,C167,0)</f>
        <v>0</v>
      </c>
      <c r="DQ167" s="20"/>
      <c r="DR167" s="20"/>
      <c r="DS167" s="5"/>
    </row>
    <row r="168" spans="1:123" x14ac:dyDescent="0.2">
      <c r="A168">
        <f t="shared" ca="1" si="7"/>
        <v>2</v>
      </c>
      <c r="B168" s="1" t="str">
        <f ca="1">IF(A168=1, "men", "women")</f>
        <v>women</v>
      </c>
      <c r="C168" s="1">
        <f ca="1">RANDBETWEEN(25,50)</f>
        <v>47</v>
      </c>
      <c r="D168">
        <f ca="1">RANDBETWEEN(1,6)</f>
        <v>3</v>
      </c>
      <c r="E168" t="str">
        <f ca="1">VLOOKUP(D168,$W$5:$X$10,2)</f>
        <v>Education</v>
      </c>
      <c r="F168">
        <f ca="1">RANDBETWEEN(1,5)</f>
        <v>1</v>
      </c>
      <c r="G168" t="str">
        <f ca="1">VLOOKUP(F168,$Y$5:$Z$9,2)</f>
        <v>High School</v>
      </c>
      <c r="H168">
        <f ca="1">RANDBETWEEN(0,4)</f>
        <v>3</v>
      </c>
      <c r="I168">
        <f ca="1">RANDBETWEEN(1,3)</f>
        <v>2</v>
      </c>
      <c r="J168">
        <f ca="1">RANDBETWEEN(30000,100000)</f>
        <v>49854</v>
      </c>
      <c r="K168">
        <f ca="1">RANDBETWEEN(1,48)</f>
        <v>13</v>
      </c>
      <c r="L168" t="str">
        <f ca="1">VLOOKUP(K168,$AA$5:$AB$52,2)</f>
        <v>County Durham</v>
      </c>
      <c r="M168">
        <f ca="1">J168*(RANDBETWEEN(2,5))</f>
        <v>99708</v>
      </c>
      <c r="N168">
        <f ca="1">RAND()*M168</f>
        <v>10463.466910583549</v>
      </c>
      <c r="O168">
        <f ca="1">I168*RAND()*J168</f>
        <v>38341.748522447058</v>
      </c>
      <c r="P168">
        <f ca="1">RANDBETWEEN(0,O168)</f>
        <v>11606</v>
      </c>
      <c r="Q168">
        <f ca="1">RAND()*J168*2</f>
        <v>53859.984171541291</v>
      </c>
      <c r="R168">
        <f ca="1">RAND()*J168*1.5</f>
        <v>12765.721704036983</v>
      </c>
      <c r="S168">
        <f ca="1">J168+R168+O168</f>
        <v>100961.47022648405</v>
      </c>
      <c r="T168">
        <f ca="1">N168+P168+Q168</f>
        <v>75929.45108212484</v>
      </c>
      <c r="U168">
        <f ca="1">S168-T168</f>
        <v>25032.019144359205</v>
      </c>
      <c r="AC168" s="6">
        <f ca="1">IF(Table1[[#This Row],[gender]]="men",1,0)</f>
        <v>0</v>
      </c>
      <c r="AD168">
        <f ca="1">IF(Table1[[#This Row],[gender]]="women",1,0)</f>
        <v>1</v>
      </c>
      <c r="AH168" s="5"/>
      <c r="AJ168" s="6">
        <f ca="1">IF(Table1[[#This Row],[Column1]]="Health",1,0)</f>
        <v>0</v>
      </c>
      <c r="AK168">
        <f ca="1">IF(Table1[[#This Row],[Column1]]="Construction",1,0)</f>
        <v>0</v>
      </c>
      <c r="AL168">
        <f ca="1">IF(Table1[[#This Row],[Column1]]="Technology",1,0)</f>
        <v>0</v>
      </c>
      <c r="AM168">
        <f ca="1">IF(Table1[[#This Row],[Column1]]="Education",1,0)</f>
        <v>1</v>
      </c>
      <c r="AN168">
        <f ca="1">IF(Table1[[#This Row],[Column1]]="Agriculture",1,0)</f>
        <v>0</v>
      </c>
      <c r="AO168">
        <f ca="1">IF(Table1[[#This Row],[Column1]]="Social Service", 1, 0)</f>
        <v>0</v>
      </c>
      <c r="AT168" s="5"/>
      <c r="AV168" s="17">
        <f t="shared" ca="1" si="6"/>
        <v>12877.512524432877</v>
      </c>
      <c r="AW168" s="5"/>
      <c r="AX168" s="6">
        <f ca="1">IF(Table1[[#This Row],[Value of Debts]]&gt;$AY$4,1,0)</f>
        <v>0</v>
      </c>
      <c r="AY168" s="20"/>
      <c r="AZ168" s="20"/>
      <c r="BA168" s="5"/>
      <c r="BB168" s="25">
        <f ca="1">Table1[[#This Row],[Mortage Left]]/Table1[[#This Row],[Value of House]]</f>
        <v>0.10494109710939492</v>
      </c>
      <c r="BC168" s="20">
        <f t="shared" ca="1" si="8"/>
        <v>1</v>
      </c>
      <c r="BD168" s="20"/>
      <c r="BE168" s="20"/>
      <c r="BF168" s="20"/>
      <c r="BG168" s="6">
        <f ca="1">IF(Table1[[#This Row],[County]]="Cumbria",Table1[[#This Row],[income]],0)</f>
        <v>0</v>
      </c>
      <c r="BH168" s="20">
        <f ca="1">IF(Table1[[#This Row],[County]]="Cheshire",Table1[[#This Row],[income]],0)</f>
        <v>0</v>
      </c>
      <c r="BI168" s="20">
        <f ca="1">IF(Table1[[#This Row],[County]]="Bristol",Table1[[#This Row],[income]],0)</f>
        <v>0</v>
      </c>
      <c r="BJ168" s="20">
        <f ca="1">IF(Table1[[#This Row],[County]]="Surrey",Table1[[#This Row],[income]],0)</f>
        <v>0</v>
      </c>
      <c r="BK168" s="20">
        <f ca="1">IF(Table1[[#This Row],[County]]="Norfolk",Table1[[#This Row],[income]],0)</f>
        <v>0</v>
      </c>
      <c r="BL168" s="20">
        <f ca="1">IF(Table1[[#This Row],[County]]="Lincolnshire",Table1[[#This Row],[income]],0)</f>
        <v>0</v>
      </c>
      <c r="BM168" s="20">
        <f ca="1">IF(Table1[[#This Row],[County]]="Somerset",Table1[[#This Row],[income]],0)</f>
        <v>0</v>
      </c>
      <c r="BN168" s="20">
        <f ca="1">IF(Table1[[#This Row],[County]]="Cambridgeshire",Table1[[#This Row],[income]],0)</f>
        <v>0</v>
      </c>
      <c r="BO168" s="20">
        <f ca="1">IF(Table1[[#This Row],[County]]="South Yorkshire",Table1[[#This Row],[income]],0)</f>
        <v>0</v>
      </c>
      <c r="BP168" s="20">
        <f ca="1">IF(Table1[[#This Row],[County]]="Greater London",Table1[[#This Row],[income]],0)</f>
        <v>0</v>
      </c>
      <c r="BQ168" s="20">
        <f ca="1">IF(Table1[[#This Row],[County]]="Hampshire",Table1[[#This Row],[income]],0)</f>
        <v>0</v>
      </c>
      <c r="BR168" s="20">
        <f ca="1">IF(Table1[[#This Row],[County]]="Gloucestershire",Table1[[#This Row],[income]],0)</f>
        <v>0</v>
      </c>
      <c r="BS168" s="20">
        <f ca="1">IF(Table1[[#This Row],[County]]="West Sussex",Table1[[#This Row],[income]],0)</f>
        <v>0</v>
      </c>
      <c r="BT168" s="20">
        <f ca="1">IF(Table1[[#This Row],[County]]="Devon",Table1[[#This Row],[income]],0)</f>
        <v>0</v>
      </c>
      <c r="BU168" s="20">
        <f ca="1">IF(Table1[[#This Row],[County]]="Berkshire",Table1[[#This Row],[income]],0)</f>
        <v>0</v>
      </c>
      <c r="BV168" s="20">
        <f ca="1">IF(Table1[[#This Row],[County]]="Staffordshire",Table1[[#This Row],[income]],0)</f>
        <v>0</v>
      </c>
      <c r="BW168" s="20">
        <f ca="1">IF(Table1[[#This Row],[County]]="Leicestershire",Table1[[#This Row],[income]],0)</f>
        <v>0</v>
      </c>
      <c r="BX168" s="20">
        <f ca="1">IF(Table1[[#This Row],[County]]="Cornwall",Table1[[#This Row],[income]],0)</f>
        <v>0</v>
      </c>
      <c r="BY168" s="20">
        <f ca="1">IF(Table1[[#This Row],[County]]="Isle of Wight",Table1[[#This Row],[income]],0)</f>
        <v>0</v>
      </c>
      <c r="BZ168" s="20">
        <f ca="1">IF(Table1[[#This Row],[County]]="Surrey",Table1[[#This Row],[income]],0)</f>
        <v>0</v>
      </c>
      <c r="CA168" s="20">
        <f ca="1">IF(Table1[[#This Row],[County]]="Derbyshire",Table1[[#This Row],[income]],0)</f>
        <v>0</v>
      </c>
      <c r="CB168" s="20">
        <f ca="1">IF(Table1[[#This Row],[County]]="City of London",Table1[[#This Row],[income]],0)</f>
        <v>0</v>
      </c>
      <c r="CC168" s="20">
        <f ca="1">IF(Table1[[#This Row],[County]]="Bedfordshire",Table1[[#This Row],[income]],0)</f>
        <v>0</v>
      </c>
      <c r="CD168" s="20">
        <f ca="1">IF(Table1[[#This Row],[County]]="County Durham",Table1[[#This Row],[income]],0)</f>
        <v>49854</v>
      </c>
      <c r="CE168" s="20">
        <f ca="1">IF(Table1[[#This Row],[County]]="East Riding of Yorkshire",Table1[[#This Row],[income]],0)</f>
        <v>0</v>
      </c>
      <c r="CF168" s="20">
        <f ca="1">IF(Table1[[#This Row],[County]]="West Yorkshire",Table1[[#This Row],[income]],0)</f>
        <v>0</v>
      </c>
      <c r="CG168" s="20">
        <f ca="1">IF(Table1[[#This Row],[County]]="Essex",Table1[[#This Row],[income]],0)</f>
        <v>0</v>
      </c>
      <c r="CH168" s="20">
        <f ca="1">IF(Table1[[#This Row],[County]]="East Sussex",Table1[[#This Row],[income]],0)</f>
        <v>0</v>
      </c>
      <c r="CI168" s="20">
        <f ca="1">IF(Table1[[#This Row],[County]]="Greater Manchester",Table1[[#This Row],[income]],0)</f>
        <v>0</v>
      </c>
      <c r="CJ168" s="20">
        <f ca="1">IF(Table1[[#This Row],[County]]="Hertfordshire",Table1[[#This Row],[income]],0)</f>
        <v>0</v>
      </c>
      <c r="CK168" s="20">
        <f ca="1">IF(Table1[[#This Row],[County]]="Herefordshire",Table1[[#This Row],[income]],0)</f>
        <v>0</v>
      </c>
      <c r="CL168" s="20">
        <f ca="1">IF(Table1[[#This Row],[County]]="Lancashire",Table1[[#This Row],[income]],0)</f>
        <v>0</v>
      </c>
      <c r="CM168" s="20">
        <f ca="1">IF(Table1[[#This Row],[County]]="Merseyside",Table1[[#This Row],[income]],0)</f>
        <v>0</v>
      </c>
      <c r="CN168" s="20">
        <f ca="1">IF(Table1[[#This Row],[County]]="Northamptonshire",Table1[[#This Row],[income]],0)</f>
        <v>0</v>
      </c>
      <c r="CO168" s="20">
        <f ca="1">IF(Table1[[#This Row],[County]]="Northumberland",Table1[[#This Row],[income]],0)</f>
        <v>0</v>
      </c>
      <c r="CP168" s="20">
        <f ca="1">IF(Table1[[#This Row],[County]]="Wiltshire",Table1[[#This Row],[income]],0)</f>
        <v>0</v>
      </c>
      <c r="CQ168" s="20">
        <f ca="1">IF(Table1[[#This Row],[County]]="West Midlands",Table1[[#This Row],[income]],0)</f>
        <v>0</v>
      </c>
      <c r="CR168" s="20">
        <f ca="1">IF(Table1[[#This Row],[County]]="Warwickshire",Table1[[#This Row],[income]],0)</f>
        <v>0</v>
      </c>
      <c r="CS168" s="20">
        <f ca="1">IF(Table1[[#This Row],[County]]="Tyne and Wear",Table1[[#This Row],[income]],0)</f>
        <v>0</v>
      </c>
      <c r="CT168" s="20">
        <f ca="1">IF(Table1[[#This Row],[County]]="Worcestershire",Table1[[#This Row],[income]],0)</f>
        <v>0</v>
      </c>
      <c r="CU168" s="20">
        <f ca="1">IF(Table1[[#This Row],[County]]="Rutland",Table1[[#This Row],[income]],0)</f>
        <v>0</v>
      </c>
      <c r="CV168" s="20">
        <f ca="1">IF(Table1[[#This Row],[County]]="Shropshire",Table1[[#This Row],[income]],0)</f>
        <v>0</v>
      </c>
      <c r="CW168" s="20">
        <f ca="1">IF(Table1[[#This Row],[County]]="Dorset",Table1[[#This Row],[income]],0)</f>
        <v>0</v>
      </c>
      <c r="CX168" s="20">
        <f ca="1">IF(Table1[[#This Row],[County]]="Buckinghamshire",Table1[[#This Row],[income]],0)</f>
        <v>0</v>
      </c>
      <c r="CY168" s="20">
        <f ca="1">IF(Table1[[#This Row],[County]]="Suffolk",Table1[[#This Row],[income]],0)</f>
        <v>0</v>
      </c>
      <c r="CZ168" s="20">
        <f ca="1">IF(Table1[[#This Row],[County]]="North Yorkshire",Table1[[#This Row],[income]],0)</f>
        <v>0</v>
      </c>
      <c r="DA168" s="20">
        <f ca="1">IF(Table1[[#This Row],[County]]="Kent",Table1[[#This Row],[income]],0)</f>
        <v>0</v>
      </c>
      <c r="DB168" s="5">
        <f ca="1">IF(Table1[[#This Row],[County]]="Derbyshire",Table1[[#This Row],[income]],0)</f>
        <v>0</v>
      </c>
      <c r="DD168" s="6">
        <f ca="1">IF(Table1[[#This Row],[Column1]]="Health",Table1[[#This Row],[income]],0)</f>
        <v>0</v>
      </c>
      <c r="DE168" s="20">
        <f ca="1">IF(Table1[[#This Row],[Column1]]="Agriculture",Table1[[#This Row],[income]],0)</f>
        <v>0</v>
      </c>
      <c r="DF168" s="20">
        <f ca="1">IF(Table1[[#This Row],[Column1]]="Technology",Table1[[#This Row],[income]],0)</f>
        <v>0</v>
      </c>
      <c r="DG168" s="20">
        <f ca="1">IF(Table1[[#This Row],[Column1]]="Social Service",Table1[[#This Row],[income]],0)</f>
        <v>0</v>
      </c>
      <c r="DH168" s="20">
        <f ca="1">IF(Table1[[#This Row],[Column1]]="Education",Table1[[#This Row],[income]],0)</f>
        <v>49854</v>
      </c>
      <c r="DI168" s="5">
        <f ca="1">IF(Table1[[#This Row],[Column1]]="Construction",Table1[[#This Row],[income]],0)</f>
        <v>0</v>
      </c>
      <c r="DK168" s="6">
        <f ca="1">IF(Table1[[#This Row],[Value of Debts]]&gt;Table1[[#This Row],[income]],1,0)</f>
        <v>1</v>
      </c>
      <c r="DL168" s="20"/>
      <c r="DM168" s="20"/>
      <c r="DN168" s="5"/>
      <c r="DP168" s="6">
        <f ca="1">IF(Table1[[#This Row],[Net Worth (£)]]&gt;$DS$5,C168,0)</f>
        <v>0</v>
      </c>
      <c r="DQ168" s="20"/>
      <c r="DR168" s="20"/>
      <c r="DS168" s="5"/>
    </row>
    <row r="169" spans="1:123" x14ac:dyDescent="0.2">
      <c r="A169">
        <f t="shared" ca="1" si="7"/>
        <v>2</v>
      </c>
      <c r="B169" s="1" t="str">
        <f ca="1">IF(A169=1, "men", "women")</f>
        <v>women</v>
      </c>
      <c r="C169" s="1">
        <f ca="1">RANDBETWEEN(25,50)</f>
        <v>25</v>
      </c>
      <c r="D169">
        <f ca="1">RANDBETWEEN(1,6)</f>
        <v>1</v>
      </c>
      <c r="E169" t="str">
        <f ca="1">VLOOKUP(D169,$W$5:$X$10,2)</f>
        <v>Health</v>
      </c>
      <c r="F169">
        <f ca="1">RANDBETWEEN(1,5)</f>
        <v>2</v>
      </c>
      <c r="G169" t="str">
        <f ca="1">VLOOKUP(F169,$Y$5:$Z$9,2)</f>
        <v>College</v>
      </c>
      <c r="H169">
        <f ca="1">RANDBETWEEN(0,4)</f>
        <v>4</v>
      </c>
      <c r="I169">
        <f ca="1">RANDBETWEEN(1,3)</f>
        <v>1</v>
      </c>
      <c r="J169">
        <f ca="1">RANDBETWEEN(30000,100000)</f>
        <v>68572</v>
      </c>
      <c r="K169">
        <f ca="1">RANDBETWEEN(1,48)</f>
        <v>15</v>
      </c>
      <c r="L169" t="str">
        <f ca="1">VLOOKUP(K169,$AA$5:$AB$52,2)</f>
        <v>East Sussex</v>
      </c>
      <c r="M169">
        <f ca="1">J169*(RANDBETWEEN(2,5))</f>
        <v>137144</v>
      </c>
      <c r="N169">
        <f ca="1">RAND()*M169</f>
        <v>117746.59684777076</v>
      </c>
      <c r="O169">
        <f ca="1">I169*RAND()*J169</f>
        <v>12877.512524432877</v>
      </c>
      <c r="P169">
        <f ca="1">RANDBETWEEN(0,O169)</f>
        <v>11457</v>
      </c>
      <c r="Q169">
        <f ca="1">RAND()*J169*2</f>
        <v>2928.4852351060831</v>
      </c>
      <c r="R169">
        <f ca="1">RAND()*J169*1.5</f>
        <v>46226.009565519089</v>
      </c>
      <c r="S169">
        <f ca="1">J169+R169+O169</f>
        <v>127675.52208995196</v>
      </c>
      <c r="T169">
        <f ca="1">N169+P169+Q169</f>
        <v>132132.08208287685</v>
      </c>
      <c r="U169">
        <f ca="1">S169-T169</f>
        <v>-4456.5599929248856</v>
      </c>
      <c r="AC169" s="6">
        <f ca="1">IF(Table1[[#This Row],[gender]]="men",1,0)</f>
        <v>0</v>
      </c>
      <c r="AD169">
        <f ca="1">IF(Table1[[#This Row],[gender]]="women",1,0)</f>
        <v>1</v>
      </c>
      <c r="AH169" s="5"/>
      <c r="AJ169" s="6">
        <f ca="1">IF(Table1[[#This Row],[Column1]]="Health",1,0)</f>
        <v>1</v>
      </c>
      <c r="AK169">
        <f ca="1">IF(Table1[[#This Row],[Column1]]="Construction",1,0)</f>
        <v>0</v>
      </c>
      <c r="AL169">
        <f ca="1">IF(Table1[[#This Row],[Column1]]="Technology",1,0)</f>
        <v>0</v>
      </c>
      <c r="AM169">
        <f ca="1">IF(Table1[[#This Row],[Column1]]="Education",1,0)</f>
        <v>0</v>
      </c>
      <c r="AN169">
        <f ca="1">IF(Table1[[#This Row],[Column1]]="Agriculture",1,0)</f>
        <v>0</v>
      </c>
      <c r="AO169">
        <f ca="1">IF(Table1[[#This Row],[Column1]]="Social Service", 1, 0)</f>
        <v>0</v>
      </c>
      <c r="AT169" s="5"/>
      <c r="AV169" s="17">
        <f t="shared" ca="1" si="6"/>
        <v>23732.993360173878</v>
      </c>
      <c r="AW169" s="5"/>
      <c r="AX169" s="6">
        <f ca="1">IF(Table1[[#This Row],[Value of Debts]]&gt;$AY$4,1,0)</f>
        <v>1</v>
      </c>
      <c r="AY169" s="20"/>
      <c r="AZ169" s="20"/>
      <c r="BA169" s="5"/>
      <c r="BB169" s="25">
        <f ca="1">Table1[[#This Row],[Mortage Left]]/Table1[[#This Row],[Value of House]]</f>
        <v>0.85856178066682298</v>
      </c>
      <c r="BC169" s="20">
        <f t="shared" ca="1" si="8"/>
        <v>0</v>
      </c>
      <c r="BD169" s="20"/>
      <c r="BE169" s="20"/>
      <c r="BF169" s="20"/>
      <c r="BG169" s="6">
        <f ca="1">IF(Table1[[#This Row],[County]]="Cumbria",Table1[[#This Row],[income]],0)</f>
        <v>0</v>
      </c>
      <c r="BH169" s="20">
        <f ca="1">IF(Table1[[#This Row],[County]]="Cheshire",Table1[[#This Row],[income]],0)</f>
        <v>0</v>
      </c>
      <c r="BI169" s="20">
        <f ca="1">IF(Table1[[#This Row],[County]]="Bristol",Table1[[#This Row],[income]],0)</f>
        <v>0</v>
      </c>
      <c r="BJ169" s="20">
        <f ca="1">IF(Table1[[#This Row],[County]]="Surrey",Table1[[#This Row],[income]],0)</f>
        <v>0</v>
      </c>
      <c r="BK169" s="20">
        <f ca="1">IF(Table1[[#This Row],[County]]="Norfolk",Table1[[#This Row],[income]],0)</f>
        <v>0</v>
      </c>
      <c r="BL169" s="20">
        <f ca="1">IF(Table1[[#This Row],[County]]="Lincolnshire",Table1[[#This Row],[income]],0)</f>
        <v>0</v>
      </c>
      <c r="BM169" s="20">
        <f ca="1">IF(Table1[[#This Row],[County]]="Somerset",Table1[[#This Row],[income]],0)</f>
        <v>0</v>
      </c>
      <c r="BN169" s="20">
        <f ca="1">IF(Table1[[#This Row],[County]]="Cambridgeshire",Table1[[#This Row],[income]],0)</f>
        <v>0</v>
      </c>
      <c r="BO169" s="20">
        <f ca="1">IF(Table1[[#This Row],[County]]="South Yorkshire",Table1[[#This Row],[income]],0)</f>
        <v>0</v>
      </c>
      <c r="BP169" s="20">
        <f ca="1">IF(Table1[[#This Row],[County]]="Greater London",Table1[[#This Row],[income]],0)</f>
        <v>0</v>
      </c>
      <c r="BQ169" s="20">
        <f ca="1">IF(Table1[[#This Row],[County]]="Hampshire",Table1[[#This Row],[income]],0)</f>
        <v>0</v>
      </c>
      <c r="BR169" s="20">
        <f ca="1">IF(Table1[[#This Row],[County]]="Gloucestershire",Table1[[#This Row],[income]],0)</f>
        <v>0</v>
      </c>
      <c r="BS169" s="20">
        <f ca="1">IF(Table1[[#This Row],[County]]="West Sussex",Table1[[#This Row],[income]],0)</f>
        <v>0</v>
      </c>
      <c r="BT169" s="20">
        <f ca="1">IF(Table1[[#This Row],[County]]="Devon",Table1[[#This Row],[income]],0)</f>
        <v>0</v>
      </c>
      <c r="BU169" s="20">
        <f ca="1">IF(Table1[[#This Row],[County]]="Berkshire",Table1[[#This Row],[income]],0)</f>
        <v>0</v>
      </c>
      <c r="BV169" s="20">
        <f ca="1">IF(Table1[[#This Row],[County]]="Staffordshire",Table1[[#This Row],[income]],0)</f>
        <v>0</v>
      </c>
      <c r="BW169" s="20">
        <f ca="1">IF(Table1[[#This Row],[County]]="Leicestershire",Table1[[#This Row],[income]],0)</f>
        <v>0</v>
      </c>
      <c r="BX169" s="20">
        <f ca="1">IF(Table1[[#This Row],[County]]="Cornwall",Table1[[#This Row],[income]],0)</f>
        <v>0</v>
      </c>
      <c r="BY169" s="20">
        <f ca="1">IF(Table1[[#This Row],[County]]="Isle of Wight",Table1[[#This Row],[income]],0)</f>
        <v>0</v>
      </c>
      <c r="BZ169" s="20">
        <f ca="1">IF(Table1[[#This Row],[County]]="Surrey",Table1[[#This Row],[income]],0)</f>
        <v>0</v>
      </c>
      <c r="CA169" s="20">
        <f ca="1">IF(Table1[[#This Row],[County]]="Derbyshire",Table1[[#This Row],[income]],0)</f>
        <v>0</v>
      </c>
      <c r="CB169" s="20">
        <f ca="1">IF(Table1[[#This Row],[County]]="City of London",Table1[[#This Row],[income]],0)</f>
        <v>0</v>
      </c>
      <c r="CC169" s="20">
        <f ca="1">IF(Table1[[#This Row],[County]]="Bedfordshire",Table1[[#This Row],[income]],0)</f>
        <v>0</v>
      </c>
      <c r="CD169" s="20">
        <f ca="1">IF(Table1[[#This Row],[County]]="County Durham",Table1[[#This Row],[income]],0)</f>
        <v>0</v>
      </c>
      <c r="CE169" s="20">
        <f ca="1">IF(Table1[[#This Row],[County]]="East Riding of Yorkshire",Table1[[#This Row],[income]],0)</f>
        <v>0</v>
      </c>
      <c r="CF169" s="20">
        <f ca="1">IF(Table1[[#This Row],[County]]="West Yorkshire",Table1[[#This Row],[income]],0)</f>
        <v>0</v>
      </c>
      <c r="CG169" s="20">
        <f ca="1">IF(Table1[[#This Row],[County]]="Essex",Table1[[#This Row],[income]],0)</f>
        <v>0</v>
      </c>
      <c r="CH169" s="20">
        <f ca="1">IF(Table1[[#This Row],[County]]="East Sussex",Table1[[#This Row],[income]],0)</f>
        <v>68572</v>
      </c>
      <c r="CI169" s="20">
        <f ca="1">IF(Table1[[#This Row],[County]]="Greater Manchester",Table1[[#This Row],[income]],0)</f>
        <v>0</v>
      </c>
      <c r="CJ169" s="20">
        <f ca="1">IF(Table1[[#This Row],[County]]="Hertfordshire",Table1[[#This Row],[income]],0)</f>
        <v>0</v>
      </c>
      <c r="CK169" s="20">
        <f ca="1">IF(Table1[[#This Row],[County]]="Herefordshire",Table1[[#This Row],[income]],0)</f>
        <v>0</v>
      </c>
      <c r="CL169" s="20">
        <f ca="1">IF(Table1[[#This Row],[County]]="Lancashire",Table1[[#This Row],[income]],0)</f>
        <v>0</v>
      </c>
      <c r="CM169" s="20">
        <f ca="1">IF(Table1[[#This Row],[County]]="Merseyside",Table1[[#This Row],[income]],0)</f>
        <v>0</v>
      </c>
      <c r="CN169" s="20">
        <f ca="1">IF(Table1[[#This Row],[County]]="Northamptonshire",Table1[[#This Row],[income]],0)</f>
        <v>0</v>
      </c>
      <c r="CO169" s="20">
        <f ca="1">IF(Table1[[#This Row],[County]]="Northumberland",Table1[[#This Row],[income]],0)</f>
        <v>0</v>
      </c>
      <c r="CP169" s="20">
        <f ca="1">IF(Table1[[#This Row],[County]]="Wiltshire",Table1[[#This Row],[income]],0)</f>
        <v>0</v>
      </c>
      <c r="CQ169" s="20">
        <f ca="1">IF(Table1[[#This Row],[County]]="West Midlands",Table1[[#This Row],[income]],0)</f>
        <v>0</v>
      </c>
      <c r="CR169" s="20">
        <f ca="1">IF(Table1[[#This Row],[County]]="Warwickshire",Table1[[#This Row],[income]],0)</f>
        <v>0</v>
      </c>
      <c r="CS169" s="20">
        <f ca="1">IF(Table1[[#This Row],[County]]="Tyne and Wear",Table1[[#This Row],[income]],0)</f>
        <v>0</v>
      </c>
      <c r="CT169" s="20">
        <f ca="1">IF(Table1[[#This Row],[County]]="Worcestershire",Table1[[#This Row],[income]],0)</f>
        <v>0</v>
      </c>
      <c r="CU169" s="20">
        <f ca="1">IF(Table1[[#This Row],[County]]="Rutland",Table1[[#This Row],[income]],0)</f>
        <v>0</v>
      </c>
      <c r="CV169" s="20">
        <f ca="1">IF(Table1[[#This Row],[County]]="Shropshire",Table1[[#This Row],[income]],0)</f>
        <v>0</v>
      </c>
      <c r="CW169" s="20">
        <f ca="1">IF(Table1[[#This Row],[County]]="Dorset",Table1[[#This Row],[income]],0)</f>
        <v>0</v>
      </c>
      <c r="CX169" s="20">
        <f ca="1">IF(Table1[[#This Row],[County]]="Buckinghamshire",Table1[[#This Row],[income]],0)</f>
        <v>0</v>
      </c>
      <c r="CY169" s="20">
        <f ca="1">IF(Table1[[#This Row],[County]]="Suffolk",Table1[[#This Row],[income]],0)</f>
        <v>0</v>
      </c>
      <c r="CZ169" s="20">
        <f ca="1">IF(Table1[[#This Row],[County]]="North Yorkshire",Table1[[#This Row],[income]],0)</f>
        <v>0</v>
      </c>
      <c r="DA169" s="20">
        <f ca="1">IF(Table1[[#This Row],[County]]="Kent",Table1[[#This Row],[income]],0)</f>
        <v>0</v>
      </c>
      <c r="DB169" s="5">
        <f ca="1">IF(Table1[[#This Row],[County]]="Derbyshire",Table1[[#This Row],[income]],0)</f>
        <v>0</v>
      </c>
      <c r="DD169" s="6">
        <f ca="1">IF(Table1[[#This Row],[Column1]]="Health",Table1[[#This Row],[income]],0)</f>
        <v>68572</v>
      </c>
      <c r="DE169" s="20">
        <f ca="1">IF(Table1[[#This Row],[Column1]]="Agriculture",Table1[[#This Row],[income]],0)</f>
        <v>0</v>
      </c>
      <c r="DF169" s="20">
        <f ca="1">IF(Table1[[#This Row],[Column1]]="Technology",Table1[[#This Row],[income]],0)</f>
        <v>0</v>
      </c>
      <c r="DG169" s="20">
        <f ca="1">IF(Table1[[#This Row],[Column1]]="Social Service",Table1[[#This Row],[income]],0)</f>
        <v>0</v>
      </c>
      <c r="DH169" s="20">
        <f ca="1">IF(Table1[[#This Row],[Column1]]="Education",Table1[[#This Row],[income]],0)</f>
        <v>0</v>
      </c>
      <c r="DI169" s="5">
        <f ca="1">IF(Table1[[#This Row],[Column1]]="Construction",Table1[[#This Row],[income]],0)</f>
        <v>0</v>
      </c>
      <c r="DK169" s="6">
        <f ca="1">IF(Table1[[#This Row],[Value of Debts]]&gt;Table1[[#This Row],[income]],1,0)</f>
        <v>1</v>
      </c>
      <c r="DL169" s="20"/>
      <c r="DM169" s="20"/>
      <c r="DN169" s="5"/>
      <c r="DP169" s="6">
        <f ca="1">IF(Table1[[#This Row],[Net Worth (£)]]&gt;$DS$5,C169,0)</f>
        <v>0</v>
      </c>
      <c r="DQ169" s="20"/>
      <c r="DR169" s="20"/>
      <c r="DS169" s="5"/>
    </row>
    <row r="170" spans="1:123" hidden="1" x14ac:dyDescent="0.2">
      <c r="A170">
        <f t="shared" ca="1" si="7"/>
        <v>2</v>
      </c>
      <c r="B170" s="1" t="str">
        <f ca="1">IF(A170=1, "men", "women")</f>
        <v>women</v>
      </c>
      <c r="C170" s="1">
        <f ca="1">RANDBETWEEN(25,50)</f>
        <v>49</v>
      </c>
      <c r="D170">
        <f ca="1">RANDBETWEEN(1,6)</f>
        <v>2</v>
      </c>
      <c r="E170" t="str">
        <f ca="1">VLOOKUP(D170,$W$5:$X$10,2)</f>
        <v>Construction</v>
      </c>
      <c r="F170">
        <f ca="1">RANDBETWEEN(1,5)</f>
        <v>5</v>
      </c>
      <c r="G170" t="str">
        <f ca="1">VLOOKUP(F170,$Y$5:$Z$9,2)</f>
        <v>Other</v>
      </c>
      <c r="H170">
        <f ca="1">RANDBETWEEN(0,4)</f>
        <v>2</v>
      </c>
      <c r="I170">
        <f ca="1">RANDBETWEEN(1,3)</f>
        <v>1</v>
      </c>
      <c r="J170">
        <f ca="1">RANDBETWEEN(30000,100000)</f>
        <v>51250</v>
      </c>
      <c r="K170">
        <f ca="1">RANDBETWEEN(1,48)</f>
        <v>33</v>
      </c>
      <c r="L170" t="str">
        <f ca="1">VLOOKUP(K170,$AA$5:$AB$52,2)</f>
        <v>Nottinghamshire</v>
      </c>
      <c r="M170">
        <f ca="1">J170*(RANDBETWEEN(2,5))</f>
        <v>102500</v>
      </c>
      <c r="N170">
        <f ca="1">RAND()*M170</f>
        <v>91932.140231132682</v>
      </c>
      <c r="O170">
        <f ca="1">I170*RAND()*J170</f>
        <v>23732.993360173878</v>
      </c>
      <c r="P170">
        <f ca="1">RANDBETWEEN(0,O170)</f>
        <v>20375</v>
      </c>
      <c r="Q170">
        <f ca="1">RAND()*J170*2</f>
        <v>79547.465098881992</v>
      </c>
      <c r="R170">
        <f ca="1">RAND()*J170*1.5</f>
        <v>68363.157911477756</v>
      </c>
      <c r="S170">
        <f ca="1">J170+R170+O170</f>
        <v>143346.15127165164</v>
      </c>
      <c r="T170">
        <f ca="1">N170+P170+Q170</f>
        <v>191854.60533001466</v>
      </c>
      <c r="U170">
        <f ca="1">S170-T170</f>
        <v>-48508.454058363015</v>
      </c>
      <c r="AC170" s="6">
        <f ca="1">IF(Table1[[#This Row],[gender]]="men",1,0)</f>
        <v>0</v>
      </c>
      <c r="AD170">
        <f ca="1">IF(Table1[[#This Row],[gender]]="women",1,0)</f>
        <v>1</v>
      </c>
      <c r="AH170" s="5"/>
      <c r="AJ170" s="6">
        <f ca="1">IF(Table1[[#This Row],[Column1]]="Health",1,0)</f>
        <v>0</v>
      </c>
      <c r="AK170">
        <f ca="1">IF(Table1[[#This Row],[Column1]]="Construction",1,0)</f>
        <v>1</v>
      </c>
      <c r="AL170">
        <f ca="1">IF(Table1[[#This Row],[Column1]]="Technology",1,0)</f>
        <v>0</v>
      </c>
      <c r="AM170">
        <f ca="1">IF(Table1[[#This Row],[Column1]]="Education",1,0)</f>
        <v>0</v>
      </c>
      <c r="AN170">
        <f ca="1">IF(Table1[[#This Row],[Column1]]="Agriculture",1,0)</f>
        <v>0</v>
      </c>
      <c r="AO170">
        <f ca="1">IF(Table1[[#This Row],[Column1]]="Social Service", 1, 0)</f>
        <v>0</v>
      </c>
      <c r="AT170" s="5"/>
      <c r="AV170" s="17">
        <f t="shared" ca="1" si="6"/>
        <v>14170.835217830105</v>
      </c>
      <c r="AW170" s="5"/>
      <c r="AX170" s="6">
        <f ca="1">IF(Table1[[#This Row],[Value of Debts]]&gt;$AY$4,1,0)</f>
        <v>1</v>
      </c>
      <c r="AY170" s="20"/>
      <c r="AZ170" s="20"/>
      <c r="BA170" s="5"/>
      <c r="BB170" s="25">
        <f ca="1">Table1[[#This Row],[Mortage Left]]/Table1[[#This Row],[Value of House]]</f>
        <v>0.89689892908422131</v>
      </c>
      <c r="BC170" s="20">
        <f t="shared" ca="1" si="8"/>
        <v>0</v>
      </c>
      <c r="BD170" s="20"/>
      <c r="BE170" s="20"/>
      <c r="BF170" s="20"/>
      <c r="BG170" s="6">
        <f ca="1">IF(Table1[[#This Row],[County]]="Cumbria",Table1[[#This Row],[income]],0)</f>
        <v>0</v>
      </c>
      <c r="BH170" s="20">
        <f ca="1">IF(Table1[[#This Row],[County]]="Cheshire",Table1[[#This Row],[income]],0)</f>
        <v>0</v>
      </c>
      <c r="BI170" s="20">
        <f ca="1">IF(Table1[[#This Row],[County]]="Bristol",Table1[[#This Row],[income]],0)</f>
        <v>0</v>
      </c>
      <c r="BJ170" s="20">
        <f ca="1">IF(Table1[[#This Row],[County]]="Surrey",Table1[[#This Row],[income]],0)</f>
        <v>0</v>
      </c>
      <c r="BK170" s="20">
        <f ca="1">IF(Table1[[#This Row],[County]]="Norfolk",Table1[[#This Row],[income]],0)</f>
        <v>0</v>
      </c>
      <c r="BL170" s="20">
        <f ca="1">IF(Table1[[#This Row],[County]]="Lincolnshire",Table1[[#This Row],[income]],0)</f>
        <v>0</v>
      </c>
      <c r="BM170" s="20">
        <f ca="1">IF(Table1[[#This Row],[County]]="Somerset",Table1[[#This Row],[income]],0)</f>
        <v>0</v>
      </c>
      <c r="BN170" s="20">
        <f ca="1">IF(Table1[[#This Row],[County]]="Cambridgeshire",Table1[[#This Row],[income]],0)</f>
        <v>0</v>
      </c>
      <c r="BO170" s="20">
        <f ca="1">IF(Table1[[#This Row],[County]]="South Yorkshire",Table1[[#This Row],[income]],0)</f>
        <v>0</v>
      </c>
      <c r="BP170" s="20">
        <f ca="1">IF(Table1[[#This Row],[County]]="Greater London",Table1[[#This Row],[income]],0)</f>
        <v>0</v>
      </c>
      <c r="BQ170" s="20">
        <f ca="1">IF(Table1[[#This Row],[County]]="Hampshire",Table1[[#This Row],[income]],0)</f>
        <v>0</v>
      </c>
      <c r="BR170" s="20">
        <f ca="1">IF(Table1[[#This Row],[County]]="Gloucestershire",Table1[[#This Row],[income]],0)</f>
        <v>0</v>
      </c>
      <c r="BS170" s="20">
        <f ca="1">IF(Table1[[#This Row],[County]]="West Sussex",Table1[[#This Row],[income]],0)</f>
        <v>0</v>
      </c>
      <c r="BT170" s="20">
        <f ca="1">IF(Table1[[#This Row],[County]]="Devon",Table1[[#This Row],[income]],0)</f>
        <v>0</v>
      </c>
      <c r="BU170" s="20">
        <f ca="1">IF(Table1[[#This Row],[County]]="Berkshire",Table1[[#This Row],[income]],0)</f>
        <v>0</v>
      </c>
      <c r="BV170" s="20">
        <f ca="1">IF(Table1[[#This Row],[County]]="Staffordshire",Table1[[#This Row],[income]],0)</f>
        <v>0</v>
      </c>
      <c r="BW170" s="20">
        <f ca="1">IF(Table1[[#This Row],[County]]="Leicestershire",Table1[[#This Row],[income]],0)</f>
        <v>0</v>
      </c>
      <c r="BX170" s="20">
        <f ca="1">IF(Table1[[#This Row],[County]]="Cornwall",Table1[[#This Row],[income]],0)</f>
        <v>0</v>
      </c>
      <c r="BY170" s="20">
        <f ca="1">IF(Table1[[#This Row],[County]]="Isle of Wight",Table1[[#This Row],[income]],0)</f>
        <v>0</v>
      </c>
      <c r="BZ170" s="20">
        <f ca="1">IF(Table1[[#This Row],[County]]="Surrey",Table1[[#This Row],[income]],0)</f>
        <v>0</v>
      </c>
      <c r="CA170" s="20">
        <f ca="1">IF(Table1[[#This Row],[County]]="Derbyshire",Table1[[#This Row],[income]],0)</f>
        <v>0</v>
      </c>
      <c r="CB170" s="20">
        <f ca="1">IF(Table1[[#This Row],[County]]="City of London",Table1[[#This Row],[income]],0)</f>
        <v>0</v>
      </c>
      <c r="CC170" s="20">
        <f ca="1">IF(Table1[[#This Row],[County]]="Bedfordshire",Table1[[#This Row],[income]],0)</f>
        <v>0</v>
      </c>
      <c r="CD170" s="20">
        <f ca="1">IF(Table1[[#This Row],[County]]="County Durham",Table1[[#This Row],[income]],0)</f>
        <v>0</v>
      </c>
      <c r="CE170" s="20">
        <f ca="1">IF(Table1[[#This Row],[County]]="East Riding of Yorkshire",Table1[[#This Row],[income]],0)</f>
        <v>0</v>
      </c>
      <c r="CF170" s="20">
        <f ca="1">IF(Table1[[#This Row],[County]]="West Yorkshire",Table1[[#This Row],[income]],0)</f>
        <v>0</v>
      </c>
      <c r="CG170" s="20">
        <f ca="1">IF(Table1[[#This Row],[County]]="Essex",Table1[[#This Row],[income]],0)</f>
        <v>0</v>
      </c>
      <c r="CH170" s="20">
        <f ca="1">IF(Table1[[#This Row],[County]]="East Sussex",Table1[[#This Row],[income]],0)</f>
        <v>0</v>
      </c>
      <c r="CI170" s="20">
        <f ca="1">IF(Table1[[#This Row],[County]]="Greater Manchester",Table1[[#This Row],[income]],0)</f>
        <v>0</v>
      </c>
      <c r="CJ170" s="20">
        <f ca="1">IF(Table1[[#This Row],[County]]="Hertfordshire",Table1[[#This Row],[income]],0)</f>
        <v>0</v>
      </c>
      <c r="CK170" s="20">
        <f ca="1">IF(Table1[[#This Row],[County]]="Herefordshire",Table1[[#This Row],[income]],0)</f>
        <v>0</v>
      </c>
      <c r="CL170" s="20">
        <f ca="1">IF(Table1[[#This Row],[County]]="Lancashire",Table1[[#This Row],[income]],0)</f>
        <v>0</v>
      </c>
      <c r="CM170" s="20">
        <f ca="1">IF(Table1[[#This Row],[County]]="Merseyside",Table1[[#This Row],[income]],0)</f>
        <v>0</v>
      </c>
      <c r="CN170" s="20">
        <f ca="1">IF(Table1[[#This Row],[County]]="Northamptonshire",Table1[[#This Row],[income]],0)</f>
        <v>0</v>
      </c>
      <c r="CO170" s="20">
        <f ca="1">IF(Table1[[#This Row],[County]]="Northumberland",Table1[[#This Row],[income]],0)</f>
        <v>0</v>
      </c>
      <c r="CP170" s="20">
        <f ca="1">IF(Table1[[#This Row],[County]]="Wiltshire",Table1[[#This Row],[income]],0)</f>
        <v>0</v>
      </c>
      <c r="CQ170" s="20">
        <f ca="1">IF(Table1[[#This Row],[County]]="West Midlands",Table1[[#This Row],[income]],0)</f>
        <v>0</v>
      </c>
      <c r="CR170" s="20">
        <f ca="1">IF(Table1[[#This Row],[County]]="Warwickshire",Table1[[#This Row],[income]],0)</f>
        <v>0</v>
      </c>
      <c r="CS170" s="20">
        <f ca="1">IF(Table1[[#This Row],[County]]="Tyne and Wear",Table1[[#This Row],[income]],0)</f>
        <v>0</v>
      </c>
      <c r="CT170" s="20">
        <f ca="1">IF(Table1[[#This Row],[County]]="Worcestershire",Table1[[#This Row],[income]],0)</f>
        <v>0</v>
      </c>
      <c r="CU170" s="20">
        <f ca="1">IF(Table1[[#This Row],[County]]="Rutland",Table1[[#This Row],[income]],0)</f>
        <v>0</v>
      </c>
      <c r="CV170" s="20">
        <f ca="1">IF(Table1[[#This Row],[County]]="Shropshire",Table1[[#This Row],[income]],0)</f>
        <v>0</v>
      </c>
      <c r="CW170" s="20">
        <f ca="1">IF(Table1[[#This Row],[County]]="Dorset",Table1[[#This Row],[income]],0)</f>
        <v>0</v>
      </c>
      <c r="CX170" s="20">
        <f ca="1">IF(Table1[[#This Row],[County]]="Buckinghamshire",Table1[[#This Row],[income]],0)</f>
        <v>0</v>
      </c>
      <c r="CY170" s="20">
        <f ca="1">IF(Table1[[#This Row],[County]]="Suffolk",Table1[[#This Row],[income]],0)</f>
        <v>0</v>
      </c>
      <c r="CZ170" s="20">
        <f ca="1">IF(Table1[[#This Row],[County]]="North Yorkshire",Table1[[#This Row],[income]],0)</f>
        <v>0</v>
      </c>
      <c r="DA170" s="20">
        <f ca="1">IF(Table1[[#This Row],[County]]="Kent",Table1[[#This Row],[income]],0)</f>
        <v>0</v>
      </c>
      <c r="DB170" s="5">
        <f ca="1">IF(Table1[[#This Row],[County]]="Derbyshire",Table1[[#This Row],[income]],0)</f>
        <v>0</v>
      </c>
      <c r="DD170" s="6">
        <f ca="1">IF(Table1[[#This Row],[Column1]]="Health",Table1[[#This Row],[income]],0)</f>
        <v>0</v>
      </c>
      <c r="DE170" s="20">
        <f ca="1">IF(Table1[[#This Row],[Column1]]="Agriculture",Table1[[#This Row],[income]],0)</f>
        <v>0</v>
      </c>
      <c r="DF170" s="20">
        <f ca="1">IF(Table1[[#This Row],[Column1]]="Technology",Table1[[#This Row],[income]],0)</f>
        <v>0</v>
      </c>
      <c r="DG170" s="20">
        <f ca="1">IF(Table1[[#This Row],[Column1]]="Social Service",Table1[[#This Row],[income]],0)</f>
        <v>0</v>
      </c>
      <c r="DH170" s="20">
        <f ca="1">IF(Table1[[#This Row],[Column1]]="Education",Table1[[#This Row],[income]],0)</f>
        <v>0</v>
      </c>
      <c r="DI170" s="5">
        <f ca="1">IF(Table1[[#This Row],[Column1]]="Construction",Table1[[#This Row],[income]],0)</f>
        <v>51250</v>
      </c>
      <c r="DK170" s="6">
        <f ca="1">IF(Table1[[#This Row],[Value of Debts]]&gt;Table1[[#This Row],[income]],1,0)</f>
        <v>1</v>
      </c>
      <c r="DL170" s="20"/>
      <c r="DM170" s="20"/>
      <c r="DN170" s="5"/>
      <c r="DP170" s="6">
        <f ca="1">IF(Table1[[#This Row],[Net Worth (£)]]&gt;$DS$5,C170,0)</f>
        <v>0</v>
      </c>
      <c r="DQ170" s="20"/>
      <c r="DR170" s="20"/>
      <c r="DS170" s="5"/>
    </row>
    <row r="171" spans="1:123" x14ac:dyDescent="0.2">
      <c r="A171">
        <f t="shared" ca="1" si="7"/>
        <v>1</v>
      </c>
      <c r="B171" s="1" t="str">
        <f ca="1">IF(A171=1, "men", "women")</f>
        <v>men</v>
      </c>
      <c r="C171" s="1">
        <f ca="1">RANDBETWEEN(25,50)</f>
        <v>47</v>
      </c>
      <c r="D171">
        <f ca="1">RANDBETWEEN(1,6)</f>
        <v>6</v>
      </c>
      <c r="E171" t="str">
        <f ca="1">VLOOKUP(D171,$W$5:$X$10,2)</f>
        <v>Agriculture</v>
      </c>
      <c r="F171">
        <f ca="1">RANDBETWEEN(1,5)</f>
        <v>4</v>
      </c>
      <c r="G171" t="str">
        <f ca="1">VLOOKUP(F171,$Y$5:$Z$9,2)</f>
        <v xml:space="preserve">Technical </v>
      </c>
      <c r="H171">
        <f ca="1">RANDBETWEEN(0,4)</f>
        <v>2</v>
      </c>
      <c r="I171">
        <f ca="1">RANDBETWEEN(1,3)</f>
        <v>2</v>
      </c>
      <c r="J171">
        <f ca="1">RANDBETWEEN(30000,100000)</f>
        <v>57270</v>
      </c>
      <c r="K171">
        <f ca="1">RANDBETWEEN(1,48)</f>
        <v>39</v>
      </c>
      <c r="L171" t="str">
        <f ca="1">VLOOKUP(K171,$AA$5:$AB$52,2)</f>
        <v>Staffordshire</v>
      </c>
      <c r="M171">
        <f ca="1">J171*(RANDBETWEEN(2,5))</f>
        <v>286350</v>
      </c>
      <c r="N171">
        <f ca="1">RAND()*M171</f>
        <v>178382.59070196599</v>
      </c>
      <c r="O171">
        <f ca="1">I171*RAND()*J171</f>
        <v>28341.670435660209</v>
      </c>
      <c r="P171">
        <f ca="1">RANDBETWEEN(0,O171)</f>
        <v>10085</v>
      </c>
      <c r="Q171">
        <f ca="1">RAND()*J171*2</f>
        <v>77435.003800025734</v>
      </c>
      <c r="R171">
        <f ca="1">RAND()*J171*1.5</f>
        <v>43378.968373096352</v>
      </c>
      <c r="S171">
        <f ca="1">J171+R171+O171</f>
        <v>128990.63880875656</v>
      </c>
      <c r="T171">
        <f ca="1">N171+P171+Q171</f>
        <v>265902.59450199176</v>
      </c>
      <c r="U171">
        <f ca="1">S171-T171</f>
        <v>-136911.95569323521</v>
      </c>
      <c r="AC171" s="6">
        <f ca="1">IF(Table1[[#This Row],[gender]]="men",1,0)</f>
        <v>1</v>
      </c>
      <c r="AD171">
        <f ca="1">IF(Table1[[#This Row],[gender]]="women",1,0)</f>
        <v>0</v>
      </c>
      <c r="AH171" s="5"/>
      <c r="AJ171" s="6">
        <f ca="1">IF(Table1[[#This Row],[Column1]]="Health",1,0)</f>
        <v>0</v>
      </c>
      <c r="AK171">
        <f ca="1">IF(Table1[[#This Row],[Column1]]="Construction",1,0)</f>
        <v>0</v>
      </c>
      <c r="AL171">
        <f ca="1">IF(Table1[[#This Row],[Column1]]="Technology",1,0)</f>
        <v>0</v>
      </c>
      <c r="AM171">
        <f ca="1">IF(Table1[[#This Row],[Column1]]="Education",1,0)</f>
        <v>0</v>
      </c>
      <c r="AN171">
        <f ca="1">IF(Table1[[#This Row],[Column1]]="Agriculture",1,0)</f>
        <v>1</v>
      </c>
      <c r="AO171">
        <f ca="1">IF(Table1[[#This Row],[Column1]]="Social Service", 1, 0)</f>
        <v>0</v>
      </c>
      <c r="AT171" s="5"/>
      <c r="AV171" s="17">
        <f t="shared" ca="1" si="6"/>
        <v>43027.983474887209</v>
      </c>
      <c r="AW171" s="5"/>
      <c r="AX171" s="6">
        <f ca="1">IF(Table1[[#This Row],[Value of Debts]]&gt;$AY$4,1,0)</f>
        <v>1</v>
      </c>
      <c r="AY171" s="20"/>
      <c r="AZ171" s="20"/>
      <c r="BA171" s="5"/>
      <c r="BB171" s="25">
        <f ca="1">Table1[[#This Row],[Mortage Left]]/Table1[[#This Row],[Value of House]]</f>
        <v>0.6229529970384704</v>
      </c>
      <c r="BC171" s="20">
        <f t="shared" ca="1" si="8"/>
        <v>0</v>
      </c>
      <c r="BD171" s="20"/>
      <c r="BE171" s="20"/>
      <c r="BF171" s="20"/>
      <c r="BG171" s="6">
        <f ca="1">IF(Table1[[#This Row],[County]]="Cumbria",Table1[[#This Row],[income]],0)</f>
        <v>0</v>
      </c>
      <c r="BH171" s="20">
        <f ca="1">IF(Table1[[#This Row],[County]]="Cheshire",Table1[[#This Row],[income]],0)</f>
        <v>0</v>
      </c>
      <c r="BI171" s="20">
        <f ca="1">IF(Table1[[#This Row],[County]]="Bristol",Table1[[#This Row],[income]],0)</f>
        <v>0</v>
      </c>
      <c r="BJ171" s="20">
        <f ca="1">IF(Table1[[#This Row],[County]]="Surrey",Table1[[#This Row],[income]],0)</f>
        <v>0</v>
      </c>
      <c r="BK171" s="20">
        <f ca="1">IF(Table1[[#This Row],[County]]="Norfolk",Table1[[#This Row],[income]],0)</f>
        <v>0</v>
      </c>
      <c r="BL171" s="20">
        <f ca="1">IF(Table1[[#This Row],[County]]="Lincolnshire",Table1[[#This Row],[income]],0)</f>
        <v>0</v>
      </c>
      <c r="BM171" s="20">
        <f ca="1">IF(Table1[[#This Row],[County]]="Somerset",Table1[[#This Row],[income]],0)</f>
        <v>0</v>
      </c>
      <c r="BN171" s="20">
        <f ca="1">IF(Table1[[#This Row],[County]]="Cambridgeshire",Table1[[#This Row],[income]],0)</f>
        <v>0</v>
      </c>
      <c r="BO171" s="20">
        <f ca="1">IF(Table1[[#This Row],[County]]="South Yorkshire",Table1[[#This Row],[income]],0)</f>
        <v>0</v>
      </c>
      <c r="BP171" s="20">
        <f ca="1">IF(Table1[[#This Row],[County]]="Greater London",Table1[[#This Row],[income]],0)</f>
        <v>0</v>
      </c>
      <c r="BQ171" s="20">
        <f ca="1">IF(Table1[[#This Row],[County]]="Hampshire",Table1[[#This Row],[income]],0)</f>
        <v>0</v>
      </c>
      <c r="BR171" s="20">
        <f ca="1">IF(Table1[[#This Row],[County]]="Gloucestershire",Table1[[#This Row],[income]],0)</f>
        <v>0</v>
      </c>
      <c r="BS171" s="20">
        <f ca="1">IF(Table1[[#This Row],[County]]="West Sussex",Table1[[#This Row],[income]],0)</f>
        <v>0</v>
      </c>
      <c r="BT171" s="20">
        <f ca="1">IF(Table1[[#This Row],[County]]="Devon",Table1[[#This Row],[income]],0)</f>
        <v>0</v>
      </c>
      <c r="BU171" s="20">
        <f ca="1">IF(Table1[[#This Row],[County]]="Berkshire",Table1[[#This Row],[income]],0)</f>
        <v>0</v>
      </c>
      <c r="BV171" s="20">
        <f ca="1">IF(Table1[[#This Row],[County]]="Staffordshire",Table1[[#This Row],[income]],0)</f>
        <v>57270</v>
      </c>
      <c r="BW171" s="20">
        <f ca="1">IF(Table1[[#This Row],[County]]="Leicestershire",Table1[[#This Row],[income]],0)</f>
        <v>0</v>
      </c>
      <c r="BX171" s="20">
        <f ca="1">IF(Table1[[#This Row],[County]]="Cornwall",Table1[[#This Row],[income]],0)</f>
        <v>0</v>
      </c>
      <c r="BY171" s="20">
        <f ca="1">IF(Table1[[#This Row],[County]]="Isle of Wight",Table1[[#This Row],[income]],0)</f>
        <v>0</v>
      </c>
      <c r="BZ171" s="20">
        <f ca="1">IF(Table1[[#This Row],[County]]="Surrey",Table1[[#This Row],[income]],0)</f>
        <v>0</v>
      </c>
      <c r="CA171" s="20">
        <f ca="1">IF(Table1[[#This Row],[County]]="Derbyshire",Table1[[#This Row],[income]],0)</f>
        <v>0</v>
      </c>
      <c r="CB171" s="20">
        <f ca="1">IF(Table1[[#This Row],[County]]="City of London",Table1[[#This Row],[income]],0)</f>
        <v>0</v>
      </c>
      <c r="CC171" s="20">
        <f ca="1">IF(Table1[[#This Row],[County]]="Bedfordshire",Table1[[#This Row],[income]],0)</f>
        <v>0</v>
      </c>
      <c r="CD171" s="20">
        <f ca="1">IF(Table1[[#This Row],[County]]="County Durham",Table1[[#This Row],[income]],0)</f>
        <v>0</v>
      </c>
      <c r="CE171" s="20">
        <f ca="1">IF(Table1[[#This Row],[County]]="East Riding of Yorkshire",Table1[[#This Row],[income]],0)</f>
        <v>0</v>
      </c>
      <c r="CF171" s="20">
        <f ca="1">IF(Table1[[#This Row],[County]]="West Yorkshire",Table1[[#This Row],[income]],0)</f>
        <v>0</v>
      </c>
      <c r="CG171" s="20">
        <f ca="1">IF(Table1[[#This Row],[County]]="Essex",Table1[[#This Row],[income]],0)</f>
        <v>0</v>
      </c>
      <c r="CH171" s="20">
        <f ca="1">IF(Table1[[#This Row],[County]]="East Sussex",Table1[[#This Row],[income]],0)</f>
        <v>0</v>
      </c>
      <c r="CI171" s="20">
        <f ca="1">IF(Table1[[#This Row],[County]]="Greater Manchester",Table1[[#This Row],[income]],0)</f>
        <v>0</v>
      </c>
      <c r="CJ171" s="20">
        <f ca="1">IF(Table1[[#This Row],[County]]="Hertfordshire",Table1[[#This Row],[income]],0)</f>
        <v>0</v>
      </c>
      <c r="CK171" s="20">
        <f ca="1">IF(Table1[[#This Row],[County]]="Herefordshire",Table1[[#This Row],[income]],0)</f>
        <v>0</v>
      </c>
      <c r="CL171" s="20">
        <f ca="1">IF(Table1[[#This Row],[County]]="Lancashire",Table1[[#This Row],[income]],0)</f>
        <v>0</v>
      </c>
      <c r="CM171" s="20">
        <f ca="1">IF(Table1[[#This Row],[County]]="Merseyside",Table1[[#This Row],[income]],0)</f>
        <v>0</v>
      </c>
      <c r="CN171" s="20">
        <f ca="1">IF(Table1[[#This Row],[County]]="Northamptonshire",Table1[[#This Row],[income]],0)</f>
        <v>0</v>
      </c>
      <c r="CO171" s="20">
        <f ca="1">IF(Table1[[#This Row],[County]]="Northumberland",Table1[[#This Row],[income]],0)</f>
        <v>0</v>
      </c>
      <c r="CP171" s="20">
        <f ca="1">IF(Table1[[#This Row],[County]]="Wiltshire",Table1[[#This Row],[income]],0)</f>
        <v>0</v>
      </c>
      <c r="CQ171" s="20">
        <f ca="1">IF(Table1[[#This Row],[County]]="West Midlands",Table1[[#This Row],[income]],0)</f>
        <v>0</v>
      </c>
      <c r="CR171" s="20">
        <f ca="1">IF(Table1[[#This Row],[County]]="Warwickshire",Table1[[#This Row],[income]],0)</f>
        <v>0</v>
      </c>
      <c r="CS171" s="20">
        <f ca="1">IF(Table1[[#This Row],[County]]="Tyne and Wear",Table1[[#This Row],[income]],0)</f>
        <v>0</v>
      </c>
      <c r="CT171" s="20">
        <f ca="1">IF(Table1[[#This Row],[County]]="Worcestershire",Table1[[#This Row],[income]],0)</f>
        <v>0</v>
      </c>
      <c r="CU171" s="20">
        <f ca="1">IF(Table1[[#This Row],[County]]="Rutland",Table1[[#This Row],[income]],0)</f>
        <v>0</v>
      </c>
      <c r="CV171" s="20">
        <f ca="1">IF(Table1[[#This Row],[County]]="Shropshire",Table1[[#This Row],[income]],0)</f>
        <v>0</v>
      </c>
      <c r="CW171" s="20">
        <f ca="1">IF(Table1[[#This Row],[County]]="Dorset",Table1[[#This Row],[income]],0)</f>
        <v>0</v>
      </c>
      <c r="CX171" s="20">
        <f ca="1">IF(Table1[[#This Row],[County]]="Buckinghamshire",Table1[[#This Row],[income]],0)</f>
        <v>0</v>
      </c>
      <c r="CY171" s="20">
        <f ca="1">IF(Table1[[#This Row],[County]]="Suffolk",Table1[[#This Row],[income]],0)</f>
        <v>0</v>
      </c>
      <c r="CZ171" s="20">
        <f ca="1">IF(Table1[[#This Row],[County]]="North Yorkshire",Table1[[#This Row],[income]],0)</f>
        <v>0</v>
      </c>
      <c r="DA171" s="20">
        <f ca="1">IF(Table1[[#This Row],[County]]="Kent",Table1[[#This Row],[income]],0)</f>
        <v>0</v>
      </c>
      <c r="DB171" s="5">
        <f ca="1">IF(Table1[[#This Row],[County]]="Derbyshire",Table1[[#This Row],[income]],0)</f>
        <v>0</v>
      </c>
      <c r="DD171" s="6">
        <f ca="1">IF(Table1[[#This Row],[Column1]]="Health",Table1[[#This Row],[income]],0)</f>
        <v>0</v>
      </c>
      <c r="DE171" s="20">
        <f ca="1">IF(Table1[[#This Row],[Column1]]="Agriculture",Table1[[#This Row],[income]],0)</f>
        <v>57270</v>
      </c>
      <c r="DF171" s="20">
        <f ca="1">IF(Table1[[#This Row],[Column1]]="Technology",Table1[[#This Row],[income]],0)</f>
        <v>0</v>
      </c>
      <c r="DG171" s="20">
        <f ca="1">IF(Table1[[#This Row],[Column1]]="Social Service",Table1[[#This Row],[income]],0)</f>
        <v>0</v>
      </c>
      <c r="DH171" s="20">
        <f ca="1">IF(Table1[[#This Row],[Column1]]="Education",Table1[[#This Row],[income]],0)</f>
        <v>0</v>
      </c>
      <c r="DI171" s="5">
        <f ca="1">IF(Table1[[#This Row],[Column1]]="Construction",Table1[[#This Row],[income]],0)</f>
        <v>0</v>
      </c>
      <c r="DK171" s="6">
        <f ca="1">IF(Table1[[#This Row],[Value of Debts]]&gt;Table1[[#This Row],[income]],1,0)</f>
        <v>1</v>
      </c>
      <c r="DL171" s="20"/>
      <c r="DM171" s="20"/>
      <c r="DN171" s="5"/>
      <c r="DP171" s="6">
        <f ca="1">IF(Table1[[#This Row],[Net Worth (£)]]&gt;$DS$5,C171,0)</f>
        <v>0</v>
      </c>
      <c r="DQ171" s="20"/>
      <c r="DR171" s="20"/>
      <c r="DS171" s="5"/>
    </row>
    <row r="172" spans="1:123" x14ac:dyDescent="0.2">
      <c r="A172">
        <f t="shared" ca="1" si="7"/>
        <v>2</v>
      </c>
      <c r="B172" s="1" t="str">
        <f ca="1">IF(A172=1, "men", "women")</f>
        <v>women</v>
      </c>
      <c r="C172" s="1">
        <f ca="1">RANDBETWEEN(25,50)</f>
        <v>48</v>
      </c>
      <c r="D172">
        <f ca="1">RANDBETWEEN(1,6)</f>
        <v>2</v>
      </c>
      <c r="E172" t="str">
        <f ca="1">VLOOKUP(D172,$W$5:$X$10,2)</f>
        <v>Construction</v>
      </c>
      <c r="F172">
        <f ca="1">RANDBETWEEN(1,5)</f>
        <v>2</v>
      </c>
      <c r="G172" t="str">
        <f ca="1">VLOOKUP(F172,$Y$5:$Z$9,2)</f>
        <v>College</v>
      </c>
      <c r="H172">
        <f ca="1">RANDBETWEEN(0,4)</f>
        <v>4</v>
      </c>
      <c r="I172">
        <f ca="1">RANDBETWEEN(1,3)</f>
        <v>1</v>
      </c>
      <c r="J172">
        <f ca="1">RANDBETWEEN(30000,100000)</f>
        <v>73531</v>
      </c>
      <c r="K172">
        <f ca="1">RANDBETWEEN(1,48)</f>
        <v>24</v>
      </c>
      <c r="L172" t="str">
        <f ca="1">VLOOKUP(K172,$AA$5:$AB$52,2)</f>
        <v>Kent</v>
      </c>
      <c r="M172">
        <f ca="1">J172*(RANDBETWEEN(2,5))</f>
        <v>220593</v>
      </c>
      <c r="N172">
        <f ca="1">RAND()*M172</f>
        <v>189199.8041525372</v>
      </c>
      <c r="O172">
        <f ca="1">I172*RAND()*J172</f>
        <v>43027.983474887209</v>
      </c>
      <c r="P172">
        <f ca="1">RANDBETWEEN(0,O172)</f>
        <v>19611</v>
      </c>
      <c r="Q172">
        <f ca="1">RAND()*J172*2</f>
        <v>6770.8739606034633</v>
      </c>
      <c r="R172">
        <f ca="1">RAND()*J172*1.5</f>
        <v>69931.499220041325</v>
      </c>
      <c r="S172">
        <f ca="1">J172+R172+O172</f>
        <v>186490.48269492853</v>
      </c>
      <c r="T172">
        <f ca="1">N172+P172+Q172</f>
        <v>215581.67811314066</v>
      </c>
      <c r="U172">
        <f ca="1">S172-T172</f>
        <v>-29091.195418212126</v>
      </c>
      <c r="AC172" s="6">
        <f ca="1">IF(Table1[[#This Row],[gender]]="men",1,0)</f>
        <v>0</v>
      </c>
      <c r="AD172">
        <f ca="1">IF(Table1[[#This Row],[gender]]="women",1,0)</f>
        <v>1</v>
      </c>
      <c r="AH172" s="5"/>
      <c r="AJ172" s="6">
        <f ca="1">IF(Table1[[#This Row],[Column1]]="Health",1,0)</f>
        <v>0</v>
      </c>
      <c r="AK172">
        <f ca="1">IF(Table1[[#This Row],[Column1]]="Construction",1,0)</f>
        <v>1</v>
      </c>
      <c r="AL172">
        <f ca="1">IF(Table1[[#This Row],[Column1]]="Technology",1,0)</f>
        <v>0</v>
      </c>
      <c r="AM172">
        <f ca="1">IF(Table1[[#This Row],[Column1]]="Education",1,0)</f>
        <v>0</v>
      </c>
      <c r="AN172">
        <f ca="1">IF(Table1[[#This Row],[Column1]]="Agriculture",1,0)</f>
        <v>0</v>
      </c>
      <c r="AO172">
        <f ca="1">IF(Table1[[#This Row],[Column1]]="Social Service", 1, 0)</f>
        <v>0</v>
      </c>
      <c r="AT172" s="5"/>
      <c r="AV172" s="17">
        <f t="shared" ca="1" si="6"/>
        <v>7656.497314265609</v>
      </c>
      <c r="AW172" s="5"/>
      <c r="AX172" s="6">
        <f ca="1">IF(Table1[[#This Row],[Value of Debts]]&gt;$AY$4,1,0)</f>
        <v>1</v>
      </c>
      <c r="AY172" s="20"/>
      <c r="AZ172" s="20"/>
      <c r="BA172" s="5"/>
      <c r="BB172" s="25">
        <f ca="1">Table1[[#This Row],[Mortage Left]]/Table1[[#This Row],[Value of House]]</f>
        <v>0.85768725278017521</v>
      </c>
      <c r="BC172" s="20">
        <f t="shared" ca="1" si="8"/>
        <v>0</v>
      </c>
      <c r="BD172" s="20"/>
      <c r="BE172" s="20"/>
      <c r="BF172" s="20"/>
      <c r="BG172" s="6">
        <f ca="1">IF(Table1[[#This Row],[County]]="Cumbria",Table1[[#This Row],[income]],0)</f>
        <v>0</v>
      </c>
      <c r="BH172" s="20">
        <f ca="1">IF(Table1[[#This Row],[County]]="Cheshire",Table1[[#This Row],[income]],0)</f>
        <v>0</v>
      </c>
      <c r="BI172" s="20">
        <f ca="1">IF(Table1[[#This Row],[County]]="Bristol",Table1[[#This Row],[income]],0)</f>
        <v>0</v>
      </c>
      <c r="BJ172" s="20">
        <f ca="1">IF(Table1[[#This Row],[County]]="Surrey",Table1[[#This Row],[income]],0)</f>
        <v>0</v>
      </c>
      <c r="BK172" s="20">
        <f ca="1">IF(Table1[[#This Row],[County]]="Norfolk",Table1[[#This Row],[income]],0)</f>
        <v>0</v>
      </c>
      <c r="BL172" s="20">
        <f ca="1">IF(Table1[[#This Row],[County]]="Lincolnshire",Table1[[#This Row],[income]],0)</f>
        <v>0</v>
      </c>
      <c r="BM172" s="20">
        <f ca="1">IF(Table1[[#This Row],[County]]="Somerset",Table1[[#This Row],[income]],0)</f>
        <v>0</v>
      </c>
      <c r="BN172" s="20">
        <f ca="1">IF(Table1[[#This Row],[County]]="Cambridgeshire",Table1[[#This Row],[income]],0)</f>
        <v>0</v>
      </c>
      <c r="BO172" s="20">
        <f ca="1">IF(Table1[[#This Row],[County]]="South Yorkshire",Table1[[#This Row],[income]],0)</f>
        <v>0</v>
      </c>
      <c r="BP172" s="20">
        <f ca="1">IF(Table1[[#This Row],[County]]="Greater London",Table1[[#This Row],[income]],0)</f>
        <v>0</v>
      </c>
      <c r="BQ172" s="20">
        <f ca="1">IF(Table1[[#This Row],[County]]="Hampshire",Table1[[#This Row],[income]],0)</f>
        <v>0</v>
      </c>
      <c r="BR172" s="20">
        <f ca="1">IF(Table1[[#This Row],[County]]="Gloucestershire",Table1[[#This Row],[income]],0)</f>
        <v>0</v>
      </c>
      <c r="BS172" s="20">
        <f ca="1">IF(Table1[[#This Row],[County]]="West Sussex",Table1[[#This Row],[income]],0)</f>
        <v>0</v>
      </c>
      <c r="BT172" s="20">
        <f ca="1">IF(Table1[[#This Row],[County]]="Devon",Table1[[#This Row],[income]],0)</f>
        <v>0</v>
      </c>
      <c r="BU172" s="20">
        <f ca="1">IF(Table1[[#This Row],[County]]="Berkshire",Table1[[#This Row],[income]],0)</f>
        <v>0</v>
      </c>
      <c r="BV172" s="20">
        <f ca="1">IF(Table1[[#This Row],[County]]="Staffordshire",Table1[[#This Row],[income]],0)</f>
        <v>0</v>
      </c>
      <c r="BW172" s="20">
        <f ca="1">IF(Table1[[#This Row],[County]]="Leicestershire",Table1[[#This Row],[income]],0)</f>
        <v>0</v>
      </c>
      <c r="BX172" s="20">
        <f ca="1">IF(Table1[[#This Row],[County]]="Cornwall",Table1[[#This Row],[income]],0)</f>
        <v>0</v>
      </c>
      <c r="BY172" s="20">
        <f ca="1">IF(Table1[[#This Row],[County]]="Isle of Wight",Table1[[#This Row],[income]],0)</f>
        <v>0</v>
      </c>
      <c r="BZ172" s="20">
        <f ca="1">IF(Table1[[#This Row],[County]]="Surrey",Table1[[#This Row],[income]],0)</f>
        <v>0</v>
      </c>
      <c r="CA172" s="20">
        <f ca="1">IF(Table1[[#This Row],[County]]="Derbyshire",Table1[[#This Row],[income]],0)</f>
        <v>0</v>
      </c>
      <c r="CB172" s="20">
        <f ca="1">IF(Table1[[#This Row],[County]]="City of London",Table1[[#This Row],[income]],0)</f>
        <v>0</v>
      </c>
      <c r="CC172" s="20">
        <f ca="1">IF(Table1[[#This Row],[County]]="Bedfordshire",Table1[[#This Row],[income]],0)</f>
        <v>0</v>
      </c>
      <c r="CD172" s="20">
        <f ca="1">IF(Table1[[#This Row],[County]]="County Durham",Table1[[#This Row],[income]],0)</f>
        <v>0</v>
      </c>
      <c r="CE172" s="20">
        <f ca="1">IF(Table1[[#This Row],[County]]="East Riding of Yorkshire",Table1[[#This Row],[income]],0)</f>
        <v>0</v>
      </c>
      <c r="CF172" s="20">
        <f ca="1">IF(Table1[[#This Row],[County]]="West Yorkshire",Table1[[#This Row],[income]],0)</f>
        <v>0</v>
      </c>
      <c r="CG172" s="20">
        <f ca="1">IF(Table1[[#This Row],[County]]="Essex",Table1[[#This Row],[income]],0)</f>
        <v>0</v>
      </c>
      <c r="CH172" s="20">
        <f ca="1">IF(Table1[[#This Row],[County]]="East Sussex",Table1[[#This Row],[income]],0)</f>
        <v>0</v>
      </c>
      <c r="CI172" s="20">
        <f ca="1">IF(Table1[[#This Row],[County]]="Greater Manchester",Table1[[#This Row],[income]],0)</f>
        <v>0</v>
      </c>
      <c r="CJ172" s="20">
        <f ca="1">IF(Table1[[#This Row],[County]]="Hertfordshire",Table1[[#This Row],[income]],0)</f>
        <v>0</v>
      </c>
      <c r="CK172" s="20">
        <f ca="1">IF(Table1[[#This Row],[County]]="Herefordshire",Table1[[#This Row],[income]],0)</f>
        <v>0</v>
      </c>
      <c r="CL172" s="20">
        <f ca="1">IF(Table1[[#This Row],[County]]="Lancashire",Table1[[#This Row],[income]],0)</f>
        <v>0</v>
      </c>
      <c r="CM172" s="20">
        <f ca="1">IF(Table1[[#This Row],[County]]="Merseyside",Table1[[#This Row],[income]],0)</f>
        <v>0</v>
      </c>
      <c r="CN172" s="20">
        <f ca="1">IF(Table1[[#This Row],[County]]="Northamptonshire",Table1[[#This Row],[income]],0)</f>
        <v>0</v>
      </c>
      <c r="CO172" s="20">
        <f ca="1">IF(Table1[[#This Row],[County]]="Northumberland",Table1[[#This Row],[income]],0)</f>
        <v>0</v>
      </c>
      <c r="CP172" s="20">
        <f ca="1">IF(Table1[[#This Row],[County]]="Wiltshire",Table1[[#This Row],[income]],0)</f>
        <v>0</v>
      </c>
      <c r="CQ172" s="20">
        <f ca="1">IF(Table1[[#This Row],[County]]="West Midlands",Table1[[#This Row],[income]],0)</f>
        <v>0</v>
      </c>
      <c r="CR172" s="20">
        <f ca="1">IF(Table1[[#This Row],[County]]="Warwickshire",Table1[[#This Row],[income]],0)</f>
        <v>0</v>
      </c>
      <c r="CS172" s="20">
        <f ca="1">IF(Table1[[#This Row],[County]]="Tyne and Wear",Table1[[#This Row],[income]],0)</f>
        <v>0</v>
      </c>
      <c r="CT172" s="20">
        <f ca="1">IF(Table1[[#This Row],[County]]="Worcestershire",Table1[[#This Row],[income]],0)</f>
        <v>0</v>
      </c>
      <c r="CU172" s="20">
        <f ca="1">IF(Table1[[#This Row],[County]]="Rutland",Table1[[#This Row],[income]],0)</f>
        <v>0</v>
      </c>
      <c r="CV172" s="20">
        <f ca="1">IF(Table1[[#This Row],[County]]="Shropshire",Table1[[#This Row],[income]],0)</f>
        <v>0</v>
      </c>
      <c r="CW172" s="20">
        <f ca="1">IF(Table1[[#This Row],[County]]="Dorset",Table1[[#This Row],[income]],0)</f>
        <v>0</v>
      </c>
      <c r="CX172" s="20">
        <f ca="1">IF(Table1[[#This Row],[County]]="Buckinghamshire",Table1[[#This Row],[income]],0)</f>
        <v>0</v>
      </c>
      <c r="CY172" s="20">
        <f ca="1">IF(Table1[[#This Row],[County]]="Suffolk",Table1[[#This Row],[income]],0)</f>
        <v>0</v>
      </c>
      <c r="CZ172" s="20">
        <f ca="1">IF(Table1[[#This Row],[County]]="North Yorkshire",Table1[[#This Row],[income]],0)</f>
        <v>0</v>
      </c>
      <c r="DA172" s="20">
        <f ca="1">IF(Table1[[#This Row],[County]]="Kent",Table1[[#This Row],[income]],0)</f>
        <v>73531</v>
      </c>
      <c r="DB172" s="5">
        <f ca="1">IF(Table1[[#This Row],[County]]="Derbyshire",Table1[[#This Row],[income]],0)</f>
        <v>0</v>
      </c>
      <c r="DD172" s="6">
        <f ca="1">IF(Table1[[#This Row],[Column1]]="Health",Table1[[#This Row],[income]],0)</f>
        <v>0</v>
      </c>
      <c r="DE172" s="20">
        <f ca="1">IF(Table1[[#This Row],[Column1]]="Agriculture",Table1[[#This Row],[income]],0)</f>
        <v>0</v>
      </c>
      <c r="DF172" s="20">
        <f ca="1">IF(Table1[[#This Row],[Column1]]="Technology",Table1[[#This Row],[income]],0)</f>
        <v>0</v>
      </c>
      <c r="DG172" s="20">
        <f ca="1">IF(Table1[[#This Row],[Column1]]="Social Service",Table1[[#This Row],[income]],0)</f>
        <v>0</v>
      </c>
      <c r="DH172" s="20">
        <f ca="1">IF(Table1[[#This Row],[Column1]]="Education",Table1[[#This Row],[income]],0)</f>
        <v>0</v>
      </c>
      <c r="DI172" s="5">
        <f ca="1">IF(Table1[[#This Row],[Column1]]="Construction",Table1[[#This Row],[income]],0)</f>
        <v>73531</v>
      </c>
      <c r="DK172" s="6">
        <f ca="1">IF(Table1[[#This Row],[Value of Debts]]&gt;Table1[[#This Row],[income]],1,0)</f>
        <v>1</v>
      </c>
      <c r="DL172" s="20"/>
      <c r="DM172" s="20"/>
      <c r="DN172" s="5"/>
      <c r="DP172" s="6">
        <f ca="1">IF(Table1[[#This Row],[Net Worth (£)]]&gt;$DS$5,C172,0)</f>
        <v>0</v>
      </c>
      <c r="DQ172" s="20"/>
      <c r="DR172" s="20"/>
      <c r="DS172" s="5"/>
    </row>
    <row r="173" spans="1:123" x14ac:dyDescent="0.2">
      <c r="A173">
        <f t="shared" ca="1" si="7"/>
        <v>1</v>
      </c>
      <c r="B173" s="1" t="str">
        <f ca="1">IF(A173=1, "men", "women")</f>
        <v>men</v>
      </c>
      <c r="C173" s="1">
        <f ca="1">RANDBETWEEN(25,50)</f>
        <v>35</v>
      </c>
      <c r="D173">
        <f ca="1">RANDBETWEEN(1,6)</f>
        <v>3</v>
      </c>
      <c r="E173" t="str">
        <f ca="1">VLOOKUP(D173,$W$5:$X$10,2)</f>
        <v>Education</v>
      </c>
      <c r="F173">
        <f ca="1">RANDBETWEEN(1,5)</f>
        <v>4</v>
      </c>
      <c r="G173" t="str">
        <f ca="1">VLOOKUP(F173,$Y$5:$Z$9,2)</f>
        <v xml:space="preserve">Technical </v>
      </c>
      <c r="H173">
        <f ca="1">RANDBETWEEN(0,4)</f>
        <v>2</v>
      </c>
      <c r="I173">
        <f ca="1">RANDBETWEEN(1,3)</f>
        <v>3</v>
      </c>
      <c r="J173">
        <f ca="1">RANDBETWEEN(30000,100000)</f>
        <v>59637</v>
      </c>
      <c r="K173">
        <f ca="1">RANDBETWEEN(1,48)</f>
        <v>9</v>
      </c>
      <c r="L173" t="str">
        <f ca="1">VLOOKUP(K173,$AA$5:$AB$52,2)</f>
        <v>Cumbria</v>
      </c>
      <c r="M173">
        <f ca="1">J173*(RANDBETWEEN(2,5))</f>
        <v>298185</v>
      </c>
      <c r="N173">
        <f ca="1">RAND()*M173</f>
        <v>108989.38048520876</v>
      </c>
      <c r="O173">
        <f ca="1">I173*RAND()*J173</f>
        <v>22969.491942796827</v>
      </c>
      <c r="P173">
        <f ca="1">RANDBETWEEN(0,O173)</f>
        <v>16384</v>
      </c>
      <c r="Q173">
        <f ca="1">RAND()*J173*2</f>
        <v>66382.772969481695</v>
      </c>
      <c r="R173">
        <f ca="1">RAND()*J173*1.5</f>
        <v>41490.03364939629</v>
      </c>
      <c r="S173">
        <f ca="1">J173+R173+O173</f>
        <v>124096.52559219312</v>
      </c>
      <c r="T173">
        <f ca="1">N173+P173+Q173</f>
        <v>191756.15345469047</v>
      </c>
      <c r="U173">
        <f ca="1">S173-T173</f>
        <v>-67659.627862497349</v>
      </c>
      <c r="AC173" s="6">
        <f ca="1">IF(Table1[[#This Row],[gender]]="men",1,0)</f>
        <v>1</v>
      </c>
      <c r="AD173">
        <f ca="1">IF(Table1[[#This Row],[gender]]="women",1,0)</f>
        <v>0</v>
      </c>
      <c r="AH173" s="5"/>
      <c r="AJ173" s="6">
        <f ca="1">IF(Table1[[#This Row],[Column1]]="Health",1,0)</f>
        <v>0</v>
      </c>
      <c r="AK173">
        <f ca="1">IF(Table1[[#This Row],[Column1]]="Construction",1,0)</f>
        <v>0</v>
      </c>
      <c r="AL173">
        <f ca="1">IF(Table1[[#This Row],[Column1]]="Technology",1,0)</f>
        <v>0</v>
      </c>
      <c r="AM173">
        <f ca="1">IF(Table1[[#This Row],[Column1]]="Education",1,0)</f>
        <v>1</v>
      </c>
      <c r="AN173">
        <f ca="1">IF(Table1[[#This Row],[Column1]]="Agriculture",1,0)</f>
        <v>0</v>
      </c>
      <c r="AO173">
        <f ca="1">IF(Table1[[#This Row],[Column1]]="Social Service", 1, 0)</f>
        <v>0</v>
      </c>
      <c r="AT173" s="5"/>
      <c r="AV173" s="17">
        <f t="shared" ca="1" si="6"/>
        <v>43096.973174737977</v>
      </c>
      <c r="AW173" s="5"/>
      <c r="AX173" s="6">
        <f ca="1">IF(Table1[[#This Row],[Value of Debts]]&gt;$AY$4,1,0)</f>
        <v>1</v>
      </c>
      <c r="AY173" s="20"/>
      <c r="AZ173" s="20"/>
      <c r="BA173" s="5"/>
      <c r="BB173" s="25">
        <f ca="1">Table1[[#This Row],[Mortage Left]]/Table1[[#This Row],[Value of House]]</f>
        <v>0.36550926601005673</v>
      </c>
      <c r="BC173" s="20">
        <f t="shared" ca="1" si="8"/>
        <v>0</v>
      </c>
      <c r="BD173" s="20"/>
      <c r="BE173" s="20"/>
      <c r="BF173" s="20"/>
      <c r="BG173" s="6">
        <f ca="1">IF(Table1[[#This Row],[County]]="Cumbria",Table1[[#This Row],[income]],0)</f>
        <v>59637</v>
      </c>
      <c r="BH173" s="20">
        <f ca="1">IF(Table1[[#This Row],[County]]="Cheshire",Table1[[#This Row],[income]],0)</f>
        <v>0</v>
      </c>
      <c r="BI173" s="20">
        <f ca="1">IF(Table1[[#This Row],[County]]="Bristol",Table1[[#This Row],[income]],0)</f>
        <v>0</v>
      </c>
      <c r="BJ173" s="20">
        <f ca="1">IF(Table1[[#This Row],[County]]="Surrey",Table1[[#This Row],[income]],0)</f>
        <v>0</v>
      </c>
      <c r="BK173" s="20">
        <f ca="1">IF(Table1[[#This Row],[County]]="Norfolk",Table1[[#This Row],[income]],0)</f>
        <v>0</v>
      </c>
      <c r="BL173" s="20">
        <f ca="1">IF(Table1[[#This Row],[County]]="Lincolnshire",Table1[[#This Row],[income]],0)</f>
        <v>0</v>
      </c>
      <c r="BM173" s="20">
        <f ca="1">IF(Table1[[#This Row],[County]]="Somerset",Table1[[#This Row],[income]],0)</f>
        <v>0</v>
      </c>
      <c r="BN173" s="20">
        <f ca="1">IF(Table1[[#This Row],[County]]="Cambridgeshire",Table1[[#This Row],[income]],0)</f>
        <v>0</v>
      </c>
      <c r="BO173" s="20">
        <f ca="1">IF(Table1[[#This Row],[County]]="South Yorkshire",Table1[[#This Row],[income]],0)</f>
        <v>0</v>
      </c>
      <c r="BP173" s="20">
        <f ca="1">IF(Table1[[#This Row],[County]]="Greater London",Table1[[#This Row],[income]],0)</f>
        <v>0</v>
      </c>
      <c r="BQ173" s="20">
        <f ca="1">IF(Table1[[#This Row],[County]]="Hampshire",Table1[[#This Row],[income]],0)</f>
        <v>0</v>
      </c>
      <c r="BR173" s="20">
        <f ca="1">IF(Table1[[#This Row],[County]]="Gloucestershire",Table1[[#This Row],[income]],0)</f>
        <v>0</v>
      </c>
      <c r="BS173" s="20">
        <f ca="1">IF(Table1[[#This Row],[County]]="West Sussex",Table1[[#This Row],[income]],0)</f>
        <v>0</v>
      </c>
      <c r="BT173" s="20">
        <f ca="1">IF(Table1[[#This Row],[County]]="Devon",Table1[[#This Row],[income]],0)</f>
        <v>0</v>
      </c>
      <c r="BU173" s="20">
        <f ca="1">IF(Table1[[#This Row],[County]]="Berkshire",Table1[[#This Row],[income]],0)</f>
        <v>0</v>
      </c>
      <c r="BV173" s="20">
        <f ca="1">IF(Table1[[#This Row],[County]]="Staffordshire",Table1[[#This Row],[income]],0)</f>
        <v>0</v>
      </c>
      <c r="BW173" s="20">
        <f ca="1">IF(Table1[[#This Row],[County]]="Leicestershire",Table1[[#This Row],[income]],0)</f>
        <v>0</v>
      </c>
      <c r="BX173" s="20">
        <f ca="1">IF(Table1[[#This Row],[County]]="Cornwall",Table1[[#This Row],[income]],0)</f>
        <v>0</v>
      </c>
      <c r="BY173" s="20">
        <f ca="1">IF(Table1[[#This Row],[County]]="Isle of Wight",Table1[[#This Row],[income]],0)</f>
        <v>0</v>
      </c>
      <c r="BZ173" s="20">
        <f ca="1">IF(Table1[[#This Row],[County]]="Surrey",Table1[[#This Row],[income]],0)</f>
        <v>0</v>
      </c>
      <c r="CA173" s="20">
        <f ca="1">IF(Table1[[#This Row],[County]]="Derbyshire",Table1[[#This Row],[income]],0)</f>
        <v>0</v>
      </c>
      <c r="CB173" s="20">
        <f ca="1">IF(Table1[[#This Row],[County]]="City of London",Table1[[#This Row],[income]],0)</f>
        <v>0</v>
      </c>
      <c r="CC173" s="20">
        <f ca="1">IF(Table1[[#This Row],[County]]="Bedfordshire",Table1[[#This Row],[income]],0)</f>
        <v>0</v>
      </c>
      <c r="CD173" s="20">
        <f ca="1">IF(Table1[[#This Row],[County]]="County Durham",Table1[[#This Row],[income]],0)</f>
        <v>0</v>
      </c>
      <c r="CE173" s="20">
        <f ca="1">IF(Table1[[#This Row],[County]]="East Riding of Yorkshire",Table1[[#This Row],[income]],0)</f>
        <v>0</v>
      </c>
      <c r="CF173" s="20">
        <f ca="1">IF(Table1[[#This Row],[County]]="West Yorkshire",Table1[[#This Row],[income]],0)</f>
        <v>0</v>
      </c>
      <c r="CG173" s="20">
        <f ca="1">IF(Table1[[#This Row],[County]]="Essex",Table1[[#This Row],[income]],0)</f>
        <v>0</v>
      </c>
      <c r="CH173" s="20">
        <f ca="1">IF(Table1[[#This Row],[County]]="East Sussex",Table1[[#This Row],[income]],0)</f>
        <v>0</v>
      </c>
      <c r="CI173" s="20">
        <f ca="1">IF(Table1[[#This Row],[County]]="Greater Manchester",Table1[[#This Row],[income]],0)</f>
        <v>0</v>
      </c>
      <c r="CJ173" s="20">
        <f ca="1">IF(Table1[[#This Row],[County]]="Hertfordshire",Table1[[#This Row],[income]],0)</f>
        <v>0</v>
      </c>
      <c r="CK173" s="20">
        <f ca="1">IF(Table1[[#This Row],[County]]="Herefordshire",Table1[[#This Row],[income]],0)</f>
        <v>0</v>
      </c>
      <c r="CL173" s="20">
        <f ca="1">IF(Table1[[#This Row],[County]]="Lancashire",Table1[[#This Row],[income]],0)</f>
        <v>0</v>
      </c>
      <c r="CM173" s="20">
        <f ca="1">IF(Table1[[#This Row],[County]]="Merseyside",Table1[[#This Row],[income]],0)</f>
        <v>0</v>
      </c>
      <c r="CN173" s="20">
        <f ca="1">IF(Table1[[#This Row],[County]]="Northamptonshire",Table1[[#This Row],[income]],0)</f>
        <v>0</v>
      </c>
      <c r="CO173" s="20">
        <f ca="1">IF(Table1[[#This Row],[County]]="Northumberland",Table1[[#This Row],[income]],0)</f>
        <v>0</v>
      </c>
      <c r="CP173" s="20">
        <f ca="1">IF(Table1[[#This Row],[County]]="Wiltshire",Table1[[#This Row],[income]],0)</f>
        <v>0</v>
      </c>
      <c r="CQ173" s="20">
        <f ca="1">IF(Table1[[#This Row],[County]]="West Midlands",Table1[[#This Row],[income]],0)</f>
        <v>0</v>
      </c>
      <c r="CR173" s="20">
        <f ca="1">IF(Table1[[#This Row],[County]]="Warwickshire",Table1[[#This Row],[income]],0)</f>
        <v>0</v>
      </c>
      <c r="CS173" s="20">
        <f ca="1">IF(Table1[[#This Row],[County]]="Tyne and Wear",Table1[[#This Row],[income]],0)</f>
        <v>0</v>
      </c>
      <c r="CT173" s="20">
        <f ca="1">IF(Table1[[#This Row],[County]]="Worcestershire",Table1[[#This Row],[income]],0)</f>
        <v>0</v>
      </c>
      <c r="CU173" s="20">
        <f ca="1">IF(Table1[[#This Row],[County]]="Rutland",Table1[[#This Row],[income]],0)</f>
        <v>0</v>
      </c>
      <c r="CV173" s="20">
        <f ca="1">IF(Table1[[#This Row],[County]]="Shropshire",Table1[[#This Row],[income]],0)</f>
        <v>0</v>
      </c>
      <c r="CW173" s="20">
        <f ca="1">IF(Table1[[#This Row],[County]]="Dorset",Table1[[#This Row],[income]],0)</f>
        <v>0</v>
      </c>
      <c r="CX173" s="20">
        <f ca="1">IF(Table1[[#This Row],[County]]="Buckinghamshire",Table1[[#This Row],[income]],0)</f>
        <v>0</v>
      </c>
      <c r="CY173" s="20">
        <f ca="1">IF(Table1[[#This Row],[County]]="Suffolk",Table1[[#This Row],[income]],0)</f>
        <v>0</v>
      </c>
      <c r="CZ173" s="20">
        <f ca="1">IF(Table1[[#This Row],[County]]="North Yorkshire",Table1[[#This Row],[income]],0)</f>
        <v>0</v>
      </c>
      <c r="DA173" s="20">
        <f ca="1">IF(Table1[[#This Row],[County]]="Kent",Table1[[#This Row],[income]],0)</f>
        <v>0</v>
      </c>
      <c r="DB173" s="5">
        <f ca="1">IF(Table1[[#This Row],[County]]="Derbyshire",Table1[[#This Row],[income]],0)</f>
        <v>0</v>
      </c>
      <c r="DD173" s="6">
        <f ca="1">IF(Table1[[#This Row],[Column1]]="Health",Table1[[#This Row],[income]],0)</f>
        <v>0</v>
      </c>
      <c r="DE173" s="20">
        <f ca="1">IF(Table1[[#This Row],[Column1]]="Agriculture",Table1[[#This Row],[income]],0)</f>
        <v>0</v>
      </c>
      <c r="DF173" s="20">
        <f ca="1">IF(Table1[[#This Row],[Column1]]="Technology",Table1[[#This Row],[income]],0)</f>
        <v>0</v>
      </c>
      <c r="DG173" s="20">
        <f ca="1">IF(Table1[[#This Row],[Column1]]="Social Service",Table1[[#This Row],[income]],0)</f>
        <v>0</v>
      </c>
      <c r="DH173" s="20">
        <f ca="1">IF(Table1[[#This Row],[Column1]]="Education",Table1[[#This Row],[income]],0)</f>
        <v>59637</v>
      </c>
      <c r="DI173" s="5">
        <f ca="1">IF(Table1[[#This Row],[Column1]]="Construction",Table1[[#This Row],[income]],0)</f>
        <v>0</v>
      </c>
      <c r="DK173" s="6">
        <f ca="1">IF(Table1[[#This Row],[Value of Debts]]&gt;Table1[[#This Row],[income]],1,0)</f>
        <v>1</v>
      </c>
      <c r="DL173" s="20"/>
      <c r="DM173" s="20"/>
      <c r="DN173" s="5"/>
      <c r="DP173" s="6">
        <f ca="1">IF(Table1[[#This Row],[Net Worth (£)]]&gt;$DS$5,C173,0)</f>
        <v>0</v>
      </c>
      <c r="DQ173" s="20"/>
      <c r="DR173" s="20"/>
      <c r="DS173" s="5"/>
    </row>
    <row r="174" spans="1:123" x14ac:dyDescent="0.2">
      <c r="A174">
        <f t="shared" ca="1" si="7"/>
        <v>1</v>
      </c>
      <c r="B174" s="1" t="str">
        <f ca="1">IF(A174=1, "men", "women")</f>
        <v>men</v>
      </c>
      <c r="C174" s="1">
        <f ca="1">RANDBETWEEN(25,50)</f>
        <v>38</v>
      </c>
      <c r="D174">
        <f ca="1">RANDBETWEEN(1,6)</f>
        <v>2</v>
      </c>
      <c r="E174" t="str">
        <f ca="1">VLOOKUP(D174,$W$5:$X$10,2)</f>
        <v>Construction</v>
      </c>
      <c r="F174">
        <f ca="1">RANDBETWEEN(1,5)</f>
        <v>2</v>
      </c>
      <c r="G174" t="str">
        <f ca="1">VLOOKUP(F174,$Y$5:$Z$9,2)</f>
        <v>College</v>
      </c>
      <c r="H174">
        <f ca="1">RANDBETWEEN(0,4)</f>
        <v>4</v>
      </c>
      <c r="I174">
        <f ca="1">RANDBETWEEN(1,3)</f>
        <v>2</v>
      </c>
      <c r="J174">
        <f ca="1">RANDBETWEEN(30000,100000)</f>
        <v>90715</v>
      </c>
      <c r="K174">
        <f ca="1">RANDBETWEEN(1,48)</f>
        <v>42</v>
      </c>
      <c r="L174" t="str">
        <f ca="1">VLOOKUP(K174,$AA$5:$AB$52,2)</f>
        <v>Tyne and Wear</v>
      </c>
      <c r="M174">
        <f ca="1">J174*(RANDBETWEEN(2,5))</f>
        <v>453575</v>
      </c>
      <c r="N174">
        <f ca="1">RAND()*M174</f>
        <v>163130.5966579552</v>
      </c>
      <c r="O174">
        <f ca="1">I174*RAND()*J174</f>
        <v>86193.946349475955</v>
      </c>
      <c r="P174">
        <f ca="1">RANDBETWEEN(0,O174)</f>
        <v>46360</v>
      </c>
      <c r="Q174">
        <f ca="1">RAND()*J174*2</f>
        <v>115981.52395771114</v>
      </c>
      <c r="R174">
        <f ca="1">RAND()*J174*1.5</f>
        <v>86919.518567468724</v>
      </c>
      <c r="S174">
        <f ca="1">J174+R174+O174</f>
        <v>263828.46491694468</v>
      </c>
      <c r="T174">
        <f ca="1">N174+P174+Q174</f>
        <v>325472.12061566632</v>
      </c>
      <c r="U174">
        <f ca="1">S174-T174</f>
        <v>-61643.655698721646</v>
      </c>
      <c r="AC174" s="6">
        <f ca="1">IF(Table1[[#This Row],[gender]]="men",1,0)</f>
        <v>1</v>
      </c>
      <c r="AD174">
        <f ca="1">IF(Table1[[#This Row],[gender]]="women",1,0)</f>
        <v>0</v>
      </c>
      <c r="AH174" s="5"/>
      <c r="AJ174" s="6">
        <f ca="1">IF(Table1[[#This Row],[Column1]]="Health",1,0)</f>
        <v>0</v>
      </c>
      <c r="AK174">
        <f ca="1">IF(Table1[[#This Row],[Column1]]="Construction",1,0)</f>
        <v>1</v>
      </c>
      <c r="AL174">
        <f ca="1">IF(Table1[[#This Row],[Column1]]="Technology",1,0)</f>
        <v>0</v>
      </c>
      <c r="AM174">
        <f ca="1">IF(Table1[[#This Row],[Column1]]="Education",1,0)</f>
        <v>0</v>
      </c>
      <c r="AN174">
        <f ca="1">IF(Table1[[#This Row],[Column1]]="Agriculture",1,0)</f>
        <v>0</v>
      </c>
      <c r="AO174">
        <f ca="1">IF(Table1[[#This Row],[Column1]]="Social Service", 1, 0)</f>
        <v>0</v>
      </c>
      <c r="AT174" s="5"/>
      <c r="AV174" s="17">
        <f t="shared" ca="1" si="6"/>
        <v>65044.776761427864</v>
      </c>
      <c r="AW174" s="5"/>
      <c r="AX174" s="6">
        <f ca="1">IF(Table1[[#This Row],[Value of Debts]]&gt;$AY$4,1,0)</f>
        <v>1</v>
      </c>
      <c r="AY174" s="20"/>
      <c r="AZ174" s="20"/>
      <c r="BA174" s="5"/>
      <c r="BB174" s="25">
        <f ca="1">Table1[[#This Row],[Mortage Left]]/Table1[[#This Row],[Value of House]]</f>
        <v>0.35965517644922051</v>
      </c>
      <c r="BC174" s="20">
        <f t="shared" ca="1" si="8"/>
        <v>0</v>
      </c>
      <c r="BD174" s="20"/>
      <c r="BE174" s="20"/>
      <c r="BF174" s="20"/>
      <c r="BG174" s="6">
        <f ca="1">IF(Table1[[#This Row],[County]]="Cumbria",Table1[[#This Row],[income]],0)</f>
        <v>0</v>
      </c>
      <c r="BH174" s="20">
        <f ca="1">IF(Table1[[#This Row],[County]]="Cheshire",Table1[[#This Row],[income]],0)</f>
        <v>0</v>
      </c>
      <c r="BI174" s="20">
        <f ca="1">IF(Table1[[#This Row],[County]]="Bristol",Table1[[#This Row],[income]],0)</f>
        <v>0</v>
      </c>
      <c r="BJ174" s="20">
        <f ca="1">IF(Table1[[#This Row],[County]]="Surrey",Table1[[#This Row],[income]],0)</f>
        <v>0</v>
      </c>
      <c r="BK174" s="20">
        <f ca="1">IF(Table1[[#This Row],[County]]="Norfolk",Table1[[#This Row],[income]],0)</f>
        <v>0</v>
      </c>
      <c r="BL174" s="20">
        <f ca="1">IF(Table1[[#This Row],[County]]="Lincolnshire",Table1[[#This Row],[income]],0)</f>
        <v>0</v>
      </c>
      <c r="BM174" s="20">
        <f ca="1">IF(Table1[[#This Row],[County]]="Somerset",Table1[[#This Row],[income]],0)</f>
        <v>0</v>
      </c>
      <c r="BN174" s="20">
        <f ca="1">IF(Table1[[#This Row],[County]]="Cambridgeshire",Table1[[#This Row],[income]],0)</f>
        <v>0</v>
      </c>
      <c r="BO174" s="20">
        <f ca="1">IF(Table1[[#This Row],[County]]="South Yorkshire",Table1[[#This Row],[income]],0)</f>
        <v>0</v>
      </c>
      <c r="BP174" s="20">
        <f ca="1">IF(Table1[[#This Row],[County]]="Greater London",Table1[[#This Row],[income]],0)</f>
        <v>0</v>
      </c>
      <c r="BQ174" s="20">
        <f ca="1">IF(Table1[[#This Row],[County]]="Hampshire",Table1[[#This Row],[income]],0)</f>
        <v>0</v>
      </c>
      <c r="BR174" s="20">
        <f ca="1">IF(Table1[[#This Row],[County]]="Gloucestershire",Table1[[#This Row],[income]],0)</f>
        <v>0</v>
      </c>
      <c r="BS174" s="20">
        <f ca="1">IF(Table1[[#This Row],[County]]="West Sussex",Table1[[#This Row],[income]],0)</f>
        <v>0</v>
      </c>
      <c r="BT174" s="20">
        <f ca="1">IF(Table1[[#This Row],[County]]="Devon",Table1[[#This Row],[income]],0)</f>
        <v>0</v>
      </c>
      <c r="BU174" s="20">
        <f ca="1">IF(Table1[[#This Row],[County]]="Berkshire",Table1[[#This Row],[income]],0)</f>
        <v>0</v>
      </c>
      <c r="BV174" s="20">
        <f ca="1">IF(Table1[[#This Row],[County]]="Staffordshire",Table1[[#This Row],[income]],0)</f>
        <v>0</v>
      </c>
      <c r="BW174" s="20">
        <f ca="1">IF(Table1[[#This Row],[County]]="Leicestershire",Table1[[#This Row],[income]],0)</f>
        <v>0</v>
      </c>
      <c r="BX174" s="20">
        <f ca="1">IF(Table1[[#This Row],[County]]="Cornwall",Table1[[#This Row],[income]],0)</f>
        <v>0</v>
      </c>
      <c r="BY174" s="20">
        <f ca="1">IF(Table1[[#This Row],[County]]="Isle of Wight",Table1[[#This Row],[income]],0)</f>
        <v>0</v>
      </c>
      <c r="BZ174" s="20">
        <f ca="1">IF(Table1[[#This Row],[County]]="Surrey",Table1[[#This Row],[income]],0)</f>
        <v>0</v>
      </c>
      <c r="CA174" s="20">
        <f ca="1">IF(Table1[[#This Row],[County]]="Derbyshire",Table1[[#This Row],[income]],0)</f>
        <v>0</v>
      </c>
      <c r="CB174" s="20">
        <f ca="1">IF(Table1[[#This Row],[County]]="City of London",Table1[[#This Row],[income]],0)</f>
        <v>0</v>
      </c>
      <c r="CC174" s="20">
        <f ca="1">IF(Table1[[#This Row],[County]]="Bedfordshire",Table1[[#This Row],[income]],0)</f>
        <v>0</v>
      </c>
      <c r="CD174" s="20">
        <f ca="1">IF(Table1[[#This Row],[County]]="County Durham",Table1[[#This Row],[income]],0)</f>
        <v>0</v>
      </c>
      <c r="CE174" s="20">
        <f ca="1">IF(Table1[[#This Row],[County]]="East Riding of Yorkshire",Table1[[#This Row],[income]],0)</f>
        <v>0</v>
      </c>
      <c r="CF174" s="20">
        <f ca="1">IF(Table1[[#This Row],[County]]="West Yorkshire",Table1[[#This Row],[income]],0)</f>
        <v>0</v>
      </c>
      <c r="CG174" s="20">
        <f ca="1">IF(Table1[[#This Row],[County]]="Essex",Table1[[#This Row],[income]],0)</f>
        <v>0</v>
      </c>
      <c r="CH174" s="20">
        <f ca="1">IF(Table1[[#This Row],[County]]="East Sussex",Table1[[#This Row],[income]],0)</f>
        <v>0</v>
      </c>
      <c r="CI174" s="20">
        <f ca="1">IF(Table1[[#This Row],[County]]="Greater Manchester",Table1[[#This Row],[income]],0)</f>
        <v>0</v>
      </c>
      <c r="CJ174" s="20">
        <f ca="1">IF(Table1[[#This Row],[County]]="Hertfordshire",Table1[[#This Row],[income]],0)</f>
        <v>0</v>
      </c>
      <c r="CK174" s="20">
        <f ca="1">IF(Table1[[#This Row],[County]]="Herefordshire",Table1[[#This Row],[income]],0)</f>
        <v>0</v>
      </c>
      <c r="CL174" s="20">
        <f ca="1">IF(Table1[[#This Row],[County]]="Lancashire",Table1[[#This Row],[income]],0)</f>
        <v>0</v>
      </c>
      <c r="CM174" s="20">
        <f ca="1">IF(Table1[[#This Row],[County]]="Merseyside",Table1[[#This Row],[income]],0)</f>
        <v>0</v>
      </c>
      <c r="CN174" s="20">
        <f ca="1">IF(Table1[[#This Row],[County]]="Northamptonshire",Table1[[#This Row],[income]],0)</f>
        <v>0</v>
      </c>
      <c r="CO174" s="20">
        <f ca="1">IF(Table1[[#This Row],[County]]="Northumberland",Table1[[#This Row],[income]],0)</f>
        <v>0</v>
      </c>
      <c r="CP174" s="20">
        <f ca="1">IF(Table1[[#This Row],[County]]="Wiltshire",Table1[[#This Row],[income]],0)</f>
        <v>0</v>
      </c>
      <c r="CQ174" s="20">
        <f ca="1">IF(Table1[[#This Row],[County]]="West Midlands",Table1[[#This Row],[income]],0)</f>
        <v>0</v>
      </c>
      <c r="CR174" s="20">
        <f ca="1">IF(Table1[[#This Row],[County]]="Warwickshire",Table1[[#This Row],[income]],0)</f>
        <v>0</v>
      </c>
      <c r="CS174" s="20">
        <f ca="1">IF(Table1[[#This Row],[County]]="Tyne and Wear",Table1[[#This Row],[income]],0)</f>
        <v>90715</v>
      </c>
      <c r="CT174" s="20">
        <f ca="1">IF(Table1[[#This Row],[County]]="Worcestershire",Table1[[#This Row],[income]],0)</f>
        <v>0</v>
      </c>
      <c r="CU174" s="20">
        <f ca="1">IF(Table1[[#This Row],[County]]="Rutland",Table1[[#This Row],[income]],0)</f>
        <v>0</v>
      </c>
      <c r="CV174" s="20">
        <f ca="1">IF(Table1[[#This Row],[County]]="Shropshire",Table1[[#This Row],[income]],0)</f>
        <v>0</v>
      </c>
      <c r="CW174" s="20">
        <f ca="1">IF(Table1[[#This Row],[County]]="Dorset",Table1[[#This Row],[income]],0)</f>
        <v>0</v>
      </c>
      <c r="CX174" s="20">
        <f ca="1">IF(Table1[[#This Row],[County]]="Buckinghamshire",Table1[[#This Row],[income]],0)</f>
        <v>0</v>
      </c>
      <c r="CY174" s="20">
        <f ca="1">IF(Table1[[#This Row],[County]]="Suffolk",Table1[[#This Row],[income]],0)</f>
        <v>0</v>
      </c>
      <c r="CZ174" s="20">
        <f ca="1">IF(Table1[[#This Row],[County]]="North Yorkshire",Table1[[#This Row],[income]],0)</f>
        <v>0</v>
      </c>
      <c r="DA174" s="20">
        <f ca="1">IF(Table1[[#This Row],[County]]="Kent",Table1[[#This Row],[income]],0)</f>
        <v>0</v>
      </c>
      <c r="DB174" s="5">
        <f ca="1">IF(Table1[[#This Row],[County]]="Derbyshire",Table1[[#This Row],[income]],0)</f>
        <v>0</v>
      </c>
      <c r="DD174" s="6">
        <f ca="1">IF(Table1[[#This Row],[Column1]]="Health",Table1[[#This Row],[income]],0)</f>
        <v>0</v>
      </c>
      <c r="DE174" s="20">
        <f ca="1">IF(Table1[[#This Row],[Column1]]="Agriculture",Table1[[#This Row],[income]],0)</f>
        <v>0</v>
      </c>
      <c r="DF174" s="20">
        <f ca="1">IF(Table1[[#This Row],[Column1]]="Technology",Table1[[#This Row],[income]],0)</f>
        <v>0</v>
      </c>
      <c r="DG174" s="20">
        <f ca="1">IF(Table1[[#This Row],[Column1]]="Social Service",Table1[[#This Row],[income]],0)</f>
        <v>0</v>
      </c>
      <c r="DH174" s="20">
        <f ca="1">IF(Table1[[#This Row],[Column1]]="Education",Table1[[#This Row],[income]],0)</f>
        <v>0</v>
      </c>
      <c r="DI174" s="5">
        <f ca="1">IF(Table1[[#This Row],[Column1]]="Construction",Table1[[#This Row],[income]],0)</f>
        <v>90715</v>
      </c>
      <c r="DK174" s="6">
        <f ca="1">IF(Table1[[#This Row],[Value of Debts]]&gt;Table1[[#This Row],[income]],1,0)</f>
        <v>1</v>
      </c>
      <c r="DL174" s="20"/>
      <c r="DM174" s="20"/>
      <c r="DN174" s="5"/>
      <c r="DP174" s="6">
        <f ca="1">IF(Table1[[#This Row],[Net Worth (£)]]&gt;$DS$5,C174,0)</f>
        <v>0</v>
      </c>
      <c r="DQ174" s="20"/>
      <c r="DR174" s="20"/>
      <c r="DS174" s="5"/>
    </row>
    <row r="175" spans="1:123" x14ac:dyDescent="0.2">
      <c r="A175">
        <f t="shared" ca="1" si="7"/>
        <v>1</v>
      </c>
      <c r="B175" s="1" t="str">
        <f ca="1">IF(A175=1, "men", "women")</f>
        <v>men</v>
      </c>
      <c r="C175" s="1">
        <f ca="1">RANDBETWEEN(25,50)</f>
        <v>36</v>
      </c>
      <c r="D175">
        <f ca="1">RANDBETWEEN(1,6)</f>
        <v>5</v>
      </c>
      <c r="E175" t="str">
        <f ca="1">VLOOKUP(D175,$W$5:$X$10,2)</f>
        <v>Social Service</v>
      </c>
      <c r="F175">
        <f ca="1">RANDBETWEEN(1,5)</f>
        <v>4</v>
      </c>
      <c r="G175" t="str">
        <f ca="1">VLOOKUP(F175,$Y$5:$Z$9,2)</f>
        <v xml:space="preserve">Technical </v>
      </c>
      <c r="H175">
        <f ca="1">RANDBETWEEN(0,4)</f>
        <v>2</v>
      </c>
      <c r="I175">
        <f ca="1">RANDBETWEEN(1,3)</f>
        <v>2</v>
      </c>
      <c r="J175">
        <f ca="1">RANDBETWEEN(30000,100000)</f>
        <v>81835</v>
      </c>
      <c r="K175">
        <f ca="1">RANDBETWEEN(1,48)</f>
        <v>18</v>
      </c>
      <c r="L175" t="str">
        <f ca="1">VLOOKUP(K175,$AA$5:$AB$52,2)</f>
        <v>Greater London</v>
      </c>
      <c r="M175">
        <f ca="1">J175*(RANDBETWEEN(2,5))</f>
        <v>409175</v>
      </c>
      <c r="N175">
        <f ca="1">RAND()*M175</f>
        <v>186527.9607242427</v>
      </c>
      <c r="O175">
        <f ca="1">I175*RAND()*J175</f>
        <v>130089.55352285573</v>
      </c>
      <c r="P175">
        <f ca="1">RANDBETWEEN(0,O175)</f>
        <v>104562</v>
      </c>
      <c r="Q175">
        <f ca="1">RAND()*J175*2</f>
        <v>23070.031612495281</v>
      </c>
      <c r="R175">
        <f ca="1">RAND()*J175*1.5</f>
        <v>12057.321812861424</v>
      </c>
      <c r="S175">
        <f ca="1">J175+R175+O175</f>
        <v>223981.87533571717</v>
      </c>
      <c r="T175">
        <f ca="1">N175+P175+Q175</f>
        <v>314159.99233673804</v>
      </c>
      <c r="U175">
        <f ca="1">S175-T175</f>
        <v>-90178.117001020873</v>
      </c>
      <c r="AC175" s="6">
        <f ca="1">IF(Table1[[#This Row],[gender]]="men",1,0)</f>
        <v>1</v>
      </c>
      <c r="AD175">
        <f ca="1">IF(Table1[[#This Row],[gender]]="women",1,0)</f>
        <v>0</v>
      </c>
      <c r="AH175" s="5"/>
      <c r="AJ175" s="6">
        <f ca="1">IF(Table1[[#This Row],[Column1]]="Health",1,0)</f>
        <v>0</v>
      </c>
      <c r="AK175">
        <f ca="1">IF(Table1[[#This Row],[Column1]]="Construction",1,0)</f>
        <v>0</v>
      </c>
      <c r="AL175">
        <f ca="1">IF(Table1[[#This Row],[Column1]]="Technology",1,0)</f>
        <v>0</v>
      </c>
      <c r="AM175">
        <f ca="1">IF(Table1[[#This Row],[Column1]]="Education",1,0)</f>
        <v>0</v>
      </c>
      <c r="AN175">
        <f ca="1">IF(Table1[[#This Row],[Column1]]="Agriculture",1,0)</f>
        <v>0</v>
      </c>
      <c r="AO175">
        <f ca="1">IF(Table1[[#This Row],[Column1]]="Social Service", 1, 0)</f>
        <v>1</v>
      </c>
      <c r="AT175" s="5"/>
      <c r="AV175" s="17">
        <f t="shared" ca="1" si="6"/>
        <v>17189.737906074195</v>
      </c>
      <c r="AW175" s="5"/>
      <c r="AX175" s="6">
        <f ca="1">IF(Table1[[#This Row],[Value of Debts]]&gt;$AY$4,1,0)</f>
        <v>1</v>
      </c>
      <c r="AY175" s="20"/>
      <c r="AZ175" s="20"/>
      <c r="BA175" s="5"/>
      <c r="BB175" s="25">
        <f ca="1">Table1[[#This Row],[Mortage Left]]/Table1[[#This Row],[Value of House]]</f>
        <v>0.45586353204433971</v>
      </c>
      <c r="BC175" s="20">
        <f t="shared" ca="1" si="8"/>
        <v>0</v>
      </c>
      <c r="BD175" s="20"/>
      <c r="BE175" s="20"/>
      <c r="BF175" s="20"/>
      <c r="BG175" s="6">
        <f ca="1">IF(Table1[[#This Row],[County]]="Cumbria",Table1[[#This Row],[income]],0)</f>
        <v>0</v>
      </c>
      <c r="BH175" s="20">
        <f ca="1">IF(Table1[[#This Row],[County]]="Cheshire",Table1[[#This Row],[income]],0)</f>
        <v>0</v>
      </c>
      <c r="BI175" s="20">
        <f ca="1">IF(Table1[[#This Row],[County]]="Bristol",Table1[[#This Row],[income]],0)</f>
        <v>0</v>
      </c>
      <c r="BJ175" s="20">
        <f ca="1">IF(Table1[[#This Row],[County]]="Surrey",Table1[[#This Row],[income]],0)</f>
        <v>0</v>
      </c>
      <c r="BK175" s="20">
        <f ca="1">IF(Table1[[#This Row],[County]]="Norfolk",Table1[[#This Row],[income]],0)</f>
        <v>0</v>
      </c>
      <c r="BL175" s="20">
        <f ca="1">IF(Table1[[#This Row],[County]]="Lincolnshire",Table1[[#This Row],[income]],0)</f>
        <v>0</v>
      </c>
      <c r="BM175" s="20">
        <f ca="1">IF(Table1[[#This Row],[County]]="Somerset",Table1[[#This Row],[income]],0)</f>
        <v>0</v>
      </c>
      <c r="BN175" s="20">
        <f ca="1">IF(Table1[[#This Row],[County]]="Cambridgeshire",Table1[[#This Row],[income]],0)</f>
        <v>0</v>
      </c>
      <c r="BO175" s="20">
        <f ca="1">IF(Table1[[#This Row],[County]]="South Yorkshire",Table1[[#This Row],[income]],0)</f>
        <v>0</v>
      </c>
      <c r="BP175" s="20">
        <f ca="1">IF(Table1[[#This Row],[County]]="Greater London",Table1[[#This Row],[income]],0)</f>
        <v>81835</v>
      </c>
      <c r="BQ175" s="20">
        <f ca="1">IF(Table1[[#This Row],[County]]="Hampshire",Table1[[#This Row],[income]],0)</f>
        <v>0</v>
      </c>
      <c r="BR175" s="20">
        <f ca="1">IF(Table1[[#This Row],[County]]="Gloucestershire",Table1[[#This Row],[income]],0)</f>
        <v>0</v>
      </c>
      <c r="BS175" s="20">
        <f ca="1">IF(Table1[[#This Row],[County]]="West Sussex",Table1[[#This Row],[income]],0)</f>
        <v>0</v>
      </c>
      <c r="BT175" s="20">
        <f ca="1">IF(Table1[[#This Row],[County]]="Devon",Table1[[#This Row],[income]],0)</f>
        <v>0</v>
      </c>
      <c r="BU175" s="20">
        <f ca="1">IF(Table1[[#This Row],[County]]="Berkshire",Table1[[#This Row],[income]],0)</f>
        <v>0</v>
      </c>
      <c r="BV175" s="20">
        <f ca="1">IF(Table1[[#This Row],[County]]="Staffordshire",Table1[[#This Row],[income]],0)</f>
        <v>0</v>
      </c>
      <c r="BW175" s="20">
        <f ca="1">IF(Table1[[#This Row],[County]]="Leicestershire",Table1[[#This Row],[income]],0)</f>
        <v>0</v>
      </c>
      <c r="BX175" s="20">
        <f ca="1">IF(Table1[[#This Row],[County]]="Cornwall",Table1[[#This Row],[income]],0)</f>
        <v>0</v>
      </c>
      <c r="BY175" s="20">
        <f ca="1">IF(Table1[[#This Row],[County]]="Isle of Wight",Table1[[#This Row],[income]],0)</f>
        <v>0</v>
      </c>
      <c r="BZ175" s="20">
        <f ca="1">IF(Table1[[#This Row],[County]]="Surrey",Table1[[#This Row],[income]],0)</f>
        <v>0</v>
      </c>
      <c r="CA175" s="20">
        <f ca="1">IF(Table1[[#This Row],[County]]="Derbyshire",Table1[[#This Row],[income]],0)</f>
        <v>0</v>
      </c>
      <c r="CB175" s="20">
        <f ca="1">IF(Table1[[#This Row],[County]]="City of London",Table1[[#This Row],[income]],0)</f>
        <v>0</v>
      </c>
      <c r="CC175" s="20">
        <f ca="1">IF(Table1[[#This Row],[County]]="Bedfordshire",Table1[[#This Row],[income]],0)</f>
        <v>0</v>
      </c>
      <c r="CD175" s="20">
        <f ca="1">IF(Table1[[#This Row],[County]]="County Durham",Table1[[#This Row],[income]],0)</f>
        <v>0</v>
      </c>
      <c r="CE175" s="20">
        <f ca="1">IF(Table1[[#This Row],[County]]="East Riding of Yorkshire",Table1[[#This Row],[income]],0)</f>
        <v>0</v>
      </c>
      <c r="CF175" s="20">
        <f ca="1">IF(Table1[[#This Row],[County]]="West Yorkshire",Table1[[#This Row],[income]],0)</f>
        <v>0</v>
      </c>
      <c r="CG175" s="20">
        <f ca="1">IF(Table1[[#This Row],[County]]="Essex",Table1[[#This Row],[income]],0)</f>
        <v>0</v>
      </c>
      <c r="CH175" s="20">
        <f ca="1">IF(Table1[[#This Row],[County]]="East Sussex",Table1[[#This Row],[income]],0)</f>
        <v>0</v>
      </c>
      <c r="CI175" s="20">
        <f ca="1">IF(Table1[[#This Row],[County]]="Greater Manchester",Table1[[#This Row],[income]],0)</f>
        <v>0</v>
      </c>
      <c r="CJ175" s="20">
        <f ca="1">IF(Table1[[#This Row],[County]]="Hertfordshire",Table1[[#This Row],[income]],0)</f>
        <v>0</v>
      </c>
      <c r="CK175" s="20">
        <f ca="1">IF(Table1[[#This Row],[County]]="Herefordshire",Table1[[#This Row],[income]],0)</f>
        <v>0</v>
      </c>
      <c r="CL175" s="20">
        <f ca="1">IF(Table1[[#This Row],[County]]="Lancashire",Table1[[#This Row],[income]],0)</f>
        <v>0</v>
      </c>
      <c r="CM175" s="20">
        <f ca="1">IF(Table1[[#This Row],[County]]="Merseyside",Table1[[#This Row],[income]],0)</f>
        <v>0</v>
      </c>
      <c r="CN175" s="20">
        <f ca="1">IF(Table1[[#This Row],[County]]="Northamptonshire",Table1[[#This Row],[income]],0)</f>
        <v>0</v>
      </c>
      <c r="CO175" s="20">
        <f ca="1">IF(Table1[[#This Row],[County]]="Northumberland",Table1[[#This Row],[income]],0)</f>
        <v>0</v>
      </c>
      <c r="CP175" s="20">
        <f ca="1">IF(Table1[[#This Row],[County]]="Wiltshire",Table1[[#This Row],[income]],0)</f>
        <v>0</v>
      </c>
      <c r="CQ175" s="20">
        <f ca="1">IF(Table1[[#This Row],[County]]="West Midlands",Table1[[#This Row],[income]],0)</f>
        <v>0</v>
      </c>
      <c r="CR175" s="20">
        <f ca="1">IF(Table1[[#This Row],[County]]="Warwickshire",Table1[[#This Row],[income]],0)</f>
        <v>0</v>
      </c>
      <c r="CS175" s="20">
        <f ca="1">IF(Table1[[#This Row],[County]]="Tyne and Wear",Table1[[#This Row],[income]],0)</f>
        <v>0</v>
      </c>
      <c r="CT175" s="20">
        <f ca="1">IF(Table1[[#This Row],[County]]="Worcestershire",Table1[[#This Row],[income]],0)</f>
        <v>0</v>
      </c>
      <c r="CU175" s="20">
        <f ca="1">IF(Table1[[#This Row],[County]]="Rutland",Table1[[#This Row],[income]],0)</f>
        <v>0</v>
      </c>
      <c r="CV175" s="20">
        <f ca="1">IF(Table1[[#This Row],[County]]="Shropshire",Table1[[#This Row],[income]],0)</f>
        <v>0</v>
      </c>
      <c r="CW175" s="20">
        <f ca="1">IF(Table1[[#This Row],[County]]="Dorset",Table1[[#This Row],[income]],0)</f>
        <v>0</v>
      </c>
      <c r="CX175" s="20">
        <f ca="1">IF(Table1[[#This Row],[County]]="Buckinghamshire",Table1[[#This Row],[income]],0)</f>
        <v>0</v>
      </c>
      <c r="CY175" s="20">
        <f ca="1">IF(Table1[[#This Row],[County]]="Suffolk",Table1[[#This Row],[income]],0)</f>
        <v>0</v>
      </c>
      <c r="CZ175" s="20">
        <f ca="1">IF(Table1[[#This Row],[County]]="North Yorkshire",Table1[[#This Row],[income]],0)</f>
        <v>0</v>
      </c>
      <c r="DA175" s="20">
        <f ca="1">IF(Table1[[#This Row],[County]]="Kent",Table1[[#This Row],[income]],0)</f>
        <v>0</v>
      </c>
      <c r="DB175" s="5">
        <f ca="1">IF(Table1[[#This Row],[County]]="Derbyshire",Table1[[#This Row],[income]],0)</f>
        <v>0</v>
      </c>
      <c r="DD175" s="6">
        <f ca="1">IF(Table1[[#This Row],[Column1]]="Health",Table1[[#This Row],[income]],0)</f>
        <v>0</v>
      </c>
      <c r="DE175" s="20">
        <f ca="1">IF(Table1[[#This Row],[Column1]]="Agriculture",Table1[[#This Row],[income]],0)</f>
        <v>0</v>
      </c>
      <c r="DF175" s="20">
        <f ca="1">IF(Table1[[#This Row],[Column1]]="Technology",Table1[[#This Row],[income]],0)</f>
        <v>0</v>
      </c>
      <c r="DG175" s="20">
        <f ca="1">IF(Table1[[#This Row],[Column1]]="Social Service",Table1[[#This Row],[income]],0)</f>
        <v>81835</v>
      </c>
      <c r="DH175" s="20">
        <f ca="1">IF(Table1[[#This Row],[Column1]]="Education",Table1[[#This Row],[income]],0)</f>
        <v>0</v>
      </c>
      <c r="DI175" s="5">
        <f ca="1">IF(Table1[[#This Row],[Column1]]="Construction",Table1[[#This Row],[income]],0)</f>
        <v>0</v>
      </c>
      <c r="DK175" s="6">
        <f ca="1">IF(Table1[[#This Row],[Value of Debts]]&gt;Table1[[#This Row],[income]],1,0)</f>
        <v>1</v>
      </c>
      <c r="DL175" s="20"/>
      <c r="DM175" s="20"/>
      <c r="DN175" s="5"/>
      <c r="DP175" s="6">
        <f ca="1">IF(Table1[[#This Row],[Net Worth (£)]]&gt;$DS$5,C175,0)</f>
        <v>0</v>
      </c>
      <c r="DQ175" s="20"/>
      <c r="DR175" s="20"/>
      <c r="DS175" s="5"/>
    </row>
    <row r="176" spans="1:123" x14ac:dyDescent="0.2">
      <c r="A176">
        <f t="shared" ca="1" si="7"/>
        <v>2</v>
      </c>
      <c r="B176" s="1" t="str">
        <f ca="1">IF(A176=1, "men", "women")</f>
        <v>women</v>
      </c>
      <c r="C176" s="1">
        <f ca="1">RANDBETWEEN(25,50)</f>
        <v>42</v>
      </c>
      <c r="D176">
        <f ca="1">RANDBETWEEN(1,6)</f>
        <v>4</v>
      </c>
      <c r="E176" t="str">
        <f ca="1">VLOOKUP(D176,$W$5:$X$10,2)</f>
        <v>Technology</v>
      </c>
      <c r="F176">
        <f ca="1">RANDBETWEEN(1,5)</f>
        <v>3</v>
      </c>
      <c r="G176" t="str">
        <f ca="1">VLOOKUP(F176,$Y$5:$Z$9,2)</f>
        <v>University</v>
      </c>
      <c r="H176">
        <f ca="1">RANDBETWEEN(0,4)</f>
        <v>2</v>
      </c>
      <c r="I176">
        <f ca="1">RANDBETWEEN(1,3)</f>
        <v>3</v>
      </c>
      <c r="J176">
        <f ca="1">RANDBETWEEN(30000,100000)</f>
        <v>88560</v>
      </c>
      <c r="K176">
        <f ca="1">RANDBETWEEN(1,48)</f>
        <v>27</v>
      </c>
      <c r="L176" t="str">
        <f ca="1">VLOOKUP(K176,$AA$5:$AB$52,2)</f>
        <v>Merseyside</v>
      </c>
      <c r="M176">
        <f ca="1">J176*(RANDBETWEEN(2,5))</f>
        <v>177120</v>
      </c>
      <c r="N176">
        <f ca="1">RAND()*M176</f>
        <v>40492.900537422625</v>
      </c>
      <c r="O176">
        <f ca="1">I176*RAND()*J176</f>
        <v>51569.213718222585</v>
      </c>
      <c r="P176">
        <f ca="1">RANDBETWEEN(0,O176)</f>
        <v>38183</v>
      </c>
      <c r="Q176">
        <f ca="1">RAND()*J176*2</f>
        <v>79131.561547716788</v>
      </c>
      <c r="R176">
        <f ca="1">RAND()*J176*1.5</f>
        <v>116993.36695337341</v>
      </c>
      <c r="S176">
        <f ca="1">J176+R176+O176</f>
        <v>257122.58067159599</v>
      </c>
      <c r="T176">
        <f ca="1">N176+P176+Q176</f>
        <v>157807.46208513941</v>
      </c>
      <c r="U176">
        <f ca="1">S176-T176</f>
        <v>99315.118586456578</v>
      </c>
      <c r="AC176" s="6">
        <f ca="1">IF(Table1[[#This Row],[gender]]="men",1,0)</f>
        <v>0</v>
      </c>
      <c r="AD176">
        <f ca="1">IF(Table1[[#This Row],[gender]]="women",1,0)</f>
        <v>1</v>
      </c>
      <c r="AH176" s="5"/>
      <c r="AJ176" s="6">
        <f ca="1">IF(Table1[[#This Row],[Column1]]="Health",1,0)</f>
        <v>0</v>
      </c>
      <c r="AK176">
        <f ca="1">IF(Table1[[#This Row],[Column1]]="Construction",1,0)</f>
        <v>0</v>
      </c>
      <c r="AL176">
        <f ca="1">IF(Table1[[#This Row],[Column1]]="Technology",1,0)</f>
        <v>1</v>
      </c>
      <c r="AM176">
        <f ca="1">IF(Table1[[#This Row],[Column1]]="Education",1,0)</f>
        <v>0</v>
      </c>
      <c r="AN176">
        <f ca="1">IF(Table1[[#This Row],[Column1]]="Agriculture",1,0)</f>
        <v>0</v>
      </c>
      <c r="AO176">
        <f ca="1">IF(Table1[[#This Row],[Column1]]="Social Service", 1, 0)</f>
        <v>0</v>
      </c>
      <c r="AT176" s="5"/>
      <c r="AV176" s="17">
        <f t="shared" ca="1" si="6"/>
        <v>27687.947362001727</v>
      </c>
      <c r="AW176" s="5"/>
      <c r="AX176" s="6">
        <f ca="1">IF(Table1[[#This Row],[Value of Debts]]&gt;$AY$4,1,0)</f>
        <v>1</v>
      </c>
      <c r="AY176" s="20"/>
      <c r="AZ176" s="20"/>
      <c r="BA176" s="5"/>
      <c r="BB176" s="25">
        <f ca="1">Table1[[#This Row],[Mortage Left]]/Table1[[#This Row],[Value of House]]</f>
        <v>0.22861845380206994</v>
      </c>
      <c r="BC176" s="20">
        <f t="shared" ca="1" si="8"/>
        <v>1</v>
      </c>
      <c r="BD176" s="20"/>
      <c r="BE176" s="20"/>
      <c r="BF176" s="20"/>
      <c r="BG176" s="6">
        <f ca="1">IF(Table1[[#This Row],[County]]="Cumbria",Table1[[#This Row],[income]],0)</f>
        <v>0</v>
      </c>
      <c r="BH176" s="20">
        <f ca="1">IF(Table1[[#This Row],[County]]="Cheshire",Table1[[#This Row],[income]],0)</f>
        <v>0</v>
      </c>
      <c r="BI176" s="20">
        <f ca="1">IF(Table1[[#This Row],[County]]="Bristol",Table1[[#This Row],[income]],0)</f>
        <v>0</v>
      </c>
      <c r="BJ176" s="20">
        <f ca="1">IF(Table1[[#This Row],[County]]="Surrey",Table1[[#This Row],[income]],0)</f>
        <v>0</v>
      </c>
      <c r="BK176" s="20">
        <f ca="1">IF(Table1[[#This Row],[County]]="Norfolk",Table1[[#This Row],[income]],0)</f>
        <v>0</v>
      </c>
      <c r="BL176" s="20">
        <f ca="1">IF(Table1[[#This Row],[County]]="Lincolnshire",Table1[[#This Row],[income]],0)</f>
        <v>0</v>
      </c>
      <c r="BM176" s="20">
        <f ca="1">IF(Table1[[#This Row],[County]]="Somerset",Table1[[#This Row],[income]],0)</f>
        <v>0</v>
      </c>
      <c r="BN176" s="20">
        <f ca="1">IF(Table1[[#This Row],[County]]="Cambridgeshire",Table1[[#This Row],[income]],0)</f>
        <v>0</v>
      </c>
      <c r="BO176" s="20">
        <f ca="1">IF(Table1[[#This Row],[County]]="South Yorkshire",Table1[[#This Row],[income]],0)</f>
        <v>0</v>
      </c>
      <c r="BP176" s="20">
        <f ca="1">IF(Table1[[#This Row],[County]]="Greater London",Table1[[#This Row],[income]],0)</f>
        <v>0</v>
      </c>
      <c r="BQ176" s="20">
        <f ca="1">IF(Table1[[#This Row],[County]]="Hampshire",Table1[[#This Row],[income]],0)</f>
        <v>0</v>
      </c>
      <c r="BR176" s="20">
        <f ca="1">IF(Table1[[#This Row],[County]]="Gloucestershire",Table1[[#This Row],[income]],0)</f>
        <v>0</v>
      </c>
      <c r="BS176" s="20">
        <f ca="1">IF(Table1[[#This Row],[County]]="West Sussex",Table1[[#This Row],[income]],0)</f>
        <v>0</v>
      </c>
      <c r="BT176" s="20">
        <f ca="1">IF(Table1[[#This Row],[County]]="Devon",Table1[[#This Row],[income]],0)</f>
        <v>0</v>
      </c>
      <c r="BU176" s="20">
        <f ca="1">IF(Table1[[#This Row],[County]]="Berkshire",Table1[[#This Row],[income]],0)</f>
        <v>0</v>
      </c>
      <c r="BV176" s="20">
        <f ca="1">IF(Table1[[#This Row],[County]]="Staffordshire",Table1[[#This Row],[income]],0)</f>
        <v>0</v>
      </c>
      <c r="BW176" s="20">
        <f ca="1">IF(Table1[[#This Row],[County]]="Leicestershire",Table1[[#This Row],[income]],0)</f>
        <v>0</v>
      </c>
      <c r="BX176" s="20">
        <f ca="1">IF(Table1[[#This Row],[County]]="Cornwall",Table1[[#This Row],[income]],0)</f>
        <v>0</v>
      </c>
      <c r="BY176" s="20">
        <f ca="1">IF(Table1[[#This Row],[County]]="Isle of Wight",Table1[[#This Row],[income]],0)</f>
        <v>0</v>
      </c>
      <c r="BZ176" s="20">
        <f ca="1">IF(Table1[[#This Row],[County]]="Surrey",Table1[[#This Row],[income]],0)</f>
        <v>0</v>
      </c>
      <c r="CA176" s="20">
        <f ca="1">IF(Table1[[#This Row],[County]]="Derbyshire",Table1[[#This Row],[income]],0)</f>
        <v>0</v>
      </c>
      <c r="CB176" s="20">
        <f ca="1">IF(Table1[[#This Row],[County]]="City of London",Table1[[#This Row],[income]],0)</f>
        <v>0</v>
      </c>
      <c r="CC176" s="20">
        <f ca="1">IF(Table1[[#This Row],[County]]="Bedfordshire",Table1[[#This Row],[income]],0)</f>
        <v>0</v>
      </c>
      <c r="CD176" s="20">
        <f ca="1">IF(Table1[[#This Row],[County]]="County Durham",Table1[[#This Row],[income]],0)</f>
        <v>0</v>
      </c>
      <c r="CE176" s="20">
        <f ca="1">IF(Table1[[#This Row],[County]]="East Riding of Yorkshire",Table1[[#This Row],[income]],0)</f>
        <v>0</v>
      </c>
      <c r="CF176" s="20">
        <f ca="1">IF(Table1[[#This Row],[County]]="West Yorkshire",Table1[[#This Row],[income]],0)</f>
        <v>0</v>
      </c>
      <c r="CG176" s="20">
        <f ca="1">IF(Table1[[#This Row],[County]]="Essex",Table1[[#This Row],[income]],0)</f>
        <v>0</v>
      </c>
      <c r="CH176" s="20">
        <f ca="1">IF(Table1[[#This Row],[County]]="East Sussex",Table1[[#This Row],[income]],0)</f>
        <v>0</v>
      </c>
      <c r="CI176" s="20">
        <f ca="1">IF(Table1[[#This Row],[County]]="Greater Manchester",Table1[[#This Row],[income]],0)</f>
        <v>0</v>
      </c>
      <c r="CJ176" s="20">
        <f ca="1">IF(Table1[[#This Row],[County]]="Hertfordshire",Table1[[#This Row],[income]],0)</f>
        <v>0</v>
      </c>
      <c r="CK176" s="20">
        <f ca="1">IF(Table1[[#This Row],[County]]="Herefordshire",Table1[[#This Row],[income]],0)</f>
        <v>0</v>
      </c>
      <c r="CL176" s="20">
        <f ca="1">IF(Table1[[#This Row],[County]]="Lancashire",Table1[[#This Row],[income]],0)</f>
        <v>0</v>
      </c>
      <c r="CM176" s="20">
        <f ca="1">IF(Table1[[#This Row],[County]]="Merseyside",Table1[[#This Row],[income]],0)</f>
        <v>88560</v>
      </c>
      <c r="CN176" s="20">
        <f ca="1">IF(Table1[[#This Row],[County]]="Northamptonshire",Table1[[#This Row],[income]],0)</f>
        <v>0</v>
      </c>
      <c r="CO176" s="20">
        <f ca="1">IF(Table1[[#This Row],[County]]="Northumberland",Table1[[#This Row],[income]],0)</f>
        <v>0</v>
      </c>
      <c r="CP176" s="20">
        <f ca="1">IF(Table1[[#This Row],[County]]="Wiltshire",Table1[[#This Row],[income]],0)</f>
        <v>0</v>
      </c>
      <c r="CQ176" s="20">
        <f ca="1">IF(Table1[[#This Row],[County]]="West Midlands",Table1[[#This Row],[income]],0)</f>
        <v>0</v>
      </c>
      <c r="CR176" s="20">
        <f ca="1">IF(Table1[[#This Row],[County]]="Warwickshire",Table1[[#This Row],[income]],0)</f>
        <v>0</v>
      </c>
      <c r="CS176" s="20">
        <f ca="1">IF(Table1[[#This Row],[County]]="Tyne and Wear",Table1[[#This Row],[income]],0)</f>
        <v>0</v>
      </c>
      <c r="CT176" s="20">
        <f ca="1">IF(Table1[[#This Row],[County]]="Worcestershire",Table1[[#This Row],[income]],0)</f>
        <v>0</v>
      </c>
      <c r="CU176" s="20">
        <f ca="1">IF(Table1[[#This Row],[County]]="Rutland",Table1[[#This Row],[income]],0)</f>
        <v>0</v>
      </c>
      <c r="CV176" s="20">
        <f ca="1">IF(Table1[[#This Row],[County]]="Shropshire",Table1[[#This Row],[income]],0)</f>
        <v>0</v>
      </c>
      <c r="CW176" s="20">
        <f ca="1">IF(Table1[[#This Row],[County]]="Dorset",Table1[[#This Row],[income]],0)</f>
        <v>0</v>
      </c>
      <c r="CX176" s="20">
        <f ca="1">IF(Table1[[#This Row],[County]]="Buckinghamshire",Table1[[#This Row],[income]],0)</f>
        <v>0</v>
      </c>
      <c r="CY176" s="20">
        <f ca="1">IF(Table1[[#This Row],[County]]="Suffolk",Table1[[#This Row],[income]],0)</f>
        <v>0</v>
      </c>
      <c r="CZ176" s="20">
        <f ca="1">IF(Table1[[#This Row],[County]]="North Yorkshire",Table1[[#This Row],[income]],0)</f>
        <v>0</v>
      </c>
      <c r="DA176" s="20">
        <f ca="1">IF(Table1[[#This Row],[County]]="Kent",Table1[[#This Row],[income]],0)</f>
        <v>0</v>
      </c>
      <c r="DB176" s="5">
        <f ca="1">IF(Table1[[#This Row],[County]]="Derbyshire",Table1[[#This Row],[income]],0)</f>
        <v>0</v>
      </c>
      <c r="DD176" s="6">
        <f ca="1">IF(Table1[[#This Row],[Column1]]="Health",Table1[[#This Row],[income]],0)</f>
        <v>0</v>
      </c>
      <c r="DE176" s="20">
        <f ca="1">IF(Table1[[#This Row],[Column1]]="Agriculture",Table1[[#This Row],[income]],0)</f>
        <v>0</v>
      </c>
      <c r="DF176" s="20">
        <f ca="1">IF(Table1[[#This Row],[Column1]]="Technology",Table1[[#This Row],[income]],0)</f>
        <v>88560</v>
      </c>
      <c r="DG176" s="20">
        <f ca="1">IF(Table1[[#This Row],[Column1]]="Social Service",Table1[[#This Row],[income]],0)</f>
        <v>0</v>
      </c>
      <c r="DH176" s="20">
        <f ca="1">IF(Table1[[#This Row],[Column1]]="Education",Table1[[#This Row],[income]],0)</f>
        <v>0</v>
      </c>
      <c r="DI176" s="5">
        <f ca="1">IF(Table1[[#This Row],[Column1]]="Construction",Table1[[#This Row],[income]],0)</f>
        <v>0</v>
      </c>
      <c r="DK176" s="6">
        <f ca="1">IF(Table1[[#This Row],[Value of Debts]]&gt;Table1[[#This Row],[income]],1,0)</f>
        <v>1</v>
      </c>
      <c r="DL176" s="20"/>
      <c r="DM176" s="20"/>
      <c r="DN176" s="5"/>
      <c r="DP176" s="6">
        <f ca="1">IF(Table1[[#This Row],[Net Worth (£)]]&gt;$DS$5,C176,0)</f>
        <v>42</v>
      </c>
      <c r="DQ176" s="20"/>
      <c r="DR176" s="20"/>
      <c r="DS176" s="5"/>
    </row>
    <row r="177" spans="1:123" hidden="1" x14ac:dyDescent="0.2">
      <c r="A177">
        <f t="shared" ca="1" si="7"/>
        <v>2</v>
      </c>
      <c r="B177" s="1" t="str">
        <f ca="1">IF(A177=1, "men", "women")</f>
        <v>women</v>
      </c>
      <c r="C177" s="1">
        <f ca="1">RANDBETWEEN(25,50)</f>
        <v>43</v>
      </c>
      <c r="D177">
        <f ca="1">RANDBETWEEN(1,6)</f>
        <v>6</v>
      </c>
      <c r="E177" t="str">
        <f ca="1">VLOOKUP(D177,$W$5:$X$10,2)</f>
        <v>Agriculture</v>
      </c>
      <c r="F177">
        <f ca="1">RANDBETWEEN(1,5)</f>
        <v>4</v>
      </c>
      <c r="G177" t="str">
        <f ca="1">VLOOKUP(F177,$Y$5:$Z$9,2)</f>
        <v xml:space="preserve">Technical </v>
      </c>
      <c r="H177">
        <f ca="1">RANDBETWEEN(0,4)</f>
        <v>1</v>
      </c>
      <c r="I177">
        <f ca="1">RANDBETWEEN(1,3)</f>
        <v>3</v>
      </c>
      <c r="J177">
        <f ca="1">RANDBETWEEN(30000,100000)</f>
        <v>50290</v>
      </c>
      <c r="K177">
        <f ca="1">RANDBETWEEN(1,48)</f>
        <v>38</v>
      </c>
      <c r="L177" t="str">
        <f ca="1">VLOOKUP(K177,$AA$5:$AB$52,2)</f>
        <v>South Yorkshire</v>
      </c>
      <c r="M177">
        <f ca="1">J177*(RANDBETWEEN(2,5))</f>
        <v>100580</v>
      </c>
      <c r="N177">
        <f ca="1">RAND()*M177</f>
        <v>54394.120577570495</v>
      </c>
      <c r="O177">
        <f ca="1">I177*RAND()*J177</f>
        <v>83063.842086005185</v>
      </c>
      <c r="P177">
        <f ca="1">RANDBETWEEN(0,O177)</f>
        <v>63226</v>
      </c>
      <c r="Q177">
        <f ca="1">RAND()*J177*2</f>
        <v>19379.804740457821</v>
      </c>
      <c r="R177">
        <f ca="1">RAND()*J177*1.5</f>
        <v>69265.903247090377</v>
      </c>
      <c r="S177">
        <f ca="1">J177+R177+O177</f>
        <v>202619.74533309555</v>
      </c>
      <c r="T177">
        <f ca="1">N177+P177+Q177</f>
        <v>136999.92531802831</v>
      </c>
      <c r="U177">
        <f ca="1">S177-T177</f>
        <v>65619.820015067235</v>
      </c>
      <c r="AC177" s="6">
        <f ca="1">IF(Table1[[#This Row],[gender]]="men",1,0)</f>
        <v>0</v>
      </c>
      <c r="AD177">
        <f ca="1">IF(Table1[[#This Row],[gender]]="women",1,0)</f>
        <v>1</v>
      </c>
      <c r="AH177" s="5"/>
      <c r="AJ177" s="6">
        <f ca="1">IF(Table1[[#This Row],[Column1]]="Health",1,0)</f>
        <v>0</v>
      </c>
      <c r="AK177">
        <f ca="1">IF(Table1[[#This Row],[Column1]]="Construction",1,0)</f>
        <v>0</v>
      </c>
      <c r="AL177">
        <f ca="1">IF(Table1[[#This Row],[Column1]]="Technology",1,0)</f>
        <v>0</v>
      </c>
      <c r="AM177">
        <f ca="1">IF(Table1[[#This Row],[Column1]]="Education",1,0)</f>
        <v>0</v>
      </c>
      <c r="AN177">
        <f ca="1">IF(Table1[[#This Row],[Column1]]="Agriculture",1,0)</f>
        <v>1</v>
      </c>
      <c r="AO177">
        <f ca="1">IF(Table1[[#This Row],[Column1]]="Social Service", 1, 0)</f>
        <v>0</v>
      </c>
      <c r="AT177" s="5"/>
      <c r="AV177" s="17">
        <f t="shared" ca="1" si="6"/>
        <v>24356.087397973592</v>
      </c>
      <c r="AW177" s="5"/>
      <c r="AX177" s="6">
        <f ca="1">IF(Table1[[#This Row],[Value of Debts]]&gt;$AY$4,1,0)</f>
        <v>1</v>
      </c>
      <c r="AY177" s="20"/>
      <c r="AZ177" s="20"/>
      <c r="BA177" s="5"/>
      <c r="BB177" s="25">
        <f ca="1">Table1[[#This Row],[Mortage Left]]/Table1[[#This Row],[Value of House]]</f>
        <v>0.54080453944691287</v>
      </c>
      <c r="BC177" s="20">
        <f t="shared" ca="1" si="8"/>
        <v>0</v>
      </c>
      <c r="BD177" s="20"/>
      <c r="BE177" s="20"/>
      <c r="BF177" s="20"/>
      <c r="BG177" s="6">
        <f ca="1">IF(Table1[[#This Row],[County]]="Cumbria",Table1[[#This Row],[income]],0)</f>
        <v>0</v>
      </c>
      <c r="BH177" s="20">
        <f ca="1">IF(Table1[[#This Row],[County]]="Cheshire",Table1[[#This Row],[income]],0)</f>
        <v>0</v>
      </c>
      <c r="BI177" s="20">
        <f ca="1">IF(Table1[[#This Row],[County]]="Bristol",Table1[[#This Row],[income]],0)</f>
        <v>0</v>
      </c>
      <c r="BJ177" s="20">
        <f ca="1">IF(Table1[[#This Row],[County]]="Surrey",Table1[[#This Row],[income]],0)</f>
        <v>0</v>
      </c>
      <c r="BK177" s="20">
        <f ca="1">IF(Table1[[#This Row],[County]]="Norfolk",Table1[[#This Row],[income]],0)</f>
        <v>0</v>
      </c>
      <c r="BL177" s="20">
        <f ca="1">IF(Table1[[#This Row],[County]]="Lincolnshire",Table1[[#This Row],[income]],0)</f>
        <v>0</v>
      </c>
      <c r="BM177" s="20">
        <f ca="1">IF(Table1[[#This Row],[County]]="Somerset",Table1[[#This Row],[income]],0)</f>
        <v>0</v>
      </c>
      <c r="BN177" s="20">
        <f ca="1">IF(Table1[[#This Row],[County]]="Cambridgeshire",Table1[[#This Row],[income]],0)</f>
        <v>0</v>
      </c>
      <c r="BO177" s="20">
        <f ca="1">IF(Table1[[#This Row],[County]]="South Yorkshire",Table1[[#This Row],[income]],0)</f>
        <v>50290</v>
      </c>
      <c r="BP177" s="20">
        <f ca="1">IF(Table1[[#This Row],[County]]="Greater London",Table1[[#This Row],[income]],0)</f>
        <v>0</v>
      </c>
      <c r="BQ177" s="20">
        <f ca="1">IF(Table1[[#This Row],[County]]="Hampshire",Table1[[#This Row],[income]],0)</f>
        <v>0</v>
      </c>
      <c r="BR177" s="20">
        <f ca="1">IF(Table1[[#This Row],[County]]="Gloucestershire",Table1[[#This Row],[income]],0)</f>
        <v>0</v>
      </c>
      <c r="BS177" s="20">
        <f ca="1">IF(Table1[[#This Row],[County]]="West Sussex",Table1[[#This Row],[income]],0)</f>
        <v>0</v>
      </c>
      <c r="BT177" s="20">
        <f ca="1">IF(Table1[[#This Row],[County]]="Devon",Table1[[#This Row],[income]],0)</f>
        <v>0</v>
      </c>
      <c r="BU177" s="20">
        <f ca="1">IF(Table1[[#This Row],[County]]="Berkshire",Table1[[#This Row],[income]],0)</f>
        <v>0</v>
      </c>
      <c r="BV177" s="20">
        <f ca="1">IF(Table1[[#This Row],[County]]="Staffordshire",Table1[[#This Row],[income]],0)</f>
        <v>0</v>
      </c>
      <c r="BW177" s="20">
        <f ca="1">IF(Table1[[#This Row],[County]]="Leicestershire",Table1[[#This Row],[income]],0)</f>
        <v>0</v>
      </c>
      <c r="BX177" s="20">
        <f ca="1">IF(Table1[[#This Row],[County]]="Cornwall",Table1[[#This Row],[income]],0)</f>
        <v>0</v>
      </c>
      <c r="BY177" s="20">
        <f ca="1">IF(Table1[[#This Row],[County]]="Isle of Wight",Table1[[#This Row],[income]],0)</f>
        <v>0</v>
      </c>
      <c r="BZ177" s="20">
        <f ca="1">IF(Table1[[#This Row],[County]]="Surrey",Table1[[#This Row],[income]],0)</f>
        <v>0</v>
      </c>
      <c r="CA177" s="20">
        <f ca="1">IF(Table1[[#This Row],[County]]="Derbyshire",Table1[[#This Row],[income]],0)</f>
        <v>0</v>
      </c>
      <c r="CB177" s="20">
        <f ca="1">IF(Table1[[#This Row],[County]]="City of London",Table1[[#This Row],[income]],0)</f>
        <v>0</v>
      </c>
      <c r="CC177" s="20">
        <f ca="1">IF(Table1[[#This Row],[County]]="Bedfordshire",Table1[[#This Row],[income]],0)</f>
        <v>0</v>
      </c>
      <c r="CD177" s="20">
        <f ca="1">IF(Table1[[#This Row],[County]]="County Durham",Table1[[#This Row],[income]],0)</f>
        <v>0</v>
      </c>
      <c r="CE177" s="20">
        <f ca="1">IF(Table1[[#This Row],[County]]="East Riding of Yorkshire",Table1[[#This Row],[income]],0)</f>
        <v>0</v>
      </c>
      <c r="CF177" s="20">
        <f ca="1">IF(Table1[[#This Row],[County]]="West Yorkshire",Table1[[#This Row],[income]],0)</f>
        <v>0</v>
      </c>
      <c r="CG177" s="20">
        <f ca="1">IF(Table1[[#This Row],[County]]="Essex",Table1[[#This Row],[income]],0)</f>
        <v>0</v>
      </c>
      <c r="CH177" s="20">
        <f ca="1">IF(Table1[[#This Row],[County]]="East Sussex",Table1[[#This Row],[income]],0)</f>
        <v>0</v>
      </c>
      <c r="CI177" s="20">
        <f ca="1">IF(Table1[[#This Row],[County]]="Greater Manchester",Table1[[#This Row],[income]],0)</f>
        <v>0</v>
      </c>
      <c r="CJ177" s="20">
        <f ca="1">IF(Table1[[#This Row],[County]]="Hertfordshire",Table1[[#This Row],[income]],0)</f>
        <v>0</v>
      </c>
      <c r="CK177" s="20">
        <f ca="1">IF(Table1[[#This Row],[County]]="Herefordshire",Table1[[#This Row],[income]],0)</f>
        <v>0</v>
      </c>
      <c r="CL177" s="20">
        <f ca="1">IF(Table1[[#This Row],[County]]="Lancashire",Table1[[#This Row],[income]],0)</f>
        <v>0</v>
      </c>
      <c r="CM177" s="20">
        <f ca="1">IF(Table1[[#This Row],[County]]="Merseyside",Table1[[#This Row],[income]],0)</f>
        <v>0</v>
      </c>
      <c r="CN177" s="20">
        <f ca="1">IF(Table1[[#This Row],[County]]="Northamptonshire",Table1[[#This Row],[income]],0)</f>
        <v>0</v>
      </c>
      <c r="CO177" s="20">
        <f ca="1">IF(Table1[[#This Row],[County]]="Northumberland",Table1[[#This Row],[income]],0)</f>
        <v>0</v>
      </c>
      <c r="CP177" s="20">
        <f ca="1">IF(Table1[[#This Row],[County]]="Wiltshire",Table1[[#This Row],[income]],0)</f>
        <v>0</v>
      </c>
      <c r="CQ177" s="20">
        <f ca="1">IF(Table1[[#This Row],[County]]="West Midlands",Table1[[#This Row],[income]],0)</f>
        <v>0</v>
      </c>
      <c r="CR177" s="20">
        <f ca="1">IF(Table1[[#This Row],[County]]="Warwickshire",Table1[[#This Row],[income]],0)</f>
        <v>0</v>
      </c>
      <c r="CS177" s="20">
        <f ca="1">IF(Table1[[#This Row],[County]]="Tyne and Wear",Table1[[#This Row],[income]],0)</f>
        <v>0</v>
      </c>
      <c r="CT177" s="20">
        <f ca="1">IF(Table1[[#This Row],[County]]="Worcestershire",Table1[[#This Row],[income]],0)</f>
        <v>0</v>
      </c>
      <c r="CU177" s="20">
        <f ca="1">IF(Table1[[#This Row],[County]]="Rutland",Table1[[#This Row],[income]],0)</f>
        <v>0</v>
      </c>
      <c r="CV177" s="20">
        <f ca="1">IF(Table1[[#This Row],[County]]="Shropshire",Table1[[#This Row],[income]],0)</f>
        <v>0</v>
      </c>
      <c r="CW177" s="20">
        <f ca="1">IF(Table1[[#This Row],[County]]="Dorset",Table1[[#This Row],[income]],0)</f>
        <v>0</v>
      </c>
      <c r="CX177" s="20">
        <f ca="1">IF(Table1[[#This Row],[County]]="Buckinghamshire",Table1[[#This Row],[income]],0)</f>
        <v>0</v>
      </c>
      <c r="CY177" s="20">
        <f ca="1">IF(Table1[[#This Row],[County]]="Suffolk",Table1[[#This Row],[income]],0)</f>
        <v>0</v>
      </c>
      <c r="CZ177" s="20">
        <f ca="1">IF(Table1[[#This Row],[County]]="North Yorkshire",Table1[[#This Row],[income]],0)</f>
        <v>0</v>
      </c>
      <c r="DA177" s="20">
        <f ca="1">IF(Table1[[#This Row],[County]]="Kent",Table1[[#This Row],[income]],0)</f>
        <v>0</v>
      </c>
      <c r="DB177" s="5">
        <f ca="1">IF(Table1[[#This Row],[County]]="Derbyshire",Table1[[#This Row],[income]],0)</f>
        <v>0</v>
      </c>
      <c r="DD177" s="6">
        <f ca="1">IF(Table1[[#This Row],[Column1]]="Health",Table1[[#This Row],[income]],0)</f>
        <v>0</v>
      </c>
      <c r="DE177" s="20">
        <f ca="1">IF(Table1[[#This Row],[Column1]]="Agriculture",Table1[[#This Row],[income]],0)</f>
        <v>50290</v>
      </c>
      <c r="DF177" s="20">
        <f ca="1">IF(Table1[[#This Row],[Column1]]="Technology",Table1[[#This Row],[income]],0)</f>
        <v>0</v>
      </c>
      <c r="DG177" s="20">
        <f ca="1">IF(Table1[[#This Row],[Column1]]="Social Service",Table1[[#This Row],[income]],0)</f>
        <v>0</v>
      </c>
      <c r="DH177" s="20">
        <f ca="1">IF(Table1[[#This Row],[Column1]]="Education",Table1[[#This Row],[income]],0)</f>
        <v>0</v>
      </c>
      <c r="DI177" s="5">
        <f ca="1">IF(Table1[[#This Row],[Column1]]="Construction",Table1[[#This Row],[income]],0)</f>
        <v>0</v>
      </c>
      <c r="DK177" s="6">
        <f ca="1">IF(Table1[[#This Row],[Value of Debts]]&gt;Table1[[#This Row],[income]],1,0)</f>
        <v>1</v>
      </c>
      <c r="DL177" s="20"/>
      <c r="DM177" s="20"/>
      <c r="DN177" s="5"/>
      <c r="DP177" s="6">
        <f ca="1">IF(Table1[[#This Row],[Net Worth (£)]]&gt;$DS$5,C177,0)</f>
        <v>43</v>
      </c>
      <c r="DQ177" s="20"/>
      <c r="DR177" s="20"/>
      <c r="DS177" s="5"/>
    </row>
    <row r="178" spans="1:123" hidden="1" x14ac:dyDescent="0.2">
      <c r="A178">
        <f t="shared" ca="1" si="7"/>
        <v>2</v>
      </c>
      <c r="B178" s="1" t="str">
        <f ca="1">IF(A178=1, "men", "women")</f>
        <v>women</v>
      </c>
      <c r="C178" s="1">
        <f ca="1">RANDBETWEEN(25,50)</f>
        <v>41</v>
      </c>
      <c r="D178">
        <f ca="1">RANDBETWEEN(1,6)</f>
        <v>5</v>
      </c>
      <c r="E178" t="str">
        <f ca="1">VLOOKUP(D178,$W$5:$X$10,2)</f>
        <v>Social Service</v>
      </c>
      <c r="F178">
        <f ca="1">RANDBETWEEN(1,5)</f>
        <v>5</v>
      </c>
      <c r="G178" t="str">
        <f ca="1">VLOOKUP(F178,$Y$5:$Z$9,2)</f>
        <v>Other</v>
      </c>
      <c r="H178">
        <f ca="1">RANDBETWEEN(0,4)</f>
        <v>4</v>
      </c>
      <c r="I178">
        <f ca="1">RANDBETWEEN(1,3)</f>
        <v>1</v>
      </c>
      <c r="J178">
        <f ca="1">RANDBETWEEN(30000,100000)</f>
        <v>52610</v>
      </c>
      <c r="K178">
        <f ca="1">RANDBETWEEN(1,48)</f>
        <v>9</v>
      </c>
      <c r="L178" t="str">
        <f ca="1">VLOOKUP(K178,$AA$5:$AB$52,2)</f>
        <v>Cumbria</v>
      </c>
      <c r="M178">
        <f ca="1">J178*(RANDBETWEEN(2,5))</f>
        <v>210440</v>
      </c>
      <c r="N178">
        <f ca="1">RAND()*M178</f>
        <v>30860.983456541431</v>
      </c>
      <c r="O178">
        <f ca="1">I178*RAND()*J178</f>
        <v>24356.087397973592</v>
      </c>
      <c r="P178">
        <f ca="1">RANDBETWEEN(0,O178)</f>
        <v>20144</v>
      </c>
      <c r="Q178">
        <f ca="1">RAND()*J178*2</f>
        <v>101870.93563881826</v>
      </c>
      <c r="R178">
        <f ca="1">RAND()*J178*1.5</f>
        <v>33312.555495014276</v>
      </c>
      <c r="S178">
        <f ca="1">J178+R178+O178</f>
        <v>110278.64289298786</v>
      </c>
      <c r="T178">
        <f ca="1">N178+P178+Q178</f>
        <v>152875.91909535968</v>
      </c>
      <c r="U178">
        <f ca="1">S178-T178</f>
        <v>-42597.276202371824</v>
      </c>
      <c r="AC178" s="6">
        <f ca="1">IF(Table1[[#This Row],[gender]]="men",1,0)</f>
        <v>0</v>
      </c>
      <c r="AD178">
        <f ca="1">IF(Table1[[#This Row],[gender]]="women",1,0)</f>
        <v>1</v>
      </c>
      <c r="AH178" s="5"/>
      <c r="AJ178" s="6">
        <f ca="1">IF(Table1[[#This Row],[Column1]]="Health",1,0)</f>
        <v>0</v>
      </c>
      <c r="AK178">
        <f ca="1">IF(Table1[[#This Row],[Column1]]="Construction",1,0)</f>
        <v>0</v>
      </c>
      <c r="AL178">
        <f ca="1">IF(Table1[[#This Row],[Column1]]="Technology",1,0)</f>
        <v>0</v>
      </c>
      <c r="AM178">
        <f ca="1">IF(Table1[[#This Row],[Column1]]="Education",1,0)</f>
        <v>0</v>
      </c>
      <c r="AN178">
        <f ca="1">IF(Table1[[#This Row],[Column1]]="Agriculture",1,0)</f>
        <v>0</v>
      </c>
      <c r="AO178">
        <f ca="1">IF(Table1[[#This Row],[Column1]]="Social Service", 1, 0)</f>
        <v>1</v>
      </c>
      <c r="AT178" s="5"/>
      <c r="AV178" s="17">
        <f t="shared" ca="1" si="6"/>
        <v>45729.653409907318</v>
      </c>
      <c r="AW178" s="5"/>
      <c r="AX178" s="6">
        <f ca="1">IF(Table1[[#This Row],[Value of Debts]]&gt;$AY$4,1,0)</f>
        <v>1</v>
      </c>
      <c r="AY178" s="20"/>
      <c r="AZ178" s="20"/>
      <c r="BA178" s="5"/>
      <c r="BB178" s="25">
        <f ca="1">Table1[[#This Row],[Mortage Left]]/Table1[[#This Row],[Value of House]]</f>
        <v>0.14664979783568444</v>
      </c>
      <c r="BC178" s="20">
        <f t="shared" ca="1" si="8"/>
        <v>1</v>
      </c>
      <c r="BD178" s="20"/>
      <c r="BE178" s="20"/>
      <c r="BF178" s="20"/>
      <c r="BG178" s="6">
        <f ca="1">IF(Table1[[#This Row],[County]]="Cumbria",Table1[[#This Row],[income]],0)</f>
        <v>52610</v>
      </c>
      <c r="BH178" s="20">
        <f ca="1">IF(Table1[[#This Row],[County]]="Cheshire",Table1[[#This Row],[income]],0)</f>
        <v>0</v>
      </c>
      <c r="BI178" s="20">
        <f ca="1">IF(Table1[[#This Row],[County]]="Bristol",Table1[[#This Row],[income]],0)</f>
        <v>0</v>
      </c>
      <c r="BJ178" s="20">
        <f ca="1">IF(Table1[[#This Row],[County]]="Surrey",Table1[[#This Row],[income]],0)</f>
        <v>0</v>
      </c>
      <c r="BK178" s="20">
        <f ca="1">IF(Table1[[#This Row],[County]]="Norfolk",Table1[[#This Row],[income]],0)</f>
        <v>0</v>
      </c>
      <c r="BL178" s="20">
        <f ca="1">IF(Table1[[#This Row],[County]]="Lincolnshire",Table1[[#This Row],[income]],0)</f>
        <v>0</v>
      </c>
      <c r="BM178" s="20">
        <f ca="1">IF(Table1[[#This Row],[County]]="Somerset",Table1[[#This Row],[income]],0)</f>
        <v>0</v>
      </c>
      <c r="BN178" s="20">
        <f ca="1">IF(Table1[[#This Row],[County]]="Cambridgeshire",Table1[[#This Row],[income]],0)</f>
        <v>0</v>
      </c>
      <c r="BO178" s="20">
        <f ca="1">IF(Table1[[#This Row],[County]]="South Yorkshire",Table1[[#This Row],[income]],0)</f>
        <v>0</v>
      </c>
      <c r="BP178" s="20">
        <f ca="1">IF(Table1[[#This Row],[County]]="Greater London",Table1[[#This Row],[income]],0)</f>
        <v>0</v>
      </c>
      <c r="BQ178" s="20">
        <f ca="1">IF(Table1[[#This Row],[County]]="Hampshire",Table1[[#This Row],[income]],0)</f>
        <v>0</v>
      </c>
      <c r="BR178" s="20">
        <f ca="1">IF(Table1[[#This Row],[County]]="Gloucestershire",Table1[[#This Row],[income]],0)</f>
        <v>0</v>
      </c>
      <c r="BS178" s="20">
        <f ca="1">IF(Table1[[#This Row],[County]]="West Sussex",Table1[[#This Row],[income]],0)</f>
        <v>0</v>
      </c>
      <c r="BT178" s="20">
        <f ca="1">IF(Table1[[#This Row],[County]]="Devon",Table1[[#This Row],[income]],0)</f>
        <v>0</v>
      </c>
      <c r="BU178" s="20">
        <f ca="1">IF(Table1[[#This Row],[County]]="Berkshire",Table1[[#This Row],[income]],0)</f>
        <v>0</v>
      </c>
      <c r="BV178" s="20">
        <f ca="1">IF(Table1[[#This Row],[County]]="Staffordshire",Table1[[#This Row],[income]],0)</f>
        <v>0</v>
      </c>
      <c r="BW178" s="20">
        <f ca="1">IF(Table1[[#This Row],[County]]="Leicestershire",Table1[[#This Row],[income]],0)</f>
        <v>0</v>
      </c>
      <c r="BX178" s="20">
        <f ca="1">IF(Table1[[#This Row],[County]]="Cornwall",Table1[[#This Row],[income]],0)</f>
        <v>0</v>
      </c>
      <c r="BY178" s="20">
        <f ca="1">IF(Table1[[#This Row],[County]]="Isle of Wight",Table1[[#This Row],[income]],0)</f>
        <v>0</v>
      </c>
      <c r="BZ178" s="20">
        <f ca="1">IF(Table1[[#This Row],[County]]="Surrey",Table1[[#This Row],[income]],0)</f>
        <v>0</v>
      </c>
      <c r="CA178" s="20">
        <f ca="1">IF(Table1[[#This Row],[County]]="Derbyshire",Table1[[#This Row],[income]],0)</f>
        <v>0</v>
      </c>
      <c r="CB178" s="20">
        <f ca="1">IF(Table1[[#This Row],[County]]="City of London",Table1[[#This Row],[income]],0)</f>
        <v>0</v>
      </c>
      <c r="CC178" s="20">
        <f ca="1">IF(Table1[[#This Row],[County]]="Bedfordshire",Table1[[#This Row],[income]],0)</f>
        <v>0</v>
      </c>
      <c r="CD178" s="20">
        <f ca="1">IF(Table1[[#This Row],[County]]="County Durham",Table1[[#This Row],[income]],0)</f>
        <v>0</v>
      </c>
      <c r="CE178" s="20">
        <f ca="1">IF(Table1[[#This Row],[County]]="East Riding of Yorkshire",Table1[[#This Row],[income]],0)</f>
        <v>0</v>
      </c>
      <c r="CF178" s="20">
        <f ca="1">IF(Table1[[#This Row],[County]]="West Yorkshire",Table1[[#This Row],[income]],0)</f>
        <v>0</v>
      </c>
      <c r="CG178" s="20">
        <f ca="1">IF(Table1[[#This Row],[County]]="Essex",Table1[[#This Row],[income]],0)</f>
        <v>0</v>
      </c>
      <c r="CH178" s="20">
        <f ca="1">IF(Table1[[#This Row],[County]]="East Sussex",Table1[[#This Row],[income]],0)</f>
        <v>0</v>
      </c>
      <c r="CI178" s="20">
        <f ca="1">IF(Table1[[#This Row],[County]]="Greater Manchester",Table1[[#This Row],[income]],0)</f>
        <v>0</v>
      </c>
      <c r="CJ178" s="20">
        <f ca="1">IF(Table1[[#This Row],[County]]="Hertfordshire",Table1[[#This Row],[income]],0)</f>
        <v>0</v>
      </c>
      <c r="CK178" s="20">
        <f ca="1">IF(Table1[[#This Row],[County]]="Herefordshire",Table1[[#This Row],[income]],0)</f>
        <v>0</v>
      </c>
      <c r="CL178" s="20">
        <f ca="1">IF(Table1[[#This Row],[County]]="Lancashire",Table1[[#This Row],[income]],0)</f>
        <v>0</v>
      </c>
      <c r="CM178" s="20">
        <f ca="1">IF(Table1[[#This Row],[County]]="Merseyside",Table1[[#This Row],[income]],0)</f>
        <v>0</v>
      </c>
      <c r="CN178" s="20">
        <f ca="1">IF(Table1[[#This Row],[County]]="Northamptonshire",Table1[[#This Row],[income]],0)</f>
        <v>0</v>
      </c>
      <c r="CO178" s="20">
        <f ca="1">IF(Table1[[#This Row],[County]]="Northumberland",Table1[[#This Row],[income]],0)</f>
        <v>0</v>
      </c>
      <c r="CP178" s="20">
        <f ca="1">IF(Table1[[#This Row],[County]]="Wiltshire",Table1[[#This Row],[income]],0)</f>
        <v>0</v>
      </c>
      <c r="CQ178" s="20">
        <f ca="1">IF(Table1[[#This Row],[County]]="West Midlands",Table1[[#This Row],[income]],0)</f>
        <v>0</v>
      </c>
      <c r="CR178" s="20">
        <f ca="1">IF(Table1[[#This Row],[County]]="Warwickshire",Table1[[#This Row],[income]],0)</f>
        <v>0</v>
      </c>
      <c r="CS178" s="20">
        <f ca="1">IF(Table1[[#This Row],[County]]="Tyne and Wear",Table1[[#This Row],[income]],0)</f>
        <v>0</v>
      </c>
      <c r="CT178" s="20">
        <f ca="1">IF(Table1[[#This Row],[County]]="Worcestershire",Table1[[#This Row],[income]],0)</f>
        <v>0</v>
      </c>
      <c r="CU178" s="20">
        <f ca="1">IF(Table1[[#This Row],[County]]="Rutland",Table1[[#This Row],[income]],0)</f>
        <v>0</v>
      </c>
      <c r="CV178" s="20">
        <f ca="1">IF(Table1[[#This Row],[County]]="Shropshire",Table1[[#This Row],[income]],0)</f>
        <v>0</v>
      </c>
      <c r="CW178" s="20">
        <f ca="1">IF(Table1[[#This Row],[County]]="Dorset",Table1[[#This Row],[income]],0)</f>
        <v>0</v>
      </c>
      <c r="CX178" s="20">
        <f ca="1">IF(Table1[[#This Row],[County]]="Buckinghamshire",Table1[[#This Row],[income]],0)</f>
        <v>0</v>
      </c>
      <c r="CY178" s="20">
        <f ca="1">IF(Table1[[#This Row],[County]]="Suffolk",Table1[[#This Row],[income]],0)</f>
        <v>0</v>
      </c>
      <c r="CZ178" s="20">
        <f ca="1">IF(Table1[[#This Row],[County]]="North Yorkshire",Table1[[#This Row],[income]],0)</f>
        <v>0</v>
      </c>
      <c r="DA178" s="20">
        <f ca="1">IF(Table1[[#This Row],[County]]="Kent",Table1[[#This Row],[income]],0)</f>
        <v>0</v>
      </c>
      <c r="DB178" s="5">
        <f ca="1">IF(Table1[[#This Row],[County]]="Derbyshire",Table1[[#This Row],[income]],0)</f>
        <v>0</v>
      </c>
      <c r="DD178" s="6">
        <f ca="1">IF(Table1[[#This Row],[Column1]]="Health",Table1[[#This Row],[income]],0)</f>
        <v>0</v>
      </c>
      <c r="DE178" s="20">
        <f ca="1">IF(Table1[[#This Row],[Column1]]="Agriculture",Table1[[#This Row],[income]],0)</f>
        <v>0</v>
      </c>
      <c r="DF178" s="20">
        <f ca="1">IF(Table1[[#This Row],[Column1]]="Technology",Table1[[#This Row],[income]],0)</f>
        <v>0</v>
      </c>
      <c r="DG178" s="20">
        <f ca="1">IF(Table1[[#This Row],[Column1]]="Social Service",Table1[[#This Row],[income]],0)</f>
        <v>52610</v>
      </c>
      <c r="DH178" s="20">
        <f ca="1">IF(Table1[[#This Row],[Column1]]="Education",Table1[[#This Row],[income]],0)</f>
        <v>0</v>
      </c>
      <c r="DI178" s="5">
        <f ca="1">IF(Table1[[#This Row],[Column1]]="Construction",Table1[[#This Row],[income]],0)</f>
        <v>0</v>
      </c>
      <c r="DK178" s="6">
        <f ca="1">IF(Table1[[#This Row],[Value of Debts]]&gt;Table1[[#This Row],[income]],1,0)</f>
        <v>1</v>
      </c>
      <c r="DL178" s="20"/>
      <c r="DM178" s="20"/>
      <c r="DN178" s="5"/>
      <c r="DP178" s="6">
        <f ca="1">IF(Table1[[#This Row],[Net Worth (£)]]&gt;$DS$5,C178,0)</f>
        <v>0</v>
      </c>
      <c r="DQ178" s="20"/>
      <c r="DR178" s="20"/>
      <c r="DS178" s="5"/>
    </row>
    <row r="179" spans="1:123" x14ac:dyDescent="0.2">
      <c r="A179">
        <f t="shared" ca="1" si="7"/>
        <v>1</v>
      </c>
      <c r="B179" s="1" t="str">
        <f ca="1">IF(A179=1, "men", "women")</f>
        <v>men</v>
      </c>
      <c r="C179" s="1">
        <f ca="1">RANDBETWEEN(25,50)</f>
        <v>31</v>
      </c>
      <c r="D179">
        <f ca="1">RANDBETWEEN(1,6)</f>
        <v>6</v>
      </c>
      <c r="E179" t="str">
        <f ca="1">VLOOKUP(D179,$W$5:$X$10,2)</f>
        <v>Agriculture</v>
      </c>
      <c r="F179">
        <f ca="1">RANDBETWEEN(1,5)</f>
        <v>1</v>
      </c>
      <c r="G179" t="str">
        <f ca="1">VLOOKUP(F179,$Y$5:$Z$9,2)</f>
        <v>High School</v>
      </c>
      <c r="H179">
        <f ca="1">RANDBETWEEN(0,4)</f>
        <v>3</v>
      </c>
      <c r="I179">
        <f ca="1">RANDBETWEEN(1,3)</f>
        <v>2</v>
      </c>
      <c r="J179">
        <f ca="1">RANDBETWEEN(30000,100000)</f>
        <v>85193</v>
      </c>
      <c r="K179">
        <f ca="1">RANDBETWEEN(1,48)</f>
        <v>39</v>
      </c>
      <c r="L179" t="str">
        <f ca="1">VLOOKUP(K179,$AA$5:$AB$52,2)</f>
        <v>Staffordshire</v>
      </c>
      <c r="M179">
        <f ca="1">J179*(RANDBETWEEN(2,5))</f>
        <v>340772</v>
      </c>
      <c r="N179">
        <f ca="1">RAND()*M179</f>
        <v>24832.663489519498</v>
      </c>
      <c r="O179">
        <f ca="1">I179*RAND()*J179</f>
        <v>91459.306819814636</v>
      </c>
      <c r="P179">
        <f ca="1">RANDBETWEEN(0,O179)</f>
        <v>12737</v>
      </c>
      <c r="Q179">
        <f ca="1">RAND()*J179*2</f>
        <v>164254.86435281948</v>
      </c>
      <c r="R179">
        <f ca="1">RAND()*J179*1.5</f>
        <v>98381.827555207026</v>
      </c>
      <c r="S179">
        <f ca="1">J179+R179+O179</f>
        <v>275034.13437502168</v>
      </c>
      <c r="T179">
        <f ca="1">N179+P179+Q179</f>
        <v>201824.52784233898</v>
      </c>
      <c r="U179">
        <f ca="1">S179-T179</f>
        <v>73209.606532682694</v>
      </c>
      <c r="AC179" s="6">
        <f ca="1">IF(Table1[[#This Row],[gender]]="men",1,0)</f>
        <v>1</v>
      </c>
      <c r="AD179">
        <f ca="1">IF(Table1[[#This Row],[gender]]="women",1,0)</f>
        <v>0</v>
      </c>
      <c r="AH179" s="5"/>
      <c r="AJ179" s="6">
        <f ca="1">IF(Table1[[#This Row],[Column1]]="Health",1,0)</f>
        <v>0</v>
      </c>
      <c r="AK179">
        <f ca="1">IF(Table1[[#This Row],[Column1]]="Construction",1,0)</f>
        <v>0</v>
      </c>
      <c r="AL179">
        <f ca="1">IF(Table1[[#This Row],[Column1]]="Technology",1,0)</f>
        <v>0</v>
      </c>
      <c r="AM179">
        <f ca="1">IF(Table1[[#This Row],[Column1]]="Education",1,0)</f>
        <v>0</v>
      </c>
      <c r="AN179">
        <f ca="1">IF(Table1[[#This Row],[Column1]]="Agriculture",1,0)</f>
        <v>1</v>
      </c>
      <c r="AO179">
        <f ca="1">IF(Table1[[#This Row],[Column1]]="Social Service", 1, 0)</f>
        <v>0</v>
      </c>
      <c r="AT179" s="5"/>
      <c r="AV179" s="17">
        <f t="shared" ca="1" si="6"/>
        <v>13020.88505420547</v>
      </c>
      <c r="AW179" s="5"/>
      <c r="AX179" s="6">
        <f ca="1">IF(Table1[[#This Row],[Value of Debts]]&gt;$AY$4,1,0)</f>
        <v>1</v>
      </c>
      <c r="AY179" s="20"/>
      <c r="AZ179" s="20"/>
      <c r="BA179" s="5"/>
      <c r="BB179" s="25">
        <f ca="1">Table1[[#This Row],[Mortage Left]]/Table1[[#This Row],[Value of House]]</f>
        <v>7.2871783742559537E-2</v>
      </c>
      <c r="BC179" s="20">
        <f t="shared" ca="1" si="8"/>
        <v>1</v>
      </c>
      <c r="BD179" s="20"/>
      <c r="BE179" s="20"/>
      <c r="BF179" s="20"/>
      <c r="BG179" s="6">
        <f ca="1">IF(Table1[[#This Row],[County]]="Cumbria",Table1[[#This Row],[income]],0)</f>
        <v>0</v>
      </c>
      <c r="BH179" s="20">
        <f ca="1">IF(Table1[[#This Row],[County]]="Cheshire",Table1[[#This Row],[income]],0)</f>
        <v>0</v>
      </c>
      <c r="BI179" s="20">
        <f ca="1">IF(Table1[[#This Row],[County]]="Bristol",Table1[[#This Row],[income]],0)</f>
        <v>0</v>
      </c>
      <c r="BJ179" s="20">
        <f ca="1">IF(Table1[[#This Row],[County]]="Surrey",Table1[[#This Row],[income]],0)</f>
        <v>0</v>
      </c>
      <c r="BK179" s="20">
        <f ca="1">IF(Table1[[#This Row],[County]]="Norfolk",Table1[[#This Row],[income]],0)</f>
        <v>0</v>
      </c>
      <c r="BL179" s="20">
        <f ca="1">IF(Table1[[#This Row],[County]]="Lincolnshire",Table1[[#This Row],[income]],0)</f>
        <v>0</v>
      </c>
      <c r="BM179" s="20">
        <f ca="1">IF(Table1[[#This Row],[County]]="Somerset",Table1[[#This Row],[income]],0)</f>
        <v>0</v>
      </c>
      <c r="BN179" s="20">
        <f ca="1">IF(Table1[[#This Row],[County]]="Cambridgeshire",Table1[[#This Row],[income]],0)</f>
        <v>0</v>
      </c>
      <c r="BO179" s="20">
        <f ca="1">IF(Table1[[#This Row],[County]]="South Yorkshire",Table1[[#This Row],[income]],0)</f>
        <v>0</v>
      </c>
      <c r="BP179" s="20">
        <f ca="1">IF(Table1[[#This Row],[County]]="Greater London",Table1[[#This Row],[income]],0)</f>
        <v>0</v>
      </c>
      <c r="BQ179" s="20">
        <f ca="1">IF(Table1[[#This Row],[County]]="Hampshire",Table1[[#This Row],[income]],0)</f>
        <v>0</v>
      </c>
      <c r="BR179" s="20">
        <f ca="1">IF(Table1[[#This Row],[County]]="Gloucestershire",Table1[[#This Row],[income]],0)</f>
        <v>0</v>
      </c>
      <c r="BS179" s="20">
        <f ca="1">IF(Table1[[#This Row],[County]]="West Sussex",Table1[[#This Row],[income]],0)</f>
        <v>0</v>
      </c>
      <c r="BT179" s="20">
        <f ca="1">IF(Table1[[#This Row],[County]]="Devon",Table1[[#This Row],[income]],0)</f>
        <v>0</v>
      </c>
      <c r="BU179" s="20">
        <f ca="1">IF(Table1[[#This Row],[County]]="Berkshire",Table1[[#This Row],[income]],0)</f>
        <v>0</v>
      </c>
      <c r="BV179" s="20">
        <f ca="1">IF(Table1[[#This Row],[County]]="Staffordshire",Table1[[#This Row],[income]],0)</f>
        <v>85193</v>
      </c>
      <c r="BW179" s="20">
        <f ca="1">IF(Table1[[#This Row],[County]]="Leicestershire",Table1[[#This Row],[income]],0)</f>
        <v>0</v>
      </c>
      <c r="BX179" s="20">
        <f ca="1">IF(Table1[[#This Row],[County]]="Cornwall",Table1[[#This Row],[income]],0)</f>
        <v>0</v>
      </c>
      <c r="BY179" s="20">
        <f ca="1">IF(Table1[[#This Row],[County]]="Isle of Wight",Table1[[#This Row],[income]],0)</f>
        <v>0</v>
      </c>
      <c r="BZ179" s="20">
        <f ca="1">IF(Table1[[#This Row],[County]]="Surrey",Table1[[#This Row],[income]],0)</f>
        <v>0</v>
      </c>
      <c r="CA179" s="20">
        <f ca="1">IF(Table1[[#This Row],[County]]="Derbyshire",Table1[[#This Row],[income]],0)</f>
        <v>0</v>
      </c>
      <c r="CB179" s="20">
        <f ca="1">IF(Table1[[#This Row],[County]]="City of London",Table1[[#This Row],[income]],0)</f>
        <v>0</v>
      </c>
      <c r="CC179" s="20">
        <f ca="1">IF(Table1[[#This Row],[County]]="Bedfordshire",Table1[[#This Row],[income]],0)</f>
        <v>0</v>
      </c>
      <c r="CD179" s="20">
        <f ca="1">IF(Table1[[#This Row],[County]]="County Durham",Table1[[#This Row],[income]],0)</f>
        <v>0</v>
      </c>
      <c r="CE179" s="20">
        <f ca="1">IF(Table1[[#This Row],[County]]="East Riding of Yorkshire",Table1[[#This Row],[income]],0)</f>
        <v>0</v>
      </c>
      <c r="CF179" s="20">
        <f ca="1">IF(Table1[[#This Row],[County]]="West Yorkshire",Table1[[#This Row],[income]],0)</f>
        <v>0</v>
      </c>
      <c r="CG179" s="20">
        <f ca="1">IF(Table1[[#This Row],[County]]="Essex",Table1[[#This Row],[income]],0)</f>
        <v>0</v>
      </c>
      <c r="CH179" s="20">
        <f ca="1">IF(Table1[[#This Row],[County]]="East Sussex",Table1[[#This Row],[income]],0)</f>
        <v>0</v>
      </c>
      <c r="CI179" s="20">
        <f ca="1">IF(Table1[[#This Row],[County]]="Greater Manchester",Table1[[#This Row],[income]],0)</f>
        <v>0</v>
      </c>
      <c r="CJ179" s="20">
        <f ca="1">IF(Table1[[#This Row],[County]]="Hertfordshire",Table1[[#This Row],[income]],0)</f>
        <v>0</v>
      </c>
      <c r="CK179" s="20">
        <f ca="1">IF(Table1[[#This Row],[County]]="Herefordshire",Table1[[#This Row],[income]],0)</f>
        <v>0</v>
      </c>
      <c r="CL179" s="20">
        <f ca="1">IF(Table1[[#This Row],[County]]="Lancashire",Table1[[#This Row],[income]],0)</f>
        <v>0</v>
      </c>
      <c r="CM179" s="20">
        <f ca="1">IF(Table1[[#This Row],[County]]="Merseyside",Table1[[#This Row],[income]],0)</f>
        <v>0</v>
      </c>
      <c r="CN179" s="20">
        <f ca="1">IF(Table1[[#This Row],[County]]="Northamptonshire",Table1[[#This Row],[income]],0)</f>
        <v>0</v>
      </c>
      <c r="CO179" s="20">
        <f ca="1">IF(Table1[[#This Row],[County]]="Northumberland",Table1[[#This Row],[income]],0)</f>
        <v>0</v>
      </c>
      <c r="CP179" s="20">
        <f ca="1">IF(Table1[[#This Row],[County]]="Wiltshire",Table1[[#This Row],[income]],0)</f>
        <v>0</v>
      </c>
      <c r="CQ179" s="20">
        <f ca="1">IF(Table1[[#This Row],[County]]="West Midlands",Table1[[#This Row],[income]],0)</f>
        <v>0</v>
      </c>
      <c r="CR179" s="20">
        <f ca="1">IF(Table1[[#This Row],[County]]="Warwickshire",Table1[[#This Row],[income]],0)</f>
        <v>0</v>
      </c>
      <c r="CS179" s="20">
        <f ca="1">IF(Table1[[#This Row],[County]]="Tyne and Wear",Table1[[#This Row],[income]],0)</f>
        <v>0</v>
      </c>
      <c r="CT179" s="20">
        <f ca="1">IF(Table1[[#This Row],[County]]="Worcestershire",Table1[[#This Row],[income]],0)</f>
        <v>0</v>
      </c>
      <c r="CU179" s="20">
        <f ca="1">IF(Table1[[#This Row],[County]]="Rutland",Table1[[#This Row],[income]],0)</f>
        <v>0</v>
      </c>
      <c r="CV179" s="20">
        <f ca="1">IF(Table1[[#This Row],[County]]="Shropshire",Table1[[#This Row],[income]],0)</f>
        <v>0</v>
      </c>
      <c r="CW179" s="20">
        <f ca="1">IF(Table1[[#This Row],[County]]="Dorset",Table1[[#This Row],[income]],0)</f>
        <v>0</v>
      </c>
      <c r="CX179" s="20">
        <f ca="1">IF(Table1[[#This Row],[County]]="Buckinghamshire",Table1[[#This Row],[income]],0)</f>
        <v>0</v>
      </c>
      <c r="CY179" s="20">
        <f ca="1">IF(Table1[[#This Row],[County]]="Suffolk",Table1[[#This Row],[income]],0)</f>
        <v>0</v>
      </c>
      <c r="CZ179" s="20">
        <f ca="1">IF(Table1[[#This Row],[County]]="North Yorkshire",Table1[[#This Row],[income]],0)</f>
        <v>0</v>
      </c>
      <c r="DA179" s="20">
        <f ca="1">IF(Table1[[#This Row],[County]]="Kent",Table1[[#This Row],[income]],0)</f>
        <v>0</v>
      </c>
      <c r="DB179" s="5">
        <f ca="1">IF(Table1[[#This Row],[County]]="Derbyshire",Table1[[#This Row],[income]],0)</f>
        <v>0</v>
      </c>
      <c r="DD179" s="6">
        <f ca="1">IF(Table1[[#This Row],[Column1]]="Health",Table1[[#This Row],[income]],0)</f>
        <v>0</v>
      </c>
      <c r="DE179" s="20">
        <f ca="1">IF(Table1[[#This Row],[Column1]]="Agriculture",Table1[[#This Row],[income]],0)</f>
        <v>85193</v>
      </c>
      <c r="DF179" s="20">
        <f ca="1">IF(Table1[[#This Row],[Column1]]="Technology",Table1[[#This Row],[income]],0)</f>
        <v>0</v>
      </c>
      <c r="DG179" s="20">
        <f ca="1">IF(Table1[[#This Row],[Column1]]="Social Service",Table1[[#This Row],[income]],0)</f>
        <v>0</v>
      </c>
      <c r="DH179" s="20">
        <f ca="1">IF(Table1[[#This Row],[Column1]]="Education",Table1[[#This Row],[income]],0)</f>
        <v>0</v>
      </c>
      <c r="DI179" s="5">
        <f ca="1">IF(Table1[[#This Row],[Column1]]="Construction",Table1[[#This Row],[income]],0)</f>
        <v>0</v>
      </c>
      <c r="DK179" s="6">
        <f ca="1">IF(Table1[[#This Row],[Value of Debts]]&gt;Table1[[#This Row],[income]],1,0)</f>
        <v>1</v>
      </c>
      <c r="DL179" s="20"/>
      <c r="DM179" s="20"/>
      <c r="DN179" s="5"/>
      <c r="DP179" s="6">
        <f ca="1">IF(Table1[[#This Row],[Net Worth (£)]]&gt;$DS$5,C179,0)</f>
        <v>31</v>
      </c>
      <c r="DQ179" s="20"/>
      <c r="DR179" s="20"/>
      <c r="DS179" s="5"/>
    </row>
    <row r="180" spans="1:123" x14ac:dyDescent="0.2">
      <c r="A180">
        <f t="shared" ca="1" si="7"/>
        <v>1</v>
      </c>
      <c r="B180" s="1" t="str">
        <f ca="1">IF(A180=1, "men", "women")</f>
        <v>men</v>
      </c>
      <c r="C180" s="1">
        <f ca="1">RANDBETWEEN(25,50)</f>
        <v>28</v>
      </c>
      <c r="D180">
        <f ca="1">RANDBETWEEN(1,6)</f>
        <v>2</v>
      </c>
      <c r="E180" t="str">
        <f ca="1">VLOOKUP(D180,$W$5:$X$10,2)</f>
        <v>Construction</v>
      </c>
      <c r="F180">
        <f ca="1">RANDBETWEEN(1,5)</f>
        <v>2</v>
      </c>
      <c r="G180" t="str">
        <f ca="1">VLOOKUP(F180,$Y$5:$Z$9,2)</f>
        <v>College</v>
      </c>
      <c r="H180">
        <f ca="1">RANDBETWEEN(0,4)</f>
        <v>4</v>
      </c>
      <c r="I180">
        <f ca="1">RANDBETWEEN(1,3)</f>
        <v>2</v>
      </c>
      <c r="J180">
        <f ca="1">RANDBETWEEN(30000,100000)</f>
        <v>61469</v>
      </c>
      <c r="K180">
        <f ca="1">RANDBETWEEN(1,48)</f>
        <v>48</v>
      </c>
      <c r="L180" t="str">
        <f ca="1">VLOOKUP(K180,$AA$5:$AB$52,2)</f>
        <v>Worcestershire</v>
      </c>
      <c r="M180">
        <f ca="1">J180*(RANDBETWEEN(2,5))</f>
        <v>307345</v>
      </c>
      <c r="N180">
        <f ca="1">RAND()*M180</f>
        <v>4108.8542490695145</v>
      </c>
      <c r="O180">
        <f ca="1">I180*RAND()*J180</f>
        <v>26041.770108410939</v>
      </c>
      <c r="P180">
        <f ca="1">RANDBETWEEN(0,O180)</f>
        <v>10986</v>
      </c>
      <c r="Q180">
        <f ca="1">RAND()*J180*2</f>
        <v>88711.201266364253</v>
      </c>
      <c r="R180">
        <f ca="1">RAND()*J180*1.5</f>
        <v>76036.850270264709</v>
      </c>
      <c r="S180">
        <f ca="1">J180+R180+O180</f>
        <v>163547.62037867567</v>
      </c>
      <c r="T180">
        <f ca="1">N180+P180+Q180</f>
        <v>103806.05551543376</v>
      </c>
      <c r="U180">
        <f ca="1">S180-T180</f>
        <v>59741.564863241903</v>
      </c>
      <c r="AC180" s="6">
        <f ca="1">IF(Table1[[#This Row],[gender]]="men",1,0)</f>
        <v>1</v>
      </c>
      <c r="AD180">
        <f ca="1">IF(Table1[[#This Row],[gender]]="women",1,0)</f>
        <v>0</v>
      </c>
      <c r="AH180" s="5"/>
      <c r="AJ180" s="6">
        <f ca="1">IF(Table1[[#This Row],[Column1]]="Health",1,0)</f>
        <v>0</v>
      </c>
      <c r="AK180">
        <f ca="1">IF(Table1[[#This Row],[Column1]]="Construction",1,0)</f>
        <v>1</v>
      </c>
      <c r="AL180">
        <f ca="1">IF(Table1[[#This Row],[Column1]]="Technology",1,0)</f>
        <v>0</v>
      </c>
      <c r="AM180">
        <f ca="1">IF(Table1[[#This Row],[Column1]]="Education",1,0)</f>
        <v>0</v>
      </c>
      <c r="AN180">
        <f ca="1">IF(Table1[[#This Row],[Column1]]="Agriculture",1,0)</f>
        <v>0</v>
      </c>
      <c r="AO180">
        <f ca="1">IF(Table1[[#This Row],[Column1]]="Social Service", 1, 0)</f>
        <v>0</v>
      </c>
      <c r="AT180" s="5"/>
      <c r="AV180" s="17">
        <f t="shared" ca="1" si="6"/>
        <v>4729.247780287752</v>
      </c>
      <c r="AW180" s="5"/>
      <c r="AX180" s="6">
        <f ca="1">IF(Table1[[#This Row],[Value of Debts]]&gt;$AY$4,1,0)</f>
        <v>1</v>
      </c>
      <c r="AY180" s="20"/>
      <c r="AZ180" s="20"/>
      <c r="BA180" s="5"/>
      <c r="BB180" s="25">
        <f ca="1">Table1[[#This Row],[Mortage Left]]/Table1[[#This Row],[Value of House]]</f>
        <v>1.3368866417444612E-2</v>
      </c>
      <c r="BC180" s="20">
        <f t="shared" ca="1" si="8"/>
        <v>1</v>
      </c>
      <c r="BD180" s="20"/>
      <c r="BE180" s="20"/>
      <c r="BF180" s="20"/>
      <c r="BG180" s="6">
        <f ca="1">IF(Table1[[#This Row],[County]]="Cumbria",Table1[[#This Row],[income]],0)</f>
        <v>0</v>
      </c>
      <c r="BH180" s="20">
        <f ca="1">IF(Table1[[#This Row],[County]]="Cheshire",Table1[[#This Row],[income]],0)</f>
        <v>0</v>
      </c>
      <c r="BI180" s="20">
        <f ca="1">IF(Table1[[#This Row],[County]]="Bristol",Table1[[#This Row],[income]],0)</f>
        <v>0</v>
      </c>
      <c r="BJ180" s="20">
        <f ca="1">IF(Table1[[#This Row],[County]]="Surrey",Table1[[#This Row],[income]],0)</f>
        <v>0</v>
      </c>
      <c r="BK180" s="20">
        <f ca="1">IF(Table1[[#This Row],[County]]="Norfolk",Table1[[#This Row],[income]],0)</f>
        <v>0</v>
      </c>
      <c r="BL180" s="20">
        <f ca="1">IF(Table1[[#This Row],[County]]="Lincolnshire",Table1[[#This Row],[income]],0)</f>
        <v>0</v>
      </c>
      <c r="BM180" s="20">
        <f ca="1">IF(Table1[[#This Row],[County]]="Somerset",Table1[[#This Row],[income]],0)</f>
        <v>0</v>
      </c>
      <c r="BN180" s="20">
        <f ca="1">IF(Table1[[#This Row],[County]]="Cambridgeshire",Table1[[#This Row],[income]],0)</f>
        <v>0</v>
      </c>
      <c r="BO180" s="20">
        <f ca="1">IF(Table1[[#This Row],[County]]="South Yorkshire",Table1[[#This Row],[income]],0)</f>
        <v>0</v>
      </c>
      <c r="BP180" s="20">
        <f ca="1">IF(Table1[[#This Row],[County]]="Greater London",Table1[[#This Row],[income]],0)</f>
        <v>0</v>
      </c>
      <c r="BQ180" s="20">
        <f ca="1">IF(Table1[[#This Row],[County]]="Hampshire",Table1[[#This Row],[income]],0)</f>
        <v>0</v>
      </c>
      <c r="BR180" s="20">
        <f ca="1">IF(Table1[[#This Row],[County]]="Gloucestershire",Table1[[#This Row],[income]],0)</f>
        <v>0</v>
      </c>
      <c r="BS180" s="20">
        <f ca="1">IF(Table1[[#This Row],[County]]="West Sussex",Table1[[#This Row],[income]],0)</f>
        <v>0</v>
      </c>
      <c r="BT180" s="20">
        <f ca="1">IF(Table1[[#This Row],[County]]="Devon",Table1[[#This Row],[income]],0)</f>
        <v>0</v>
      </c>
      <c r="BU180" s="20">
        <f ca="1">IF(Table1[[#This Row],[County]]="Berkshire",Table1[[#This Row],[income]],0)</f>
        <v>0</v>
      </c>
      <c r="BV180" s="20">
        <f ca="1">IF(Table1[[#This Row],[County]]="Staffordshire",Table1[[#This Row],[income]],0)</f>
        <v>0</v>
      </c>
      <c r="BW180" s="20">
        <f ca="1">IF(Table1[[#This Row],[County]]="Leicestershire",Table1[[#This Row],[income]],0)</f>
        <v>0</v>
      </c>
      <c r="BX180" s="20">
        <f ca="1">IF(Table1[[#This Row],[County]]="Cornwall",Table1[[#This Row],[income]],0)</f>
        <v>0</v>
      </c>
      <c r="BY180" s="20">
        <f ca="1">IF(Table1[[#This Row],[County]]="Isle of Wight",Table1[[#This Row],[income]],0)</f>
        <v>0</v>
      </c>
      <c r="BZ180" s="20">
        <f ca="1">IF(Table1[[#This Row],[County]]="Surrey",Table1[[#This Row],[income]],0)</f>
        <v>0</v>
      </c>
      <c r="CA180" s="20">
        <f ca="1">IF(Table1[[#This Row],[County]]="Derbyshire",Table1[[#This Row],[income]],0)</f>
        <v>0</v>
      </c>
      <c r="CB180" s="20">
        <f ca="1">IF(Table1[[#This Row],[County]]="City of London",Table1[[#This Row],[income]],0)</f>
        <v>0</v>
      </c>
      <c r="CC180" s="20">
        <f ca="1">IF(Table1[[#This Row],[County]]="Bedfordshire",Table1[[#This Row],[income]],0)</f>
        <v>0</v>
      </c>
      <c r="CD180" s="20">
        <f ca="1">IF(Table1[[#This Row],[County]]="County Durham",Table1[[#This Row],[income]],0)</f>
        <v>0</v>
      </c>
      <c r="CE180" s="20">
        <f ca="1">IF(Table1[[#This Row],[County]]="East Riding of Yorkshire",Table1[[#This Row],[income]],0)</f>
        <v>0</v>
      </c>
      <c r="CF180" s="20">
        <f ca="1">IF(Table1[[#This Row],[County]]="West Yorkshire",Table1[[#This Row],[income]],0)</f>
        <v>0</v>
      </c>
      <c r="CG180" s="20">
        <f ca="1">IF(Table1[[#This Row],[County]]="Essex",Table1[[#This Row],[income]],0)</f>
        <v>0</v>
      </c>
      <c r="CH180" s="20">
        <f ca="1">IF(Table1[[#This Row],[County]]="East Sussex",Table1[[#This Row],[income]],0)</f>
        <v>0</v>
      </c>
      <c r="CI180" s="20">
        <f ca="1">IF(Table1[[#This Row],[County]]="Greater Manchester",Table1[[#This Row],[income]],0)</f>
        <v>0</v>
      </c>
      <c r="CJ180" s="20">
        <f ca="1">IF(Table1[[#This Row],[County]]="Hertfordshire",Table1[[#This Row],[income]],0)</f>
        <v>0</v>
      </c>
      <c r="CK180" s="20">
        <f ca="1">IF(Table1[[#This Row],[County]]="Herefordshire",Table1[[#This Row],[income]],0)</f>
        <v>0</v>
      </c>
      <c r="CL180" s="20">
        <f ca="1">IF(Table1[[#This Row],[County]]="Lancashire",Table1[[#This Row],[income]],0)</f>
        <v>0</v>
      </c>
      <c r="CM180" s="20">
        <f ca="1">IF(Table1[[#This Row],[County]]="Merseyside",Table1[[#This Row],[income]],0)</f>
        <v>0</v>
      </c>
      <c r="CN180" s="20">
        <f ca="1">IF(Table1[[#This Row],[County]]="Northamptonshire",Table1[[#This Row],[income]],0)</f>
        <v>0</v>
      </c>
      <c r="CO180" s="20">
        <f ca="1">IF(Table1[[#This Row],[County]]="Northumberland",Table1[[#This Row],[income]],0)</f>
        <v>0</v>
      </c>
      <c r="CP180" s="20">
        <f ca="1">IF(Table1[[#This Row],[County]]="Wiltshire",Table1[[#This Row],[income]],0)</f>
        <v>0</v>
      </c>
      <c r="CQ180" s="20">
        <f ca="1">IF(Table1[[#This Row],[County]]="West Midlands",Table1[[#This Row],[income]],0)</f>
        <v>0</v>
      </c>
      <c r="CR180" s="20">
        <f ca="1">IF(Table1[[#This Row],[County]]="Warwickshire",Table1[[#This Row],[income]],0)</f>
        <v>0</v>
      </c>
      <c r="CS180" s="20">
        <f ca="1">IF(Table1[[#This Row],[County]]="Tyne and Wear",Table1[[#This Row],[income]],0)</f>
        <v>0</v>
      </c>
      <c r="CT180" s="20">
        <f ca="1">IF(Table1[[#This Row],[County]]="Worcestershire",Table1[[#This Row],[income]],0)</f>
        <v>61469</v>
      </c>
      <c r="CU180" s="20">
        <f ca="1">IF(Table1[[#This Row],[County]]="Rutland",Table1[[#This Row],[income]],0)</f>
        <v>0</v>
      </c>
      <c r="CV180" s="20">
        <f ca="1">IF(Table1[[#This Row],[County]]="Shropshire",Table1[[#This Row],[income]],0)</f>
        <v>0</v>
      </c>
      <c r="CW180" s="20">
        <f ca="1">IF(Table1[[#This Row],[County]]="Dorset",Table1[[#This Row],[income]],0)</f>
        <v>0</v>
      </c>
      <c r="CX180" s="20">
        <f ca="1">IF(Table1[[#This Row],[County]]="Buckinghamshire",Table1[[#This Row],[income]],0)</f>
        <v>0</v>
      </c>
      <c r="CY180" s="20">
        <f ca="1">IF(Table1[[#This Row],[County]]="Suffolk",Table1[[#This Row],[income]],0)</f>
        <v>0</v>
      </c>
      <c r="CZ180" s="20">
        <f ca="1">IF(Table1[[#This Row],[County]]="North Yorkshire",Table1[[#This Row],[income]],0)</f>
        <v>0</v>
      </c>
      <c r="DA180" s="20">
        <f ca="1">IF(Table1[[#This Row],[County]]="Kent",Table1[[#This Row],[income]],0)</f>
        <v>0</v>
      </c>
      <c r="DB180" s="5">
        <f ca="1">IF(Table1[[#This Row],[County]]="Derbyshire",Table1[[#This Row],[income]],0)</f>
        <v>0</v>
      </c>
      <c r="DD180" s="6">
        <f ca="1">IF(Table1[[#This Row],[Column1]]="Health",Table1[[#This Row],[income]],0)</f>
        <v>0</v>
      </c>
      <c r="DE180" s="20">
        <f ca="1">IF(Table1[[#This Row],[Column1]]="Agriculture",Table1[[#This Row],[income]],0)</f>
        <v>0</v>
      </c>
      <c r="DF180" s="20">
        <f ca="1">IF(Table1[[#This Row],[Column1]]="Technology",Table1[[#This Row],[income]],0)</f>
        <v>0</v>
      </c>
      <c r="DG180" s="20">
        <f ca="1">IF(Table1[[#This Row],[Column1]]="Social Service",Table1[[#This Row],[income]],0)</f>
        <v>0</v>
      </c>
      <c r="DH180" s="20">
        <f ca="1">IF(Table1[[#This Row],[Column1]]="Education",Table1[[#This Row],[income]],0)</f>
        <v>0</v>
      </c>
      <c r="DI180" s="5">
        <f ca="1">IF(Table1[[#This Row],[Column1]]="Construction",Table1[[#This Row],[income]],0)</f>
        <v>61469</v>
      </c>
      <c r="DK180" s="6">
        <f ca="1">IF(Table1[[#This Row],[Value of Debts]]&gt;Table1[[#This Row],[income]],1,0)</f>
        <v>1</v>
      </c>
      <c r="DL180" s="20"/>
      <c r="DM180" s="20"/>
      <c r="DN180" s="5"/>
      <c r="DP180" s="6">
        <f ca="1">IF(Table1[[#This Row],[Net Worth (£)]]&gt;$DS$5,C180,0)</f>
        <v>28</v>
      </c>
      <c r="DQ180" s="20"/>
      <c r="DR180" s="20"/>
      <c r="DS180" s="5"/>
    </row>
    <row r="181" spans="1:123" x14ac:dyDescent="0.2">
      <c r="A181">
        <f t="shared" ca="1" si="7"/>
        <v>2</v>
      </c>
      <c r="B181" s="1" t="str">
        <f ca="1">IF(A181=1, "men", "women")</f>
        <v>women</v>
      </c>
      <c r="C181" s="1">
        <f ca="1">RANDBETWEEN(25,50)</f>
        <v>41</v>
      </c>
      <c r="D181">
        <f ca="1">RANDBETWEEN(1,6)</f>
        <v>2</v>
      </c>
      <c r="E181" t="str">
        <f ca="1">VLOOKUP(D181,$W$5:$X$10,2)</f>
        <v>Construction</v>
      </c>
      <c r="F181">
        <f ca="1">RANDBETWEEN(1,5)</f>
        <v>5</v>
      </c>
      <c r="G181" t="str">
        <f ca="1">VLOOKUP(F181,$Y$5:$Z$9,2)</f>
        <v>Other</v>
      </c>
      <c r="H181">
        <f ca="1">RANDBETWEEN(0,4)</f>
        <v>2</v>
      </c>
      <c r="I181">
        <f ca="1">RANDBETWEEN(1,3)</f>
        <v>3</v>
      </c>
      <c r="J181">
        <f ca="1">RANDBETWEEN(30000,100000)</f>
        <v>96556</v>
      </c>
      <c r="K181">
        <f ca="1">RANDBETWEEN(1,48)</f>
        <v>30</v>
      </c>
      <c r="L181" t="str">
        <f ca="1">VLOOKUP(K181,$AA$5:$AB$52,2)</f>
        <v>North Yorkshire</v>
      </c>
      <c r="M181">
        <f ca="1">J181*(RANDBETWEEN(2,5))</f>
        <v>482780</v>
      </c>
      <c r="N181">
        <f ca="1">RAND()*M181</f>
        <v>177775.32694862905</v>
      </c>
      <c r="O181">
        <f ca="1">I181*RAND()*J181</f>
        <v>14187.743340863257</v>
      </c>
      <c r="P181">
        <f ca="1">RANDBETWEEN(0,O181)</f>
        <v>6178</v>
      </c>
      <c r="Q181">
        <f ca="1">RAND()*J181*2</f>
        <v>38348.717962448252</v>
      </c>
      <c r="R181">
        <f ca="1">RAND()*J181*1.5</f>
        <v>25556.064170331963</v>
      </c>
      <c r="S181">
        <f ca="1">J181+R181+O181</f>
        <v>136299.80751119522</v>
      </c>
      <c r="T181">
        <f ca="1">N181+P181+Q181</f>
        <v>222302.0449110773</v>
      </c>
      <c r="U181">
        <f ca="1">S181-T181</f>
        <v>-86002.237399882084</v>
      </c>
      <c r="AC181" s="6">
        <f ca="1">IF(Table1[[#This Row],[gender]]="men",1,0)</f>
        <v>0</v>
      </c>
      <c r="AD181">
        <f ca="1">IF(Table1[[#This Row],[gender]]="women",1,0)</f>
        <v>1</v>
      </c>
      <c r="AH181" s="5"/>
      <c r="AJ181" s="6">
        <f ca="1">IF(Table1[[#This Row],[Column1]]="Health",1,0)</f>
        <v>0</v>
      </c>
      <c r="AK181">
        <f ca="1">IF(Table1[[#This Row],[Column1]]="Construction",1,0)</f>
        <v>1</v>
      </c>
      <c r="AL181">
        <f ca="1">IF(Table1[[#This Row],[Column1]]="Technology",1,0)</f>
        <v>0</v>
      </c>
      <c r="AM181">
        <f ca="1">IF(Table1[[#This Row],[Column1]]="Education",1,0)</f>
        <v>0</v>
      </c>
      <c r="AN181">
        <f ca="1">IF(Table1[[#This Row],[Column1]]="Agriculture",1,0)</f>
        <v>0</v>
      </c>
      <c r="AO181">
        <f ca="1">IF(Table1[[#This Row],[Column1]]="Social Service", 1, 0)</f>
        <v>0</v>
      </c>
      <c r="AT181" s="5"/>
      <c r="AV181" s="17">
        <f t="shared" ca="1" si="6"/>
        <v>38574.638482339731</v>
      </c>
      <c r="AW181" s="5"/>
      <c r="AX181" s="6">
        <f ca="1">IF(Table1[[#This Row],[Value of Debts]]&gt;$AY$4,1,0)</f>
        <v>1</v>
      </c>
      <c r="AY181" s="20"/>
      <c r="AZ181" s="20"/>
      <c r="BA181" s="5"/>
      <c r="BB181" s="25">
        <f ca="1">Table1[[#This Row],[Mortage Left]]/Table1[[#This Row],[Value of House]]</f>
        <v>0.36823258409343607</v>
      </c>
      <c r="BC181" s="20">
        <f t="shared" ca="1" si="8"/>
        <v>0</v>
      </c>
      <c r="BD181" s="20"/>
      <c r="BE181" s="20"/>
      <c r="BF181" s="20"/>
      <c r="BG181" s="6">
        <f ca="1">IF(Table1[[#This Row],[County]]="Cumbria",Table1[[#This Row],[income]],0)</f>
        <v>0</v>
      </c>
      <c r="BH181" s="20">
        <f ca="1">IF(Table1[[#This Row],[County]]="Cheshire",Table1[[#This Row],[income]],0)</f>
        <v>0</v>
      </c>
      <c r="BI181" s="20">
        <f ca="1">IF(Table1[[#This Row],[County]]="Bristol",Table1[[#This Row],[income]],0)</f>
        <v>0</v>
      </c>
      <c r="BJ181" s="20">
        <f ca="1">IF(Table1[[#This Row],[County]]="Surrey",Table1[[#This Row],[income]],0)</f>
        <v>0</v>
      </c>
      <c r="BK181" s="20">
        <f ca="1">IF(Table1[[#This Row],[County]]="Norfolk",Table1[[#This Row],[income]],0)</f>
        <v>0</v>
      </c>
      <c r="BL181" s="20">
        <f ca="1">IF(Table1[[#This Row],[County]]="Lincolnshire",Table1[[#This Row],[income]],0)</f>
        <v>0</v>
      </c>
      <c r="BM181" s="20">
        <f ca="1">IF(Table1[[#This Row],[County]]="Somerset",Table1[[#This Row],[income]],0)</f>
        <v>0</v>
      </c>
      <c r="BN181" s="20">
        <f ca="1">IF(Table1[[#This Row],[County]]="Cambridgeshire",Table1[[#This Row],[income]],0)</f>
        <v>0</v>
      </c>
      <c r="BO181" s="20">
        <f ca="1">IF(Table1[[#This Row],[County]]="South Yorkshire",Table1[[#This Row],[income]],0)</f>
        <v>0</v>
      </c>
      <c r="BP181" s="20">
        <f ca="1">IF(Table1[[#This Row],[County]]="Greater London",Table1[[#This Row],[income]],0)</f>
        <v>0</v>
      </c>
      <c r="BQ181" s="20">
        <f ca="1">IF(Table1[[#This Row],[County]]="Hampshire",Table1[[#This Row],[income]],0)</f>
        <v>0</v>
      </c>
      <c r="BR181" s="20">
        <f ca="1">IF(Table1[[#This Row],[County]]="Gloucestershire",Table1[[#This Row],[income]],0)</f>
        <v>0</v>
      </c>
      <c r="BS181" s="20">
        <f ca="1">IF(Table1[[#This Row],[County]]="West Sussex",Table1[[#This Row],[income]],0)</f>
        <v>0</v>
      </c>
      <c r="BT181" s="20">
        <f ca="1">IF(Table1[[#This Row],[County]]="Devon",Table1[[#This Row],[income]],0)</f>
        <v>0</v>
      </c>
      <c r="BU181" s="20">
        <f ca="1">IF(Table1[[#This Row],[County]]="Berkshire",Table1[[#This Row],[income]],0)</f>
        <v>0</v>
      </c>
      <c r="BV181" s="20">
        <f ca="1">IF(Table1[[#This Row],[County]]="Staffordshire",Table1[[#This Row],[income]],0)</f>
        <v>0</v>
      </c>
      <c r="BW181" s="20">
        <f ca="1">IF(Table1[[#This Row],[County]]="Leicestershire",Table1[[#This Row],[income]],0)</f>
        <v>0</v>
      </c>
      <c r="BX181" s="20">
        <f ca="1">IF(Table1[[#This Row],[County]]="Cornwall",Table1[[#This Row],[income]],0)</f>
        <v>0</v>
      </c>
      <c r="BY181" s="20">
        <f ca="1">IF(Table1[[#This Row],[County]]="Isle of Wight",Table1[[#This Row],[income]],0)</f>
        <v>0</v>
      </c>
      <c r="BZ181" s="20">
        <f ca="1">IF(Table1[[#This Row],[County]]="Surrey",Table1[[#This Row],[income]],0)</f>
        <v>0</v>
      </c>
      <c r="CA181" s="20">
        <f ca="1">IF(Table1[[#This Row],[County]]="Derbyshire",Table1[[#This Row],[income]],0)</f>
        <v>0</v>
      </c>
      <c r="CB181" s="20">
        <f ca="1">IF(Table1[[#This Row],[County]]="City of London",Table1[[#This Row],[income]],0)</f>
        <v>0</v>
      </c>
      <c r="CC181" s="20">
        <f ca="1">IF(Table1[[#This Row],[County]]="Bedfordshire",Table1[[#This Row],[income]],0)</f>
        <v>0</v>
      </c>
      <c r="CD181" s="20">
        <f ca="1">IF(Table1[[#This Row],[County]]="County Durham",Table1[[#This Row],[income]],0)</f>
        <v>0</v>
      </c>
      <c r="CE181" s="20">
        <f ca="1">IF(Table1[[#This Row],[County]]="East Riding of Yorkshire",Table1[[#This Row],[income]],0)</f>
        <v>0</v>
      </c>
      <c r="CF181" s="20">
        <f ca="1">IF(Table1[[#This Row],[County]]="West Yorkshire",Table1[[#This Row],[income]],0)</f>
        <v>0</v>
      </c>
      <c r="CG181" s="20">
        <f ca="1">IF(Table1[[#This Row],[County]]="Essex",Table1[[#This Row],[income]],0)</f>
        <v>0</v>
      </c>
      <c r="CH181" s="20">
        <f ca="1">IF(Table1[[#This Row],[County]]="East Sussex",Table1[[#This Row],[income]],0)</f>
        <v>0</v>
      </c>
      <c r="CI181" s="20">
        <f ca="1">IF(Table1[[#This Row],[County]]="Greater Manchester",Table1[[#This Row],[income]],0)</f>
        <v>0</v>
      </c>
      <c r="CJ181" s="20">
        <f ca="1">IF(Table1[[#This Row],[County]]="Hertfordshire",Table1[[#This Row],[income]],0)</f>
        <v>0</v>
      </c>
      <c r="CK181" s="20">
        <f ca="1">IF(Table1[[#This Row],[County]]="Herefordshire",Table1[[#This Row],[income]],0)</f>
        <v>0</v>
      </c>
      <c r="CL181" s="20">
        <f ca="1">IF(Table1[[#This Row],[County]]="Lancashire",Table1[[#This Row],[income]],0)</f>
        <v>0</v>
      </c>
      <c r="CM181" s="20">
        <f ca="1">IF(Table1[[#This Row],[County]]="Merseyside",Table1[[#This Row],[income]],0)</f>
        <v>0</v>
      </c>
      <c r="CN181" s="20">
        <f ca="1">IF(Table1[[#This Row],[County]]="Northamptonshire",Table1[[#This Row],[income]],0)</f>
        <v>0</v>
      </c>
      <c r="CO181" s="20">
        <f ca="1">IF(Table1[[#This Row],[County]]="Northumberland",Table1[[#This Row],[income]],0)</f>
        <v>0</v>
      </c>
      <c r="CP181" s="20">
        <f ca="1">IF(Table1[[#This Row],[County]]="Wiltshire",Table1[[#This Row],[income]],0)</f>
        <v>0</v>
      </c>
      <c r="CQ181" s="20">
        <f ca="1">IF(Table1[[#This Row],[County]]="West Midlands",Table1[[#This Row],[income]],0)</f>
        <v>0</v>
      </c>
      <c r="CR181" s="20">
        <f ca="1">IF(Table1[[#This Row],[County]]="Warwickshire",Table1[[#This Row],[income]],0)</f>
        <v>0</v>
      </c>
      <c r="CS181" s="20">
        <f ca="1">IF(Table1[[#This Row],[County]]="Tyne and Wear",Table1[[#This Row],[income]],0)</f>
        <v>0</v>
      </c>
      <c r="CT181" s="20">
        <f ca="1">IF(Table1[[#This Row],[County]]="Worcestershire",Table1[[#This Row],[income]],0)</f>
        <v>0</v>
      </c>
      <c r="CU181" s="20">
        <f ca="1">IF(Table1[[#This Row],[County]]="Rutland",Table1[[#This Row],[income]],0)</f>
        <v>0</v>
      </c>
      <c r="CV181" s="20">
        <f ca="1">IF(Table1[[#This Row],[County]]="Shropshire",Table1[[#This Row],[income]],0)</f>
        <v>0</v>
      </c>
      <c r="CW181" s="20">
        <f ca="1">IF(Table1[[#This Row],[County]]="Dorset",Table1[[#This Row],[income]],0)</f>
        <v>0</v>
      </c>
      <c r="CX181" s="20">
        <f ca="1">IF(Table1[[#This Row],[County]]="Buckinghamshire",Table1[[#This Row],[income]],0)</f>
        <v>0</v>
      </c>
      <c r="CY181" s="20">
        <f ca="1">IF(Table1[[#This Row],[County]]="Suffolk",Table1[[#This Row],[income]],0)</f>
        <v>0</v>
      </c>
      <c r="CZ181" s="20">
        <f ca="1">IF(Table1[[#This Row],[County]]="North Yorkshire",Table1[[#This Row],[income]],0)</f>
        <v>96556</v>
      </c>
      <c r="DA181" s="20">
        <f ca="1">IF(Table1[[#This Row],[County]]="Kent",Table1[[#This Row],[income]],0)</f>
        <v>0</v>
      </c>
      <c r="DB181" s="5">
        <f ca="1">IF(Table1[[#This Row],[County]]="Derbyshire",Table1[[#This Row],[income]],0)</f>
        <v>0</v>
      </c>
      <c r="DD181" s="6">
        <f ca="1">IF(Table1[[#This Row],[Column1]]="Health",Table1[[#This Row],[income]],0)</f>
        <v>0</v>
      </c>
      <c r="DE181" s="20">
        <f ca="1">IF(Table1[[#This Row],[Column1]]="Agriculture",Table1[[#This Row],[income]],0)</f>
        <v>0</v>
      </c>
      <c r="DF181" s="20">
        <f ca="1">IF(Table1[[#This Row],[Column1]]="Technology",Table1[[#This Row],[income]],0)</f>
        <v>0</v>
      </c>
      <c r="DG181" s="20">
        <f ca="1">IF(Table1[[#This Row],[Column1]]="Social Service",Table1[[#This Row],[income]],0)</f>
        <v>0</v>
      </c>
      <c r="DH181" s="20">
        <f ca="1">IF(Table1[[#This Row],[Column1]]="Education",Table1[[#This Row],[income]],0)</f>
        <v>0</v>
      </c>
      <c r="DI181" s="5">
        <f ca="1">IF(Table1[[#This Row],[Column1]]="Construction",Table1[[#This Row],[income]],0)</f>
        <v>96556</v>
      </c>
      <c r="DK181" s="6">
        <f ca="1">IF(Table1[[#This Row],[Value of Debts]]&gt;Table1[[#This Row],[income]],1,0)</f>
        <v>1</v>
      </c>
      <c r="DL181" s="20"/>
      <c r="DM181" s="20"/>
      <c r="DN181" s="5"/>
      <c r="DP181" s="6">
        <f ca="1">IF(Table1[[#This Row],[Net Worth (£)]]&gt;$DS$5,C181,0)</f>
        <v>0</v>
      </c>
      <c r="DQ181" s="20"/>
      <c r="DR181" s="20"/>
      <c r="DS181" s="5"/>
    </row>
    <row r="182" spans="1:123" x14ac:dyDescent="0.2">
      <c r="A182">
        <f t="shared" ca="1" si="7"/>
        <v>2</v>
      </c>
      <c r="B182" s="1" t="str">
        <f ca="1">IF(A182=1, "men", "women")</f>
        <v>women</v>
      </c>
      <c r="C182" s="1">
        <f ca="1">RANDBETWEEN(25,50)</f>
        <v>43</v>
      </c>
      <c r="D182">
        <f ca="1">RANDBETWEEN(1,6)</f>
        <v>5</v>
      </c>
      <c r="E182" t="str">
        <f ca="1">VLOOKUP(D182,$W$5:$X$10,2)</f>
        <v>Social Service</v>
      </c>
      <c r="F182">
        <f ca="1">RANDBETWEEN(1,5)</f>
        <v>1</v>
      </c>
      <c r="G182" t="str">
        <f ca="1">VLOOKUP(F182,$Y$5:$Z$9,2)</f>
        <v>High School</v>
      </c>
      <c r="H182">
        <f ca="1">RANDBETWEEN(0,4)</f>
        <v>3</v>
      </c>
      <c r="I182">
        <f ca="1">RANDBETWEEN(1,3)</f>
        <v>3</v>
      </c>
      <c r="J182">
        <f ca="1">RANDBETWEEN(30000,100000)</f>
        <v>78469</v>
      </c>
      <c r="K182">
        <f ca="1">RANDBETWEEN(1,48)</f>
        <v>23</v>
      </c>
      <c r="L182" t="str">
        <f ca="1">VLOOKUP(K182,$AA$5:$AB$52,2)</f>
        <v>Isle of Wight</v>
      </c>
      <c r="M182">
        <f ca="1">J182*(RANDBETWEEN(2,5))</f>
        <v>156938</v>
      </c>
      <c r="N182">
        <f ca="1">RAND()*M182</f>
        <v>156067.20215207009</v>
      </c>
      <c r="O182">
        <f ca="1">I182*RAND()*J182</f>
        <v>115723.91544701919</v>
      </c>
      <c r="P182">
        <f ca="1">RANDBETWEEN(0,O182)</f>
        <v>5135</v>
      </c>
      <c r="Q182">
        <f ca="1">RAND()*J182*2</f>
        <v>140449.71712419784</v>
      </c>
      <c r="R182">
        <f ca="1">RAND()*J182*1.5</f>
        <v>56326.8770388181</v>
      </c>
      <c r="S182">
        <f ca="1">J182+R182+O182</f>
        <v>250519.79248583727</v>
      </c>
      <c r="T182">
        <f ca="1">N182+P182+Q182</f>
        <v>301651.91927626793</v>
      </c>
      <c r="U182">
        <f ca="1">S182-T182</f>
        <v>-51132.126790430659</v>
      </c>
      <c r="AC182" s="6">
        <f ca="1">IF(Table1[[#This Row],[gender]]="men",1,0)</f>
        <v>0</v>
      </c>
      <c r="AD182">
        <f ca="1">IF(Table1[[#This Row],[gender]]="women",1,0)</f>
        <v>1</v>
      </c>
      <c r="AH182" s="5"/>
      <c r="AJ182" s="6">
        <f ca="1">IF(Table1[[#This Row],[Column1]]="Health",1,0)</f>
        <v>0</v>
      </c>
      <c r="AK182">
        <f ca="1">IF(Table1[[#This Row],[Column1]]="Construction",1,0)</f>
        <v>0</v>
      </c>
      <c r="AL182">
        <f ca="1">IF(Table1[[#This Row],[Column1]]="Technology",1,0)</f>
        <v>0</v>
      </c>
      <c r="AM182">
        <f ca="1">IF(Table1[[#This Row],[Column1]]="Education",1,0)</f>
        <v>0</v>
      </c>
      <c r="AN182">
        <f ca="1">IF(Table1[[#This Row],[Column1]]="Agriculture",1,0)</f>
        <v>0</v>
      </c>
      <c r="AO182">
        <f ca="1">IF(Table1[[#This Row],[Column1]]="Social Service", 1, 0)</f>
        <v>1</v>
      </c>
      <c r="AT182" s="5"/>
      <c r="AV182" s="17">
        <f t="shared" ca="1" si="6"/>
        <v>6274.3567185455122</v>
      </c>
      <c r="AW182" s="5"/>
      <c r="AX182" s="6">
        <f ca="1">IF(Table1[[#This Row],[Value of Debts]]&gt;$AY$4,1,0)</f>
        <v>1</v>
      </c>
      <c r="AY182" s="20"/>
      <c r="AZ182" s="20"/>
      <c r="BA182" s="5"/>
      <c r="BB182" s="25">
        <f ca="1">Table1[[#This Row],[Mortage Left]]/Table1[[#This Row],[Value of House]]</f>
        <v>0.99445132569594419</v>
      </c>
      <c r="BC182" s="20">
        <f t="shared" ca="1" si="8"/>
        <v>0</v>
      </c>
      <c r="BD182" s="20"/>
      <c r="BE182" s="20"/>
      <c r="BF182" s="20"/>
      <c r="BG182" s="6">
        <f ca="1">IF(Table1[[#This Row],[County]]="Cumbria",Table1[[#This Row],[income]],0)</f>
        <v>0</v>
      </c>
      <c r="BH182" s="20">
        <f ca="1">IF(Table1[[#This Row],[County]]="Cheshire",Table1[[#This Row],[income]],0)</f>
        <v>0</v>
      </c>
      <c r="BI182" s="20">
        <f ca="1">IF(Table1[[#This Row],[County]]="Bristol",Table1[[#This Row],[income]],0)</f>
        <v>0</v>
      </c>
      <c r="BJ182" s="20">
        <f ca="1">IF(Table1[[#This Row],[County]]="Surrey",Table1[[#This Row],[income]],0)</f>
        <v>0</v>
      </c>
      <c r="BK182" s="20">
        <f ca="1">IF(Table1[[#This Row],[County]]="Norfolk",Table1[[#This Row],[income]],0)</f>
        <v>0</v>
      </c>
      <c r="BL182" s="20">
        <f ca="1">IF(Table1[[#This Row],[County]]="Lincolnshire",Table1[[#This Row],[income]],0)</f>
        <v>0</v>
      </c>
      <c r="BM182" s="20">
        <f ca="1">IF(Table1[[#This Row],[County]]="Somerset",Table1[[#This Row],[income]],0)</f>
        <v>0</v>
      </c>
      <c r="BN182" s="20">
        <f ca="1">IF(Table1[[#This Row],[County]]="Cambridgeshire",Table1[[#This Row],[income]],0)</f>
        <v>0</v>
      </c>
      <c r="BO182" s="20">
        <f ca="1">IF(Table1[[#This Row],[County]]="South Yorkshire",Table1[[#This Row],[income]],0)</f>
        <v>0</v>
      </c>
      <c r="BP182" s="20">
        <f ca="1">IF(Table1[[#This Row],[County]]="Greater London",Table1[[#This Row],[income]],0)</f>
        <v>0</v>
      </c>
      <c r="BQ182" s="20">
        <f ca="1">IF(Table1[[#This Row],[County]]="Hampshire",Table1[[#This Row],[income]],0)</f>
        <v>0</v>
      </c>
      <c r="BR182" s="20">
        <f ca="1">IF(Table1[[#This Row],[County]]="Gloucestershire",Table1[[#This Row],[income]],0)</f>
        <v>0</v>
      </c>
      <c r="BS182" s="20">
        <f ca="1">IF(Table1[[#This Row],[County]]="West Sussex",Table1[[#This Row],[income]],0)</f>
        <v>0</v>
      </c>
      <c r="BT182" s="20">
        <f ca="1">IF(Table1[[#This Row],[County]]="Devon",Table1[[#This Row],[income]],0)</f>
        <v>0</v>
      </c>
      <c r="BU182" s="20">
        <f ca="1">IF(Table1[[#This Row],[County]]="Berkshire",Table1[[#This Row],[income]],0)</f>
        <v>0</v>
      </c>
      <c r="BV182" s="20">
        <f ca="1">IF(Table1[[#This Row],[County]]="Staffordshire",Table1[[#This Row],[income]],0)</f>
        <v>0</v>
      </c>
      <c r="BW182" s="20">
        <f ca="1">IF(Table1[[#This Row],[County]]="Leicestershire",Table1[[#This Row],[income]],0)</f>
        <v>0</v>
      </c>
      <c r="BX182" s="20">
        <f ca="1">IF(Table1[[#This Row],[County]]="Cornwall",Table1[[#This Row],[income]],0)</f>
        <v>0</v>
      </c>
      <c r="BY182" s="20">
        <f ca="1">IF(Table1[[#This Row],[County]]="Isle of Wight",Table1[[#This Row],[income]],0)</f>
        <v>78469</v>
      </c>
      <c r="BZ182" s="20">
        <f ca="1">IF(Table1[[#This Row],[County]]="Surrey",Table1[[#This Row],[income]],0)</f>
        <v>0</v>
      </c>
      <c r="CA182" s="20">
        <f ca="1">IF(Table1[[#This Row],[County]]="Derbyshire",Table1[[#This Row],[income]],0)</f>
        <v>0</v>
      </c>
      <c r="CB182" s="20">
        <f ca="1">IF(Table1[[#This Row],[County]]="City of London",Table1[[#This Row],[income]],0)</f>
        <v>0</v>
      </c>
      <c r="CC182" s="20">
        <f ca="1">IF(Table1[[#This Row],[County]]="Bedfordshire",Table1[[#This Row],[income]],0)</f>
        <v>0</v>
      </c>
      <c r="CD182" s="20">
        <f ca="1">IF(Table1[[#This Row],[County]]="County Durham",Table1[[#This Row],[income]],0)</f>
        <v>0</v>
      </c>
      <c r="CE182" s="20">
        <f ca="1">IF(Table1[[#This Row],[County]]="East Riding of Yorkshire",Table1[[#This Row],[income]],0)</f>
        <v>0</v>
      </c>
      <c r="CF182" s="20">
        <f ca="1">IF(Table1[[#This Row],[County]]="West Yorkshire",Table1[[#This Row],[income]],0)</f>
        <v>0</v>
      </c>
      <c r="CG182" s="20">
        <f ca="1">IF(Table1[[#This Row],[County]]="Essex",Table1[[#This Row],[income]],0)</f>
        <v>0</v>
      </c>
      <c r="CH182" s="20">
        <f ca="1">IF(Table1[[#This Row],[County]]="East Sussex",Table1[[#This Row],[income]],0)</f>
        <v>0</v>
      </c>
      <c r="CI182" s="20">
        <f ca="1">IF(Table1[[#This Row],[County]]="Greater Manchester",Table1[[#This Row],[income]],0)</f>
        <v>0</v>
      </c>
      <c r="CJ182" s="20">
        <f ca="1">IF(Table1[[#This Row],[County]]="Hertfordshire",Table1[[#This Row],[income]],0)</f>
        <v>0</v>
      </c>
      <c r="CK182" s="20">
        <f ca="1">IF(Table1[[#This Row],[County]]="Herefordshire",Table1[[#This Row],[income]],0)</f>
        <v>0</v>
      </c>
      <c r="CL182" s="20">
        <f ca="1">IF(Table1[[#This Row],[County]]="Lancashire",Table1[[#This Row],[income]],0)</f>
        <v>0</v>
      </c>
      <c r="CM182" s="20">
        <f ca="1">IF(Table1[[#This Row],[County]]="Merseyside",Table1[[#This Row],[income]],0)</f>
        <v>0</v>
      </c>
      <c r="CN182" s="20">
        <f ca="1">IF(Table1[[#This Row],[County]]="Northamptonshire",Table1[[#This Row],[income]],0)</f>
        <v>0</v>
      </c>
      <c r="CO182" s="20">
        <f ca="1">IF(Table1[[#This Row],[County]]="Northumberland",Table1[[#This Row],[income]],0)</f>
        <v>0</v>
      </c>
      <c r="CP182" s="20">
        <f ca="1">IF(Table1[[#This Row],[County]]="Wiltshire",Table1[[#This Row],[income]],0)</f>
        <v>0</v>
      </c>
      <c r="CQ182" s="20">
        <f ca="1">IF(Table1[[#This Row],[County]]="West Midlands",Table1[[#This Row],[income]],0)</f>
        <v>0</v>
      </c>
      <c r="CR182" s="20">
        <f ca="1">IF(Table1[[#This Row],[County]]="Warwickshire",Table1[[#This Row],[income]],0)</f>
        <v>0</v>
      </c>
      <c r="CS182" s="20">
        <f ca="1">IF(Table1[[#This Row],[County]]="Tyne and Wear",Table1[[#This Row],[income]],0)</f>
        <v>0</v>
      </c>
      <c r="CT182" s="20">
        <f ca="1">IF(Table1[[#This Row],[County]]="Worcestershire",Table1[[#This Row],[income]],0)</f>
        <v>0</v>
      </c>
      <c r="CU182" s="20">
        <f ca="1">IF(Table1[[#This Row],[County]]="Rutland",Table1[[#This Row],[income]],0)</f>
        <v>0</v>
      </c>
      <c r="CV182" s="20">
        <f ca="1">IF(Table1[[#This Row],[County]]="Shropshire",Table1[[#This Row],[income]],0)</f>
        <v>0</v>
      </c>
      <c r="CW182" s="20">
        <f ca="1">IF(Table1[[#This Row],[County]]="Dorset",Table1[[#This Row],[income]],0)</f>
        <v>0</v>
      </c>
      <c r="CX182" s="20">
        <f ca="1">IF(Table1[[#This Row],[County]]="Buckinghamshire",Table1[[#This Row],[income]],0)</f>
        <v>0</v>
      </c>
      <c r="CY182" s="20">
        <f ca="1">IF(Table1[[#This Row],[County]]="Suffolk",Table1[[#This Row],[income]],0)</f>
        <v>0</v>
      </c>
      <c r="CZ182" s="20">
        <f ca="1">IF(Table1[[#This Row],[County]]="North Yorkshire",Table1[[#This Row],[income]],0)</f>
        <v>0</v>
      </c>
      <c r="DA182" s="20">
        <f ca="1">IF(Table1[[#This Row],[County]]="Kent",Table1[[#This Row],[income]],0)</f>
        <v>0</v>
      </c>
      <c r="DB182" s="5">
        <f ca="1">IF(Table1[[#This Row],[County]]="Derbyshire",Table1[[#This Row],[income]],0)</f>
        <v>0</v>
      </c>
      <c r="DD182" s="6">
        <f ca="1">IF(Table1[[#This Row],[Column1]]="Health",Table1[[#This Row],[income]],0)</f>
        <v>0</v>
      </c>
      <c r="DE182" s="20">
        <f ca="1">IF(Table1[[#This Row],[Column1]]="Agriculture",Table1[[#This Row],[income]],0)</f>
        <v>0</v>
      </c>
      <c r="DF182" s="20">
        <f ca="1">IF(Table1[[#This Row],[Column1]]="Technology",Table1[[#This Row],[income]],0)</f>
        <v>0</v>
      </c>
      <c r="DG182" s="20">
        <f ca="1">IF(Table1[[#This Row],[Column1]]="Social Service",Table1[[#This Row],[income]],0)</f>
        <v>78469</v>
      </c>
      <c r="DH182" s="20">
        <f ca="1">IF(Table1[[#This Row],[Column1]]="Education",Table1[[#This Row],[income]],0)</f>
        <v>0</v>
      </c>
      <c r="DI182" s="5">
        <f ca="1">IF(Table1[[#This Row],[Column1]]="Construction",Table1[[#This Row],[income]],0)</f>
        <v>0</v>
      </c>
      <c r="DK182" s="6">
        <f ca="1">IF(Table1[[#This Row],[Value of Debts]]&gt;Table1[[#This Row],[income]],1,0)</f>
        <v>1</v>
      </c>
      <c r="DL182" s="20"/>
      <c r="DM182" s="20"/>
      <c r="DN182" s="5"/>
      <c r="DP182" s="6">
        <f ca="1">IF(Table1[[#This Row],[Net Worth (£)]]&gt;$DS$5,C182,0)</f>
        <v>0</v>
      </c>
      <c r="DQ182" s="20"/>
      <c r="DR182" s="20"/>
      <c r="DS182" s="5"/>
    </row>
    <row r="183" spans="1:123" x14ac:dyDescent="0.2">
      <c r="A183">
        <f t="shared" ca="1" si="7"/>
        <v>1</v>
      </c>
      <c r="B183" s="1" t="str">
        <f ca="1">IF(A183=1, "men", "women")</f>
        <v>men</v>
      </c>
      <c r="C183" s="1">
        <f ca="1">RANDBETWEEN(25,50)</f>
        <v>26</v>
      </c>
      <c r="D183">
        <f ca="1">RANDBETWEEN(1,6)</f>
        <v>2</v>
      </c>
      <c r="E183" t="str">
        <f ca="1">VLOOKUP(D183,$W$5:$X$10,2)</f>
        <v>Construction</v>
      </c>
      <c r="F183">
        <f ca="1">RANDBETWEEN(1,5)</f>
        <v>2</v>
      </c>
      <c r="G183" t="str">
        <f ca="1">VLOOKUP(F183,$Y$5:$Z$9,2)</f>
        <v>College</v>
      </c>
      <c r="H183">
        <f ca="1">RANDBETWEEN(0,4)</f>
        <v>4</v>
      </c>
      <c r="I183">
        <f ca="1">RANDBETWEEN(1,3)</f>
        <v>2</v>
      </c>
      <c r="J183">
        <f ca="1">RANDBETWEEN(30000,100000)</f>
        <v>57149</v>
      </c>
      <c r="K183">
        <f ca="1">RANDBETWEEN(1,48)</f>
        <v>6</v>
      </c>
      <c r="L183" t="str">
        <f ca="1">VLOOKUP(K183,$AA$5:$AB$52,2)</f>
        <v>Cheshire</v>
      </c>
      <c r="M183">
        <f ca="1">J183*(RANDBETWEEN(2,5))</f>
        <v>114298</v>
      </c>
      <c r="N183">
        <f ca="1">RAND()*M183</f>
        <v>102410.86360633631</v>
      </c>
      <c r="O183">
        <f ca="1">I183*RAND()*J183</f>
        <v>12548.713437091024</v>
      </c>
      <c r="P183">
        <f ca="1">RANDBETWEEN(0,O183)</f>
        <v>1335</v>
      </c>
      <c r="Q183">
        <f ca="1">RAND()*J183*2</f>
        <v>25607.937539796279</v>
      </c>
      <c r="R183">
        <f ca="1">RAND()*J183*1.5</f>
        <v>41605.482464973378</v>
      </c>
      <c r="S183">
        <f ca="1">J183+R183+O183</f>
        <v>111303.1959020644</v>
      </c>
      <c r="T183">
        <f ca="1">N183+P183+Q183</f>
        <v>129353.80114613258</v>
      </c>
      <c r="U183">
        <f ca="1">S183-T183</f>
        <v>-18050.605244068181</v>
      </c>
      <c r="AC183" s="6">
        <f ca="1">IF(Table1[[#This Row],[gender]]="men",1,0)</f>
        <v>1</v>
      </c>
      <c r="AD183">
        <f ca="1">IF(Table1[[#This Row],[gender]]="women",1,0)</f>
        <v>0</v>
      </c>
      <c r="AH183" s="5"/>
      <c r="AJ183" s="6">
        <f ca="1">IF(Table1[[#This Row],[Column1]]="Health",1,0)</f>
        <v>0</v>
      </c>
      <c r="AK183">
        <f ca="1">IF(Table1[[#This Row],[Column1]]="Construction",1,0)</f>
        <v>1</v>
      </c>
      <c r="AL183">
        <f ca="1">IF(Table1[[#This Row],[Column1]]="Technology",1,0)</f>
        <v>0</v>
      </c>
      <c r="AM183">
        <f ca="1">IF(Table1[[#This Row],[Column1]]="Education",1,0)</f>
        <v>0</v>
      </c>
      <c r="AN183">
        <f ca="1">IF(Table1[[#This Row],[Column1]]="Agriculture",1,0)</f>
        <v>0</v>
      </c>
      <c r="AO183">
        <f ca="1">IF(Table1[[#This Row],[Column1]]="Social Service", 1, 0)</f>
        <v>0</v>
      </c>
      <c r="AT183" s="5"/>
      <c r="AV183" s="17">
        <f t="shared" ca="1" si="6"/>
        <v>3204.048982439866</v>
      </c>
      <c r="AW183" s="5"/>
      <c r="AX183" s="6">
        <f ca="1">IF(Table1[[#This Row],[Value of Debts]]&gt;$AY$4,1,0)</f>
        <v>1</v>
      </c>
      <c r="AY183" s="20"/>
      <c r="AZ183" s="20"/>
      <c r="BA183" s="5"/>
      <c r="BB183" s="25">
        <f ca="1">Table1[[#This Row],[Mortage Left]]/Table1[[#This Row],[Value of House]]</f>
        <v>0.89599873669124841</v>
      </c>
      <c r="BC183" s="20">
        <f t="shared" ca="1" si="8"/>
        <v>0</v>
      </c>
      <c r="BD183" s="20"/>
      <c r="BE183" s="20"/>
      <c r="BF183" s="20"/>
      <c r="BG183" s="6">
        <f ca="1">IF(Table1[[#This Row],[County]]="Cumbria",Table1[[#This Row],[income]],0)</f>
        <v>0</v>
      </c>
      <c r="BH183" s="20">
        <f ca="1">IF(Table1[[#This Row],[County]]="Cheshire",Table1[[#This Row],[income]],0)</f>
        <v>57149</v>
      </c>
      <c r="BI183" s="20">
        <f ca="1">IF(Table1[[#This Row],[County]]="Bristol",Table1[[#This Row],[income]],0)</f>
        <v>0</v>
      </c>
      <c r="BJ183" s="20">
        <f ca="1">IF(Table1[[#This Row],[County]]="Surrey",Table1[[#This Row],[income]],0)</f>
        <v>0</v>
      </c>
      <c r="BK183" s="20">
        <f ca="1">IF(Table1[[#This Row],[County]]="Norfolk",Table1[[#This Row],[income]],0)</f>
        <v>0</v>
      </c>
      <c r="BL183" s="20">
        <f ca="1">IF(Table1[[#This Row],[County]]="Lincolnshire",Table1[[#This Row],[income]],0)</f>
        <v>0</v>
      </c>
      <c r="BM183" s="20">
        <f ca="1">IF(Table1[[#This Row],[County]]="Somerset",Table1[[#This Row],[income]],0)</f>
        <v>0</v>
      </c>
      <c r="BN183" s="20">
        <f ca="1">IF(Table1[[#This Row],[County]]="Cambridgeshire",Table1[[#This Row],[income]],0)</f>
        <v>0</v>
      </c>
      <c r="BO183" s="20">
        <f ca="1">IF(Table1[[#This Row],[County]]="South Yorkshire",Table1[[#This Row],[income]],0)</f>
        <v>0</v>
      </c>
      <c r="BP183" s="20">
        <f ca="1">IF(Table1[[#This Row],[County]]="Greater London",Table1[[#This Row],[income]],0)</f>
        <v>0</v>
      </c>
      <c r="BQ183" s="20">
        <f ca="1">IF(Table1[[#This Row],[County]]="Hampshire",Table1[[#This Row],[income]],0)</f>
        <v>0</v>
      </c>
      <c r="BR183" s="20">
        <f ca="1">IF(Table1[[#This Row],[County]]="Gloucestershire",Table1[[#This Row],[income]],0)</f>
        <v>0</v>
      </c>
      <c r="BS183" s="20">
        <f ca="1">IF(Table1[[#This Row],[County]]="West Sussex",Table1[[#This Row],[income]],0)</f>
        <v>0</v>
      </c>
      <c r="BT183" s="20">
        <f ca="1">IF(Table1[[#This Row],[County]]="Devon",Table1[[#This Row],[income]],0)</f>
        <v>0</v>
      </c>
      <c r="BU183" s="20">
        <f ca="1">IF(Table1[[#This Row],[County]]="Berkshire",Table1[[#This Row],[income]],0)</f>
        <v>0</v>
      </c>
      <c r="BV183" s="20">
        <f ca="1">IF(Table1[[#This Row],[County]]="Staffordshire",Table1[[#This Row],[income]],0)</f>
        <v>0</v>
      </c>
      <c r="BW183" s="20">
        <f ca="1">IF(Table1[[#This Row],[County]]="Leicestershire",Table1[[#This Row],[income]],0)</f>
        <v>0</v>
      </c>
      <c r="BX183" s="20">
        <f ca="1">IF(Table1[[#This Row],[County]]="Cornwall",Table1[[#This Row],[income]],0)</f>
        <v>0</v>
      </c>
      <c r="BY183" s="20">
        <f ca="1">IF(Table1[[#This Row],[County]]="Isle of Wight",Table1[[#This Row],[income]],0)</f>
        <v>0</v>
      </c>
      <c r="BZ183" s="20">
        <f ca="1">IF(Table1[[#This Row],[County]]="Surrey",Table1[[#This Row],[income]],0)</f>
        <v>0</v>
      </c>
      <c r="CA183" s="20">
        <f ca="1">IF(Table1[[#This Row],[County]]="Derbyshire",Table1[[#This Row],[income]],0)</f>
        <v>0</v>
      </c>
      <c r="CB183" s="20">
        <f ca="1">IF(Table1[[#This Row],[County]]="City of London",Table1[[#This Row],[income]],0)</f>
        <v>0</v>
      </c>
      <c r="CC183" s="20">
        <f ca="1">IF(Table1[[#This Row],[County]]="Bedfordshire",Table1[[#This Row],[income]],0)</f>
        <v>0</v>
      </c>
      <c r="CD183" s="20">
        <f ca="1">IF(Table1[[#This Row],[County]]="County Durham",Table1[[#This Row],[income]],0)</f>
        <v>0</v>
      </c>
      <c r="CE183" s="20">
        <f ca="1">IF(Table1[[#This Row],[County]]="East Riding of Yorkshire",Table1[[#This Row],[income]],0)</f>
        <v>0</v>
      </c>
      <c r="CF183" s="20">
        <f ca="1">IF(Table1[[#This Row],[County]]="West Yorkshire",Table1[[#This Row],[income]],0)</f>
        <v>0</v>
      </c>
      <c r="CG183" s="20">
        <f ca="1">IF(Table1[[#This Row],[County]]="Essex",Table1[[#This Row],[income]],0)</f>
        <v>0</v>
      </c>
      <c r="CH183" s="20">
        <f ca="1">IF(Table1[[#This Row],[County]]="East Sussex",Table1[[#This Row],[income]],0)</f>
        <v>0</v>
      </c>
      <c r="CI183" s="20">
        <f ca="1">IF(Table1[[#This Row],[County]]="Greater Manchester",Table1[[#This Row],[income]],0)</f>
        <v>0</v>
      </c>
      <c r="CJ183" s="20">
        <f ca="1">IF(Table1[[#This Row],[County]]="Hertfordshire",Table1[[#This Row],[income]],0)</f>
        <v>0</v>
      </c>
      <c r="CK183" s="20">
        <f ca="1">IF(Table1[[#This Row],[County]]="Herefordshire",Table1[[#This Row],[income]],0)</f>
        <v>0</v>
      </c>
      <c r="CL183" s="20">
        <f ca="1">IF(Table1[[#This Row],[County]]="Lancashire",Table1[[#This Row],[income]],0)</f>
        <v>0</v>
      </c>
      <c r="CM183" s="20">
        <f ca="1">IF(Table1[[#This Row],[County]]="Merseyside",Table1[[#This Row],[income]],0)</f>
        <v>0</v>
      </c>
      <c r="CN183" s="20">
        <f ca="1">IF(Table1[[#This Row],[County]]="Northamptonshire",Table1[[#This Row],[income]],0)</f>
        <v>0</v>
      </c>
      <c r="CO183" s="20">
        <f ca="1">IF(Table1[[#This Row],[County]]="Northumberland",Table1[[#This Row],[income]],0)</f>
        <v>0</v>
      </c>
      <c r="CP183" s="20">
        <f ca="1">IF(Table1[[#This Row],[County]]="Wiltshire",Table1[[#This Row],[income]],0)</f>
        <v>0</v>
      </c>
      <c r="CQ183" s="20">
        <f ca="1">IF(Table1[[#This Row],[County]]="West Midlands",Table1[[#This Row],[income]],0)</f>
        <v>0</v>
      </c>
      <c r="CR183" s="20">
        <f ca="1">IF(Table1[[#This Row],[County]]="Warwickshire",Table1[[#This Row],[income]],0)</f>
        <v>0</v>
      </c>
      <c r="CS183" s="20">
        <f ca="1">IF(Table1[[#This Row],[County]]="Tyne and Wear",Table1[[#This Row],[income]],0)</f>
        <v>0</v>
      </c>
      <c r="CT183" s="20">
        <f ca="1">IF(Table1[[#This Row],[County]]="Worcestershire",Table1[[#This Row],[income]],0)</f>
        <v>0</v>
      </c>
      <c r="CU183" s="20">
        <f ca="1">IF(Table1[[#This Row],[County]]="Rutland",Table1[[#This Row],[income]],0)</f>
        <v>0</v>
      </c>
      <c r="CV183" s="20">
        <f ca="1">IF(Table1[[#This Row],[County]]="Shropshire",Table1[[#This Row],[income]],0)</f>
        <v>0</v>
      </c>
      <c r="CW183" s="20">
        <f ca="1">IF(Table1[[#This Row],[County]]="Dorset",Table1[[#This Row],[income]],0)</f>
        <v>0</v>
      </c>
      <c r="CX183" s="20">
        <f ca="1">IF(Table1[[#This Row],[County]]="Buckinghamshire",Table1[[#This Row],[income]],0)</f>
        <v>0</v>
      </c>
      <c r="CY183" s="20">
        <f ca="1">IF(Table1[[#This Row],[County]]="Suffolk",Table1[[#This Row],[income]],0)</f>
        <v>0</v>
      </c>
      <c r="CZ183" s="20">
        <f ca="1">IF(Table1[[#This Row],[County]]="North Yorkshire",Table1[[#This Row],[income]],0)</f>
        <v>0</v>
      </c>
      <c r="DA183" s="20">
        <f ca="1">IF(Table1[[#This Row],[County]]="Kent",Table1[[#This Row],[income]],0)</f>
        <v>0</v>
      </c>
      <c r="DB183" s="5">
        <f ca="1">IF(Table1[[#This Row],[County]]="Derbyshire",Table1[[#This Row],[income]],0)</f>
        <v>0</v>
      </c>
      <c r="DD183" s="6">
        <f ca="1">IF(Table1[[#This Row],[Column1]]="Health",Table1[[#This Row],[income]],0)</f>
        <v>0</v>
      </c>
      <c r="DE183" s="20">
        <f ca="1">IF(Table1[[#This Row],[Column1]]="Agriculture",Table1[[#This Row],[income]],0)</f>
        <v>0</v>
      </c>
      <c r="DF183" s="20">
        <f ca="1">IF(Table1[[#This Row],[Column1]]="Technology",Table1[[#This Row],[income]],0)</f>
        <v>0</v>
      </c>
      <c r="DG183" s="20">
        <f ca="1">IF(Table1[[#This Row],[Column1]]="Social Service",Table1[[#This Row],[income]],0)</f>
        <v>0</v>
      </c>
      <c r="DH183" s="20">
        <f ca="1">IF(Table1[[#This Row],[Column1]]="Education",Table1[[#This Row],[income]],0)</f>
        <v>0</v>
      </c>
      <c r="DI183" s="5">
        <f ca="1">IF(Table1[[#This Row],[Column1]]="Construction",Table1[[#This Row],[income]],0)</f>
        <v>57149</v>
      </c>
      <c r="DK183" s="6">
        <f ca="1">IF(Table1[[#This Row],[Value of Debts]]&gt;Table1[[#This Row],[income]],1,0)</f>
        <v>1</v>
      </c>
      <c r="DL183" s="20"/>
      <c r="DM183" s="20"/>
      <c r="DN183" s="5"/>
      <c r="DP183" s="6">
        <f ca="1">IF(Table1[[#This Row],[Net Worth (£)]]&gt;$DS$5,C183,0)</f>
        <v>0</v>
      </c>
      <c r="DQ183" s="20"/>
      <c r="DR183" s="20"/>
      <c r="DS183" s="5"/>
    </row>
    <row r="184" spans="1:123" x14ac:dyDescent="0.2">
      <c r="A184">
        <f t="shared" ca="1" si="7"/>
        <v>2</v>
      </c>
      <c r="B184" s="1" t="str">
        <f ca="1">IF(A184=1, "men", "women")</f>
        <v>women</v>
      </c>
      <c r="C184" s="1">
        <f ca="1">RANDBETWEEN(25,50)</f>
        <v>39</v>
      </c>
      <c r="D184">
        <f ca="1">RANDBETWEEN(1,6)</f>
        <v>3</v>
      </c>
      <c r="E184" t="str">
        <f ca="1">VLOOKUP(D184,$W$5:$X$10,2)</f>
        <v>Education</v>
      </c>
      <c r="F184">
        <f ca="1">RANDBETWEEN(1,5)</f>
        <v>5</v>
      </c>
      <c r="G184" t="str">
        <f ca="1">VLOOKUP(F184,$Y$5:$Z$9,2)</f>
        <v>Other</v>
      </c>
      <c r="H184">
        <f ca="1">RANDBETWEEN(0,4)</f>
        <v>4</v>
      </c>
      <c r="I184">
        <f ca="1">RANDBETWEEN(1,3)</f>
        <v>3</v>
      </c>
      <c r="J184">
        <f ca="1">RANDBETWEEN(30000,100000)</f>
        <v>33174</v>
      </c>
      <c r="K184">
        <f ca="1">RANDBETWEEN(1,48)</f>
        <v>21</v>
      </c>
      <c r="L184" t="str">
        <f ca="1">VLOOKUP(K184,$AA$5:$AB$52,2)</f>
        <v>Herefordshire</v>
      </c>
      <c r="M184">
        <f ca="1">J184*(RANDBETWEEN(2,5))</f>
        <v>99522</v>
      </c>
      <c r="N184">
        <f ca="1">RAND()*M184</f>
        <v>35041.453875913554</v>
      </c>
      <c r="O184">
        <f ca="1">I184*RAND()*J184</f>
        <v>9612.1469473195975</v>
      </c>
      <c r="P184">
        <f ca="1">RANDBETWEEN(0,O184)</f>
        <v>6291</v>
      </c>
      <c r="Q184">
        <f ca="1">RAND()*J184*2</f>
        <v>26288.337237346008</v>
      </c>
      <c r="R184">
        <f ca="1">RAND()*J184*1.5</f>
        <v>15236.563288940422</v>
      </c>
      <c r="S184">
        <f ca="1">J184+R184+O184</f>
        <v>58022.71023626002</v>
      </c>
      <c r="T184">
        <f ca="1">N184+P184+Q184</f>
        <v>67620.791113259562</v>
      </c>
      <c r="U184">
        <f ca="1">S184-T184</f>
        <v>-9598.0808769995419</v>
      </c>
      <c r="AC184" s="6">
        <f ca="1">IF(Table1[[#This Row],[gender]]="men",1,0)</f>
        <v>0</v>
      </c>
      <c r="AD184">
        <f ca="1">IF(Table1[[#This Row],[gender]]="women",1,0)</f>
        <v>1</v>
      </c>
      <c r="AH184" s="5"/>
      <c r="AJ184" s="6">
        <f ca="1">IF(Table1[[#This Row],[Column1]]="Health",1,0)</f>
        <v>0</v>
      </c>
      <c r="AK184">
        <f ca="1">IF(Table1[[#This Row],[Column1]]="Construction",1,0)</f>
        <v>0</v>
      </c>
      <c r="AL184">
        <f ca="1">IF(Table1[[#This Row],[Column1]]="Technology",1,0)</f>
        <v>0</v>
      </c>
      <c r="AM184">
        <f ca="1">IF(Table1[[#This Row],[Column1]]="Education",1,0)</f>
        <v>1</v>
      </c>
      <c r="AN184">
        <f ca="1">IF(Table1[[#This Row],[Column1]]="Agriculture",1,0)</f>
        <v>0</v>
      </c>
      <c r="AO184">
        <f ca="1">IF(Table1[[#This Row],[Column1]]="Social Service", 1, 0)</f>
        <v>0</v>
      </c>
      <c r="AT184" s="5"/>
      <c r="AV184" s="17">
        <f t="shared" ca="1" si="6"/>
        <v>17813.252095193286</v>
      </c>
      <c r="AW184" s="5"/>
      <c r="AX184" s="6">
        <f ca="1">IF(Table1[[#This Row],[Value of Debts]]&gt;$AY$4,1,0)</f>
        <v>0</v>
      </c>
      <c r="AY184" s="20"/>
      <c r="AZ184" s="20"/>
      <c r="BA184" s="5"/>
      <c r="BB184" s="25">
        <f ca="1">Table1[[#This Row],[Mortage Left]]/Table1[[#This Row],[Value of House]]</f>
        <v>0.35209756512041113</v>
      </c>
      <c r="BC184" s="20">
        <f t="shared" ca="1" si="8"/>
        <v>0</v>
      </c>
      <c r="BD184" s="20"/>
      <c r="BE184" s="20"/>
      <c r="BF184" s="20"/>
      <c r="BG184" s="6">
        <f ca="1">IF(Table1[[#This Row],[County]]="Cumbria",Table1[[#This Row],[income]],0)</f>
        <v>0</v>
      </c>
      <c r="BH184" s="20">
        <f ca="1">IF(Table1[[#This Row],[County]]="Cheshire",Table1[[#This Row],[income]],0)</f>
        <v>0</v>
      </c>
      <c r="BI184" s="20">
        <f ca="1">IF(Table1[[#This Row],[County]]="Bristol",Table1[[#This Row],[income]],0)</f>
        <v>0</v>
      </c>
      <c r="BJ184" s="20">
        <f ca="1">IF(Table1[[#This Row],[County]]="Surrey",Table1[[#This Row],[income]],0)</f>
        <v>0</v>
      </c>
      <c r="BK184" s="20">
        <f ca="1">IF(Table1[[#This Row],[County]]="Norfolk",Table1[[#This Row],[income]],0)</f>
        <v>0</v>
      </c>
      <c r="BL184" s="20">
        <f ca="1">IF(Table1[[#This Row],[County]]="Lincolnshire",Table1[[#This Row],[income]],0)</f>
        <v>0</v>
      </c>
      <c r="BM184" s="20">
        <f ca="1">IF(Table1[[#This Row],[County]]="Somerset",Table1[[#This Row],[income]],0)</f>
        <v>0</v>
      </c>
      <c r="BN184" s="20">
        <f ca="1">IF(Table1[[#This Row],[County]]="Cambridgeshire",Table1[[#This Row],[income]],0)</f>
        <v>0</v>
      </c>
      <c r="BO184" s="20">
        <f ca="1">IF(Table1[[#This Row],[County]]="South Yorkshire",Table1[[#This Row],[income]],0)</f>
        <v>0</v>
      </c>
      <c r="BP184" s="20">
        <f ca="1">IF(Table1[[#This Row],[County]]="Greater London",Table1[[#This Row],[income]],0)</f>
        <v>0</v>
      </c>
      <c r="BQ184" s="20">
        <f ca="1">IF(Table1[[#This Row],[County]]="Hampshire",Table1[[#This Row],[income]],0)</f>
        <v>0</v>
      </c>
      <c r="BR184" s="20">
        <f ca="1">IF(Table1[[#This Row],[County]]="Gloucestershire",Table1[[#This Row],[income]],0)</f>
        <v>0</v>
      </c>
      <c r="BS184" s="20">
        <f ca="1">IF(Table1[[#This Row],[County]]="West Sussex",Table1[[#This Row],[income]],0)</f>
        <v>0</v>
      </c>
      <c r="BT184" s="20">
        <f ca="1">IF(Table1[[#This Row],[County]]="Devon",Table1[[#This Row],[income]],0)</f>
        <v>0</v>
      </c>
      <c r="BU184" s="20">
        <f ca="1">IF(Table1[[#This Row],[County]]="Berkshire",Table1[[#This Row],[income]],0)</f>
        <v>0</v>
      </c>
      <c r="BV184" s="20">
        <f ca="1">IF(Table1[[#This Row],[County]]="Staffordshire",Table1[[#This Row],[income]],0)</f>
        <v>0</v>
      </c>
      <c r="BW184" s="20">
        <f ca="1">IF(Table1[[#This Row],[County]]="Leicestershire",Table1[[#This Row],[income]],0)</f>
        <v>0</v>
      </c>
      <c r="BX184" s="20">
        <f ca="1">IF(Table1[[#This Row],[County]]="Cornwall",Table1[[#This Row],[income]],0)</f>
        <v>0</v>
      </c>
      <c r="BY184" s="20">
        <f ca="1">IF(Table1[[#This Row],[County]]="Isle of Wight",Table1[[#This Row],[income]],0)</f>
        <v>0</v>
      </c>
      <c r="BZ184" s="20">
        <f ca="1">IF(Table1[[#This Row],[County]]="Surrey",Table1[[#This Row],[income]],0)</f>
        <v>0</v>
      </c>
      <c r="CA184" s="20">
        <f ca="1">IF(Table1[[#This Row],[County]]="Derbyshire",Table1[[#This Row],[income]],0)</f>
        <v>0</v>
      </c>
      <c r="CB184" s="20">
        <f ca="1">IF(Table1[[#This Row],[County]]="City of London",Table1[[#This Row],[income]],0)</f>
        <v>0</v>
      </c>
      <c r="CC184" s="20">
        <f ca="1">IF(Table1[[#This Row],[County]]="Bedfordshire",Table1[[#This Row],[income]],0)</f>
        <v>0</v>
      </c>
      <c r="CD184" s="20">
        <f ca="1">IF(Table1[[#This Row],[County]]="County Durham",Table1[[#This Row],[income]],0)</f>
        <v>0</v>
      </c>
      <c r="CE184" s="20">
        <f ca="1">IF(Table1[[#This Row],[County]]="East Riding of Yorkshire",Table1[[#This Row],[income]],0)</f>
        <v>0</v>
      </c>
      <c r="CF184" s="20">
        <f ca="1">IF(Table1[[#This Row],[County]]="West Yorkshire",Table1[[#This Row],[income]],0)</f>
        <v>0</v>
      </c>
      <c r="CG184" s="20">
        <f ca="1">IF(Table1[[#This Row],[County]]="Essex",Table1[[#This Row],[income]],0)</f>
        <v>0</v>
      </c>
      <c r="CH184" s="20">
        <f ca="1">IF(Table1[[#This Row],[County]]="East Sussex",Table1[[#This Row],[income]],0)</f>
        <v>0</v>
      </c>
      <c r="CI184" s="20">
        <f ca="1">IF(Table1[[#This Row],[County]]="Greater Manchester",Table1[[#This Row],[income]],0)</f>
        <v>0</v>
      </c>
      <c r="CJ184" s="20">
        <f ca="1">IF(Table1[[#This Row],[County]]="Hertfordshire",Table1[[#This Row],[income]],0)</f>
        <v>0</v>
      </c>
      <c r="CK184" s="20">
        <f ca="1">IF(Table1[[#This Row],[County]]="Herefordshire",Table1[[#This Row],[income]],0)</f>
        <v>33174</v>
      </c>
      <c r="CL184" s="20">
        <f ca="1">IF(Table1[[#This Row],[County]]="Lancashire",Table1[[#This Row],[income]],0)</f>
        <v>0</v>
      </c>
      <c r="CM184" s="20">
        <f ca="1">IF(Table1[[#This Row],[County]]="Merseyside",Table1[[#This Row],[income]],0)</f>
        <v>0</v>
      </c>
      <c r="CN184" s="20">
        <f ca="1">IF(Table1[[#This Row],[County]]="Northamptonshire",Table1[[#This Row],[income]],0)</f>
        <v>0</v>
      </c>
      <c r="CO184" s="20">
        <f ca="1">IF(Table1[[#This Row],[County]]="Northumberland",Table1[[#This Row],[income]],0)</f>
        <v>0</v>
      </c>
      <c r="CP184" s="20">
        <f ca="1">IF(Table1[[#This Row],[County]]="Wiltshire",Table1[[#This Row],[income]],0)</f>
        <v>0</v>
      </c>
      <c r="CQ184" s="20">
        <f ca="1">IF(Table1[[#This Row],[County]]="West Midlands",Table1[[#This Row],[income]],0)</f>
        <v>0</v>
      </c>
      <c r="CR184" s="20">
        <f ca="1">IF(Table1[[#This Row],[County]]="Warwickshire",Table1[[#This Row],[income]],0)</f>
        <v>0</v>
      </c>
      <c r="CS184" s="20">
        <f ca="1">IF(Table1[[#This Row],[County]]="Tyne and Wear",Table1[[#This Row],[income]],0)</f>
        <v>0</v>
      </c>
      <c r="CT184" s="20">
        <f ca="1">IF(Table1[[#This Row],[County]]="Worcestershire",Table1[[#This Row],[income]],0)</f>
        <v>0</v>
      </c>
      <c r="CU184" s="20">
        <f ca="1">IF(Table1[[#This Row],[County]]="Rutland",Table1[[#This Row],[income]],0)</f>
        <v>0</v>
      </c>
      <c r="CV184" s="20">
        <f ca="1">IF(Table1[[#This Row],[County]]="Shropshire",Table1[[#This Row],[income]],0)</f>
        <v>0</v>
      </c>
      <c r="CW184" s="20">
        <f ca="1">IF(Table1[[#This Row],[County]]="Dorset",Table1[[#This Row],[income]],0)</f>
        <v>0</v>
      </c>
      <c r="CX184" s="20">
        <f ca="1">IF(Table1[[#This Row],[County]]="Buckinghamshire",Table1[[#This Row],[income]],0)</f>
        <v>0</v>
      </c>
      <c r="CY184" s="20">
        <f ca="1">IF(Table1[[#This Row],[County]]="Suffolk",Table1[[#This Row],[income]],0)</f>
        <v>0</v>
      </c>
      <c r="CZ184" s="20">
        <f ca="1">IF(Table1[[#This Row],[County]]="North Yorkshire",Table1[[#This Row],[income]],0)</f>
        <v>0</v>
      </c>
      <c r="DA184" s="20">
        <f ca="1">IF(Table1[[#This Row],[County]]="Kent",Table1[[#This Row],[income]],0)</f>
        <v>0</v>
      </c>
      <c r="DB184" s="5">
        <f ca="1">IF(Table1[[#This Row],[County]]="Derbyshire",Table1[[#This Row],[income]],0)</f>
        <v>0</v>
      </c>
      <c r="DD184" s="6">
        <f ca="1">IF(Table1[[#This Row],[Column1]]="Health",Table1[[#This Row],[income]],0)</f>
        <v>0</v>
      </c>
      <c r="DE184" s="20">
        <f ca="1">IF(Table1[[#This Row],[Column1]]="Agriculture",Table1[[#This Row],[income]],0)</f>
        <v>0</v>
      </c>
      <c r="DF184" s="20">
        <f ca="1">IF(Table1[[#This Row],[Column1]]="Technology",Table1[[#This Row],[income]],0)</f>
        <v>0</v>
      </c>
      <c r="DG184" s="20">
        <f ca="1">IF(Table1[[#This Row],[Column1]]="Social Service",Table1[[#This Row],[income]],0)</f>
        <v>0</v>
      </c>
      <c r="DH184" s="20">
        <f ca="1">IF(Table1[[#This Row],[Column1]]="Education",Table1[[#This Row],[income]],0)</f>
        <v>33174</v>
      </c>
      <c r="DI184" s="5">
        <f ca="1">IF(Table1[[#This Row],[Column1]]="Construction",Table1[[#This Row],[income]],0)</f>
        <v>0</v>
      </c>
      <c r="DK184" s="6">
        <f ca="1">IF(Table1[[#This Row],[Value of Debts]]&gt;Table1[[#This Row],[income]],1,0)</f>
        <v>1</v>
      </c>
      <c r="DL184" s="20"/>
      <c r="DM184" s="20"/>
      <c r="DN184" s="5"/>
      <c r="DP184" s="6">
        <f ca="1">IF(Table1[[#This Row],[Net Worth (£)]]&gt;$DS$5,C184,0)</f>
        <v>0</v>
      </c>
      <c r="DQ184" s="20"/>
      <c r="DR184" s="20"/>
      <c r="DS184" s="5"/>
    </row>
    <row r="185" spans="1:123" x14ac:dyDescent="0.2">
      <c r="A185">
        <f t="shared" ca="1" si="7"/>
        <v>1</v>
      </c>
      <c r="B185" s="1" t="str">
        <f ca="1">IF(A185=1, "men", "women")</f>
        <v>men</v>
      </c>
      <c r="C185" s="1">
        <f ca="1">RANDBETWEEN(25,50)</f>
        <v>28</v>
      </c>
      <c r="D185">
        <f ca="1">RANDBETWEEN(1,6)</f>
        <v>5</v>
      </c>
      <c r="E185" t="str">
        <f ca="1">VLOOKUP(D185,$W$5:$X$10,2)</f>
        <v>Social Service</v>
      </c>
      <c r="F185">
        <f ca="1">RANDBETWEEN(1,5)</f>
        <v>1</v>
      </c>
      <c r="G185" t="str">
        <f ca="1">VLOOKUP(F185,$Y$5:$Z$9,2)</f>
        <v>High School</v>
      </c>
      <c r="H185">
        <f ca="1">RANDBETWEEN(0,4)</f>
        <v>3</v>
      </c>
      <c r="I185">
        <f ca="1">RANDBETWEEN(1,3)</f>
        <v>1</v>
      </c>
      <c r="J185">
        <f ca="1">RANDBETWEEN(30000,100000)</f>
        <v>65448</v>
      </c>
      <c r="K185">
        <f ca="1">RANDBETWEEN(1,48)</f>
        <v>41</v>
      </c>
      <c r="L185" t="str">
        <f ca="1">VLOOKUP(K185,$AA$5:$AB$52,2)</f>
        <v>Surrey</v>
      </c>
      <c r="M185">
        <f ca="1">J185*(RANDBETWEEN(2,5))</f>
        <v>327240</v>
      </c>
      <c r="N185">
        <f ca="1">RAND()*M185</f>
        <v>94621.622330929735</v>
      </c>
      <c r="O185">
        <f ca="1">I185*RAND()*J185</f>
        <v>17813.252095193286</v>
      </c>
      <c r="P185">
        <f ca="1">RANDBETWEEN(0,O185)</f>
        <v>1453</v>
      </c>
      <c r="Q185">
        <f ca="1">RAND()*J185*2</f>
        <v>93160.866108984483</v>
      </c>
      <c r="R185">
        <f ca="1">RAND()*J185*1.5</f>
        <v>48777.078406510649</v>
      </c>
      <c r="S185">
        <f ca="1">J185+R185+O185</f>
        <v>132038.33050170392</v>
      </c>
      <c r="T185">
        <f ca="1">N185+P185+Q185</f>
        <v>189235.48843991422</v>
      </c>
      <c r="U185">
        <f ca="1">S185-T185</f>
        <v>-57197.157938210294</v>
      </c>
      <c r="AC185" s="6">
        <f ca="1">IF(Table1[[#This Row],[gender]]="men",1,0)</f>
        <v>1</v>
      </c>
      <c r="AD185">
        <f ca="1">IF(Table1[[#This Row],[gender]]="women",1,0)</f>
        <v>0</v>
      </c>
      <c r="AH185" s="5"/>
      <c r="AJ185" s="6">
        <f ca="1">IF(Table1[[#This Row],[Column1]]="Health",1,0)</f>
        <v>0</v>
      </c>
      <c r="AK185">
        <f ca="1">IF(Table1[[#This Row],[Column1]]="Construction",1,0)</f>
        <v>0</v>
      </c>
      <c r="AL185">
        <f ca="1">IF(Table1[[#This Row],[Column1]]="Technology",1,0)</f>
        <v>0</v>
      </c>
      <c r="AM185">
        <f ca="1">IF(Table1[[#This Row],[Column1]]="Education",1,0)</f>
        <v>0</v>
      </c>
      <c r="AN185">
        <f ca="1">IF(Table1[[#This Row],[Column1]]="Agriculture",1,0)</f>
        <v>0</v>
      </c>
      <c r="AO185">
        <f ca="1">IF(Table1[[#This Row],[Column1]]="Social Service", 1, 0)</f>
        <v>1</v>
      </c>
      <c r="AT185" s="5"/>
      <c r="AV185" s="17">
        <f t="shared" ca="1" si="6"/>
        <v>5268.9605127230907</v>
      </c>
      <c r="AW185" s="5"/>
      <c r="AX185" s="6">
        <f ca="1">IF(Table1[[#This Row],[Value of Debts]]&gt;$AY$4,1,0)</f>
        <v>1</v>
      </c>
      <c r="AY185" s="20"/>
      <c r="AZ185" s="20"/>
      <c r="BA185" s="5"/>
      <c r="BB185" s="25">
        <f ca="1">Table1[[#This Row],[Mortage Left]]/Table1[[#This Row],[Value of House]]</f>
        <v>0.28915053884283626</v>
      </c>
      <c r="BC185" s="20">
        <f t="shared" ca="1" si="8"/>
        <v>1</v>
      </c>
      <c r="BD185" s="20"/>
      <c r="BE185" s="20"/>
      <c r="BF185" s="20"/>
      <c r="BG185" s="6">
        <f ca="1">IF(Table1[[#This Row],[County]]="Cumbria",Table1[[#This Row],[income]],0)</f>
        <v>0</v>
      </c>
      <c r="BH185" s="20">
        <f ca="1">IF(Table1[[#This Row],[County]]="Cheshire",Table1[[#This Row],[income]],0)</f>
        <v>0</v>
      </c>
      <c r="BI185" s="20">
        <f ca="1">IF(Table1[[#This Row],[County]]="Bristol",Table1[[#This Row],[income]],0)</f>
        <v>0</v>
      </c>
      <c r="BJ185" s="20">
        <f ca="1">IF(Table1[[#This Row],[County]]="Surrey",Table1[[#This Row],[income]],0)</f>
        <v>65448</v>
      </c>
      <c r="BK185" s="20">
        <f ca="1">IF(Table1[[#This Row],[County]]="Norfolk",Table1[[#This Row],[income]],0)</f>
        <v>0</v>
      </c>
      <c r="BL185" s="20">
        <f ca="1">IF(Table1[[#This Row],[County]]="Lincolnshire",Table1[[#This Row],[income]],0)</f>
        <v>0</v>
      </c>
      <c r="BM185" s="20">
        <f ca="1">IF(Table1[[#This Row],[County]]="Somerset",Table1[[#This Row],[income]],0)</f>
        <v>0</v>
      </c>
      <c r="BN185" s="20">
        <f ca="1">IF(Table1[[#This Row],[County]]="Cambridgeshire",Table1[[#This Row],[income]],0)</f>
        <v>0</v>
      </c>
      <c r="BO185" s="20">
        <f ca="1">IF(Table1[[#This Row],[County]]="South Yorkshire",Table1[[#This Row],[income]],0)</f>
        <v>0</v>
      </c>
      <c r="BP185" s="20">
        <f ca="1">IF(Table1[[#This Row],[County]]="Greater London",Table1[[#This Row],[income]],0)</f>
        <v>0</v>
      </c>
      <c r="BQ185" s="20">
        <f ca="1">IF(Table1[[#This Row],[County]]="Hampshire",Table1[[#This Row],[income]],0)</f>
        <v>0</v>
      </c>
      <c r="BR185" s="20">
        <f ca="1">IF(Table1[[#This Row],[County]]="Gloucestershire",Table1[[#This Row],[income]],0)</f>
        <v>0</v>
      </c>
      <c r="BS185" s="20">
        <f ca="1">IF(Table1[[#This Row],[County]]="West Sussex",Table1[[#This Row],[income]],0)</f>
        <v>0</v>
      </c>
      <c r="BT185" s="20">
        <f ca="1">IF(Table1[[#This Row],[County]]="Devon",Table1[[#This Row],[income]],0)</f>
        <v>0</v>
      </c>
      <c r="BU185" s="20">
        <f ca="1">IF(Table1[[#This Row],[County]]="Berkshire",Table1[[#This Row],[income]],0)</f>
        <v>0</v>
      </c>
      <c r="BV185" s="20">
        <f ca="1">IF(Table1[[#This Row],[County]]="Staffordshire",Table1[[#This Row],[income]],0)</f>
        <v>0</v>
      </c>
      <c r="BW185" s="20">
        <f ca="1">IF(Table1[[#This Row],[County]]="Leicestershire",Table1[[#This Row],[income]],0)</f>
        <v>0</v>
      </c>
      <c r="BX185" s="20">
        <f ca="1">IF(Table1[[#This Row],[County]]="Cornwall",Table1[[#This Row],[income]],0)</f>
        <v>0</v>
      </c>
      <c r="BY185" s="20">
        <f ca="1">IF(Table1[[#This Row],[County]]="Isle of Wight",Table1[[#This Row],[income]],0)</f>
        <v>0</v>
      </c>
      <c r="BZ185" s="20">
        <f ca="1">IF(Table1[[#This Row],[County]]="Surrey",Table1[[#This Row],[income]],0)</f>
        <v>65448</v>
      </c>
      <c r="CA185" s="20">
        <f ca="1">IF(Table1[[#This Row],[County]]="Derbyshire",Table1[[#This Row],[income]],0)</f>
        <v>0</v>
      </c>
      <c r="CB185" s="20">
        <f ca="1">IF(Table1[[#This Row],[County]]="City of London",Table1[[#This Row],[income]],0)</f>
        <v>0</v>
      </c>
      <c r="CC185" s="20">
        <f ca="1">IF(Table1[[#This Row],[County]]="Bedfordshire",Table1[[#This Row],[income]],0)</f>
        <v>0</v>
      </c>
      <c r="CD185" s="20">
        <f ca="1">IF(Table1[[#This Row],[County]]="County Durham",Table1[[#This Row],[income]],0)</f>
        <v>0</v>
      </c>
      <c r="CE185" s="20">
        <f ca="1">IF(Table1[[#This Row],[County]]="East Riding of Yorkshire",Table1[[#This Row],[income]],0)</f>
        <v>0</v>
      </c>
      <c r="CF185" s="20">
        <f ca="1">IF(Table1[[#This Row],[County]]="West Yorkshire",Table1[[#This Row],[income]],0)</f>
        <v>0</v>
      </c>
      <c r="CG185" s="20">
        <f ca="1">IF(Table1[[#This Row],[County]]="Essex",Table1[[#This Row],[income]],0)</f>
        <v>0</v>
      </c>
      <c r="CH185" s="20">
        <f ca="1">IF(Table1[[#This Row],[County]]="East Sussex",Table1[[#This Row],[income]],0)</f>
        <v>0</v>
      </c>
      <c r="CI185" s="20">
        <f ca="1">IF(Table1[[#This Row],[County]]="Greater Manchester",Table1[[#This Row],[income]],0)</f>
        <v>0</v>
      </c>
      <c r="CJ185" s="20">
        <f ca="1">IF(Table1[[#This Row],[County]]="Hertfordshire",Table1[[#This Row],[income]],0)</f>
        <v>0</v>
      </c>
      <c r="CK185" s="20">
        <f ca="1">IF(Table1[[#This Row],[County]]="Herefordshire",Table1[[#This Row],[income]],0)</f>
        <v>0</v>
      </c>
      <c r="CL185" s="20">
        <f ca="1">IF(Table1[[#This Row],[County]]="Lancashire",Table1[[#This Row],[income]],0)</f>
        <v>0</v>
      </c>
      <c r="CM185" s="20">
        <f ca="1">IF(Table1[[#This Row],[County]]="Merseyside",Table1[[#This Row],[income]],0)</f>
        <v>0</v>
      </c>
      <c r="CN185" s="20">
        <f ca="1">IF(Table1[[#This Row],[County]]="Northamptonshire",Table1[[#This Row],[income]],0)</f>
        <v>0</v>
      </c>
      <c r="CO185" s="20">
        <f ca="1">IF(Table1[[#This Row],[County]]="Northumberland",Table1[[#This Row],[income]],0)</f>
        <v>0</v>
      </c>
      <c r="CP185" s="20">
        <f ca="1">IF(Table1[[#This Row],[County]]="Wiltshire",Table1[[#This Row],[income]],0)</f>
        <v>0</v>
      </c>
      <c r="CQ185" s="20">
        <f ca="1">IF(Table1[[#This Row],[County]]="West Midlands",Table1[[#This Row],[income]],0)</f>
        <v>0</v>
      </c>
      <c r="CR185" s="20">
        <f ca="1">IF(Table1[[#This Row],[County]]="Warwickshire",Table1[[#This Row],[income]],0)</f>
        <v>0</v>
      </c>
      <c r="CS185" s="20">
        <f ca="1">IF(Table1[[#This Row],[County]]="Tyne and Wear",Table1[[#This Row],[income]],0)</f>
        <v>0</v>
      </c>
      <c r="CT185" s="20">
        <f ca="1">IF(Table1[[#This Row],[County]]="Worcestershire",Table1[[#This Row],[income]],0)</f>
        <v>0</v>
      </c>
      <c r="CU185" s="20">
        <f ca="1">IF(Table1[[#This Row],[County]]="Rutland",Table1[[#This Row],[income]],0)</f>
        <v>0</v>
      </c>
      <c r="CV185" s="20">
        <f ca="1">IF(Table1[[#This Row],[County]]="Shropshire",Table1[[#This Row],[income]],0)</f>
        <v>0</v>
      </c>
      <c r="CW185" s="20">
        <f ca="1">IF(Table1[[#This Row],[County]]="Dorset",Table1[[#This Row],[income]],0)</f>
        <v>0</v>
      </c>
      <c r="CX185" s="20">
        <f ca="1">IF(Table1[[#This Row],[County]]="Buckinghamshire",Table1[[#This Row],[income]],0)</f>
        <v>0</v>
      </c>
      <c r="CY185" s="20">
        <f ca="1">IF(Table1[[#This Row],[County]]="Suffolk",Table1[[#This Row],[income]],0)</f>
        <v>0</v>
      </c>
      <c r="CZ185" s="20">
        <f ca="1">IF(Table1[[#This Row],[County]]="North Yorkshire",Table1[[#This Row],[income]],0)</f>
        <v>0</v>
      </c>
      <c r="DA185" s="20">
        <f ca="1">IF(Table1[[#This Row],[County]]="Kent",Table1[[#This Row],[income]],0)</f>
        <v>0</v>
      </c>
      <c r="DB185" s="5">
        <f ca="1">IF(Table1[[#This Row],[County]]="Derbyshire",Table1[[#This Row],[income]],0)</f>
        <v>0</v>
      </c>
      <c r="DD185" s="6">
        <f ca="1">IF(Table1[[#This Row],[Column1]]="Health",Table1[[#This Row],[income]],0)</f>
        <v>0</v>
      </c>
      <c r="DE185" s="20">
        <f ca="1">IF(Table1[[#This Row],[Column1]]="Agriculture",Table1[[#This Row],[income]],0)</f>
        <v>0</v>
      </c>
      <c r="DF185" s="20">
        <f ca="1">IF(Table1[[#This Row],[Column1]]="Technology",Table1[[#This Row],[income]],0)</f>
        <v>0</v>
      </c>
      <c r="DG185" s="20">
        <f ca="1">IF(Table1[[#This Row],[Column1]]="Social Service",Table1[[#This Row],[income]],0)</f>
        <v>65448</v>
      </c>
      <c r="DH185" s="20">
        <f ca="1">IF(Table1[[#This Row],[Column1]]="Education",Table1[[#This Row],[income]],0)</f>
        <v>0</v>
      </c>
      <c r="DI185" s="5">
        <f ca="1">IF(Table1[[#This Row],[Column1]]="Construction",Table1[[#This Row],[income]],0)</f>
        <v>0</v>
      </c>
      <c r="DK185" s="6">
        <f ca="1">IF(Table1[[#This Row],[Value of Debts]]&gt;Table1[[#This Row],[income]],1,0)</f>
        <v>1</v>
      </c>
      <c r="DL185" s="20"/>
      <c r="DM185" s="20"/>
      <c r="DN185" s="5"/>
      <c r="DP185" s="6">
        <f ca="1">IF(Table1[[#This Row],[Net Worth (£)]]&gt;$DS$5,C185,0)</f>
        <v>0</v>
      </c>
      <c r="DQ185" s="20"/>
      <c r="DR185" s="20"/>
      <c r="DS185" s="5"/>
    </row>
    <row r="186" spans="1:123" x14ac:dyDescent="0.2">
      <c r="A186">
        <f t="shared" ca="1" si="7"/>
        <v>2</v>
      </c>
      <c r="B186" s="1" t="str">
        <f ca="1">IF(A186=1, "men", "women")</f>
        <v>women</v>
      </c>
      <c r="C186" s="1">
        <f ca="1">RANDBETWEEN(25,50)</f>
        <v>37</v>
      </c>
      <c r="D186">
        <f ca="1">RANDBETWEEN(1,6)</f>
        <v>5</v>
      </c>
      <c r="E186" t="str">
        <f ca="1">VLOOKUP(D186,$W$5:$X$10,2)</f>
        <v>Social Service</v>
      </c>
      <c r="F186">
        <f ca="1">RANDBETWEEN(1,5)</f>
        <v>1</v>
      </c>
      <c r="G186" t="str">
        <f ca="1">VLOOKUP(F186,$Y$5:$Z$9,2)</f>
        <v>High School</v>
      </c>
      <c r="H186">
        <f ca="1">RANDBETWEEN(0,4)</f>
        <v>1</v>
      </c>
      <c r="I186">
        <f ca="1">RANDBETWEEN(1,3)</f>
        <v>3</v>
      </c>
      <c r="J186">
        <f ca="1">RANDBETWEEN(30000,100000)</f>
        <v>43044</v>
      </c>
      <c r="K186">
        <f ca="1">RANDBETWEEN(1,48)</f>
        <v>27</v>
      </c>
      <c r="L186" t="str">
        <f ca="1">VLOOKUP(K186,$AA$5:$AB$52,2)</f>
        <v>Merseyside</v>
      </c>
      <c r="M186">
        <f ca="1">J186*(RANDBETWEEN(2,5))</f>
        <v>172176</v>
      </c>
      <c r="N186">
        <f ca="1">RAND()*M186</f>
        <v>131462.4694520128</v>
      </c>
      <c r="O186">
        <f ca="1">I186*RAND()*J186</f>
        <v>15806.881538169271</v>
      </c>
      <c r="P186">
        <f ca="1">RANDBETWEEN(0,O186)</f>
        <v>4883</v>
      </c>
      <c r="Q186">
        <f ca="1">RAND()*J186*2</f>
        <v>79853.359924788165</v>
      </c>
      <c r="R186">
        <f ca="1">RAND()*J186*1.5</f>
        <v>46189.610528855213</v>
      </c>
      <c r="S186">
        <f ca="1">J186+R186+O186</f>
        <v>105040.49206702448</v>
      </c>
      <c r="T186">
        <f ca="1">N186+P186+Q186</f>
        <v>216198.82937680098</v>
      </c>
      <c r="U186">
        <f ca="1">S186-T186</f>
        <v>-111158.3373097765</v>
      </c>
      <c r="AC186" s="6">
        <f ca="1">IF(Table1[[#This Row],[gender]]="men",1,0)</f>
        <v>0</v>
      </c>
      <c r="AD186">
        <f ca="1">IF(Table1[[#This Row],[gender]]="women",1,0)</f>
        <v>1</v>
      </c>
      <c r="AH186" s="5"/>
      <c r="AJ186" s="6">
        <f ca="1">IF(Table1[[#This Row],[Column1]]="Health",1,0)</f>
        <v>0</v>
      </c>
      <c r="AK186">
        <f ca="1">IF(Table1[[#This Row],[Column1]]="Construction",1,0)</f>
        <v>0</v>
      </c>
      <c r="AL186">
        <f ca="1">IF(Table1[[#This Row],[Column1]]="Technology",1,0)</f>
        <v>0</v>
      </c>
      <c r="AM186">
        <f ca="1">IF(Table1[[#This Row],[Column1]]="Education",1,0)</f>
        <v>0</v>
      </c>
      <c r="AN186">
        <f ca="1">IF(Table1[[#This Row],[Column1]]="Agriculture",1,0)</f>
        <v>0</v>
      </c>
      <c r="AO186">
        <f ca="1">IF(Table1[[#This Row],[Column1]]="Social Service", 1, 0)</f>
        <v>1</v>
      </c>
      <c r="AT186" s="5"/>
      <c r="AV186" s="17">
        <f t="shared" ca="1" si="6"/>
        <v>25280.795417274872</v>
      </c>
      <c r="AW186" s="5"/>
      <c r="AX186" s="6">
        <f ca="1">IF(Table1[[#This Row],[Value of Debts]]&gt;$AY$4,1,0)</f>
        <v>1</v>
      </c>
      <c r="AY186" s="20"/>
      <c r="AZ186" s="20"/>
      <c r="BA186" s="5"/>
      <c r="BB186" s="25">
        <f ca="1">Table1[[#This Row],[Mortage Left]]/Table1[[#This Row],[Value of House]]</f>
        <v>0.76353539083271071</v>
      </c>
      <c r="BC186" s="20">
        <f t="shared" ca="1" si="8"/>
        <v>0</v>
      </c>
      <c r="BD186" s="20"/>
      <c r="BE186" s="20"/>
      <c r="BF186" s="20"/>
      <c r="BG186" s="6">
        <f ca="1">IF(Table1[[#This Row],[County]]="Cumbria",Table1[[#This Row],[income]],0)</f>
        <v>0</v>
      </c>
      <c r="BH186" s="20">
        <f ca="1">IF(Table1[[#This Row],[County]]="Cheshire",Table1[[#This Row],[income]],0)</f>
        <v>0</v>
      </c>
      <c r="BI186" s="20">
        <f ca="1">IF(Table1[[#This Row],[County]]="Bristol",Table1[[#This Row],[income]],0)</f>
        <v>0</v>
      </c>
      <c r="BJ186" s="20">
        <f ca="1">IF(Table1[[#This Row],[County]]="Surrey",Table1[[#This Row],[income]],0)</f>
        <v>0</v>
      </c>
      <c r="BK186" s="20">
        <f ca="1">IF(Table1[[#This Row],[County]]="Norfolk",Table1[[#This Row],[income]],0)</f>
        <v>0</v>
      </c>
      <c r="BL186" s="20">
        <f ca="1">IF(Table1[[#This Row],[County]]="Lincolnshire",Table1[[#This Row],[income]],0)</f>
        <v>0</v>
      </c>
      <c r="BM186" s="20">
        <f ca="1">IF(Table1[[#This Row],[County]]="Somerset",Table1[[#This Row],[income]],0)</f>
        <v>0</v>
      </c>
      <c r="BN186" s="20">
        <f ca="1">IF(Table1[[#This Row],[County]]="Cambridgeshire",Table1[[#This Row],[income]],0)</f>
        <v>0</v>
      </c>
      <c r="BO186" s="20">
        <f ca="1">IF(Table1[[#This Row],[County]]="South Yorkshire",Table1[[#This Row],[income]],0)</f>
        <v>0</v>
      </c>
      <c r="BP186" s="20">
        <f ca="1">IF(Table1[[#This Row],[County]]="Greater London",Table1[[#This Row],[income]],0)</f>
        <v>0</v>
      </c>
      <c r="BQ186" s="20">
        <f ca="1">IF(Table1[[#This Row],[County]]="Hampshire",Table1[[#This Row],[income]],0)</f>
        <v>0</v>
      </c>
      <c r="BR186" s="20">
        <f ca="1">IF(Table1[[#This Row],[County]]="Gloucestershire",Table1[[#This Row],[income]],0)</f>
        <v>0</v>
      </c>
      <c r="BS186" s="20">
        <f ca="1">IF(Table1[[#This Row],[County]]="West Sussex",Table1[[#This Row],[income]],0)</f>
        <v>0</v>
      </c>
      <c r="BT186" s="20">
        <f ca="1">IF(Table1[[#This Row],[County]]="Devon",Table1[[#This Row],[income]],0)</f>
        <v>0</v>
      </c>
      <c r="BU186" s="20">
        <f ca="1">IF(Table1[[#This Row],[County]]="Berkshire",Table1[[#This Row],[income]],0)</f>
        <v>0</v>
      </c>
      <c r="BV186" s="20">
        <f ca="1">IF(Table1[[#This Row],[County]]="Staffordshire",Table1[[#This Row],[income]],0)</f>
        <v>0</v>
      </c>
      <c r="BW186" s="20">
        <f ca="1">IF(Table1[[#This Row],[County]]="Leicestershire",Table1[[#This Row],[income]],0)</f>
        <v>0</v>
      </c>
      <c r="BX186" s="20">
        <f ca="1">IF(Table1[[#This Row],[County]]="Cornwall",Table1[[#This Row],[income]],0)</f>
        <v>0</v>
      </c>
      <c r="BY186" s="20">
        <f ca="1">IF(Table1[[#This Row],[County]]="Isle of Wight",Table1[[#This Row],[income]],0)</f>
        <v>0</v>
      </c>
      <c r="BZ186" s="20">
        <f ca="1">IF(Table1[[#This Row],[County]]="Surrey",Table1[[#This Row],[income]],0)</f>
        <v>0</v>
      </c>
      <c r="CA186" s="20">
        <f ca="1">IF(Table1[[#This Row],[County]]="Derbyshire",Table1[[#This Row],[income]],0)</f>
        <v>0</v>
      </c>
      <c r="CB186" s="20">
        <f ca="1">IF(Table1[[#This Row],[County]]="City of London",Table1[[#This Row],[income]],0)</f>
        <v>0</v>
      </c>
      <c r="CC186" s="20">
        <f ca="1">IF(Table1[[#This Row],[County]]="Bedfordshire",Table1[[#This Row],[income]],0)</f>
        <v>0</v>
      </c>
      <c r="CD186" s="20">
        <f ca="1">IF(Table1[[#This Row],[County]]="County Durham",Table1[[#This Row],[income]],0)</f>
        <v>0</v>
      </c>
      <c r="CE186" s="20">
        <f ca="1">IF(Table1[[#This Row],[County]]="East Riding of Yorkshire",Table1[[#This Row],[income]],0)</f>
        <v>0</v>
      </c>
      <c r="CF186" s="20">
        <f ca="1">IF(Table1[[#This Row],[County]]="West Yorkshire",Table1[[#This Row],[income]],0)</f>
        <v>0</v>
      </c>
      <c r="CG186" s="20">
        <f ca="1">IF(Table1[[#This Row],[County]]="Essex",Table1[[#This Row],[income]],0)</f>
        <v>0</v>
      </c>
      <c r="CH186" s="20">
        <f ca="1">IF(Table1[[#This Row],[County]]="East Sussex",Table1[[#This Row],[income]],0)</f>
        <v>0</v>
      </c>
      <c r="CI186" s="20">
        <f ca="1">IF(Table1[[#This Row],[County]]="Greater Manchester",Table1[[#This Row],[income]],0)</f>
        <v>0</v>
      </c>
      <c r="CJ186" s="20">
        <f ca="1">IF(Table1[[#This Row],[County]]="Hertfordshire",Table1[[#This Row],[income]],0)</f>
        <v>0</v>
      </c>
      <c r="CK186" s="20">
        <f ca="1">IF(Table1[[#This Row],[County]]="Herefordshire",Table1[[#This Row],[income]],0)</f>
        <v>0</v>
      </c>
      <c r="CL186" s="20">
        <f ca="1">IF(Table1[[#This Row],[County]]="Lancashire",Table1[[#This Row],[income]],0)</f>
        <v>0</v>
      </c>
      <c r="CM186" s="20">
        <f ca="1">IF(Table1[[#This Row],[County]]="Merseyside",Table1[[#This Row],[income]],0)</f>
        <v>43044</v>
      </c>
      <c r="CN186" s="20">
        <f ca="1">IF(Table1[[#This Row],[County]]="Northamptonshire",Table1[[#This Row],[income]],0)</f>
        <v>0</v>
      </c>
      <c r="CO186" s="20">
        <f ca="1">IF(Table1[[#This Row],[County]]="Northumberland",Table1[[#This Row],[income]],0)</f>
        <v>0</v>
      </c>
      <c r="CP186" s="20">
        <f ca="1">IF(Table1[[#This Row],[County]]="Wiltshire",Table1[[#This Row],[income]],0)</f>
        <v>0</v>
      </c>
      <c r="CQ186" s="20">
        <f ca="1">IF(Table1[[#This Row],[County]]="West Midlands",Table1[[#This Row],[income]],0)</f>
        <v>0</v>
      </c>
      <c r="CR186" s="20">
        <f ca="1">IF(Table1[[#This Row],[County]]="Warwickshire",Table1[[#This Row],[income]],0)</f>
        <v>0</v>
      </c>
      <c r="CS186" s="20">
        <f ca="1">IF(Table1[[#This Row],[County]]="Tyne and Wear",Table1[[#This Row],[income]],0)</f>
        <v>0</v>
      </c>
      <c r="CT186" s="20">
        <f ca="1">IF(Table1[[#This Row],[County]]="Worcestershire",Table1[[#This Row],[income]],0)</f>
        <v>0</v>
      </c>
      <c r="CU186" s="20">
        <f ca="1">IF(Table1[[#This Row],[County]]="Rutland",Table1[[#This Row],[income]],0)</f>
        <v>0</v>
      </c>
      <c r="CV186" s="20">
        <f ca="1">IF(Table1[[#This Row],[County]]="Shropshire",Table1[[#This Row],[income]],0)</f>
        <v>0</v>
      </c>
      <c r="CW186" s="20">
        <f ca="1">IF(Table1[[#This Row],[County]]="Dorset",Table1[[#This Row],[income]],0)</f>
        <v>0</v>
      </c>
      <c r="CX186" s="20">
        <f ca="1">IF(Table1[[#This Row],[County]]="Buckinghamshire",Table1[[#This Row],[income]],0)</f>
        <v>0</v>
      </c>
      <c r="CY186" s="20">
        <f ca="1">IF(Table1[[#This Row],[County]]="Suffolk",Table1[[#This Row],[income]],0)</f>
        <v>0</v>
      </c>
      <c r="CZ186" s="20">
        <f ca="1">IF(Table1[[#This Row],[County]]="North Yorkshire",Table1[[#This Row],[income]],0)</f>
        <v>0</v>
      </c>
      <c r="DA186" s="20">
        <f ca="1">IF(Table1[[#This Row],[County]]="Kent",Table1[[#This Row],[income]],0)</f>
        <v>0</v>
      </c>
      <c r="DB186" s="5">
        <f ca="1">IF(Table1[[#This Row],[County]]="Derbyshire",Table1[[#This Row],[income]],0)</f>
        <v>0</v>
      </c>
      <c r="DD186" s="6">
        <f ca="1">IF(Table1[[#This Row],[Column1]]="Health",Table1[[#This Row],[income]],0)</f>
        <v>0</v>
      </c>
      <c r="DE186" s="20">
        <f ca="1">IF(Table1[[#This Row],[Column1]]="Agriculture",Table1[[#This Row],[income]],0)</f>
        <v>0</v>
      </c>
      <c r="DF186" s="20">
        <f ca="1">IF(Table1[[#This Row],[Column1]]="Technology",Table1[[#This Row],[income]],0)</f>
        <v>0</v>
      </c>
      <c r="DG186" s="20">
        <f ca="1">IF(Table1[[#This Row],[Column1]]="Social Service",Table1[[#This Row],[income]],0)</f>
        <v>43044</v>
      </c>
      <c r="DH186" s="20">
        <f ca="1">IF(Table1[[#This Row],[Column1]]="Education",Table1[[#This Row],[income]],0)</f>
        <v>0</v>
      </c>
      <c r="DI186" s="5">
        <f ca="1">IF(Table1[[#This Row],[Column1]]="Construction",Table1[[#This Row],[income]],0)</f>
        <v>0</v>
      </c>
      <c r="DK186" s="6">
        <f ca="1">IF(Table1[[#This Row],[Value of Debts]]&gt;Table1[[#This Row],[income]],1,0)</f>
        <v>1</v>
      </c>
      <c r="DL186" s="20"/>
      <c r="DM186" s="20"/>
      <c r="DN186" s="5"/>
      <c r="DP186" s="6">
        <f ca="1">IF(Table1[[#This Row],[Net Worth (£)]]&gt;$DS$5,C186,0)</f>
        <v>0</v>
      </c>
      <c r="DQ186" s="20"/>
      <c r="DR186" s="20"/>
      <c r="DS186" s="5"/>
    </row>
    <row r="187" spans="1:123" x14ac:dyDescent="0.2">
      <c r="A187">
        <f t="shared" ca="1" si="7"/>
        <v>2</v>
      </c>
      <c r="B187" s="1" t="str">
        <f ca="1">IF(A187=1, "men", "women")</f>
        <v>women</v>
      </c>
      <c r="C187" s="1">
        <f ca="1">RANDBETWEEN(25,50)</f>
        <v>28</v>
      </c>
      <c r="D187">
        <f ca="1">RANDBETWEEN(1,6)</f>
        <v>5</v>
      </c>
      <c r="E187" t="str">
        <f ca="1">VLOOKUP(D187,$W$5:$X$10,2)</f>
        <v>Social Service</v>
      </c>
      <c r="F187">
        <f ca="1">RANDBETWEEN(1,5)</f>
        <v>2</v>
      </c>
      <c r="G187" t="str">
        <f ca="1">VLOOKUP(F187,$Y$5:$Z$9,2)</f>
        <v>College</v>
      </c>
      <c r="H187">
        <f ca="1">RANDBETWEEN(0,4)</f>
        <v>2</v>
      </c>
      <c r="I187">
        <f ca="1">RANDBETWEEN(1,3)</f>
        <v>3</v>
      </c>
      <c r="J187">
        <f ca="1">RANDBETWEEN(30000,100000)</f>
        <v>51248</v>
      </c>
      <c r="K187">
        <f ca="1">RANDBETWEEN(1,48)</f>
        <v>19</v>
      </c>
      <c r="L187" t="str">
        <f ca="1">VLOOKUP(K187,$AA$5:$AB$52,2)</f>
        <v>Greater Manchester</v>
      </c>
      <c r="M187">
        <f ca="1">J187*(RANDBETWEEN(2,5))</f>
        <v>204992</v>
      </c>
      <c r="N187">
        <f ca="1">RAND()*M187</f>
        <v>20362.456672340679</v>
      </c>
      <c r="O187">
        <f ca="1">I187*RAND()*J187</f>
        <v>75842.386251824617</v>
      </c>
      <c r="P187">
        <f ca="1">RANDBETWEEN(0,O187)</f>
        <v>64624</v>
      </c>
      <c r="Q187">
        <f ca="1">RAND()*J187*2</f>
        <v>7189.4609602706905</v>
      </c>
      <c r="R187">
        <f ca="1">RAND()*J187*1.5</f>
        <v>15431.468179578689</v>
      </c>
      <c r="S187">
        <f ca="1">J187+R187+O187</f>
        <v>142521.85443140331</v>
      </c>
      <c r="T187">
        <f ca="1">N187+P187+Q187</f>
        <v>92175.917632611367</v>
      </c>
      <c r="U187">
        <f ca="1">S187-T187</f>
        <v>50345.93679879194</v>
      </c>
      <c r="AC187" s="6">
        <f ca="1">IF(Table1[[#This Row],[gender]]="men",1,0)</f>
        <v>0</v>
      </c>
      <c r="AD187">
        <f ca="1">IF(Table1[[#This Row],[gender]]="women",1,0)</f>
        <v>1</v>
      </c>
      <c r="AH187" s="5"/>
      <c r="AJ187" s="6">
        <f ca="1">IF(Table1[[#This Row],[Column1]]="Health",1,0)</f>
        <v>0</v>
      </c>
      <c r="AK187">
        <f ca="1">IF(Table1[[#This Row],[Column1]]="Construction",1,0)</f>
        <v>0</v>
      </c>
      <c r="AL187">
        <f ca="1">IF(Table1[[#This Row],[Column1]]="Technology",1,0)</f>
        <v>0</v>
      </c>
      <c r="AM187">
        <f ca="1">IF(Table1[[#This Row],[Column1]]="Education",1,0)</f>
        <v>0</v>
      </c>
      <c r="AN187">
        <f ca="1">IF(Table1[[#This Row],[Column1]]="Agriculture",1,0)</f>
        <v>0</v>
      </c>
      <c r="AO187">
        <f ca="1">IF(Table1[[#This Row],[Column1]]="Social Service", 1, 0)</f>
        <v>1</v>
      </c>
      <c r="AT187" s="5"/>
      <c r="AV187" s="17">
        <f t="shared" ca="1" si="6"/>
        <v>35988.772813255026</v>
      </c>
      <c r="AW187" s="5"/>
      <c r="AX187" s="6">
        <f ca="1">IF(Table1[[#This Row],[Value of Debts]]&gt;$AY$4,1,0)</f>
        <v>0</v>
      </c>
      <c r="AY187" s="20"/>
      <c r="AZ187" s="20"/>
      <c r="BA187" s="5"/>
      <c r="BB187" s="25">
        <f ca="1">Table1[[#This Row],[Mortage Left]]/Table1[[#This Row],[Value of House]]</f>
        <v>9.933293334540215E-2</v>
      </c>
      <c r="BC187" s="20">
        <f t="shared" ca="1" si="8"/>
        <v>1</v>
      </c>
      <c r="BD187" s="20"/>
      <c r="BE187" s="20"/>
      <c r="BF187" s="20"/>
      <c r="BG187" s="6">
        <f ca="1">IF(Table1[[#This Row],[County]]="Cumbria",Table1[[#This Row],[income]],0)</f>
        <v>0</v>
      </c>
      <c r="BH187" s="20">
        <f ca="1">IF(Table1[[#This Row],[County]]="Cheshire",Table1[[#This Row],[income]],0)</f>
        <v>0</v>
      </c>
      <c r="BI187" s="20">
        <f ca="1">IF(Table1[[#This Row],[County]]="Bristol",Table1[[#This Row],[income]],0)</f>
        <v>0</v>
      </c>
      <c r="BJ187" s="20">
        <f ca="1">IF(Table1[[#This Row],[County]]="Surrey",Table1[[#This Row],[income]],0)</f>
        <v>0</v>
      </c>
      <c r="BK187" s="20">
        <f ca="1">IF(Table1[[#This Row],[County]]="Norfolk",Table1[[#This Row],[income]],0)</f>
        <v>0</v>
      </c>
      <c r="BL187" s="20">
        <f ca="1">IF(Table1[[#This Row],[County]]="Lincolnshire",Table1[[#This Row],[income]],0)</f>
        <v>0</v>
      </c>
      <c r="BM187" s="20">
        <f ca="1">IF(Table1[[#This Row],[County]]="Somerset",Table1[[#This Row],[income]],0)</f>
        <v>0</v>
      </c>
      <c r="BN187" s="20">
        <f ca="1">IF(Table1[[#This Row],[County]]="Cambridgeshire",Table1[[#This Row],[income]],0)</f>
        <v>0</v>
      </c>
      <c r="BO187" s="20">
        <f ca="1">IF(Table1[[#This Row],[County]]="South Yorkshire",Table1[[#This Row],[income]],0)</f>
        <v>0</v>
      </c>
      <c r="BP187" s="20">
        <f ca="1">IF(Table1[[#This Row],[County]]="Greater London",Table1[[#This Row],[income]],0)</f>
        <v>0</v>
      </c>
      <c r="BQ187" s="20">
        <f ca="1">IF(Table1[[#This Row],[County]]="Hampshire",Table1[[#This Row],[income]],0)</f>
        <v>0</v>
      </c>
      <c r="BR187" s="20">
        <f ca="1">IF(Table1[[#This Row],[County]]="Gloucestershire",Table1[[#This Row],[income]],0)</f>
        <v>0</v>
      </c>
      <c r="BS187" s="20">
        <f ca="1">IF(Table1[[#This Row],[County]]="West Sussex",Table1[[#This Row],[income]],0)</f>
        <v>0</v>
      </c>
      <c r="BT187" s="20">
        <f ca="1">IF(Table1[[#This Row],[County]]="Devon",Table1[[#This Row],[income]],0)</f>
        <v>0</v>
      </c>
      <c r="BU187" s="20">
        <f ca="1">IF(Table1[[#This Row],[County]]="Berkshire",Table1[[#This Row],[income]],0)</f>
        <v>0</v>
      </c>
      <c r="BV187" s="20">
        <f ca="1">IF(Table1[[#This Row],[County]]="Staffordshire",Table1[[#This Row],[income]],0)</f>
        <v>0</v>
      </c>
      <c r="BW187" s="20">
        <f ca="1">IF(Table1[[#This Row],[County]]="Leicestershire",Table1[[#This Row],[income]],0)</f>
        <v>0</v>
      </c>
      <c r="BX187" s="20">
        <f ca="1">IF(Table1[[#This Row],[County]]="Cornwall",Table1[[#This Row],[income]],0)</f>
        <v>0</v>
      </c>
      <c r="BY187" s="20">
        <f ca="1">IF(Table1[[#This Row],[County]]="Isle of Wight",Table1[[#This Row],[income]],0)</f>
        <v>0</v>
      </c>
      <c r="BZ187" s="20">
        <f ca="1">IF(Table1[[#This Row],[County]]="Surrey",Table1[[#This Row],[income]],0)</f>
        <v>0</v>
      </c>
      <c r="CA187" s="20">
        <f ca="1">IF(Table1[[#This Row],[County]]="Derbyshire",Table1[[#This Row],[income]],0)</f>
        <v>0</v>
      </c>
      <c r="CB187" s="20">
        <f ca="1">IF(Table1[[#This Row],[County]]="City of London",Table1[[#This Row],[income]],0)</f>
        <v>0</v>
      </c>
      <c r="CC187" s="20">
        <f ca="1">IF(Table1[[#This Row],[County]]="Bedfordshire",Table1[[#This Row],[income]],0)</f>
        <v>0</v>
      </c>
      <c r="CD187" s="20">
        <f ca="1">IF(Table1[[#This Row],[County]]="County Durham",Table1[[#This Row],[income]],0)</f>
        <v>0</v>
      </c>
      <c r="CE187" s="20">
        <f ca="1">IF(Table1[[#This Row],[County]]="East Riding of Yorkshire",Table1[[#This Row],[income]],0)</f>
        <v>0</v>
      </c>
      <c r="CF187" s="20">
        <f ca="1">IF(Table1[[#This Row],[County]]="West Yorkshire",Table1[[#This Row],[income]],0)</f>
        <v>0</v>
      </c>
      <c r="CG187" s="20">
        <f ca="1">IF(Table1[[#This Row],[County]]="Essex",Table1[[#This Row],[income]],0)</f>
        <v>0</v>
      </c>
      <c r="CH187" s="20">
        <f ca="1">IF(Table1[[#This Row],[County]]="East Sussex",Table1[[#This Row],[income]],0)</f>
        <v>0</v>
      </c>
      <c r="CI187" s="20">
        <f ca="1">IF(Table1[[#This Row],[County]]="Greater Manchester",Table1[[#This Row],[income]],0)</f>
        <v>51248</v>
      </c>
      <c r="CJ187" s="20">
        <f ca="1">IF(Table1[[#This Row],[County]]="Hertfordshire",Table1[[#This Row],[income]],0)</f>
        <v>0</v>
      </c>
      <c r="CK187" s="20">
        <f ca="1">IF(Table1[[#This Row],[County]]="Herefordshire",Table1[[#This Row],[income]],0)</f>
        <v>0</v>
      </c>
      <c r="CL187" s="20">
        <f ca="1">IF(Table1[[#This Row],[County]]="Lancashire",Table1[[#This Row],[income]],0)</f>
        <v>0</v>
      </c>
      <c r="CM187" s="20">
        <f ca="1">IF(Table1[[#This Row],[County]]="Merseyside",Table1[[#This Row],[income]],0)</f>
        <v>0</v>
      </c>
      <c r="CN187" s="20">
        <f ca="1">IF(Table1[[#This Row],[County]]="Northamptonshire",Table1[[#This Row],[income]],0)</f>
        <v>0</v>
      </c>
      <c r="CO187" s="20">
        <f ca="1">IF(Table1[[#This Row],[County]]="Northumberland",Table1[[#This Row],[income]],0)</f>
        <v>0</v>
      </c>
      <c r="CP187" s="20">
        <f ca="1">IF(Table1[[#This Row],[County]]="Wiltshire",Table1[[#This Row],[income]],0)</f>
        <v>0</v>
      </c>
      <c r="CQ187" s="20">
        <f ca="1">IF(Table1[[#This Row],[County]]="West Midlands",Table1[[#This Row],[income]],0)</f>
        <v>0</v>
      </c>
      <c r="CR187" s="20">
        <f ca="1">IF(Table1[[#This Row],[County]]="Warwickshire",Table1[[#This Row],[income]],0)</f>
        <v>0</v>
      </c>
      <c r="CS187" s="20">
        <f ca="1">IF(Table1[[#This Row],[County]]="Tyne and Wear",Table1[[#This Row],[income]],0)</f>
        <v>0</v>
      </c>
      <c r="CT187" s="20">
        <f ca="1">IF(Table1[[#This Row],[County]]="Worcestershire",Table1[[#This Row],[income]],0)</f>
        <v>0</v>
      </c>
      <c r="CU187" s="20">
        <f ca="1">IF(Table1[[#This Row],[County]]="Rutland",Table1[[#This Row],[income]],0)</f>
        <v>0</v>
      </c>
      <c r="CV187" s="20">
        <f ca="1">IF(Table1[[#This Row],[County]]="Shropshire",Table1[[#This Row],[income]],0)</f>
        <v>0</v>
      </c>
      <c r="CW187" s="20">
        <f ca="1">IF(Table1[[#This Row],[County]]="Dorset",Table1[[#This Row],[income]],0)</f>
        <v>0</v>
      </c>
      <c r="CX187" s="20">
        <f ca="1">IF(Table1[[#This Row],[County]]="Buckinghamshire",Table1[[#This Row],[income]],0)</f>
        <v>0</v>
      </c>
      <c r="CY187" s="20">
        <f ca="1">IF(Table1[[#This Row],[County]]="Suffolk",Table1[[#This Row],[income]],0)</f>
        <v>0</v>
      </c>
      <c r="CZ187" s="20">
        <f ca="1">IF(Table1[[#This Row],[County]]="North Yorkshire",Table1[[#This Row],[income]],0)</f>
        <v>0</v>
      </c>
      <c r="DA187" s="20">
        <f ca="1">IF(Table1[[#This Row],[County]]="Kent",Table1[[#This Row],[income]],0)</f>
        <v>0</v>
      </c>
      <c r="DB187" s="5">
        <f ca="1">IF(Table1[[#This Row],[County]]="Derbyshire",Table1[[#This Row],[income]],0)</f>
        <v>0</v>
      </c>
      <c r="DD187" s="6">
        <f ca="1">IF(Table1[[#This Row],[Column1]]="Health",Table1[[#This Row],[income]],0)</f>
        <v>0</v>
      </c>
      <c r="DE187" s="20">
        <f ca="1">IF(Table1[[#This Row],[Column1]]="Agriculture",Table1[[#This Row],[income]],0)</f>
        <v>0</v>
      </c>
      <c r="DF187" s="20">
        <f ca="1">IF(Table1[[#This Row],[Column1]]="Technology",Table1[[#This Row],[income]],0)</f>
        <v>0</v>
      </c>
      <c r="DG187" s="20">
        <f ca="1">IF(Table1[[#This Row],[Column1]]="Social Service",Table1[[#This Row],[income]],0)</f>
        <v>51248</v>
      </c>
      <c r="DH187" s="20">
        <f ca="1">IF(Table1[[#This Row],[Column1]]="Education",Table1[[#This Row],[income]],0)</f>
        <v>0</v>
      </c>
      <c r="DI187" s="5">
        <f ca="1">IF(Table1[[#This Row],[Column1]]="Construction",Table1[[#This Row],[income]],0)</f>
        <v>0</v>
      </c>
      <c r="DK187" s="6">
        <f ca="1">IF(Table1[[#This Row],[Value of Debts]]&gt;Table1[[#This Row],[income]],1,0)</f>
        <v>1</v>
      </c>
      <c r="DL187" s="20"/>
      <c r="DM187" s="20"/>
      <c r="DN187" s="5"/>
      <c r="DP187" s="6">
        <f ca="1">IF(Table1[[#This Row],[Net Worth (£)]]&gt;$DS$5,C187,0)</f>
        <v>28</v>
      </c>
      <c r="DQ187" s="20"/>
      <c r="DR187" s="20"/>
      <c r="DS187" s="5"/>
    </row>
    <row r="188" spans="1:123" x14ac:dyDescent="0.2">
      <c r="A188">
        <f t="shared" ca="1" si="7"/>
        <v>1</v>
      </c>
      <c r="B188" s="1" t="str">
        <f ca="1">IF(A188=1, "men", "women")</f>
        <v>men</v>
      </c>
      <c r="C188" s="1">
        <f ca="1">RANDBETWEEN(25,50)</f>
        <v>48</v>
      </c>
      <c r="D188">
        <f ca="1">RANDBETWEEN(1,6)</f>
        <v>3</v>
      </c>
      <c r="E188" t="str">
        <f ca="1">VLOOKUP(D188,$W$5:$X$10,2)</f>
        <v>Education</v>
      </c>
      <c r="F188">
        <f ca="1">RANDBETWEEN(1,5)</f>
        <v>5</v>
      </c>
      <c r="G188" t="str">
        <f ca="1">VLOOKUP(F188,$Y$5:$Z$9,2)</f>
        <v>Other</v>
      </c>
      <c r="H188">
        <f ca="1">RANDBETWEEN(0,4)</f>
        <v>4</v>
      </c>
      <c r="I188">
        <f ca="1">RANDBETWEEN(1,3)</f>
        <v>2</v>
      </c>
      <c r="J188">
        <f ca="1">RANDBETWEEN(30000,100000)</f>
        <v>72013</v>
      </c>
      <c r="K188">
        <f ca="1">RANDBETWEEN(1,48)</f>
        <v>35</v>
      </c>
      <c r="L188" t="str">
        <f ca="1">VLOOKUP(K188,$AA$5:$AB$52,2)</f>
        <v>Rutland</v>
      </c>
      <c r="M188">
        <f ca="1">J188*(RANDBETWEEN(2,5))</f>
        <v>144026</v>
      </c>
      <c r="N188">
        <f ca="1">RAND()*M188</f>
        <v>3769.2503436507823</v>
      </c>
      <c r="O188">
        <f ca="1">I188*RAND()*J188</f>
        <v>71977.545626510051</v>
      </c>
      <c r="P188">
        <f ca="1">RANDBETWEEN(0,O188)</f>
        <v>53248</v>
      </c>
      <c r="Q188">
        <f ca="1">RAND()*J188*2</f>
        <v>14519.976275426834</v>
      </c>
      <c r="R188">
        <f ca="1">RAND()*J188*1.5</f>
        <v>101283.39449977205</v>
      </c>
      <c r="S188">
        <f ca="1">J188+R188+O188</f>
        <v>245273.9401262821</v>
      </c>
      <c r="T188">
        <f ca="1">N188+P188+Q188</f>
        <v>71537.226619077614</v>
      </c>
      <c r="U188">
        <f ca="1">S188-T188</f>
        <v>173736.71350720449</v>
      </c>
      <c r="AC188" s="6">
        <f ca="1">IF(Table1[[#This Row],[gender]]="men",1,0)</f>
        <v>1</v>
      </c>
      <c r="AD188">
        <f ca="1">IF(Table1[[#This Row],[gender]]="women",1,0)</f>
        <v>0</v>
      </c>
      <c r="AH188" s="5"/>
      <c r="AJ188" s="6">
        <f ca="1">IF(Table1[[#This Row],[Column1]]="Health",1,0)</f>
        <v>0</v>
      </c>
      <c r="AK188">
        <f ca="1">IF(Table1[[#This Row],[Column1]]="Construction",1,0)</f>
        <v>0</v>
      </c>
      <c r="AL188">
        <f ca="1">IF(Table1[[#This Row],[Column1]]="Technology",1,0)</f>
        <v>0</v>
      </c>
      <c r="AM188">
        <f ca="1">IF(Table1[[#This Row],[Column1]]="Education",1,0)</f>
        <v>1</v>
      </c>
      <c r="AN188">
        <f ca="1">IF(Table1[[#This Row],[Column1]]="Agriculture",1,0)</f>
        <v>0</v>
      </c>
      <c r="AO188">
        <f ca="1">IF(Table1[[#This Row],[Column1]]="Social Service", 1, 0)</f>
        <v>0</v>
      </c>
      <c r="AT188" s="5"/>
      <c r="AV188" s="17">
        <f t="shared" ca="1" si="6"/>
        <v>50674.36524644497</v>
      </c>
      <c r="AW188" s="5"/>
      <c r="AX188" s="6">
        <f ca="1">IF(Table1[[#This Row],[Value of Debts]]&gt;$AY$4,1,0)</f>
        <v>0</v>
      </c>
      <c r="AY188" s="20"/>
      <c r="AZ188" s="20"/>
      <c r="BA188" s="5"/>
      <c r="BB188" s="25">
        <f ca="1">Table1[[#This Row],[Mortage Left]]/Table1[[#This Row],[Value of House]]</f>
        <v>2.6170624357065964E-2</v>
      </c>
      <c r="BC188" s="20">
        <f t="shared" ca="1" si="8"/>
        <v>1</v>
      </c>
      <c r="BD188" s="20"/>
      <c r="BE188" s="20"/>
      <c r="BF188" s="20"/>
      <c r="BG188" s="6">
        <f ca="1">IF(Table1[[#This Row],[County]]="Cumbria",Table1[[#This Row],[income]],0)</f>
        <v>0</v>
      </c>
      <c r="BH188" s="20">
        <f ca="1">IF(Table1[[#This Row],[County]]="Cheshire",Table1[[#This Row],[income]],0)</f>
        <v>0</v>
      </c>
      <c r="BI188" s="20">
        <f ca="1">IF(Table1[[#This Row],[County]]="Bristol",Table1[[#This Row],[income]],0)</f>
        <v>0</v>
      </c>
      <c r="BJ188" s="20">
        <f ca="1">IF(Table1[[#This Row],[County]]="Surrey",Table1[[#This Row],[income]],0)</f>
        <v>0</v>
      </c>
      <c r="BK188" s="20">
        <f ca="1">IF(Table1[[#This Row],[County]]="Norfolk",Table1[[#This Row],[income]],0)</f>
        <v>0</v>
      </c>
      <c r="BL188" s="20">
        <f ca="1">IF(Table1[[#This Row],[County]]="Lincolnshire",Table1[[#This Row],[income]],0)</f>
        <v>0</v>
      </c>
      <c r="BM188" s="20">
        <f ca="1">IF(Table1[[#This Row],[County]]="Somerset",Table1[[#This Row],[income]],0)</f>
        <v>0</v>
      </c>
      <c r="BN188" s="20">
        <f ca="1">IF(Table1[[#This Row],[County]]="Cambridgeshire",Table1[[#This Row],[income]],0)</f>
        <v>0</v>
      </c>
      <c r="BO188" s="20">
        <f ca="1">IF(Table1[[#This Row],[County]]="South Yorkshire",Table1[[#This Row],[income]],0)</f>
        <v>0</v>
      </c>
      <c r="BP188" s="20">
        <f ca="1">IF(Table1[[#This Row],[County]]="Greater London",Table1[[#This Row],[income]],0)</f>
        <v>0</v>
      </c>
      <c r="BQ188" s="20">
        <f ca="1">IF(Table1[[#This Row],[County]]="Hampshire",Table1[[#This Row],[income]],0)</f>
        <v>0</v>
      </c>
      <c r="BR188" s="20">
        <f ca="1">IF(Table1[[#This Row],[County]]="Gloucestershire",Table1[[#This Row],[income]],0)</f>
        <v>0</v>
      </c>
      <c r="BS188" s="20">
        <f ca="1">IF(Table1[[#This Row],[County]]="West Sussex",Table1[[#This Row],[income]],0)</f>
        <v>0</v>
      </c>
      <c r="BT188" s="20">
        <f ca="1">IF(Table1[[#This Row],[County]]="Devon",Table1[[#This Row],[income]],0)</f>
        <v>0</v>
      </c>
      <c r="BU188" s="20">
        <f ca="1">IF(Table1[[#This Row],[County]]="Berkshire",Table1[[#This Row],[income]],0)</f>
        <v>0</v>
      </c>
      <c r="BV188" s="20">
        <f ca="1">IF(Table1[[#This Row],[County]]="Staffordshire",Table1[[#This Row],[income]],0)</f>
        <v>0</v>
      </c>
      <c r="BW188" s="20">
        <f ca="1">IF(Table1[[#This Row],[County]]="Leicestershire",Table1[[#This Row],[income]],0)</f>
        <v>0</v>
      </c>
      <c r="BX188" s="20">
        <f ca="1">IF(Table1[[#This Row],[County]]="Cornwall",Table1[[#This Row],[income]],0)</f>
        <v>0</v>
      </c>
      <c r="BY188" s="20">
        <f ca="1">IF(Table1[[#This Row],[County]]="Isle of Wight",Table1[[#This Row],[income]],0)</f>
        <v>0</v>
      </c>
      <c r="BZ188" s="20">
        <f ca="1">IF(Table1[[#This Row],[County]]="Surrey",Table1[[#This Row],[income]],0)</f>
        <v>0</v>
      </c>
      <c r="CA188" s="20">
        <f ca="1">IF(Table1[[#This Row],[County]]="Derbyshire",Table1[[#This Row],[income]],0)</f>
        <v>0</v>
      </c>
      <c r="CB188" s="20">
        <f ca="1">IF(Table1[[#This Row],[County]]="City of London",Table1[[#This Row],[income]],0)</f>
        <v>0</v>
      </c>
      <c r="CC188" s="20">
        <f ca="1">IF(Table1[[#This Row],[County]]="Bedfordshire",Table1[[#This Row],[income]],0)</f>
        <v>0</v>
      </c>
      <c r="CD188" s="20">
        <f ca="1">IF(Table1[[#This Row],[County]]="County Durham",Table1[[#This Row],[income]],0)</f>
        <v>0</v>
      </c>
      <c r="CE188" s="20">
        <f ca="1">IF(Table1[[#This Row],[County]]="East Riding of Yorkshire",Table1[[#This Row],[income]],0)</f>
        <v>0</v>
      </c>
      <c r="CF188" s="20">
        <f ca="1">IF(Table1[[#This Row],[County]]="West Yorkshire",Table1[[#This Row],[income]],0)</f>
        <v>0</v>
      </c>
      <c r="CG188" s="20">
        <f ca="1">IF(Table1[[#This Row],[County]]="Essex",Table1[[#This Row],[income]],0)</f>
        <v>0</v>
      </c>
      <c r="CH188" s="20">
        <f ca="1">IF(Table1[[#This Row],[County]]="East Sussex",Table1[[#This Row],[income]],0)</f>
        <v>0</v>
      </c>
      <c r="CI188" s="20">
        <f ca="1">IF(Table1[[#This Row],[County]]="Greater Manchester",Table1[[#This Row],[income]],0)</f>
        <v>0</v>
      </c>
      <c r="CJ188" s="20">
        <f ca="1">IF(Table1[[#This Row],[County]]="Hertfordshire",Table1[[#This Row],[income]],0)</f>
        <v>0</v>
      </c>
      <c r="CK188" s="20">
        <f ca="1">IF(Table1[[#This Row],[County]]="Herefordshire",Table1[[#This Row],[income]],0)</f>
        <v>0</v>
      </c>
      <c r="CL188" s="20">
        <f ca="1">IF(Table1[[#This Row],[County]]="Lancashire",Table1[[#This Row],[income]],0)</f>
        <v>0</v>
      </c>
      <c r="CM188" s="20">
        <f ca="1">IF(Table1[[#This Row],[County]]="Merseyside",Table1[[#This Row],[income]],0)</f>
        <v>0</v>
      </c>
      <c r="CN188" s="20">
        <f ca="1">IF(Table1[[#This Row],[County]]="Northamptonshire",Table1[[#This Row],[income]],0)</f>
        <v>0</v>
      </c>
      <c r="CO188" s="20">
        <f ca="1">IF(Table1[[#This Row],[County]]="Northumberland",Table1[[#This Row],[income]],0)</f>
        <v>0</v>
      </c>
      <c r="CP188" s="20">
        <f ca="1">IF(Table1[[#This Row],[County]]="Wiltshire",Table1[[#This Row],[income]],0)</f>
        <v>0</v>
      </c>
      <c r="CQ188" s="20">
        <f ca="1">IF(Table1[[#This Row],[County]]="West Midlands",Table1[[#This Row],[income]],0)</f>
        <v>0</v>
      </c>
      <c r="CR188" s="20">
        <f ca="1">IF(Table1[[#This Row],[County]]="Warwickshire",Table1[[#This Row],[income]],0)</f>
        <v>0</v>
      </c>
      <c r="CS188" s="20">
        <f ca="1">IF(Table1[[#This Row],[County]]="Tyne and Wear",Table1[[#This Row],[income]],0)</f>
        <v>0</v>
      </c>
      <c r="CT188" s="20">
        <f ca="1">IF(Table1[[#This Row],[County]]="Worcestershire",Table1[[#This Row],[income]],0)</f>
        <v>0</v>
      </c>
      <c r="CU188" s="20">
        <f ca="1">IF(Table1[[#This Row],[County]]="Rutland",Table1[[#This Row],[income]],0)</f>
        <v>72013</v>
      </c>
      <c r="CV188" s="20">
        <f ca="1">IF(Table1[[#This Row],[County]]="Shropshire",Table1[[#This Row],[income]],0)</f>
        <v>0</v>
      </c>
      <c r="CW188" s="20">
        <f ca="1">IF(Table1[[#This Row],[County]]="Dorset",Table1[[#This Row],[income]],0)</f>
        <v>0</v>
      </c>
      <c r="CX188" s="20">
        <f ca="1">IF(Table1[[#This Row],[County]]="Buckinghamshire",Table1[[#This Row],[income]],0)</f>
        <v>0</v>
      </c>
      <c r="CY188" s="20">
        <f ca="1">IF(Table1[[#This Row],[County]]="Suffolk",Table1[[#This Row],[income]],0)</f>
        <v>0</v>
      </c>
      <c r="CZ188" s="20">
        <f ca="1">IF(Table1[[#This Row],[County]]="North Yorkshire",Table1[[#This Row],[income]],0)</f>
        <v>0</v>
      </c>
      <c r="DA188" s="20">
        <f ca="1">IF(Table1[[#This Row],[County]]="Kent",Table1[[#This Row],[income]],0)</f>
        <v>0</v>
      </c>
      <c r="DB188" s="5">
        <f ca="1">IF(Table1[[#This Row],[County]]="Derbyshire",Table1[[#This Row],[income]],0)</f>
        <v>0</v>
      </c>
      <c r="DD188" s="6">
        <f ca="1">IF(Table1[[#This Row],[Column1]]="Health",Table1[[#This Row],[income]],0)</f>
        <v>0</v>
      </c>
      <c r="DE188" s="20">
        <f ca="1">IF(Table1[[#This Row],[Column1]]="Agriculture",Table1[[#This Row],[income]],0)</f>
        <v>0</v>
      </c>
      <c r="DF188" s="20">
        <f ca="1">IF(Table1[[#This Row],[Column1]]="Technology",Table1[[#This Row],[income]],0)</f>
        <v>0</v>
      </c>
      <c r="DG188" s="20">
        <f ca="1">IF(Table1[[#This Row],[Column1]]="Social Service",Table1[[#This Row],[income]],0)</f>
        <v>0</v>
      </c>
      <c r="DH188" s="20">
        <f ca="1">IF(Table1[[#This Row],[Column1]]="Education",Table1[[#This Row],[income]],0)</f>
        <v>72013</v>
      </c>
      <c r="DI188" s="5">
        <f ca="1">IF(Table1[[#This Row],[Column1]]="Construction",Table1[[#This Row],[income]],0)</f>
        <v>0</v>
      </c>
      <c r="DK188" s="6">
        <f ca="1">IF(Table1[[#This Row],[Value of Debts]]&gt;Table1[[#This Row],[income]],1,0)</f>
        <v>0</v>
      </c>
      <c r="DL188" s="20"/>
      <c r="DM188" s="20"/>
      <c r="DN188" s="5"/>
      <c r="DP188" s="6">
        <f ca="1">IF(Table1[[#This Row],[Net Worth (£)]]&gt;$DS$5,C188,0)</f>
        <v>48</v>
      </c>
      <c r="DQ188" s="20"/>
      <c r="DR188" s="20"/>
      <c r="DS188" s="5"/>
    </row>
    <row r="189" spans="1:123" x14ac:dyDescent="0.2">
      <c r="A189">
        <f t="shared" ca="1" si="7"/>
        <v>2</v>
      </c>
      <c r="B189" s="1" t="str">
        <f ca="1">IF(A189=1, "men", "women")</f>
        <v>women</v>
      </c>
      <c r="C189" s="1">
        <f ca="1">RANDBETWEEN(25,50)</f>
        <v>50</v>
      </c>
      <c r="D189">
        <f ca="1">RANDBETWEEN(1,6)</f>
        <v>3</v>
      </c>
      <c r="E189" t="str">
        <f ca="1">VLOOKUP(D189,$W$5:$X$10,2)</f>
        <v>Education</v>
      </c>
      <c r="F189">
        <f ca="1">RANDBETWEEN(1,5)</f>
        <v>1</v>
      </c>
      <c r="G189" t="str">
        <f ca="1">VLOOKUP(F189,$Y$5:$Z$9,2)</f>
        <v>High School</v>
      </c>
      <c r="H189">
        <f ca="1">RANDBETWEEN(0,4)</f>
        <v>2</v>
      </c>
      <c r="I189">
        <f ca="1">RANDBETWEEN(1,3)</f>
        <v>2</v>
      </c>
      <c r="J189">
        <f ca="1">RANDBETWEEN(30000,100000)</f>
        <v>84360</v>
      </c>
      <c r="K189">
        <f ca="1">RANDBETWEEN(1,48)</f>
        <v>17</v>
      </c>
      <c r="L189" t="str">
        <f ca="1">VLOOKUP(K189,$AA$5:$AB$52,2)</f>
        <v>Gloucestershire</v>
      </c>
      <c r="M189">
        <f ca="1">J189*(RANDBETWEEN(2,5))</f>
        <v>168720</v>
      </c>
      <c r="N189">
        <f ca="1">RAND()*M189</f>
        <v>99663.67257855607</v>
      </c>
      <c r="O189">
        <f ca="1">I189*RAND()*J189</f>
        <v>101348.73049288994</v>
      </c>
      <c r="P189">
        <f ca="1">RANDBETWEEN(0,O189)</f>
        <v>59041</v>
      </c>
      <c r="Q189">
        <f ca="1">RAND()*J189*2</f>
        <v>145335.11665978617</v>
      </c>
      <c r="R189">
        <f ca="1">RAND()*J189*1.5</f>
        <v>67161.397962589152</v>
      </c>
      <c r="S189">
        <f ca="1">J189+R189+O189</f>
        <v>252870.12845547911</v>
      </c>
      <c r="T189">
        <f ca="1">N189+P189+Q189</f>
        <v>304039.7892383422</v>
      </c>
      <c r="U189">
        <f ca="1">S189-T189</f>
        <v>-51169.660782863095</v>
      </c>
      <c r="AC189" s="6">
        <f ca="1">IF(Table1[[#This Row],[gender]]="men",1,0)</f>
        <v>0</v>
      </c>
      <c r="AD189">
        <f ca="1">IF(Table1[[#This Row],[gender]]="women",1,0)</f>
        <v>1</v>
      </c>
      <c r="AH189" s="5"/>
      <c r="AJ189" s="6">
        <f ca="1">IF(Table1[[#This Row],[Column1]]="Health",1,0)</f>
        <v>0</v>
      </c>
      <c r="AK189">
        <f ca="1">IF(Table1[[#This Row],[Column1]]="Construction",1,0)</f>
        <v>0</v>
      </c>
      <c r="AL189">
        <f ca="1">IF(Table1[[#This Row],[Column1]]="Technology",1,0)</f>
        <v>0</v>
      </c>
      <c r="AM189">
        <f ca="1">IF(Table1[[#This Row],[Column1]]="Education",1,0)</f>
        <v>1</v>
      </c>
      <c r="AN189">
        <f ca="1">IF(Table1[[#This Row],[Column1]]="Agriculture",1,0)</f>
        <v>0</v>
      </c>
      <c r="AO189">
        <f ca="1">IF(Table1[[#This Row],[Column1]]="Social Service", 1, 0)</f>
        <v>0</v>
      </c>
      <c r="AT189" s="5"/>
      <c r="AV189" s="17">
        <f t="shared" ca="1" si="6"/>
        <v>24229.97611046756</v>
      </c>
      <c r="AW189" s="5"/>
      <c r="AX189" s="6">
        <f ca="1">IF(Table1[[#This Row],[Value of Debts]]&gt;$AY$4,1,0)</f>
        <v>1</v>
      </c>
      <c r="AY189" s="20"/>
      <c r="AZ189" s="20"/>
      <c r="BA189" s="5"/>
      <c r="BB189" s="25">
        <f ca="1">Table1[[#This Row],[Mortage Left]]/Table1[[#This Row],[Value of House]]</f>
        <v>0.59070455534943145</v>
      </c>
      <c r="BC189" s="20">
        <f t="shared" ca="1" si="8"/>
        <v>0</v>
      </c>
      <c r="BD189" s="20"/>
      <c r="BE189" s="20"/>
      <c r="BF189" s="20"/>
      <c r="BG189" s="6">
        <f ca="1">IF(Table1[[#This Row],[County]]="Cumbria",Table1[[#This Row],[income]],0)</f>
        <v>0</v>
      </c>
      <c r="BH189" s="20">
        <f ca="1">IF(Table1[[#This Row],[County]]="Cheshire",Table1[[#This Row],[income]],0)</f>
        <v>0</v>
      </c>
      <c r="BI189" s="20">
        <f ca="1">IF(Table1[[#This Row],[County]]="Bristol",Table1[[#This Row],[income]],0)</f>
        <v>0</v>
      </c>
      <c r="BJ189" s="20">
        <f ca="1">IF(Table1[[#This Row],[County]]="Surrey",Table1[[#This Row],[income]],0)</f>
        <v>0</v>
      </c>
      <c r="BK189" s="20">
        <f ca="1">IF(Table1[[#This Row],[County]]="Norfolk",Table1[[#This Row],[income]],0)</f>
        <v>0</v>
      </c>
      <c r="BL189" s="20">
        <f ca="1">IF(Table1[[#This Row],[County]]="Lincolnshire",Table1[[#This Row],[income]],0)</f>
        <v>0</v>
      </c>
      <c r="BM189" s="20">
        <f ca="1">IF(Table1[[#This Row],[County]]="Somerset",Table1[[#This Row],[income]],0)</f>
        <v>0</v>
      </c>
      <c r="BN189" s="20">
        <f ca="1">IF(Table1[[#This Row],[County]]="Cambridgeshire",Table1[[#This Row],[income]],0)</f>
        <v>0</v>
      </c>
      <c r="BO189" s="20">
        <f ca="1">IF(Table1[[#This Row],[County]]="South Yorkshire",Table1[[#This Row],[income]],0)</f>
        <v>0</v>
      </c>
      <c r="BP189" s="20">
        <f ca="1">IF(Table1[[#This Row],[County]]="Greater London",Table1[[#This Row],[income]],0)</f>
        <v>0</v>
      </c>
      <c r="BQ189" s="20">
        <f ca="1">IF(Table1[[#This Row],[County]]="Hampshire",Table1[[#This Row],[income]],0)</f>
        <v>0</v>
      </c>
      <c r="BR189" s="20">
        <f ca="1">IF(Table1[[#This Row],[County]]="Gloucestershire",Table1[[#This Row],[income]],0)</f>
        <v>84360</v>
      </c>
      <c r="BS189" s="20">
        <f ca="1">IF(Table1[[#This Row],[County]]="West Sussex",Table1[[#This Row],[income]],0)</f>
        <v>0</v>
      </c>
      <c r="BT189" s="20">
        <f ca="1">IF(Table1[[#This Row],[County]]="Devon",Table1[[#This Row],[income]],0)</f>
        <v>0</v>
      </c>
      <c r="BU189" s="20">
        <f ca="1">IF(Table1[[#This Row],[County]]="Berkshire",Table1[[#This Row],[income]],0)</f>
        <v>0</v>
      </c>
      <c r="BV189" s="20">
        <f ca="1">IF(Table1[[#This Row],[County]]="Staffordshire",Table1[[#This Row],[income]],0)</f>
        <v>0</v>
      </c>
      <c r="BW189" s="20">
        <f ca="1">IF(Table1[[#This Row],[County]]="Leicestershire",Table1[[#This Row],[income]],0)</f>
        <v>0</v>
      </c>
      <c r="BX189" s="20">
        <f ca="1">IF(Table1[[#This Row],[County]]="Cornwall",Table1[[#This Row],[income]],0)</f>
        <v>0</v>
      </c>
      <c r="BY189" s="20">
        <f ca="1">IF(Table1[[#This Row],[County]]="Isle of Wight",Table1[[#This Row],[income]],0)</f>
        <v>0</v>
      </c>
      <c r="BZ189" s="20">
        <f ca="1">IF(Table1[[#This Row],[County]]="Surrey",Table1[[#This Row],[income]],0)</f>
        <v>0</v>
      </c>
      <c r="CA189" s="20">
        <f ca="1">IF(Table1[[#This Row],[County]]="Derbyshire",Table1[[#This Row],[income]],0)</f>
        <v>0</v>
      </c>
      <c r="CB189" s="20">
        <f ca="1">IF(Table1[[#This Row],[County]]="City of London",Table1[[#This Row],[income]],0)</f>
        <v>0</v>
      </c>
      <c r="CC189" s="20">
        <f ca="1">IF(Table1[[#This Row],[County]]="Bedfordshire",Table1[[#This Row],[income]],0)</f>
        <v>0</v>
      </c>
      <c r="CD189" s="20">
        <f ca="1">IF(Table1[[#This Row],[County]]="County Durham",Table1[[#This Row],[income]],0)</f>
        <v>0</v>
      </c>
      <c r="CE189" s="20">
        <f ca="1">IF(Table1[[#This Row],[County]]="East Riding of Yorkshire",Table1[[#This Row],[income]],0)</f>
        <v>0</v>
      </c>
      <c r="CF189" s="20">
        <f ca="1">IF(Table1[[#This Row],[County]]="West Yorkshire",Table1[[#This Row],[income]],0)</f>
        <v>0</v>
      </c>
      <c r="CG189" s="20">
        <f ca="1">IF(Table1[[#This Row],[County]]="Essex",Table1[[#This Row],[income]],0)</f>
        <v>0</v>
      </c>
      <c r="CH189" s="20">
        <f ca="1">IF(Table1[[#This Row],[County]]="East Sussex",Table1[[#This Row],[income]],0)</f>
        <v>0</v>
      </c>
      <c r="CI189" s="20">
        <f ca="1">IF(Table1[[#This Row],[County]]="Greater Manchester",Table1[[#This Row],[income]],0)</f>
        <v>0</v>
      </c>
      <c r="CJ189" s="20">
        <f ca="1">IF(Table1[[#This Row],[County]]="Hertfordshire",Table1[[#This Row],[income]],0)</f>
        <v>0</v>
      </c>
      <c r="CK189" s="20">
        <f ca="1">IF(Table1[[#This Row],[County]]="Herefordshire",Table1[[#This Row],[income]],0)</f>
        <v>0</v>
      </c>
      <c r="CL189" s="20">
        <f ca="1">IF(Table1[[#This Row],[County]]="Lancashire",Table1[[#This Row],[income]],0)</f>
        <v>0</v>
      </c>
      <c r="CM189" s="20">
        <f ca="1">IF(Table1[[#This Row],[County]]="Merseyside",Table1[[#This Row],[income]],0)</f>
        <v>0</v>
      </c>
      <c r="CN189" s="20">
        <f ca="1">IF(Table1[[#This Row],[County]]="Northamptonshire",Table1[[#This Row],[income]],0)</f>
        <v>0</v>
      </c>
      <c r="CO189" s="20">
        <f ca="1">IF(Table1[[#This Row],[County]]="Northumberland",Table1[[#This Row],[income]],0)</f>
        <v>0</v>
      </c>
      <c r="CP189" s="20">
        <f ca="1">IF(Table1[[#This Row],[County]]="Wiltshire",Table1[[#This Row],[income]],0)</f>
        <v>0</v>
      </c>
      <c r="CQ189" s="20">
        <f ca="1">IF(Table1[[#This Row],[County]]="West Midlands",Table1[[#This Row],[income]],0)</f>
        <v>0</v>
      </c>
      <c r="CR189" s="20">
        <f ca="1">IF(Table1[[#This Row],[County]]="Warwickshire",Table1[[#This Row],[income]],0)</f>
        <v>0</v>
      </c>
      <c r="CS189" s="20">
        <f ca="1">IF(Table1[[#This Row],[County]]="Tyne and Wear",Table1[[#This Row],[income]],0)</f>
        <v>0</v>
      </c>
      <c r="CT189" s="20">
        <f ca="1">IF(Table1[[#This Row],[County]]="Worcestershire",Table1[[#This Row],[income]],0)</f>
        <v>0</v>
      </c>
      <c r="CU189" s="20">
        <f ca="1">IF(Table1[[#This Row],[County]]="Rutland",Table1[[#This Row],[income]],0)</f>
        <v>0</v>
      </c>
      <c r="CV189" s="20">
        <f ca="1">IF(Table1[[#This Row],[County]]="Shropshire",Table1[[#This Row],[income]],0)</f>
        <v>0</v>
      </c>
      <c r="CW189" s="20">
        <f ca="1">IF(Table1[[#This Row],[County]]="Dorset",Table1[[#This Row],[income]],0)</f>
        <v>0</v>
      </c>
      <c r="CX189" s="20">
        <f ca="1">IF(Table1[[#This Row],[County]]="Buckinghamshire",Table1[[#This Row],[income]],0)</f>
        <v>0</v>
      </c>
      <c r="CY189" s="20">
        <f ca="1">IF(Table1[[#This Row],[County]]="Suffolk",Table1[[#This Row],[income]],0)</f>
        <v>0</v>
      </c>
      <c r="CZ189" s="20">
        <f ca="1">IF(Table1[[#This Row],[County]]="North Yorkshire",Table1[[#This Row],[income]],0)</f>
        <v>0</v>
      </c>
      <c r="DA189" s="20">
        <f ca="1">IF(Table1[[#This Row],[County]]="Kent",Table1[[#This Row],[income]],0)</f>
        <v>0</v>
      </c>
      <c r="DB189" s="5">
        <f ca="1">IF(Table1[[#This Row],[County]]="Derbyshire",Table1[[#This Row],[income]],0)</f>
        <v>0</v>
      </c>
      <c r="DD189" s="6">
        <f ca="1">IF(Table1[[#This Row],[Column1]]="Health",Table1[[#This Row],[income]],0)</f>
        <v>0</v>
      </c>
      <c r="DE189" s="20">
        <f ca="1">IF(Table1[[#This Row],[Column1]]="Agriculture",Table1[[#This Row],[income]],0)</f>
        <v>0</v>
      </c>
      <c r="DF189" s="20">
        <f ca="1">IF(Table1[[#This Row],[Column1]]="Technology",Table1[[#This Row],[income]],0)</f>
        <v>0</v>
      </c>
      <c r="DG189" s="20">
        <f ca="1">IF(Table1[[#This Row],[Column1]]="Social Service",Table1[[#This Row],[income]],0)</f>
        <v>0</v>
      </c>
      <c r="DH189" s="20">
        <f ca="1">IF(Table1[[#This Row],[Column1]]="Education",Table1[[#This Row],[income]],0)</f>
        <v>84360</v>
      </c>
      <c r="DI189" s="5">
        <f ca="1">IF(Table1[[#This Row],[Column1]]="Construction",Table1[[#This Row],[income]],0)</f>
        <v>0</v>
      </c>
      <c r="DK189" s="6">
        <f ca="1">IF(Table1[[#This Row],[Value of Debts]]&gt;Table1[[#This Row],[income]],1,0)</f>
        <v>1</v>
      </c>
      <c r="DL189" s="20"/>
      <c r="DM189" s="20"/>
      <c r="DN189" s="5"/>
      <c r="DP189" s="6">
        <f ca="1">IF(Table1[[#This Row],[Net Worth (£)]]&gt;$DS$5,C189,0)</f>
        <v>0</v>
      </c>
      <c r="DQ189" s="20"/>
      <c r="DR189" s="20"/>
      <c r="DS189" s="5"/>
    </row>
    <row r="190" spans="1:123" x14ac:dyDescent="0.2">
      <c r="A190">
        <f t="shared" ca="1" si="7"/>
        <v>2</v>
      </c>
      <c r="B190" s="1" t="str">
        <f ca="1">IF(A190=1, "men", "women")</f>
        <v>women</v>
      </c>
      <c r="C190" s="1">
        <f ca="1">RANDBETWEEN(25,50)</f>
        <v>39</v>
      </c>
      <c r="D190">
        <f ca="1">RANDBETWEEN(1,6)</f>
        <v>4</v>
      </c>
      <c r="E190" t="str">
        <f ca="1">VLOOKUP(D190,$W$5:$X$10,2)</f>
        <v>Technology</v>
      </c>
      <c r="F190">
        <f ca="1">RANDBETWEEN(1,5)</f>
        <v>4</v>
      </c>
      <c r="G190" t="str">
        <f ca="1">VLOOKUP(F190,$Y$5:$Z$9,2)</f>
        <v xml:space="preserve">Technical </v>
      </c>
      <c r="H190">
        <f ca="1">RANDBETWEEN(0,4)</f>
        <v>4</v>
      </c>
      <c r="I190">
        <f ca="1">RANDBETWEEN(1,3)</f>
        <v>2</v>
      </c>
      <c r="J190">
        <f ca="1">RANDBETWEEN(30000,100000)</f>
        <v>48009</v>
      </c>
      <c r="K190">
        <f ca="1">RANDBETWEEN(1,48)</f>
        <v>20</v>
      </c>
      <c r="L190" t="str">
        <f ca="1">VLOOKUP(K190,$AA$5:$AB$52,2)</f>
        <v>Hampshire</v>
      </c>
      <c r="M190">
        <f ca="1">J190*(RANDBETWEEN(2,5))</f>
        <v>240045</v>
      </c>
      <c r="N190">
        <f ca="1">RAND()*M190</f>
        <v>59462.014425802197</v>
      </c>
      <c r="O190">
        <f ca="1">I190*RAND()*J190</f>
        <v>48459.95222093512</v>
      </c>
      <c r="P190">
        <f ca="1">RANDBETWEEN(0,O190)</f>
        <v>14178</v>
      </c>
      <c r="Q190">
        <f ca="1">RAND()*J190*2</f>
        <v>80860.081760486108</v>
      </c>
      <c r="R190">
        <f ca="1">RAND()*J190*1.5</f>
        <v>33532.439175777203</v>
      </c>
      <c r="S190">
        <f ca="1">J190+R190+O190</f>
        <v>130001.39139671231</v>
      </c>
      <c r="T190">
        <f ca="1">N190+P190+Q190</f>
        <v>154500.09618628828</v>
      </c>
      <c r="U190">
        <f ca="1">S190-T190</f>
        <v>-24498.704789575975</v>
      </c>
      <c r="AC190" s="6">
        <f ca="1">IF(Table1[[#This Row],[gender]]="men",1,0)</f>
        <v>0</v>
      </c>
      <c r="AD190">
        <f ca="1">IF(Table1[[#This Row],[gender]]="women",1,0)</f>
        <v>1</v>
      </c>
      <c r="AH190" s="5"/>
      <c r="AJ190" s="6">
        <f ca="1">IF(Table1[[#This Row],[Column1]]="Health",1,0)</f>
        <v>0</v>
      </c>
      <c r="AK190">
        <f ca="1">IF(Table1[[#This Row],[Column1]]="Construction",1,0)</f>
        <v>0</v>
      </c>
      <c r="AL190">
        <f ca="1">IF(Table1[[#This Row],[Column1]]="Technology",1,0)</f>
        <v>1</v>
      </c>
      <c r="AM190">
        <f ca="1">IF(Table1[[#This Row],[Column1]]="Education",1,0)</f>
        <v>0</v>
      </c>
      <c r="AN190">
        <f ca="1">IF(Table1[[#This Row],[Column1]]="Agriculture",1,0)</f>
        <v>0</v>
      </c>
      <c r="AO190">
        <f ca="1">IF(Table1[[#This Row],[Column1]]="Social Service", 1, 0)</f>
        <v>0</v>
      </c>
      <c r="AT190" s="5"/>
      <c r="AV190" s="17">
        <f t="shared" ca="1" si="6"/>
        <v>11442.303729034835</v>
      </c>
      <c r="AW190" s="5"/>
      <c r="AX190" s="6">
        <f ca="1">IF(Table1[[#This Row],[Value of Debts]]&gt;$AY$4,1,0)</f>
        <v>1</v>
      </c>
      <c r="AY190" s="20"/>
      <c r="AZ190" s="20"/>
      <c r="BA190" s="5"/>
      <c r="BB190" s="25">
        <f ca="1">Table1[[#This Row],[Mortage Left]]/Table1[[#This Row],[Value of House]]</f>
        <v>0.2477119474506955</v>
      </c>
      <c r="BC190" s="20">
        <f t="shared" ca="1" si="8"/>
        <v>1</v>
      </c>
      <c r="BD190" s="20"/>
      <c r="BE190" s="20"/>
      <c r="BF190" s="20"/>
      <c r="BG190" s="6">
        <f ca="1">IF(Table1[[#This Row],[County]]="Cumbria",Table1[[#This Row],[income]],0)</f>
        <v>0</v>
      </c>
      <c r="BH190" s="20">
        <f ca="1">IF(Table1[[#This Row],[County]]="Cheshire",Table1[[#This Row],[income]],0)</f>
        <v>0</v>
      </c>
      <c r="BI190" s="20">
        <f ca="1">IF(Table1[[#This Row],[County]]="Bristol",Table1[[#This Row],[income]],0)</f>
        <v>0</v>
      </c>
      <c r="BJ190" s="20">
        <f ca="1">IF(Table1[[#This Row],[County]]="Surrey",Table1[[#This Row],[income]],0)</f>
        <v>0</v>
      </c>
      <c r="BK190" s="20">
        <f ca="1">IF(Table1[[#This Row],[County]]="Norfolk",Table1[[#This Row],[income]],0)</f>
        <v>0</v>
      </c>
      <c r="BL190" s="20">
        <f ca="1">IF(Table1[[#This Row],[County]]="Lincolnshire",Table1[[#This Row],[income]],0)</f>
        <v>0</v>
      </c>
      <c r="BM190" s="20">
        <f ca="1">IF(Table1[[#This Row],[County]]="Somerset",Table1[[#This Row],[income]],0)</f>
        <v>0</v>
      </c>
      <c r="BN190" s="20">
        <f ca="1">IF(Table1[[#This Row],[County]]="Cambridgeshire",Table1[[#This Row],[income]],0)</f>
        <v>0</v>
      </c>
      <c r="BO190" s="20">
        <f ca="1">IF(Table1[[#This Row],[County]]="South Yorkshire",Table1[[#This Row],[income]],0)</f>
        <v>0</v>
      </c>
      <c r="BP190" s="20">
        <f ca="1">IF(Table1[[#This Row],[County]]="Greater London",Table1[[#This Row],[income]],0)</f>
        <v>0</v>
      </c>
      <c r="BQ190" s="20">
        <f ca="1">IF(Table1[[#This Row],[County]]="Hampshire",Table1[[#This Row],[income]],0)</f>
        <v>48009</v>
      </c>
      <c r="BR190" s="20">
        <f ca="1">IF(Table1[[#This Row],[County]]="Gloucestershire",Table1[[#This Row],[income]],0)</f>
        <v>0</v>
      </c>
      <c r="BS190" s="20">
        <f ca="1">IF(Table1[[#This Row],[County]]="West Sussex",Table1[[#This Row],[income]],0)</f>
        <v>0</v>
      </c>
      <c r="BT190" s="20">
        <f ca="1">IF(Table1[[#This Row],[County]]="Devon",Table1[[#This Row],[income]],0)</f>
        <v>0</v>
      </c>
      <c r="BU190" s="20">
        <f ca="1">IF(Table1[[#This Row],[County]]="Berkshire",Table1[[#This Row],[income]],0)</f>
        <v>0</v>
      </c>
      <c r="BV190" s="20">
        <f ca="1">IF(Table1[[#This Row],[County]]="Staffordshire",Table1[[#This Row],[income]],0)</f>
        <v>0</v>
      </c>
      <c r="BW190" s="20">
        <f ca="1">IF(Table1[[#This Row],[County]]="Leicestershire",Table1[[#This Row],[income]],0)</f>
        <v>0</v>
      </c>
      <c r="BX190" s="20">
        <f ca="1">IF(Table1[[#This Row],[County]]="Cornwall",Table1[[#This Row],[income]],0)</f>
        <v>0</v>
      </c>
      <c r="BY190" s="20">
        <f ca="1">IF(Table1[[#This Row],[County]]="Isle of Wight",Table1[[#This Row],[income]],0)</f>
        <v>0</v>
      </c>
      <c r="BZ190" s="20">
        <f ca="1">IF(Table1[[#This Row],[County]]="Surrey",Table1[[#This Row],[income]],0)</f>
        <v>0</v>
      </c>
      <c r="CA190" s="20">
        <f ca="1">IF(Table1[[#This Row],[County]]="Derbyshire",Table1[[#This Row],[income]],0)</f>
        <v>0</v>
      </c>
      <c r="CB190" s="20">
        <f ca="1">IF(Table1[[#This Row],[County]]="City of London",Table1[[#This Row],[income]],0)</f>
        <v>0</v>
      </c>
      <c r="CC190" s="20">
        <f ca="1">IF(Table1[[#This Row],[County]]="Bedfordshire",Table1[[#This Row],[income]],0)</f>
        <v>0</v>
      </c>
      <c r="CD190" s="20">
        <f ca="1">IF(Table1[[#This Row],[County]]="County Durham",Table1[[#This Row],[income]],0)</f>
        <v>0</v>
      </c>
      <c r="CE190" s="20">
        <f ca="1">IF(Table1[[#This Row],[County]]="East Riding of Yorkshire",Table1[[#This Row],[income]],0)</f>
        <v>0</v>
      </c>
      <c r="CF190" s="20">
        <f ca="1">IF(Table1[[#This Row],[County]]="West Yorkshire",Table1[[#This Row],[income]],0)</f>
        <v>0</v>
      </c>
      <c r="CG190" s="20">
        <f ca="1">IF(Table1[[#This Row],[County]]="Essex",Table1[[#This Row],[income]],0)</f>
        <v>0</v>
      </c>
      <c r="CH190" s="20">
        <f ca="1">IF(Table1[[#This Row],[County]]="East Sussex",Table1[[#This Row],[income]],0)</f>
        <v>0</v>
      </c>
      <c r="CI190" s="20">
        <f ca="1">IF(Table1[[#This Row],[County]]="Greater Manchester",Table1[[#This Row],[income]],0)</f>
        <v>0</v>
      </c>
      <c r="CJ190" s="20">
        <f ca="1">IF(Table1[[#This Row],[County]]="Hertfordshire",Table1[[#This Row],[income]],0)</f>
        <v>0</v>
      </c>
      <c r="CK190" s="20">
        <f ca="1">IF(Table1[[#This Row],[County]]="Herefordshire",Table1[[#This Row],[income]],0)</f>
        <v>0</v>
      </c>
      <c r="CL190" s="20">
        <f ca="1">IF(Table1[[#This Row],[County]]="Lancashire",Table1[[#This Row],[income]],0)</f>
        <v>0</v>
      </c>
      <c r="CM190" s="20">
        <f ca="1">IF(Table1[[#This Row],[County]]="Merseyside",Table1[[#This Row],[income]],0)</f>
        <v>0</v>
      </c>
      <c r="CN190" s="20">
        <f ca="1">IF(Table1[[#This Row],[County]]="Northamptonshire",Table1[[#This Row],[income]],0)</f>
        <v>0</v>
      </c>
      <c r="CO190" s="20">
        <f ca="1">IF(Table1[[#This Row],[County]]="Northumberland",Table1[[#This Row],[income]],0)</f>
        <v>0</v>
      </c>
      <c r="CP190" s="20">
        <f ca="1">IF(Table1[[#This Row],[County]]="Wiltshire",Table1[[#This Row],[income]],0)</f>
        <v>0</v>
      </c>
      <c r="CQ190" s="20">
        <f ca="1">IF(Table1[[#This Row],[County]]="West Midlands",Table1[[#This Row],[income]],0)</f>
        <v>0</v>
      </c>
      <c r="CR190" s="20">
        <f ca="1">IF(Table1[[#This Row],[County]]="Warwickshire",Table1[[#This Row],[income]],0)</f>
        <v>0</v>
      </c>
      <c r="CS190" s="20">
        <f ca="1">IF(Table1[[#This Row],[County]]="Tyne and Wear",Table1[[#This Row],[income]],0)</f>
        <v>0</v>
      </c>
      <c r="CT190" s="20">
        <f ca="1">IF(Table1[[#This Row],[County]]="Worcestershire",Table1[[#This Row],[income]],0)</f>
        <v>0</v>
      </c>
      <c r="CU190" s="20">
        <f ca="1">IF(Table1[[#This Row],[County]]="Rutland",Table1[[#This Row],[income]],0)</f>
        <v>0</v>
      </c>
      <c r="CV190" s="20">
        <f ca="1">IF(Table1[[#This Row],[County]]="Shropshire",Table1[[#This Row],[income]],0)</f>
        <v>0</v>
      </c>
      <c r="CW190" s="20">
        <f ca="1">IF(Table1[[#This Row],[County]]="Dorset",Table1[[#This Row],[income]],0)</f>
        <v>0</v>
      </c>
      <c r="CX190" s="20">
        <f ca="1">IF(Table1[[#This Row],[County]]="Buckinghamshire",Table1[[#This Row],[income]],0)</f>
        <v>0</v>
      </c>
      <c r="CY190" s="20">
        <f ca="1">IF(Table1[[#This Row],[County]]="Suffolk",Table1[[#This Row],[income]],0)</f>
        <v>0</v>
      </c>
      <c r="CZ190" s="20">
        <f ca="1">IF(Table1[[#This Row],[County]]="North Yorkshire",Table1[[#This Row],[income]],0)</f>
        <v>0</v>
      </c>
      <c r="DA190" s="20">
        <f ca="1">IF(Table1[[#This Row],[County]]="Kent",Table1[[#This Row],[income]],0)</f>
        <v>0</v>
      </c>
      <c r="DB190" s="5">
        <f ca="1">IF(Table1[[#This Row],[County]]="Derbyshire",Table1[[#This Row],[income]],0)</f>
        <v>0</v>
      </c>
      <c r="DD190" s="6">
        <f ca="1">IF(Table1[[#This Row],[Column1]]="Health",Table1[[#This Row],[income]],0)</f>
        <v>0</v>
      </c>
      <c r="DE190" s="20">
        <f ca="1">IF(Table1[[#This Row],[Column1]]="Agriculture",Table1[[#This Row],[income]],0)</f>
        <v>0</v>
      </c>
      <c r="DF190" s="20">
        <f ca="1">IF(Table1[[#This Row],[Column1]]="Technology",Table1[[#This Row],[income]],0)</f>
        <v>48009</v>
      </c>
      <c r="DG190" s="20">
        <f ca="1">IF(Table1[[#This Row],[Column1]]="Social Service",Table1[[#This Row],[income]],0)</f>
        <v>0</v>
      </c>
      <c r="DH190" s="20">
        <f ca="1">IF(Table1[[#This Row],[Column1]]="Education",Table1[[#This Row],[income]],0)</f>
        <v>0</v>
      </c>
      <c r="DI190" s="5">
        <f ca="1">IF(Table1[[#This Row],[Column1]]="Construction",Table1[[#This Row],[income]],0)</f>
        <v>0</v>
      </c>
      <c r="DK190" s="6">
        <f ca="1">IF(Table1[[#This Row],[Value of Debts]]&gt;Table1[[#This Row],[income]],1,0)</f>
        <v>1</v>
      </c>
      <c r="DL190" s="20"/>
      <c r="DM190" s="20"/>
      <c r="DN190" s="5"/>
      <c r="DP190" s="6">
        <f ca="1">IF(Table1[[#This Row],[Net Worth (£)]]&gt;$DS$5,C190,0)</f>
        <v>0</v>
      </c>
      <c r="DQ190" s="20"/>
      <c r="DR190" s="20"/>
      <c r="DS190" s="5"/>
    </row>
    <row r="191" spans="1:123" x14ac:dyDescent="0.2">
      <c r="A191">
        <f t="shared" ca="1" si="7"/>
        <v>1</v>
      </c>
      <c r="B191" s="1" t="str">
        <f ca="1">IF(A191=1, "men", "women")</f>
        <v>men</v>
      </c>
      <c r="C191" s="1">
        <f ca="1">RANDBETWEEN(25,50)</f>
        <v>34</v>
      </c>
      <c r="D191">
        <f ca="1">RANDBETWEEN(1,6)</f>
        <v>4</v>
      </c>
      <c r="E191" t="str">
        <f ca="1">VLOOKUP(D191,$W$5:$X$10,2)</f>
        <v>Technology</v>
      </c>
      <c r="F191">
        <f ca="1">RANDBETWEEN(1,5)</f>
        <v>3</v>
      </c>
      <c r="G191" t="str">
        <f ca="1">VLOOKUP(F191,$Y$5:$Z$9,2)</f>
        <v>University</v>
      </c>
      <c r="H191">
        <f ca="1">RANDBETWEEN(0,4)</f>
        <v>4</v>
      </c>
      <c r="I191">
        <f ca="1">RANDBETWEEN(1,3)</f>
        <v>3</v>
      </c>
      <c r="J191">
        <f ca="1">RANDBETWEEN(30000,100000)</f>
        <v>58962</v>
      </c>
      <c r="K191">
        <f ca="1">RANDBETWEEN(1,48)</f>
        <v>46</v>
      </c>
      <c r="L191" t="str">
        <f ca="1">VLOOKUP(K191,$AA$5:$AB$52,2)</f>
        <v>West Yorkshire</v>
      </c>
      <c r="M191">
        <f ca="1">J191*(RANDBETWEEN(2,5))</f>
        <v>117924</v>
      </c>
      <c r="N191">
        <f ca="1">RAND()*M191</f>
        <v>102531.90411341081</v>
      </c>
      <c r="O191">
        <f ca="1">I191*RAND()*J191</f>
        <v>34326.911187104502</v>
      </c>
      <c r="P191">
        <f ca="1">RANDBETWEEN(0,O191)</f>
        <v>26823</v>
      </c>
      <c r="Q191">
        <f ca="1">RAND()*J191*2</f>
        <v>114969.01071254478</v>
      </c>
      <c r="R191">
        <f ca="1">RAND()*J191*1.5</f>
        <v>80253.128106917095</v>
      </c>
      <c r="S191">
        <f ca="1">J191+R191+O191</f>
        <v>173542.03929402158</v>
      </c>
      <c r="T191">
        <f ca="1">N191+P191+Q191</f>
        <v>244323.91482595558</v>
      </c>
      <c r="U191">
        <f ca="1">S191-T191</f>
        <v>-70781.875531933998</v>
      </c>
      <c r="AC191" s="6">
        <f ca="1">IF(Table1[[#This Row],[gender]]="men",1,0)</f>
        <v>1</v>
      </c>
      <c r="AD191">
        <f ca="1">IF(Table1[[#This Row],[gender]]="women",1,0)</f>
        <v>0</v>
      </c>
      <c r="AH191" s="5"/>
      <c r="AJ191" s="6">
        <f ca="1">IF(Table1[[#This Row],[Column1]]="Health",1,0)</f>
        <v>0</v>
      </c>
      <c r="AK191">
        <f ca="1">IF(Table1[[#This Row],[Column1]]="Construction",1,0)</f>
        <v>0</v>
      </c>
      <c r="AL191">
        <f ca="1">IF(Table1[[#This Row],[Column1]]="Technology",1,0)</f>
        <v>1</v>
      </c>
      <c r="AM191">
        <f ca="1">IF(Table1[[#This Row],[Column1]]="Education",1,0)</f>
        <v>0</v>
      </c>
      <c r="AN191">
        <f ca="1">IF(Table1[[#This Row],[Column1]]="Agriculture",1,0)</f>
        <v>0</v>
      </c>
      <c r="AO191">
        <f ca="1">IF(Table1[[#This Row],[Column1]]="Social Service", 1, 0)</f>
        <v>0</v>
      </c>
      <c r="AT191" s="5"/>
      <c r="AV191" s="17">
        <f t="shared" ca="1" si="6"/>
        <v>52597.169527641439</v>
      </c>
      <c r="AW191" s="5"/>
      <c r="AX191" s="6">
        <f ca="1">IF(Table1[[#This Row],[Value of Debts]]&gt;$AY$4,1,0)</f>
        <v>1</v>
      </c>
      <c r="AY191" s="20"/>
      <c r="AZ191" s="20"/>
      <c r="BA191" s="5"/>
      <c r="BB191" s="25">
        <f ca="1">Table1[[#This Row],[Mortage Left]]/Table1[[#This Row],[Value of House]]</f>
        <v>0.86947444212722447</v>
      </c>
      <c r="BC191" s="20">
        <f t="shared" ca="1" si="8"/>
        <v>0</v>
      </c>
      <c r="BD191" s="20"/>
      <c r="BE191" s="20"/>
      <c r="BF191" s="20"/>
      <c r="BG191" s="6">
        <f ca="1">IF(Table1[[#This Row],[County]]="Cumbria",Table1[[#This Row],[income]],0)</f>
        <v>0</v>
      </c>
      <c r="BH191" s="20">
        <f ca="1">IF(Table1[[#This Row],[County]]="Cheshire",Table1[[#This Row],[income]],0)</f>
        <v>0</v>
      </c>
      <c r="BI191" s="20">
        <f ca="1">IF(Table1[[#This Row],[County]]="Bristol",Table1[[#This Row],[income]],0)</f>
        <v>0</v>
      </c>
      <c r="BJ191" s="20">
        <f ca="1">IF(Table1[[#This Row],[County]]="Surrey",Table1[[#This Row],[income]],0)</f>
        <v>0</v>
      </c>
      <c r="BK191" s="20">
        <f ca="1">IF(Table1[[#This Row],[County]]="Norfolk",Table1[[#This Row],[income]],0)</f>
        <v>0</v>
      </c>
      <c r="BL191" s="20">
        <f ca="1">IF(Table1[[#This Row],[County]]="Lincolnshire",Table1[[#This Row],[income]],0)</f>
        <v>0</v>
      </c>
      <c r="BM191" s="20">
        <f ca="1">IF(Table1[[#This Row],[County]]="Somerset",Table1[[#This Row],[income]],0)</f>
        <v>0</v>
      </c>
      <c r="BN191" s="20">
        <f ca="1">IF(Table1[[#This Row],[County]]="Cambridgeshire",Table1[[#This Row],[income]],0)</f>
        <v>0</v>
      </c>
      <c r="BO191" s="20">
        <f ca="1">IF(Table1[[#This Row],[County]]="South Yorkshire",Table1[[#This Row],[income]],0)</f>
        <v>0</v>
      </c>
      <c r="BP191" s="20">
        <f ca="1">IF(Table1[[#This Row],[County]]="Greater London",Table1[[#This Row],[income]],0)</f>
        <v>0</v>
      </c>
      <c r="BQ191" s="20">
        <f ca="1">IF(Table1[[#This Row],[County]]="Hampshire",Table1[[#This Row],[income]],0)</f>
        <v>0</v>
      </c>
      <c r="BR191" s="20">
        <f ca="1">IF(Table1[[#This Row],[County]]="Gloucestershire",Table1[[#This Row],[income]],0)</f>
        <v>0</v>
      </c>
      <c r="BS191" s="20">
        <f ca="1">IF(Table1[[#This Row],[County]]="West Sussex",Table1[[#This Row],[income]],0)</f>
        <v>0</v>
      </c>
      <c r="BT191" s="20">
        <f ca="1">IF(Table1[[#This Row],[County]]="Devon",Table1[[#This Row],[income]],0)</f>
        <v>0</v>
      </c>
      <c r="BU191" s="20">
        <f ca="1">IF(Table1[[#This Row],[County]]="Berkshire",Table1[[#This Row],[income]],0)</f>
        <v>0</v>
      </c>
      <c r="BV191" s="20">
        <f ca="1">IF(Table1[[#This Row],[County]]="Staffordshire",Table1[[#This Row],[income]],0)</f>
        <v>0</v>
      </c>
      <c r="BW191" s="20">
        <f ca="1">IF(Table1[[#This Row],[County]]="Leicestershire",Table1[[#This Row],[income]],0)</f>
        <v>0</v>
      </c>
      <c r="BX191" s="20">
        <f ca="1">IF(Table1[[#This Row],[County]]="Cornwall",Table1[[#This Row],[income]],0)</f>
        <v>0</v>
      </c>
      <c r="BY191" s="20">
        <f ca="1">IF(Table1[[#This Row],[County]]="Isle of Wight",Table1[[#This Row],[income]],0)</f>
        <v>0</v>
      </c>
      <c r="BZ191" s="20">
        <f ca="1">IF(Table1[[#This Row],[County]]="Surrey",Table1[[#This Row],[income]],0)</f>
        <v>0</v>
      </c>
      <c r="CA191" s="20">
        <f ca="1">IF(Table1[[#This Row],[County]]="Derbyshire",Table1[[#This Row],[income]],0)</f>
        <v>0</v>
      </c>
      <c r="CB191" s="20">
        <f ca="1">IF(Table1[[#This Row],[County]]="City of London",Table1[[#This Row],[income]],0)</f>
        <v>0</v>
      </c>
      <c r="CC191" s="20">
        <f ca="1">IF(Table1[[#This Row],[County]]="Bedfordshire",Table1[[#This Row],[income]],0)</f>
        <v>0</v>
      </c>
      <c r="CD191" s="20">
        <f ca="1">IF(Table1[[#This Row],[County]]="County Durham",Table1[[#This Row],[income]],0)</f>
        <v>0</v>
      </c>
      <c r="CE191" s="20">
        <f ca="1">IF(Table1[[#This Row],[County]]="East Riding of Yorkshire",Table1[[#This Row],[income]],0)</f>
        <v>0</v>
      </c>
      <c r="CF191" s="20">
        <f ca="1">IF(Table1[[#This Row],[County]]="West Yorkshire",Table1[[#This Row],[income]],0)</f>
        <v>58962</v>
      </c>
      <c r="CG191" s="20">
        <f ca="1">IF(Table1[[#This Row],[County]]="Essex",Table1[[#This Row],[income]],0)</f>
        <v>0</v>
      </c>
      <c r="CH191" s="20">
        <f ca="1">IF(Table1[[#This Row],[County]]="East Sussex",Table1[[#This Row],[income]],0)</f>
        <v>0</v>
      </c>
      <c r="CI191" s="20">
        <f ca="1">IF(Table1[[#This Row],[County]]="Greater Manchester",Table1[[#This Row],[income]],0)</f>
        <v>0</v>
      </c>
      <c r="CJ191" s="20">
        <f ca="1">IF(Table1[[#This Row],[County]]="Hertfordshire",Table1[[#This Row],[income]],0)</f>
        <v>0</v>
      </c>
      <c r="CK191" s="20">
        <f ca="1">IF(Table1[[#This Row],[County]]="Herefordshire",Table1[[#This Row],[income]],0)</f>
        <v>0</v>
      </c>
      <c r="CL191" s="20">
        <f ca="1">IF(Table1[[#This Row],[County]]="Lancashire",Table1[[#This Row],[income]],0)</f>
        <v>0</v>
      </c>
      <c r="CM191" s="20">
        <f ca="1">IF(Table1[[#This Row],[County]]="Merseyside",Table1[[#This Row],[income]],0)</f>
        <v>0</v>
      </c>
      <c r="CN191" s="20">
        <f ca="1">IF(Table1[[#This Row],[County]]="Northamptonshire",Table1[[#This Row],[income]],0)</f>
        <v>0</v>
      </c>
      <c r="CO191" s="20">
        <f ca="1">IF(Table1[[#This Row],[County]]="Northumberland",Table1[[#This Row],[income]],0)</f>
        <v>0</v>
      </c>
      <c r="CP191" s="20">
        <f ca="1">IF(Table1[[#This Row],[County]]="Wiltshire",Table1[[#This Row],[income]],0)</f>
        <v>0</v>
      </c>
      <c r="CQ191" s="20">
        <f ca="1">IF(Table1[[#This Row],[County]]="West Midlands",Table1[[#This Row],[income]],0)</f>
        <v>0</v>
      </c>
      <c r="CR191" s="20">
        <f ca="1">IF(Table1[[#This Row],[County]]="Warwickshire",Table1[[#This Row],[income]],0)</f>
        <v>0</v>
      </c>
      <c r="CS191" s="20">
        <f ca="1">IF(Table1[[#This Row],[County]]="Tyne and Wear",Table1[[#This Row],[income]],0)</f>
        <v>0</v>
      </c>
      <c r="CT191" s="20">
        <f ca="1">IF(Table1[[#This Row],[County]]="Worcestershire",Table1[[#This Row],[income]],0)</f>
        <v>0</v>
      </c>
      <c r="CU191" s="20">
        <f ca="1">IF(Table1[[#This Row],[County]]="Rutland",Table1[[#This Row],[income]],0)</f>
        <v>0</v>
      </c>
      <c r="CV191" s="20">
        <f ca="1">IF(Table1[[#This Row],[County]]="Shropshire",Table1[[#This Row],[income]],0)</f>
        <v>0</v>
      </c>
      <c r="CW191" s="20">
        <f ca="1">IF(Table1[[#This Row],[County]]="Dorset",Table1[[#This Row],[income]],0)</f>
        <v>0</v>
      </c>
      <c r="CX191" s="20">
        <f ca="1">IF(Table1[[#This Row],[County]]="Buckinghamshire",Table1[[#This Row],[income]],0)</f>
        <v>0</v>
      </c>
      <c r="CY191" s="20">
        <f ca="1">IF(Table1[[#This Row],[County]]="Suffolk",Table1[[#This Row],[income]],0)</f>
        <v>0</v>
      </c>
      <c r="CZ191" s="20">
        <f ca="1">IF(Table1[[#This Row],[County]]="North Yorkshire",Table1[[#This Row],[income]],0)</f>
        <v>0</v>
      </c>
      <c r="DA191" s="20">
        <f ca="1">IF(Table1[[#This Row],[County]]="Kent",Table1[[#This Row],[income]],0)</f>
        <v>0</v>
      </c>
      <c r="DB191" s="5">
        <f ca="1">IF(Table1[[#This Row],[County]]="Derbyshire",Table1[[#This Row],[income]],0)</f>
        <v>0</v>
      </c>
      <c r="DD191" s="6">
        <f ca="1">IF(Table1[[#This Row],[Column1]]="Health",Table1[[#This Row],[income]],0)</f>
        <v>0</v>
      </c>
      <c r="DE191" s="20">
        <f ca="1">IF(Table1[[#This Row],[Column1]]="Agriculture",Table1[[#This Row],[income]],0)</f>
        <v>0</v>
      </c>
      <c r="DF191" s="20">
        <f ca="1">IF(Table1[[#This Row],[Column1]]="Technology",Table1[[#This Row],[income]],0)</f>
        <v>58962</v>
      </c>
      <c r="DG191" s="20">
        <f ca="1">IF(Table1[[#This Row],[Column1]]="Social Service",Table1[[#This Row],[income]],0)</f>
        <v>0</v>
      </c>
      <c r="DH191" s="20">
        <f ca="1">IF(Table1[[#This Row],[Column1]]="Education",Table1[[#This Row],[income]],0)</f>
        <v>0</v>
      </c>
      <c r="DI191" s="5">
        <f ca="1">IF(Table1[[#This Row],[Column1]]="Construction",Table1[[#This Row],[income]],0)</f>
        <v>0</v>
      </c>
      <c r="DK191" s="6">
        <f ca="1">IF(Table1[[#This Row],[Value of Debts]]&gt;Table1[[#This Row],[income]],1,0)</f>
        <v>1</v>
      </c>
      <c r="DL191" s="20"/>
      <c r="DM191" s="20"/>
      <c r="DN191" s="5"/>
      <c r="DP191" s="6">
        <f ca="1">IF(Table1[[#This Row],[Net Worth (£)]]&gt;$DS$5,C191,0)</f>
        <v>0</v>
      </c>
      <c r="DQ191" s="20"/>
      <c r="DR191" s="20"/>
      <c r="DS191" s="5"/>
    </row>
    <row r="192" spans="1:123" x14ac:dyDescent="0.2">
      <c r="A192">
        <f t="shared" ca="1" si="7"/>
        <v>1</v>
      </c>
      <c r="B192" s="1" t="str">
        <f ca="1">IF(A192=1, "men", "women")</f>
        <v>men</v>
      </c>
      <c r="C192" s="1">
        <f ca="1">RANDBETWEEN(25,50)</f>
        <v>35</v>
      </c>
      <c r="D192">
        <f ca="1">RANDBETWEEN(1,6)</f>
        <v>2</v>
      </c>
      <c r="E192" t="str">
        <f ca="1">VLOOKUP(D192,$W$5:$X$10,2)</f>
        <v>Construction</v>
      </c>
      <c r="F192">
        <f ca="1">RANDBETWEEN(1,5)</f>
        <v>5</v>
      </c>
      <c r="G192" t="str">
        <f ca="1">VLOOKUP(F192,$Y$5:$Z$9,2)</f>
        <v>Other</v>
      </c>
      <c r="H192">
        <f ca="1">RANDBETWEEN(0,4)</f>
        <v>1</v>
      </c>
      <c r="I192">
        <f ca="1">RANDBETWEEN(1,3)</f>
        <v>3</v>
      </c>
      <c r="J192">
        <f ca="1">RANDBETWEEN(30000,100000)</f>
        <v>59782</v>
      </c>
      <c r="K192">
        <f ca="1">RANDBETWEEN(1,48)</f>
        <v>28</v>
      </c>
      <c r="L192" t="str">
        <f ca="1">VLOOKUP(K192,$AA$5:$AB$52,2)</f>
        <v>Lincolnshire</v>
      </c>
      <c r="M192">
        <f ca="1">J192*(RANDBETWEEN(2,5))</f>
        <v>239128</v>
      </c>
      <c r="N192">
        <f ca="1">RAND()*M192</f>
        <v>182615.41015968088</v>
      </c>
      <c r="O192">
        <f ca="1">I192*RAND()*J192</f>
        <v>157791.50858292432</v>
      </c>
      <c r="P192">
        <f ca="1">RANDBETWEEN(0,O192)</f>
        <v>14661</v>
      </c>
      <c r="Q192">
        <f ca="1">RAND()*J192*2</f>
        <v>93574.183992922917</v>
      </c>
      <c r="R192">
        <f ca="1">RAND()*J192*1.5</f>
        <v>14511.061285191545</v>
      </c>
      <c r="S192">
        <f ca="1">J192+R192+O192</f>
        <v>232084.56986811588</v>
      </c>
      <c r="T192">
        <f ca="1">N192+P192+Q192</f>
        <v>290850.59415260376</v>
      </c>
      <c r="U192">
        <f ca="1">S192-T192</f>
        <v>-58766.024284487881</v>
      </c>
      <c r="AC192" s="6">
        <f ca="1">IF(Table1[[#This Row],[gender]]="men",1,0)</f>
        <v>1</v>
      </c>
      <c r="AD192">
        <f ca="1">IF(Table1[[#This Row],[gender]]="women",1,0)</f>
        <v>0</v>
      </c>
      <c r="AH192" s="5"/>
      <c r="AJ192" s="6">
        <f ca="1">IF(Table1[[#This Row],[Column1]]="Health",1,0)</f>
        <v>0</v>
      </c>
      <c r="AK192">
        <f ca="1">IF(Table1[[#This Row],[Column1]]="Construction",1,0)</f>
        <v>1</v>
      </c>
      <c r="AL192">
        <f ca="1">IF(Table1[[#This Row],[Column1]]="Technology",1,0)</f>
        <v>0</v>
      </c>
      <c r="AM192">
        <f ca="1">IF(Table1[[#This Row],[Column1]]="Education",1,0)</f>
        <v>0</v>
      </c>
      <c r="AN192">
        <f ca="1">IF(Table1[[#This Row],[Column1]]="Agriculture",1,0)</f>
        <v>0</v>
      </c>
      <c r="AO192">
        <f ca="1">IF(Table1[[#This Row],[Column1]]="Social Service", 1, 0)</f>
        <v>0</v>
      </c>
      <c r="AT192" s="5"/>
      <c r="AV192" s="17">
        <f t="shared" ca="1" si="6"/>
        <v>13779.448399913033</v>
      </c>
      <c r="AW192" s="5"/>
      <c r="AX192" s="6">
        <f ca="1">IF(Table1[[#This Row],[Value of Debts]]&gt;$AY$4,1,0)</f>
        <v>1</v>
      </c>
      <c r="AY192" s="20"/>
      <c r="AZ192" s="20"/>
      <c r="BA192" s="5"/>
      <c r="BB192" s="25">
        <f ca="1">Table1[[#This Row],[Mortage Left]]/Table1[[#This Row],[Value of House]]</f>
        <v>0.76367221805761298</v>
      </c>
      <c r="BC192" s="20">
        <f t="shared" ca="1" si="8"/>
        <v>0</v>
      </c>
      <c r="BD192" s="20"/>
      <c r="BE192" s="20"/>
      <c r="BF192" s="20"/>
      <c r="BG192" s="6">
        <f ca="1">IF(Table1[[#This Row],[County]]="Cumbria",Table1[[#This Row],[income]],0)</f>
        <v>0</v>
      </c>
      <c r="BH192" s="20">
        <f ca="1">IF(Table1[[#This Row],[County]]="Cheshire",Table1[[#This Row],[income]],0)</f>
        <v>0</v>
      </c>
      <c r="BI192" s="20">
        <f ca="1">IF(Table1[[#This Row],[County]]="Bristol",Table1[[#This Row],[income]],0)</f>
        <v>0</v>
      </c>
      <c r="BJ192" s="20">
        <f ca="1">IF(Table1[[#This Row],[County]]="Surrey",Table1[[#This Row],[income]],0)</f>
        <v>0</v>
      </c>
      <c r="BK192" s="20">
        <f ca="1">IF(Table1[[#This Row],[County]]="Norfolk",Table1[[#This Row],[income]],0)</f>
        <v>0</v>
      </c>
      <c r="BL192" s="20">
        <f ca="1">IF(Table1[[#This Row],[County]]="Lincolnshire",Table1[[#This Row],[income]],0)</f>
        <v>59782</v>
      </c>
      <c r="BM192" s="20">
        <f ca="1">IF(Table1[[#This Row],[County]]="Somerset",Table1[[#This Row],[income]],0)</f>
        <v>0</v>
      </c>
      <c r="BN192" s="20">
        <f ca="1">IF(Table1[[#This Row],[County]]="Cambridgeshire",Table1[[#This Row],[income]],0)</f>
        <v>0</v>
      </c>
      <c r="BO192" s="20">
        <f ca="1">IF(Table1[[#This Row],[County]]="South Yorkshire",Table1[[#This Row],[income]],0)</f>
        <v>0</v>
      </c>
      <c r="BP192" s="20">
        <f ca="1">IF(Table1[[#This Row],[County]]="Greater London",Table1[[#This Row],[income]],0)</f>
        <v>0</v>
      </c>
      <c r="BQ192" s="20">
        <f ca="1">IF(Table1[[#This Row],[County]]="Hampshire",Table1[[#This Row],[income]],0)</f>
        <v>0</v>
      </c>
      <c r="BR192" s="20">
        <f ca="1">IF(Table1[[#This Row],[County]]="Gloucestershire",Table1[[#This Row],[income]],0)</f>
        <v>0</v>
      </c>
      <c r="BS192" s="20">
        <f ca="1">IF(Table1[[#This Row],[County]]="West Sussex",Table1[[#This Row],[income]],0)</f>
        <v>0</v>
      </c>
      <c r="BT192" s="20">
        <f ca="1">IF(Table1[[#This Row],[County]]="Devon",Table1[[#This Row],[income]],0)</f>
        <v>0</v>
      </c>
      <c r="BU192" s="20">
        <f ca="1">IF(Table1[[#This Row],[County]]="Berkshire",Table1[[#This Row],[income]],0)</f>
        <v>0</v>
      </c>
      <c r="BV192" s="20">
        <f ca="1">IF(Table1[[#This Row],[County]]="Staffordshire",Table1[[#This Row],[income]],0)</f>
        <v>0</v>
      </c>
      <c r="BW192" s="20">
        <f ca="1">IF(Table1[[#This Row],[County]]="Leicestershire",Table1[[#This Row],[income]],0)</f>
        <v>0</v>
      </c>
      <c r="BX192" s="20">
        <f ca="1">IF(Table1[[#This Row],[County]]="Cornwall",Table1[[#This Row],[income]],0)</f>
        <v>0</v>
      </c>
      <c r="BY192" s="20">
        <f ca="1">IF(Table1[[#This Row],[County]]="Isle of Wight",Table1[[#This Row],[income]],0)</f>
        <v>0</v>
      </c>
      <c r="BZ192" s="20">
        <f ca="1">IF(Table1[[#This Row],[County]]="Surrey",Table1[[#This Row],[income]],0)</f>
        <v>0</v>
      </c>
      <c r="CA192" s="20">
        <f ca="1">IF(Table1[[#This Row],[County]]="Derbyshire",Table1[[#This Row],[income]],0)</f>
        <v>0</v>
      </c>
      <c r="CB192" s="20">
        <f ca="1">IF(Table1[[#This Row],[County]]="City of London",Table1[[#This Row],[income]],0)</f>
        <v>0</v>
      </c>
      <c r="CC192" s="20">
        <f ca="1">IF(Table1[[#This Row],[County]]="Bedfordshire",Table1[[#This Row],[income]],0)</f>
        <v>0</v>
      </c>
      <c r="CD192" s="20">
        <f ca="1">IF(Table1[[#This Row],[County]]="County Durham",Table1[[#This Row],[income]],0)</f>
        <v>0</v>
      </c>
      <c r="CE192" s="20">
        <f ca="1">IF(Table1[[#This Row],[County]]="East Riding of Yorkshire",Table1[[#This Row],[income]],0)</f>
        <v>0</v>
      </c>
      <c r="CF192" s="20">
        <f ca="1">IF(Table1[[#This Row],[County]]="West Yorkshire",Table1[[#This Row],[income]],0)</f>
        <v>0</v>
      </c>
      <c r="CG192" s="20">
        <f ca="1">IF(Table1[[#This Row],[County]]="Essex",Table1[[#This Row],[income]],0)</f>
        <v>0</v>
      </c>
      <c r="CH192" s="20">
        <f ca="1">IF(Table1[[#This Row],[County]]="East Sussex",Table1[[#This Row],[income]],0)</f>
        <v>0</v>
      </c>
      <c r="CI192" s="20">
        <f ca="1">IF(Table1[[#This Row],[County]]="Greater Manchester",Table1[[#This Row],[income]],0)</f>
        <v>0</v>
      </c>
      <c r="CJ192" s="20">
        <f ca="1">IF(Table1[[#This Row],[County]]="Hertfordshire",Table1[[#This Row],[income]],0)</f>
        <v>0</v>
      </c>
      <c r="CK192" s="20">
        <f ca="1">IF(Table1[[#This Row],[County]]="Herefordshire",Table1[[#This Row],[income]],0)</f>
        <v>0</v>
      </c>
      <c r="CL192" s="20">
        <f ca="1">IF(Table1[[#This Row],[County]]="Lancashire",Table1[[#This Row],[income]],0)</f>
        <v>0</v>
      </c>
      <c r="CM192" s="20">
        <f ca="1">IF(Table1[[#This Row],[County]]="Merseyside",Table1[[#This Row],[income]],0)</f>
        <v>0</v>
      </c>
      <c r="CN192" s="20">
        <f ca="1">IF(Table1[[#This Row],[County]]="Northamptonshire",Table1[[#This Row],[income]],0)</f>
        <v>0</v>
      </c>
      <c r="CO192" s="20">
        <f ca="1">IF(Table1[[#This Row],[County]]="Northumberland",Table1[[#This Row],[income]],0)</f>
        <v>0</v>
      </c>
      <c r="CP192" s="20">
        <f ca="1">IF(Table1[[#This Row],[County]]="Wiltshire",Table1[[#This Row],[income]],0)</f>
        <v>0</v>
      </c>
      <c r="CQ192" s="20">
        <f ca="1">IF(Table1[[#This Row],[County]]="West Midlands",Table1[[#This Row],[income]],0)</f>
        <v>0</v>
      </c>
      <c r="CR192" s="20">
        <f ca="1">IF(Table1[[#This Row],[County]]="Warwickshire",Table1[[#This Row],[income]],0)</f>
        <v>0</v>
      </c>
      <c r="CS192" s="20">
        <f ca="1">IF(Table1[[#This Row],[County]]="Tyne and Wear",Table1[[#This Row],[income]],0)</f>
        <v>0</v>
      </c>
      <c r="CT192" s="20">
        <f ca="1">IF(Table1[[#This Row],[County]]="Worcestershire",Table1[[#This Row],[income]],0)</f>
        <v>0</v>
      </c>
      <c r="CU192" s="20">
        <f ca="1">IF(Table1[[#This Row],[County]]="Rutland",Table1[[#This Row],[income]],0)</f>
        <v>0</v>
      </c>
      <c r="CV192" s="20">
        <f ca="1">IF(Table1[[#This Row],[County]]="Shropshire",Table1[[#This Row],[income]],0)</f>
        <v>0</v>
      </c>
      <c r="CW192" s="20">
        <f ca="1">IF(Table1[[#This Row],[County]]="Dorset",Table1[[#This Row],[income]],0)</f>
        <v>0</v>
      </c>
      <c r="CX192" s="20">
        <f ca="1">IF(Table1[[#This Row],[County]]="Buckinghamshire",Table1[[#This Row],[income]],0)</f>
        <v>0</v>
      </c>
      <c r="CY192" s="20">
        <f ca="1">IF(Table1[[#This Row],[County]]="Suffolk",Table1[[#This Row],[income]],0)</f>
        <v>0</v>
      </c>
      <c r="CZ192" s="20">
        <f ca="1">IF(Table1[[#This Row],[County]]="North Yorkshire",Table1[[#This Row],[income]],0)</f>
        <v>0</v>
      </c>
      <c r="DA192" s="20">
        <f ca="1">IF(Table1[[#This Row],[County]]="Kent",Table1[[#This Row],[income]],0)</f>
        <v>0</v>
      </c>
      <c r="DB192" s="5">
        <f ca="1">IF(Table1[[#This Row],[County]]="Derbyshire",Table1[[#This Row],[income]],0)</f>
        <v>0</v>
      </c>
      <c r="DD192" s="6">
        <f ca="1">IF(Table1[[#This Row],[Column1]]="Health",Table1[[#This Row],[income]],0)</f>
        <v>0</v>
      </c>
      <c r="DE192" s="20">
        <f ca="1">IF(Table1[[#This Row],[Column1]]="Agriculture",Table1[[#This Row],[income]],0)</f>
        <v>0</v>
      </c>
      <c r="DF192" s="20">
        <f ca="1">IF(Table1[[#This Row],[Column1]]="Technology",Table1[[#This Row],[income]],0)</f>
        <v>0</v>
      </c>
      <c r="DG192" s="20">
        <f ca="1">IF(Table1[[#This Row],[Column1]]="Social Service",Table1[[#This Row],[income]],0)</f>
        <v>0</v>
      </c>
      <c r="DH192" s="20">
        <f ca="1">IF(Table1[[#This Row],[Column1]]="Education",Table1[[#This Row],[income]],0)</f>
        <v>0</v>
      </c>
      <c r="DI192" s="5">
        <f ca="1">IF(Table1[[#This Row],[Column1]]="Construction",Table1[[#This Row],[income]],0)</f>
        <v>59782</v>
      </c>
      <c r="DK192" s="6">
        <f ca="1">IF(Table1[[#This Row],[Value of Debts]]&gt;Table1[[#This Row],[income]],1,0)</f>
        <v>1</v>
      </c>
      <c r="DL192" s="20"/>
      <c r="DM192" s="20"/>
      <c r="DN192" s="5"/>
      <c r="DP192" s="6">
        <f ca="1">IF(Table1[[#This Row],[Net Worth (£)]]&gt;$DS$5,C192,0)</f>
        <v>0</v>
      </c>
      <c r="DQ192" s="20"/>
      <c r="DR192" s="20"/>
      <c r="DS192" s="5"/>
    </row>
    <row r="193" spans="1:123" x14ac:dyDescent="0.2">
      <c r="A193">
        <f t="shared" ca="1" si="7"/>
        <v>1</v>
      </c>
      <c r="B193" s="1" t="str">
        <f ca="1">IF(A193=1, "men", "women")</f>
        <v>men</v>
      </c>
      <c r="C193" s="1">
        <f ca="1">RANDBETWEEN(25,50)</f>
        <v>36</v>
      </c>
      <c r="D193">
        <f ca="1">RANDBETWEEN(1,6)</f>
        <v>3</v>
      </c>
      <c r="E193" t="str">
        <f ca="1">VLOOKUP(D193,$W$5:$X$10,2)</f>
        <v>Education</v>
      </c>
      <c r="F193">
        <f ca="1">RANDBETWEEN(1,5)</f>
        <v>1</v>
      </c>
      <c r="G193" t="str">
        <f ca="1">VLOOKUP(F193,$Y$5:$Z$9,2)</f>
        <v>High School</v>
      </c>
      <c r="H193">
        <f ca="1">RANDBETWEEN(0,4)</f>
        <v>4</v>
      </c>
      <c r="I193">
        <f ca="1">RANDBETWEEN(1,3)</f>
        <v>2</v>
      </c>
      <c r="J193">
        <f ca="1">RANDBETWEEN(30000,100000)</f>
        <v>72120</v>
      </c>
      <c r="K193">
        <f ca="1">RANDBETWEEN(1,48)</f>
        <v>18</v>
      </c>
      <c r="L193" t="str">
        <f ca="1">VLOOKUP(K193,$AA$5:$AB$52,2)</f>
        <v>Greater London</v>
      </c>
      <c r="M193">
        <f ca="1">J193*(RANDBETWEEN(2,5))</f>
        <v>216360</v>
      </c>
      <c r="N193">
        <f ca="1">RAND()*M193</f>
        <v>204179.39043375981</v>
      </c>
      <c r="O193">
        <f ca="1">I193*RAND()*J193</f>
        <v>27558.896799826067</v>
      </c>
      <c r="P193">
        <f ca="1">RANDBETWEEN(0,O193)</f>
        <v>23862</v>
      </c>
      <c r="Q193">
        <f ca="1">RAND()*J193*2</f>
        <v>40184.853268506573</v>
      </c>
      <c r="R193">
        <f ca="1">RAND()*J193*1.5</f>
        <v>69648.961147100767</v>
      </c>
      <c r="S193">
        <f ca="1">J193+R193+O193</f>
        <v>169327.85794692684</v>
      </c>
      <c r="T193">
        <f ca="1">N193+P193+Q193</f>
        <v>268226.24370226637</v>
      </c>
      <c r="U193">
        <f ca="1">S193-T193</f>
        <v>-98898.385755339521</v>
      </c>
      <c r="AC193" s="6">
        <f ca="1">IF(Table1[[#This Row],[gender]]="men",1,0)</f>
        <v>1</v>
      </c>
      <c r="AD193">
        <f ca="1">IF(Table1[[#This Row],[gender]]="women",1,0)</f>
        <v>0</v>
      </c>
      <c r="AH193" s="5"/>
      <c r="AJ193" s="6">
        <f ca="1">IF(Table1[[#This Row],[Column1]]="Health",1,0)</f>
        <v>0</v>
      </c>
      <c r="AK193">
        <f ca="1">IF(Table1[[#This Row],[Column1]]="Construction",1,0)</f>
        <v>0</v>
      </c>
      <c r="AL193">
        <f ca="1">IF(Table1[[#This Row],[Column1]]="Technology",1,0)</f>
        <v>0</v>
      </c>
      <c r="AM193">
        <f ca="1">IF(Table1[[#This Row],[Column1]]="Education",1,0)</f>
        <v>1</v>
      </c>
      <c r="AN193">
        <f ca="1">IF(Table1[[#This Row],[Column1]]="Agriculture",1,0)</f>
        <v>0</v>
      </c>
      <c r="AO193">
        <f ca="1">IF(Table1[[#This Row],[Column1]]="Social Service", 1, 0)</f>
        <v>0</v>
      </c>
      <c r="AT193" s="5"/>
      <c r="AV193" s="17">
        <f t="shared" ca="1" si="6"/>
        <v>4903.5409335008717</v>
      </c>
      <c r="AW193" s="5"/>
      <c r="AX193" s="6">
        <f ca="1">IF(Table1[[#This Row],[Value of Debts]]&gt;$AY$4,1,0)</f>
        <v>1</v>
      </c>
      <c r="AY193" s="20"/>
      <c r="AZ193" s="20"/>
      <c r="BA193" s="5"/>
      <c r="BB193" s="25">
        <f ca="1">Table1[[#This Row],[Mortage Left]]/Table1[[#This Row],[Value of House]]</f>
        <v>0.94370211884710575</v>
      </c>
      <c r="BC193" s="20">
        <f t="shared" ca="1" si="8"/>
        <v>0</v>
      </c>
      <c r="BD193" s="20"/>
      <c r="BE193" s="20"/>
      <c r="BF193" s="20"/>
      <c r="BG193" s="6">
        <f ca="1">IF(Table1[[#This Row],[County]]="Cumbria",Table1[[#This Row],[income]],0)</f>
        <v>0</v>
      </c>
      <c r="BH193" s="20">
        <f ca="1">IF(Table1[[#This Row],[County]]="Cheshire",Table1[[#This Row],[income]],0)</f>
        <v>0</v>
      </c>
      <c r="BI193" s="20">
        <f ca="1">IF(Table1[[#This Row],[County]]="Bristol",Table1[[#This Row],[income]],0)</f>
        <v>0</v>
      </c>
      <c r="BJ193" s="20">
        <f ca="1">IF(Table1[[#This Row],[County]]="Surrey",Table1[[#This Row],[income]],0)</f>
        <v>0</v>
      </c>
      <c r="BK193" s="20">
        <f ca="1">IF(Table1[[#This Row],[County]]="Norfolk",Table1[[#This Row],[income]],0)</f>
        <v>0</v>
      </c>
      <c r="BL193" s="20">
        <f ca="1">IF(Table1[[#This Row],[County]]="Lincolnshire",Table1[[#This Row],[income]],0)</f>
        <v>0</v>
      </c>
      <c r="BM193" s="20">
        <f ca="1">IF(Table1[[#This Row],[County]]="Somerset",Table1[[#This Row],[income]],0)</f>
        <v>0</v>
      </c>
      <c r="BN193" s="20">
        <f ca="1">IF(Table1[[#This Row],[County]]="Cambridgeshire",Table1[[#This Row],[income]],0)</f>
        <v>0</v>
      </c>
      <c r="BO193" s="20">
        <f ca="1">IF(Table1[[#This Row],[County]]="South Yorkshire",Table1[[#This Row],[income]],0)</f>
        <v>0</v>
      </c>
      <c r="BP193" s="20">
        <f ca="1">IF(Table1[[#This Row],[County]]="Greater London",Table1[[#This Row],[income]],0)</f>
        <v>72120</v>
      </c>
      <c r="BQ193" s="20">
        <f ca="1">IF(Table1[[#This Row],[County]]="Hampshire",Table1[[#This Row],[income]],0)</f>
        <v>0</v>
      </c>
      <c r="BR193" s="20">
        <f ca="1">IF(Table1[[#This Row],[County]]="Gloucestershire",Table1[[#This Row],[income]],0)</f>
        <v>0</v>
      </c>
      <c r="BS193" s="20">
        <f ca="1">IF(Table1[[#This Row],[County]]="West Sussex",Table1[[#This Row],[income]],0)</f>
        <v>0</v>
      </c>
      <c r="BT193" s="20">
        <f ca="1">IF(Table1[[#This Row],[County]]="Devon",Table1[[#This Row],[income]],0)</f>
        <v>0</v>
      </c>
      <c r="BU193" s="20">
        <f ca="1">IF(Table1[[#This Row],[County]]="Berkshire",Table1[[#This Row],[income]],0)</f>
        <v>0</v>
      </c>
      <c r="BV193" s="20">
        <f ca="1">IF(Table1[[#This Row],[County]]="Staffordshire",Table1[[#This Row],[income]],0)</f>
        <v>0</v>
      </c>
      <c r="BW193" s="20">
        <f ca="1">IF(Table1[[#This Row],[County]]="Leicestershire",Table1[[#This Row],[income]],0)</f>
        <v>0</v>
      </c>
      <c r="BX193" s="20">
        <f ca="1">IF(Table1[[#This Row],[County]]="Cornwall",Table1[[#This Row],[income]],0)</f>
        <v>0</v>
      </c>
      <c r="BY193" s="20">
        <f ca="1">IF(Table1[[#This Row],[County]]="Isle of Wight",Table1[[#This Row],[income]],0)</f>
        <v>0</v>
      </c>
      <c r="BZ193" s="20">
        <f ca="1">IF(Table1[[#This Row],[County]]="Surrey",Table1[[#This Row],[income]],0)</f>
        <v>0</v>
      </c>
      <c r="CA193" s="20">
        <f ca="1">IF(Table1[[#This Row],[County]]="Derbyshire",Table1[[#This Row],[income]],0)</f>
        <v>0</v>
      </c>
      <c r="CB193" s="20">
        <f ca="1">IF(Table1[[#This Row],[County]]="City of London",Table1[[#This Row],[income]],0)</f>
        <v>0</v>
      </c>
      <c r="CC193" s="20">
        <f ca="1">IF(Table1[[#This Row],[County]]="Bedfordshire",Table1[[#This Row],[income]],0)</f>
        <v>0</v>
      </c>
      <c r="CD193" s="20">
        <f ca="1">IF(Table1[[#This Row],[County]]="County Durham",Table1[[#This Row],[income]],0)</f>
        <v>0</v>
      </c>
      <c r="CE193" s="20">
        <f ca="1">IF(Table1[[#This Row],[County]]="East Riding of Yorkshire",Table1[[#This Row],[income]],0)</f>
        <v>0</v>
      </c>
      <c r="CF193" s="20">
        <f ca="1">IF(Table1[[#This Row],[County]]="West Yorkshire",Table1[[#This Row],[income]],0)</f>
        <v>0</v>
      </c>
      <c r="CG193" s="20">
        <f ca="1">IF(Table1[[#This Row],[County]]="Essex",Table1[[#This Row],[income]],0)</f>
        <v>0</v>
      </c>
      <c r="CH193" s="20">
        <f ca="1">IF(Table1[[#This Row],[County]]="East Sussex",Table1[[#This Row],[income]],0)</f>
        <v>0</v>
      </c>
      <c r="CI193" s="20">
        <f ca="1">IF(Table1[[#This Row],[County]]="Greater Manchester",Table1[[#This Row],[income]],0)</f>
        <v>0</v>
      </c>
      <c r="CJ193" s="20">
        <f ca="1">IF(Table1[[#This Row],[County]]="Hertfordshire",Table1[[#This Row],[income]],0)</f>
        <v>0</v>
      </c>
      <c r="CK193" s="20">
        <f ca="1">IF(Table1[[#This Row],[County]]="Herefordshire",Table1[[#This Row],[income]],0)</f>
        <v>0</v>
      </c>
      <c r="CL193" s="20">
        <f ca="1">IF(Table1[[#This Row],[County]]="Lancashire",Table1[[#This Row],[income]],0)</f>
        <v>0</v>
      </c>
      <c r="CM193" s="20">
        <f ca="1">IF(Table1[[#This Row],[County]]="Merseyside",Table1[[#This Row],[income]],0)</f>
        <v>0</v>
      </c>
      <c r="CN193" s="20">
        <f ca="1">IF(Table1[[#This Row],[County]]="Northamptonshire",Table1[[#This Row],[income]],0)</f>
        <v>0</v>
      </c>
      <c r="CO193" s="20">
        <f ca="1">IF(Table1[[#This Row],[County]]="Northumberland",Table1[[#This Row],[income]],0)</f>
        <v>0</v>
      </c>
      <c r="CP193" s="20">
        <f ca="1">IF(Table1[[#This Row],[County]]="Wiltshire",Table1[[#This Row],[income]],0)</f>
        <v>0</v>
      </c>
      <c r="CQ193" s="20">
        <f ca="1">IF(Table1[[#This Row],[County]]="West Midlands",Table1[[#This Row],[income]],0)</f>
        <v>0</v>
      </c>
      <c r="CR193" s="20">
        <f ca="1">IF(Table1[[#This Row],[County]]="Warwickshire",Table1[[#This Row],[income]],0)</f>
        <v>0</v>
      </c>
      <c r="CS193" s="20">
        <f ca="1">IF(Table1[[#This Row],[County]]="Tyne and Wear",Table1[[#This Row],[income]],0)</f>
        <v>0</v>
      </c>
      <c r="CT193" s="20">
        <f ca="1">IF(Table1[[#This Row],[County]]="Worcestershire",Table1[[#This Row],[income]],0)</f>
        <v>0</v>
      </c>
      <c r="CU193" s="20">
        <f ca="1">IF(Table1[[#This Row],[County]]="Rutland",Table1[[#This Row],[income]],0)</f>
        <v>0</v>
      </c>
      <c r="CV193" s="20">
        <f ca="1">IF(Table1[[#This Row],[County]]="Shropshire",Table1[[#This Row],[income]],0)</f>
        <v>0</v>
      </c>
      <c r="CW193" s="20">
        <f ca="1">IF(Table1[[#This Row],[County]]="Dorset",Table1[[#This Row],[income]],0)</f>
        <v>0</v>
      </c>
      <c r="CX193" s="20">
        <f ca="1">IF(Table1[[#This Row],[County]]="Buckinghamshire",Table1[[#This Row],[income]],0)</f>
        <v>0</v>
      </c>
      <c r="CY193" s="20">
        <f ca="1">IF(Table1[[#This Row],[County]]="Suffolk",Table1[[#This Row],[income]],0)</f>
        <v>0</v>
      </c>
      <c r="CZ193" s="20">
        <f ca="1">IF(Table1[[#This Row],[County]]="North Yorkshire",Table1[[#This Row],[income]],0)</f>
        <v>0</v>
      </c>
      <c r="DA193" s="20">
        <f ca="1">IF(Table1[[#This Row],[County]]="Kent",Table1[[#This Row],[income]],0)</f>
        <v>0</v>
      </c>
      <c r="DB193" s="5">
        <f ca="1">IF(Table1[[#This Row],[County]]="Derbyshire",Table1[[#This Row],[income]],0)</f>
        <v>0</v>
      </c>
      <c r="DD193" s="6">
        <f ca="1">IF(Table1[[#This Row],[Column1]]="Health",Table1[[#This Row],[income]],0)</f>
        <v>0</v>
      </c>
      <c r="DE193" s="20">
        <f ca="1">IF(Table1[[#This Row],[Column1]]="Agriculture",Table1[[#This Row],[income]],0)</f>
        <v>0</v>
      </c>
      <c r="DF193" s="20">
        <f ca="1">IF(Table1[[#This Row],[Column1]]="Technology",Table1[[#This Row],[income]],0)</f>
        <v>0</v>
      </c>
      <c r="DG193" s="20">
        <f ca="1">IF(Table1[[#This Row],[Column1]]="Social Service",Table1[[#This Row],[income]],0)</f>
        <v>0</v>
      </c>
      <c r="DH193" s="20">
        <f ca="1">IF(Table1[[#This Row],[Column1]]="Education",Table1[[#This Row],[income]],0)</f>
        <v>72120</v>
      </c>
      <c r="DI193" s="5">
        <f ca="1">IF(Table1[[#This Row],[Column1]]="Construction",Table1[[#This Row],[income]],0)</f>
        <v>0</v>
      </c>
      <c r="DK193" s="6">
        <f ca="1">IF(Table1[[#This Row],[Value of Debts]]&gt;Table1[[#This Row],[income]],1,0)</f>
        <v>1</v>
      </c>
      <c r="DL193" s="20"/>
      <c r="DM193" s="20"/>
      <c r="DN193" s="5"/>
      <c r="DP193" s="6">
        <f ca="1">IF(Table1[[#This Row],[Net Worth (£)]]&gt;$DS$5,C193,0)</f>
        <v>0</v>
      </c>
      <c r="DQ193" s="20"/>
      <c r="DR193" s="20"/>
      <c r="DS193" s="5"/>
    </row>
    <row r="194" spans="1:123" x14ac:dyDescent="0.2">
      <c r="A194">
        <f t="shared" ca="1" si="7"/>
        <v>2</v>
      </c>
      <c r="B194" s="1" t="str">
        <f ca="1">IF(A194=1, "men", "women")</f>
        <v>women</v>
      </c>
      <c r="C194" s="1">
        <f ca="1">RANDBETWEEN(25,50)</f>
        <v>34</v>
      </c>
      <c r="D194">
        <f ca="1">RANDBETWEEN(1,6)</f>
        <v>6</v>
      </c>
      <c r="E194" t="str">
        <f ca="1">VLOOKUP(D194,$W$5:$X$10,2)</f>
        <v>Agriculture</v>
      </c>
      <c r="F194">
        <f ca="1">RANDBETWEEN(1,5)</f>
        <v>1</v>
      </c>
      <c r="G194" t="str">
        <f ca="1">VLOOKUP(F194,$Y$5:$Z$9,2)</f>
        <v>High School</v>
      </c>
      <c r="H194">
        <f ca="1">RANDBETWEEN(0,4)</f>
        <v>0</v>
      </c>
      <c r="I194">
        <f ca="1">RANDBETWEEN(1,3)</f>
        <v>2</v>
      </c>
      <c r="J194">
        <f ca="1">RANDBETWEEN(30000,100000)</f>
        <v>50970</v>
      </c>
      <c r="K194">
        <f ca="1">RANDBETWEEN(1,48)</f>
        <v>41</v>
      </c>
      <c r="L194" t="str">
        <f ca="1">VLOOKUP(K194,$AA$5:$AB$52,2)</f>
        <v>Surrey</v>
      </c>
      <c r="M194">
        <f ca="1">J194*(RANDBETWEEN(2,5))</f>
        <v>101940</v>
      </c>
      <c r="N194">
        <f ca="1">RAND()*M194</f>
        <v>22263.343307726787</v>
      </c>
      <c r="O194">
        <f ca="1">I194*RAND()*J194</f>
        <v>9807.0818670017434</v>
      </c>
      <c r="P194">
        <f ca="1">RANDBETWEEN(0,O194)</f>
        <v>9528</v>
      </c>
      <c r="Q194">
        <f ca="1">RAND()*J194*2</f>
        <v>7011.2353686814986</v>
      </c>
      <c r="R194">
        <f ca="1">RAND()*J194*1.5</f>
        <v>12184.481582521679</v>
      </c>
      <c r="S194">
        <f ca="1">J194+R194+O194</f>
        <v>72961.563449523426</v>
      </c>
      <c r="T194">
        <f ca="1">N194+P194+Q194</f>
        <v>38802.578676408288</v>
      </c>
      <c r="U194">
        <f ca="1">S194-T194</f>
        <v>34158.984773115139</v>
      </c>
      <c r="AC194" s="6">
        <f ca="1">IF(Table1[[#This Row],[gender]]="men",1,0)</f>
        <v>0</v>
      </c>
      <c r="AD194">
        <f ca="1">IF(Table1[[#This Row],[gender]]="women",1,0)</f>
        <v>1</v>
      </c>
      <c r="AH194" s="5"/>
      <c r="AJ194" s="6">
        <f ca="1">IF(Table1[[#This Row],[Column1]]="Health",1,0)</f>
        <v>0</v>
      </c>
      <c r="AK194">
        <f ca="1">IF(Table1[[#This Row],[Column1]]="Construction",1,0)</f>
        <v>0</v>
      </c>
      <c r="AL194">
        <f ca="1">IF(Table1[[#This Row],[Column1]]="Technology",1,0)</f>
        <v>0</v>
      </c>
      <c r="AM194">
        <f ca="1">IF(Table1[[#This Row],[Column1]]="Education",1,0)</f>
        <v>0</v>
      </c>
      <c r="AN194">
        <f ca="1">IF(Table1[[#This Row],[Column1]]="Agriculture",1,0)</f>
        <v>1</v>
      </c>
      <c r="AO194">
        <f ca="1">IF(Table1[[#This Row],[Column1]]="Social Service", 1, 0)</f>
        <v>0</v>
      </c>
      <c r="AT194" s="5"/>
      <c r="AV194" s="17">
        <f t="shared" ca="1" si="6"/>
        <v>65039.554725863549</v>
      </c>
      <c r="AW194" s="5"/>
      <c r="AX194" s="6">
        <f ca="1">IF(Table1[[#This Row],[Value of Debts]]&gt;$AY$4,1,0)</f>
        <v>0</v>
      </c>
      <c r="AY194" s="20"/>
      <c r="AZ194" s="20"/>
      <c r="BA194" s="5"/>
      <c r="BB194" s="25">
        <f ca="1">Table1[[#This Row],[Mortage Left]]/Table1[[#This Row],[Value of House]]</f>
        <v>0.21839654019743759</v>
      </c>
      <c r="BC194" s="20">
        <f t="shared" ca="1" si="8"/>
        <v>1</v>
      </c>
      <c r="BD194" s="20"/>
      <c r="BE194" s="20"/>
      <c r="BF194" s="20"/>
      <c r="BG194" s="6">
        <f ca="1">IF(Table1[[#This Row],[County]]="Cumbria",Table1[[#This Row],[income]],0)</f>
        <v>0</v>
      </c>
      <c r="BH194" s="20">
        <f ca="1">IF(Table1[[#This Row],[County]]="Cheshire",Table1[[#This Row],[income]],0)</f>
        <v>0</v>
      </c>
      <c r="BI194" s="20">
        <f ca="1">IF(Table1[[#This Row],[County]]="Bristol",Table1[[#This Row],[income]],0)</f>
        <v>0</v>
      </c>
      <c r="BJ194" s="20">
        <f ca="1">IF(Table1[[#This Row],[County]]="Surrey",Table1[[#This Row],[income]],0)</f>
        <v>50970</v>
      </c>
      <c r="BK194" s="20">
        <f ca="1">IF(Table1[[#This Row],[County]]="Norfolk",Table1[[#This Row],[income]],0)</f>
        <v>0</v>
      </c>
      <c r="BL194" s="20">
        <f ca="1">IF(Table1[[#This Row],[County]]="Lincolnshire",Table1[[#This Row],[income]],0)</f>
        <v>0</v>
      </c>
      <c r="BM194" s="20">
        <f ca="1">IF(Table1[[#This Row],[County]]="Somerset",Table1[[#This Row],[income]],0)</f>
        <v>0</v>
      </c>
      <c r="BN194" s="20">
        <f ca="1">IF(Table1[[#This Row],[County]]="Cambridgeshire",Table1[[#This Row],[income]],0)</f>
        <v>0</v>
      </c>
      <c r="BO194" s="20">
        <f ca="1">IF(Table1[[#This Row],[County]]="South Yorkshire",Table1[[#This Row],[income]],0)</f>
        <v>0</v>
      </c>
      <c r="BP194" s="20">
        <f ca="1">IF(Table1[[#This Row],[County]]="Greater London",Table1[[#This Row],[income]],0)</f>
        <v>0</v>
      </c>
      <c r="BQ194" s="20">
        <f ca="1">IF(Table1[[#This Row],[County]]="Hampshire",Table1[[#This Row],[income]],0)</f>
        <v>0</v>
      </c>
      <c r="BR194" s="20">
        <f ca="1">IF(Table1[[#This Row],[County]]="Gloucestershire",Table1[[#This Row],[income]],0)</f>
        <v>0</v>
      </c>
      <c r="BS194" s="20">
        <f ca="1">IF(Table1[[#This Row],[County]]="West Sussex",Table1[[#This Row],[income]],0)</f>
        <v>0</v>
      </c>
      <c r="BT194" s="20">
        <f ca="1">IF(Table1[[#This Row],[County]]="Devon",Table1[[#This Row],[income]],0)</f>
        <v>0</v>
      </c>
      <c r="BU194" s="20">
        <f ca="1">IF(Table1[[#This Row],[County]]="Berkshire",Table1[[#This Row],[income]],0)</f>
        <v>0</v>
      </c>
      <c r="BV194" s="20">
        <f ca="1">IF(Table1[[#This Row],[County]]="Staffordshire",Table1[[#This Row],[income]],0)</f>
        <v>0</v>
      </c>
      <c r="BW194" s="20">
        <f ca="1">IF(Table1[[#This Row],[County]]="Leicestershire",Table1[[#This Row],[income]],0)</f>
        <v>0</v>
      </c>
      <c r="BX194" s="20">
        <f ca="1">IF(Table1[[#This Row],[County]]="Cornwall",Table1[[#This Row],[income]],0)</f>
        <v>0</v>
      </c>
      <c r="BY194" s="20">
        <f ca="1">IF(Table1[[#This Row],[County]]="Isle of Wight",Table1[[#This Row],[income]],0)</f>
        <v>0</v>
      </c>
      <c r="BZ194" s="20">
        <f ca="1">IF(Table1[[#This Row],[County]]="Surrey",Table1[[#This Row],[income]],0)</f>
        <v>50970</v>
      </c>
      <c r="CA194" s="20">
        <f ca="1">IF(Table1[[#This Row],[County]]="Derbyshire",Table1[[#This Row],[income]],0)</f>
        <v>0</v>
      </c>
      <c r="CB194" s="20">
        <f ca="1">IF(Table1[[#This Row],[County]]="City of London",Table1[[#This Row],[income]],0)</f>
        <v>0</v>
      </c>
      <c r="CC194" s="20">
        <f ca="1">IF(Table1[[#This Row],[County]]="Bedfordshire",Table1[[#This Row],[income]],0)</f>
        <v>0</v>
      </c>
      <c r="CD194" s="20">
        <f ca="1">IF(Table1[[#This Row],[County]]="County Durham",Table1[[#This Row],[income]],0)</f>
        <v>0</v>
      </c>
      <c r="CE194" s="20">
        <f ca="1">IF(Table1[[#This Row],[County]]="East Riding of Yorkshire",Table1[[#This Row],[income]],0)</f>
        <v>0</v>
      </c>
      <c r="CF194" s="20">
        <f ca="1">IF(Table1[[#This Row],[County]]="West Yorkshire",Table1[[#This Row],[income]],0)</f>
        <v>0</v>
      </c>
      <c r="CG194" s="20">
        <f ca="1">IF(Table1[[#This Row],[County]]="Essex",Table1[[#This Row],[income]],0)</f>
        <v>0</v>
      </c>
      <c r="CH194" s="20">
        <f ca="1">IF(Table1[[#This Row],[County]]="East Sussex",Table1[[#This Row],[income]],0)</f>
        <v>0</v>
      </c>
      <c r="CI194" s="20">
        <f ca="1">IF(Table1[[#This Row],[County]]="Greater Manchester",Table1[[#This Row],[income]],0)</f>
        <v>0</v>
      </c>
      <c r="CJ194" s="20">
        <f ca="1">IF(Table1[[#This Row],[County]]="Hertfordshire",Table1[[#This Row],[income]],0)</f>
        <v>0</v>
      </c>
      <c r="CK194" s="20">
        <f ca="1">IF(Table1[[#This Row],[County]]="Herefordshire",Table1[[#This Row],[income]],0)</f>
        <v>0</v>
      </c>
      <c r="CL194" s="20">
        <f ca="1">IF(Table1[[#This Row],[County]]="Lancashire",Table1[[#This Row],[income]],0)</f>
        <v>0</v>
      </c>
      <c r="CM194" s="20">
        <f ca="1">IF(Table1[[#This Row],[County]]="Merseyside",Table1[[#This Row],[income]],0)</f>
        <v>0</v>
      </c>
      <c r="CN194" s="20">
        <f ca="1">IF(Table1[[#This Row],[County]]="Northamptonshire",Table1[[#This Row],[income]],0)</f>
        <v>0</v>
      </c>
      <c r="CO194" s="20">
        <f ca="1">IF(Table1[[#This Row],[County]]="Northumberland",Table1[[#This Row],[income]],0)</f>
        <v>0</v>
      </c>
      <c r="CP194" s="20">
        <f ca="1">IF(Table1[[#This Row],[County]]="Wiltshire",Table1[[#This Row],[income]],0)</f>
        <v>0</v>
      </c>
      <c r="CQ194" s="20">
        <f ca="1">IF(Table1[[#This Row],[County]]="West Midlands",Table1[[#This Row],[income]],0)</f>
        <v>0</v>
      </c>
      <c r="CR194" s="20">
        <f ca="1">IF(Table1[[#This Row],[County]]="Warwickshire",Table1[[#This Row],[income]],0)</f>
        <v>0</v>
      </c>
      <c r="CS194" s="20">
        <f ca="1">IF(Table1[[#This Row],[County]]="Tyne and Wear",Table1[[#This Row],[income]],0)</f>
        <v>0</v>
      </c>
      <c r="CT194" s="20">
        <f ca="1">IF(Table1[[#This Row],[County]]="Worcestershire",Table1[[#This Row],[income]],0)</f>
        <v>0</v>
      </c>
      <c r="CU194" s="20">
        <f ca="1">IF(Table1[[#This Row],[County]]="Rutland",Table1[[#This Row],[income]],0)</f>
        <v>0</v>
      </c>
      <c r="CV194" s="20">
        <f ca="1">IF(Table1[[#This Row],[County]]="Shropshire",Table1[[#This Row],[income]],0)</f>
        <v>0</v>
      </c>
      <c r="CW194" s="20">
        <f ca="1">IF(Table1[[#This Row],[County]]="Dorset",Table1[[#This Row],[income]],0)</f>
        <v>0</v>
      </c>
      <c r="CX194" s="20">
        <f ca="1">IF(Table1[[#This Row],[County]]="Buckinghamshire",Table1[[#This Row],[income]],0)</f>
        <v>0</v>
      </c>
      <c r="CY194" s="20">
        <f ca="1">IF(Table1[[#This Row],[County]]="Suffolk",Table1[[#This Row],[income]],0)</f>
        <v>0</v>
      </c>
      <c r="CZ194" s="20">
        <f ca="1">IF(Table1[[#This Row],[County]]="North Yorkshire",Table1[[#This Row],[income]],0)</f>
        <v>0</v>
      </c>
      <c r="DA194" s="20">
        <f ca="1">IF(Table1[[#This Row],[County]]="Kent",Table1[[#This Row],[income]],0)</f>
        <v>0</v>
      </c>
      <c r="DB194" s="5">
        <f ca="1">IF(Table1[[#This Row],[County]]="Derbyshire",Table1[[#This Row],[income]],0)</f>
        <v>0</v>
      </c>
      <c r="DD194" s="6">
        <f ca="1">IF(Table1[[#This Row],[Column1]]="Health",Table1[[#This Row],[income]],0)</f>
        <v>0</v>
      </c>
      <c r="DE194" s="20">
        <f ca="1">IF(Table1[[#This Row],[Column1]]="Agriculture",Table1[[#This Row],[income]],0)</f>
        <v>50970</v>
      </c>
      <c r="DF194" s="20">
        <f ca="1">IF(Table1[[#This Row],[Column1]]="Technology",Table1[[#This Row],[income]],0)</f>
        <v>0</v>
      </c>
      <c r="DG194" s="20">
        <f ca="1">IF(Table1[[#This Row],[Column1]]="Social Service",Table1[[#This Row],[income]],0)</f>
        <v>0</v>
      </c>
      <c r="DH194" s="20">
        <f ca="1">IF(Table1[[#This Row],[Column1]]="Education",Table1[[#This Row],[income]],0)</f>
        <v>0</v>
      </c>
      <c r="DI194" s="5">
        <f ca="1">IF(Table1[[#This Row],[Column1]]="Construction",Table1[[#This Row],[income]],0)</f>
        <v>0</v>
      </c>
      <c r="DK194" s="6">
        <f ca="1">IF(Table1[[#This Row],[Value of Debts]]&gt;Table1[[#This Row],[income]],1,0)</f>
        <v>0</v>
      </c>
      <c r="DL194" s="20"/>
      <c r="DM194" s="20"/>
      <c r="DN194" s="5"/>
      <c r="DP194" s="6">
        <f ca="1">IF(Table1[[#This Row],[Net Worth (£)]]&gt;$DS$5,C194,0)</f>
        <v>0</v>
      </c>
      <c r="DQ194" s="20"/>
      <c r="DR194" s="20"/>
      <c r="DS194" s="5"/>
    </row>
    <row r="195" spans="1:123" x14ac:dyDescent="0.2">
      <c r="A195">
        <f t="shared" ca="1" si="7"/>
        <v>1</v>
      </c>
      <c r="B195" s="1" t="str">
        <f ca="1">IF(A195=1, "men", "women")</f>
        <v>men</v>
      </c>
      <c r="C195" s="1">
        <f ca="1">RANDBETWEEN(25,50)</f>
        <v>45</v>
      </c>
      <c r="D195">
        <f ca="1">RANDBETWEEN(1,6)</f>
        <v>1</v>
      </c>
      <c r="E195" t="str">
        <f ca="1">VLOOKUP(D195,$W$5:$X$10,2)</f>
        <v>Health</v>
      </c>
      <c r="F195">
        <f ca="1">RANDBETWEEN(1,5)</f>
        <v>2</v>
      </c>
      <c r="G195" t="str">
        <f ca="1">VLOOKUP(F195,$Y$5:$Z$9,2)</f>
        <v>College</v>
      </c>
      <c r="H195">
        <f ca="1">RANDBETWEEN(0,4)</f>
        <v>0</v>
      </c>
      <c r="I195">
        <f ca="1">RANDBETWEEN(1,3)</f>
        <v>2</v>
      </c>
      <c r="J195">
        <f ca="1">RANDBETWEEN(30000,100000)</f>
        <v>71877</v>
      </c>
      <c r="K195">
        <f ca="1">RANDBETWEEN(1,48)</f>
        <v>23</v>
      </c>
      <c r="L195" t="str">
        <f ca="1">VLOOKUP(K195,$AA$5:$AB$52,2)</f>
        <v>Isle of Wight</v>
      </c>
      <c r="M195">
        <f ca="1">J195*(RANDBETWEEN(2,5))</f>
        <v>359385</v>
      </c>
      <c r="N195">
        <f ca="1">RAND()*M195</f>
        <v>226950.27705907746</v>
      </c>
      <c r="O195">
        <f ca="1">I195*RAND()*J195</f>
        <v>130079.1094517271</v>
      </c>
      <c r="P195">
        <f ca="1">RANDBETWEEN(0,O195)</f>
        <v>111266</v>
      </c>
      <c r="Q195">
        <f ca="1">RAND()*J195*2</f>
        <v>40775.894784330958</v>
      </c>
      <c r="R195">
        <f ca="1">RAND()*J195*1.5</f>
        <v>3711.6527036883144</v>
      </c>
      <c r="S195">
        <f ca="1">J195+R195+O195</f>
        <v>205667.76215541543</v>
      </c>
      <c r="T195">
        <f ca="1">N195+P195+Q195</f>
        <v>378992.17184340843</v>
      </c>
      <c r="U195">
        <f ca="1">S195-T195</f>
        <v>-173324.409687993</v>
      </c>
      <c r="AC195" s="6">
        <f ca="1">IF(Table1[[#This Row],[gender]]="men",1,0)</f>
        <v>1</v>
      </c>
      <c r="AD195">
        <f ca="1">IF(Table1[[#This Row],[gender]]="women",1,0)</f>
        <v>0</v>
      </c>
      <c r="AH195" s="5"/>
      <c r="AJ195" s="6">
        <f ca="1">IF(Table1[[#This Row],[Column1]]="Health",1,0)</f>
        <v>1</v>
      </c>
      <c r="AK195">
        <f ca="1">IF(Table1[[#This Row],[Column1]]="Construction",1,0)</f>
        <v>0</v>
      </c>
      <c r="AL195">
        <f ca="1">IF(Table1[[#This Row],[Column1]]="Technology",1,0)</f>
        <v>0</v>
      </c>
      <c r="AM195">
        <f ca="1">IF(Table1[[#This Row],[Column1]]="Education",1,0)</f>
        <v>0</v>
      </c>
      <c r="AN195">
        <f ca="1">IF(Table1[[#This Row],[Column1]]="Agriculture",1,0)</f>
        <v>0</v>
      </c>
      <c r="AO195">
        <f ca="1">IF(Table1[[#This Row],[Column1]]="Social Service", 1, 0)</f>
        <v>0</v>
      </c>
      <c r="AT195" s="5"/>
      <c r="AV195" s="17">
        <f t="shared" ca="1" si="6"/>
        <v>9692.7509646628441</v>
      </c>
      <c r="AW195" s="5"/>
      <c r="AX195" s="6">
        <f ca="1">IF(Table1[[#This Row],[Value of Debts]]&gt;$AY$4,1,0)</f>
        <v>1</v>
      </c>
      <c r="AY195" s="20"/>
      <c r="AZ195" s="20"/>
      <c r="BA195" s="5"/>
      <c r="BB195" s="25">
        <f ca="1">Table1[[#This Row],[Mortage Left]]/Table1[[#This Row],[Value of House]]</f>
        <v>0.63149624235590651</v>
      </c>
      <c r="BC195" s="20">
        <f t="shared" ca="1" si="8"/>
        <v>0</v>
      </c>
      <c r="BD195" s="20"/>
      <c r="BE195" s="20"/>
      <c r="BF195" s="20"/>
      <c r="BG195" s="6">
        <f ca="1">IF(Table1[[#This Row],[County]]="Cumbria",Table1[[#This Row],[income]],0)</f>
        <v>0</v>
      </c>
      <c r="BH195" s="20">
        <f ca="1">IF(Table1[[#This Row],[County]]="Cheshire",Table1[[#This Row],[income]],0)</f>
        <v>0</v>
      </c>
      <c r="BI195" s="20">
        <f ca="1">IF(Table1[[#This Row],[County]]="Bristol",Table1[[#This Row],[income]],0)</f>
        <v>0</v>
      </c>
      <c r="BJ195" s="20">
        <f ca="1">IF(Table1[[#This Row],[County]]="Surrey",Table1[[#This Row],[income]],0)</f>
        <v>0</v>
      </c>
      <c r="BK195" s="20">
        <f ca="1">IF(Table1[[#This Row],[County]]="Norfolk",Table1[[#This Row],[income]],0)</f>
        <v>0</v>
      </c>
      <c r="BL195" s="20">
        <f ca="1">IF(Table1[[#This Row],[County]]="Lincolnshire",Table1[[#This Row],[income]],0)</f>
        <v>0</v>
      </c>
      <c r="BM195" s="20">
        <f ca="1">IF(Table1[[#This Row],[County]]="Somerset",Table1[[#This Row],[income]],0)</f>
        <v>0</v>
      </c>
      <c r="BN195" s="20">
        <f ca="1">IF(Table1[[#This Row],[County]]="Cambridgeshire",Table1[[#This Row],[income]],0)</f>
        <v>0</v>
      </c>
      <c r="BO195" s="20">
        <f ca="1">IF(Table1[[#This Row],[County]]="South Yorkshire",Table1[[#This Row],[income]],0)</f>
        <v>0</v>
      </c>
      <c r="BP195" s="20">
        <f ca="1">IF(Table1[[#This Row],[County]]="Greater London",Table1[[#This Row],[income]],0)</f>
        <v>0</v>
      </c>
      <c r="BQ195" s="20">
        <f ca="1">IF(Table1[[#This Row],[County]]="Hampshire",Table1[[#This Row],[income]],0)</f>
        <v>0</v>
      </c>
      <c r="BR195" s="20">
        <f ca="1">IF(Table1[[#This Row],[County]]="Gloucestershire",Table1[[#This Row],[income]],0)</f>
        <v>0</v>
      </c>
      <c r="BS195" s="20">
        <f ca="1">IF(Table1[[#This Row],[County]]="West Sussex",Table1[[#This Row],[income]],0)</f>
        <v>0</v>
      </c>
      <c r="BT195" s="20">
        <f ca="1">IF(Table1[[#This Row],[County]]="Devon",Table1[[#This Row],[income]],0)</f>
        <v>0</v>
      </c>
      <c r="BU195" s="20">
        <f ca="1">IF(Table1[[#This Row],[County]]="Berkshire",Table1[[#This Row],[income]],0)</f>
        <v>0</v>
      </c>
      <c r="BV195" s="20">
        <f ca="1">IF(Table1[[#This Row],[County]]="Staffordshire",Table1[[#This Row],[income]],0)</f>
        <v>0</v>
      </c>
      <c r="BW195" s="20">
        <f ca="1">IF(Table1[[#This Row],[County]]="Leicestershire",Table1[[#This Row],[income]],0)</f>
        <v>0</v>
      </c>
      <c r="BX195" s="20">
        <f ca="1">IF(Table1[[#This Row],[County]]="Cornwall",Table1[[#This Row],[income]],0)</f>
        <v>0</v>
      </c>
      <c r="BY195" s="20">
        <f ca="1">IF(Table1[[#This Row],[County]]="Isle of Wight",Table1[[#This Row],[income]],0)</f>
        <v>71877</v>
      </c>
      <c r="BZ195" s="20">
        <f ca="1">IF(Table1[[#This Row],[County]]="Surrey",Table1[[#This Row],[income]],0)</f>
        <v>0</v>
      </c>
      <c r="CA195" s="20">
        <f ca="1">IF(Table1[[#This Row],[County]]="Derbyshire",Table1[[#This Row],[income]],0)</f>
        <v>0</v>
      </c>
      <c r="CB195" s="20">
        <f ca="1">IF(Table1[[#This Row],[County]]="City of London",Table1[[#This Row],[income]],0)</f>
        <v>0</v>
      </c>
      <c r="CC195" s="20">
        <f ca="1">IF(Table1[[#This Row],[County]]="Bedfordshire",Table1[[#This Row],[income]],0)</f>
        <v>0</v>
      </c>
      <c r="CD195" s="20">
        <f ca="1">IF(Table1[[#This Row],[County]]="County Durham",Table1[[#This Row],[income]],0)</f>
        <v>0</v>
      </c>
      <c r="CE195" s="20">
        <f ca="1">IF(Table1[[#This Row],[County]]="East Riding of Yorkshire",Table1[[#This Row],[income]],0)</f>
        <v>0</v>
      </c>
      <c r="CF195" s="20">
        <f ca="1">IF(Table1[[#This Row],[County]]="West Yorkshire",Table1[[#This Row],[income]],0)</f>
        <v>0</v>
      </c>
      <c r="CG195" s="20">
        <f ca="1">IF(Table1[[#This Row],[County]]="Essex",Table1[[#This Row],[income]],0)</f>
        <v>0</v>
      </c>
      <c r="CH195" s="20">
        <f ca="1">IF(Table1[[#This Row],[County]]="East Sussex",Table1[[#This Row],[income]],0)</f>
        <v>0</v>
      </c>
      <c r="CI195" s="20">
        <f ca="1">IF(Table1[[#This Row],[County]]="Greater Manchester",Table1[[#This Row],[income]],0)</f>
        <v>0</v>
      </c>
      <c r="CJ195" s="20">
        <f ca="1">IF(Table1[[#This Row],[County]]="Hertfordshire",Table1[[#This Row],[income]],0)</f>
        <v>0</v>
      </c>
      <c r="CK195" s="20">
        <f ca="1">IF(Table1[[#This Row],[County]]="Herefordshire",Table1[[#This Row],[income]],0)</f>
        <v>0</v>
      </c>
      <c r="CL195" s="20">
        <f ca="1">IF(Table1[[#This Row],[County]]="Lancashire",Table1[[#This Row],[income]],0)</f>
        <v>0</v>
      </c>
      <c r="CM195" s="20">
        <f ca="1">IF(Table1[[#This Row],[County]]="Merseyside",Table1[[#This Row],[income]],0)</f>
        <v>0</v>
      </c>
      <c r="CN195" s="20">
        <f ca="1">IF(Table1[[#This Row],[County]]="Northamptonshire",Table1[[#This Row],[income]],0)</f>
        <v>0</v>
      </c>
      <c r="CO195" s="20">
        <f ca="1">IF(Table1[[#This Row],[County]]="Northumberland",Table1[[#This Row],[income]],0)</f>
        <v>0</v>
      </c>
      <c r="CP195" s="20">
        <f ca="1">IF(Table1[[#This Row],[County]]="Wiltshire",Table1[[#This Row],[income]],0)</f>
        <v>0</v>
      </c>
      <c r="CQ195" s="20">
        <f ca="1">IF(Table1[[#This Row],[County]]="West Midlands",Table1[[#This Row],[income]],0)</f>
        <v>0</v>
      </c>
      <c r="CR195" s="20">
        <f ca="1">IF(Table1[[#This Row],[County]]="Warwickshire",Table1[[#This Row],[income]],0)</f>
        <v>0</v>
      </c>
      <c r="CS195" s="20">
        <f ca="1">IF(Table1[[#This Row],[County]]="Tyne and Wear",Table1[[#This Row],[income]],0)</f>
        <v>0</v>
      </c>
      <c r="CT195" s="20">
        <f ca="1">IF(Table1[[#This Row],[County]]="Worcestershire",Table1[[#This Row],[income]],0)</f>
        <v>0</v>
      </c>
      <c r="CU195" s="20">
        <f ca="1">IF(Table1[[#This Row],[County]]="Rutland",Table1[[#This Row],[income]],0)</f>
        <v>0</v>
      </c>
      <c r="CV195" s="20">
        <f ca="1">IF(Table1[[#This Row],[County]]="Shropshire",Table1[[#This Row],[income]],0)</f>
        <v>0</v>
      </c>
      <c r="CW195" s="20">
        <f ca="1">IF(Table1[[#This Row],[County]]="Dorset",Table1[[#This Row],[income]],0)</f>
        <v>0</v>
      </c>
      <c r="CX195" s="20">
        <f ca="1">IF(Table1[[#This Row],[County]]="Buckinghamshire",Table1[[#This Row],[income]],0)</f>
        <v>0</v>
      </c>
      <c r="CY195" s="20">
        <f ca="1">IF(Table1[[#This Row],[County]]="Suffolk",Table1[[#This Row],[income]],0)</f>
        <v>0</v>
      </c>
      <c r="CZ195" s="20">
        <f ca="1">IF(Table1[[#This Row],[County]]="North Yorkshire",Table1[[#This Row],[income]],0)</f>
        <v>0</v>
      </c>
      <c r="DA195" s="20">
        <f ca="1">IF(Table1[[#This Row],[County]]="Kent",Table1[[#This Row],[income]],0)</f>
        <v>0</v>
      </c>
      <c r="DB195" s="5">
        <f ca="1">IF(Table1[[#This Row],[County]]="Derbyshire",Table1[[#This Row],[income]],0)</f>
        <v>0</v>
      </c>
      <c r="DD195" s="6">
        <f ca="1">IF(Table1[[#This Row],[Column1]]="Health",Table1[[#This Row],[income]],0)</f>
        <v>71877</v>
      </c>
      <c r="DE195" s="20">
        <f ca="1">IF(Table1[[#This Row],[Column1]]="Agriculture",Table1[[#This Row],[income]],0)</f>
        <v>0</v>
      </c>
      <c r="DF195" s="20">
        <f ca="1">IF(Table1[[#This Row],[Column1]]="Technology",Table1[[#This Row],[income]],0)</f>
        <v>0</v>
      </c>
      <c r="DG195" s="20">
        <f ca="1">IF(Table1[[#This Row],[Column1]]="Social Service",Table1[[#This Row],[income]],0)</f>
        <v>0</v>
      </c>
      <c r="DH195" s="20">
        <f ca="1">IF(Table1[[#This Row],[Column1]]="Education",Table1[[#This Row],[income]],0)</f>
        <v>0</v>
      </c>
      <c r="DI195" s="5">
        <f ca="1">IF(Table1[[#This Row],[Column1]]="Construction",Table1[[#This Row],[income]],0)</f>
        <v>0</v>
      </c>
      <c r="DK195" s="6">
        <f ca="1">IF(Table1[[#This Row],[Value of Debts]]&gt;Table1[[#This Row],[income]],1,0)</f>
        <v>1</v>
      </c>
      <c r="DL195" s="20"/>
      <c r="DM195" s="20"/>
      <c r="DN195" s="5"/>
      <c r="DP195" s="6">
        <f ca="1">IF(Table1[[#This Row],[Net Worth (£)]]&gt;$DS$5,C195,0)</f>
        <v>0</v>
      </c>
      <c r="DQ195" s="20"/>
      <c r="DR195" s="20"/>
      <c r="DS195" s="5"/>
    </row>
    <row r="196" spans="1:123" x14ac:dyDescent="0.2">
      <c r="A196">
        <f t="shared" ca="1" si="7"/>
        <v>2</v>
      </c>
      <c r="B196" s="1" t="str">
        <f ca="1">IF(A196=1, "men", "women")</f>
        <v>women</v>
      </c>
      <c r="C196" s="1">
        <f ca="1">RANDBETWEEN(25,50)</f>
        <v>35</v>
      </c>
      <c r="D196">
        <f ca="1">RANDBETWEEN(1,6)</f>
        <v>2</v>
      </c>
      <c r="E196" t="str">
        <f ca="1">VLOOKUP(D196,$W$5:$X$10,2)</f>
        <v>Construction</v>
      </c>
      <c r="F196">
        <f ca="1">RANDBETWEEN(1,5)</f>
        <v>5</v>
      </c>
      <c r="G196" t="str">
        <f ca="1">VLOOKUP(F196,$Y$5:$Z$9,2)</f>
        <v>Other</v>
      </c>
      <c r="H196">
        <f ca="1">RANDBETWEEN(0,4)</f>
        <v>2</v>
      </c>
      <c r="I196">
        <f ca="1">RANDBETWEEN(1,3)</f>
        <v>1</v>
      </c>
      <c r="J196">
        <f ca="1">RANDBETWEEN(30000,100000)</f>
        <v>86785</v>
      </c>
      <c r="K196">
        <f ca="1">RANDBETWEEN(1,48)</f>
        <v>16</v>
      </c>
      <c r="L196" t="str">
        <f ca="1">VLOOKUP(K196,$AA$5:$AB$52,2)</f>
        <v>Essex</v>
      </c>
      <c r="M196">
        <f ca="1">J196*(RANDBETWEEN(2,5))</f>
        <v>173570</v>
      </c>
      <c r="N196">
        <f ca="1">RAND()*M196</f>
        <v>87935.763419828712</v>
      </c>
      <c r="O196">
        <f ca="1">I196*RAND()*J196</f>
        <v>9692.7509646628441</v>
      </c>
      <c r="P196">
        <f ca="1">RANDBETWEEN(0,O196)</f>
        <v>7004</v>
      </c>
      <c r="Q196">
        <f ca="1">RAND()*J196*2</f>
        <v>36699.898021043708</v>
      </c>
      <c r="R196">
        <f ca="1">RAND()*J196*1.5</f>
        <v>97867.116700411934</v>
      </c>
      <c r="S196">
        <f ca="1">J196+R196+O196</f>
        <v>194344.86766507479</v>
      </c>
      <c r="T196">
        <f ca="1">N196+P196+Q196</f>
        <v>131639.66144087241</v>
      </c>
      <c r="U196">
        <f ca="1">S196-T196</f>
        <v>62705.206224202382</v>
      </c>
      <c r="AC196" s="6">
        <f ca="1">IF(Table1[[#This Row],[gender]]="men",1,0)</f>
        <v>0</v>
      </c>
      <c r="AD196">
        <f ca="1">IF(Table1[[#This Row],[gender]]="women",1,0)</f>
        <v>1</v>
      </c>
      <c r="AH196" s="5"/>
      <c r="AJ196" s="6">
        <f ca="1">IF(Table1[[#This Row],[Column1]]="Health",1,0)</f>
        <v>0</v>
      </c>
      <c r="AK196">
        <f ca="1">IF(Table1[[#This Row],[Column1]]="Construction",1,0)</f>
        <v>1</v>
      </c>
      <c r="AL196">
        <f ca="1">IF(Table1[[#This Row],[Column1]]="Technology",1,0)</f>
        <v>0</v>
      </c>
      <c r="AM196">
        <f ca="1">IF(Table1[[#This Row],[Column1]]="Education",1,0)</f>
        <v>0</v>
      </c>
      <c r="AN196">
        <f ca="1">IF(Table1[[#This Row],[Column1]]="Agriculture",1,0)</f>
        <v>0</v>
      </c>
      <c r="AO196">
        <f ca="1">IF(Table1[[#This Row],[Column1]]="Social Service", 1, 0)</f>
        <v>0</v>
      </c>
      <c r="AT196" s="5"/>
      <c r="AV196" s="17">
        <f t="shared" ca="1" si="6"/>
        <v>67082.195578135739</v>
      </c>
      <c r="AW196" s="5"/>
      <c r="AX196" s="6">
        <f ca="1">IF(Table1[[#This Row],[Value of Debts]]&gt;$AY$4,1,0)</f>
        <v>1</v>
      </c>
      <c r="AY196" s="20"/>
      <c r="AZ196" s="20"/>
      <c r="BA196" s="5"/>
      <c r="BB196" s="25">
        <f ca="1">Table1[[#This Row],[Mortage Left]]/Table1[[#This Row],[Value of House]]</f>
        <v>0.50662996727446397</v>
      </c>
      <c r="BC196" s="20">
        <f t="shared" ca="1" si="8"/>
        <v>0</v>
      </c>
      <c r="BD196" s="20"/>
      <c r="BE196" s="20"/>
      <c r="BF196" s="20"/>
      <c r="BG196" s="6">
        <f ca="1">IF(Table1[[#This Row],[County]]="Cumbria",Table1[[#This Row],[income]],0)</f>
        <v>0</v>
      </c>
      <c r="BH196" s="20">
        <f ca="1">IF(Table1[[#This Row],[County]]="Cheshire",Table1[[#This Row],[income]],0)</f>
        <v>0</v>
      </c>
      <c r="BI196" s="20">
        <f ca="1">IF(Table1[[#This Row],[County]]="Bristol",Table1[[#This Row],[income]],0)</f>
        <v>0</v>
      </c>
      <c r="BJ196" s="20">
        <f ca="1">IF(Table1[[#This Row],[County]]="Surrey",Table1[[#This Row],[income]],0)</f>
        <v>0</v>
      </c>
      <c r="BK196" s="20">
        <f ca="1">IF(Table1[[#This Row],[County]]="Norfolk",Table1[[#This Row],[income]],0)</f>
        <v>0</v>
      </c>
      <c r="BL196" s="20">
        <f ca="1">IF(Table1[[#This Row],[County]]="Lincolnshire",Table1[[#This Row],[income]],0)</f>
        <v>0</v>
      </c>
      <c r="BM196" s="20">
        <f ca="1">IF(Table1[[#This Row],[County]]="Somerset",Table1[[#This Row],[income]],0)</f>
        <v>0</v>
      </c>
      <c r="BN196" s="20">
        <f ca="1">IF(Table1[[#This Row],[County]]="Cambridgeshire",Table1[[#This Row],[income]],0)</f>
        <v>0</v>
      </c>
      <c r="BO196" s="20">
        <f ca="1">IF(Table1[[#This Row],[County]]="South Yorkshire",Table1[[#This Row],[income]],0)</f>
        <v>0</v>
      </c>
      <c r="BP196" s="20">
        <f ca="1">IF(Table1[[#This Row],[County]]="Greater London",Table1[[#This Row],[income]],0)</f>
        <v>0</v>
      </c>
      <c r="BQ196" s="20">
        <f ca="1">IF(Table1[[#This Row],[County]]="Hampshire",Table1[[#This Row],[income]],0)</f>
        <v>0</v>
      </c>
      <c r="BR196" s="20">
        <f ca="1">IF(Table1[[#This Row],[County]]="Gloucestershire",Table1[[#This Row],[income]],0)</f>
        <v>0</v>
      </c>
      <c r="BS196" s="20">
        <f ca="1">IF(Table1[[#This Row],[County]]="West Sussex",Table1[[#This Row],[income]],0)</f>
        <v>0</v>
      </c>
      <c r="BT196" s="20">
        <f ca="1">IF(Table1[[#This Row],[County]]="Devon",Table1[[#This Row],[income]],0)</f>
        <v>0</v>
      </c>
      <c r="BU196" s="20">
        <f ca="1">IF(Table1[[#This Row],[County]]="Berkshire",Table1[[#This Row],[income]],0)</f>
        <v>0</v>
      </c>
      <c r="BV196" s="20">
        <f ca="1">IF(Table1[[#This Row],[County]]="Staffordshire",Table1[[#This Row],[income]],0)</f>
        <v>0</v>
      </c>
      <c r="BW196" s="20">
        <f ca="1">IF(Table1[[#This Row],[County]]="Leicestershire",Table1[[#This Row],[income]],0)</f>
        <v>0</v>
      </c>
      <c r="BX196" s="20">
        <f ca="1">IF(Table1[[#This Row],[County]]="Cornwall",Table1[[#This Row],[income]],0)</f>
        <v>0</v>
      </c>
      <c r="BY196" s="20">
        <f ca="1">IF(Table1[[#This Row],[County]]="Isle of Wight",Table1[[#This Row],[income]],0)</f>
        <v>0</v>
      </c>
      <c r="BZ196" s="20">
        <f ca="1">IF(Table1[[#This Row],[County]]="Surrey",Table1[[#This Row],[income]],0)</f>
        <v>0</v>
      </c>
      <c r="CA196" s="20">
        <f ca="1">IF(Table1[[#This Row],[County]]="Derbyshire",Table1[[#This Row],[income]],0)</f>
        <v>0</v>
      </c>
      <c r="CB196" s="20">
        <f ca="1">IF(Table1[[#This Row],[County]]="City of London",Table1[[#This Row],[income]],0)</f>
        <v>0</v>
      </c>
      <c r="CC196" s="20">
        <f ca="1">IF(Table1[[#This Row],[County]]="Bedfordshire",Table1[[#This Row],[income]],0)</f>
        <v>0</v>
      </c>
      <c r="CD196" s="20">
        <f ca="1">IF(Table1[[#This Row],[County]]="County Durham",Table1[[#This Row],[income]],0)</f>
        <v>0</v>
      </c>
      <c r="CE196" s="20">
        <f ca="1">IF(Table1[[#This Row],[County]]="East Riding of Yorkshire",Table1[[#This Row],[income]],0)</f>
        <v>0</v>
      </c>
      <c r="CF196" s="20">
        <f ca="1">IF(Table1[[#This Row],[County]]="West Yorkshire",Table1[[#This Row],[income]],0)</f>
        <v>0</v>
      </c>
      <c r="CG196" s="20">
        <f ca="1">IF(Table1[[#This Row],[County]]="Essex",Table1[[#This Row],[income]],0)</f>
        <v>86785</v>
      </c>
      <c r="CH196" s="20">
        <f ca="1">IF(Table1[[#This Row],[County]]="East Sussex",Table1[[#This Row],[income]],0)</f>
        <v>0</v>
      </c>
      <c r="CI196" s="20">
        <f ca="1">IF(Table1[[#This Row],[County]]="Greater Manchester",Table1[[#This Row],[income]],0)</f>
        <v>0</v>
      </c>
      <c r="CJ196" s="20">
        <f ca="1">IF(Table1[[#This Row],[County]]="Hertfordshire",Table1[[#This Row],[income]],0)</f>
        <v>0</v>
      </c>
      <c r="CK196" s="20">
        <f ca="1">IF(Table1[[#This Row],[County]]="Herefordshire",Table1[[#This Row],[income]],0)</f>
        <v>0</v>
      </c>
      <c r="CL196" s="20">
        <f ca="1">IF(Table1[[#This Row],[County]]="Lancashire",Table1[[#This Row],[income]],0)</f>
        <v>0</v>
      </c>
      <c r="CM196" s="20">
        <f ca="1">IF(Table1[[#This Row],[County]]="Merseyside",Table1[[#This Row],[income]],0)</f>
        <v>0</v>
      </c>
      <c r="CN196" s="20">
        <f ca="1">IF(Table1[[#This Row],[County]]="Northamptonshire",Table1[[#This Row],[income]],0)</f>
        <v>0</v>
      </c>
      <c r="CO196" s="20">
        <f ca="1">IF(Table1[[#This Row],[County]]="Northumberland",Table1[[#This Row],[income]],0)</f>
        <v>0</v>
      </c>
      <c r="CP196" s="20">
        <f ca="1">IF(Table1[[#This Row],[County]]="Wiltshire",Table1[[#This Row],[income]],0)</f>
        <v>0</v>
      </c>
      <c r="CQ196" s="20">
        <f ca="1">IF(Table1[[#This Row],[County]]="West Midlands",Table1[[#This Row],[income]],0)</f>
        <v>0</v>
      </c>
      <c r="CR196" s="20">
        <f ca="1">IF(Table1[[#This Row],[County]]="Warwickshire",Table1[[#This Row],[income]],0)</f>
        <v>0</v>
      </c>
      <c r="CS196" s="20">
        <f ca="1">IF(Table1[[#This Row],[County]]="Tyne and Wear",Table1[[#This Row],[income]],0)</f>
        <v>0</v>
      </c>
      <c r="CT196" s="20">
        <f ca="1">IF(Table1[[#This Row],[County]]="Worcestershire",Table1[[#This Row],[income]],0)</f>
        <v>0</v>
      </c>
      <c r="CU196" s="20">
        <f ca="1">IF(Table1[[#This Row],[County]]="Rutland",Table1[[#This Row],[income]],0)</f>
        <v>0</v>
      </c>
      <c r="CV196" s="20">
        <f ca="1">IF(Table1[[#This Row],[County]]="Shropshire",Table1[[#This Row],[income]],0)</f>
        <v>0</v>
      </c>
      <c r="CW196" s="20">
        <f ca="1">IF(Table1[[#This Row],[County]]="Dorset",Table1[[#This Row],[income]],0)</f>
        <v>0</v>
      </c>
      <c r="CX196" s="20">
        <f ca="1">IF(Table1[[#This Row],[County]]="Buckinghamshire",Table1[[#This Row],[income]],0)</f>
        <v>0</v>
      </c>
      <c r="CY196" s="20">
        <f ca="1">IF(Table1[[#This Row],[County]]="Suffolk",Table1[[#This Row],[income]],0)</f>
        <v>0</v>
      </c>
      <c r="CZ196" s="20">
        <f ca="1">IF(Table1[[#This Row],[County]]="North Yorkshire",Table1[[#This Row],[income]],0)</f>
        <v>0</v>
      </c>
      <c r="DA196" s="20">
        <f ca="1">IF(Table1[[#This Row],[County]]="Kent",Table1[[#This Row],[income]],0)</f>
        <v>0</v>
      </c>
      <c r="DB196" s="5">
        <f ca="1">IF(Table1[[#This Row],[County]]="Derbyshire",Table1[[#This Row],[income]],0)</f>
        <v>0</v>
      </c>
      <c r="DD196" s="6">
        <f ca="1">IF(Table1[[#This Row],[Column1]]="Health",Table1[[#This Row],[income]],0)</f>
        <v>0</v>
      </c>
      <c r="DE196" s="20">
        <f ca="1">IF(Table1[[#This Row],[Column1]]="Agriculture",Table1[[#This Row],[income]],0)</f>
        <v>0</v>
      </c>
      <c r="DF196" s="20">
        <f ca="1">IF(Table1[[#This Row],[Column1]]="Technology",Table1[[#This Row],[income]],0)</f>
        <v>0</v>
      </c>
      <c r="DG196" s="20">
        <f ca="1">IF(Table1[[#This Row],[Column1]]="Social Service",Table1[[#This Row],[income]],0)</f>
        <v>0</v>
      </c>
      <c r="DH196" s="20">
        <f ca="1">IF(Table1[[#This Row],[Column1]]="Education",Table1[[#This Row],[income]],0)</f>
        <v>0</v>
      </c>
      <c r="DI196" s="5">
        <f ca="1">IF(Table1[[#This Row],[Column1]]="Construction",Table1[[#This Row],[income]],0)</f>
        <v>86785</v>
      </c>
      <c r="DK196" s="6">
        <f ca="1">IF(Table1[[#This Row],[Value of Debts]]&gt;Table1[[#This Row],[income]],1,0)</f>
        <v>1</v>
      </c>
      <c r="DL196" s="20"/>
      <c r="DM196" s="20"/>
      <c r="DN196" s="5"/>
      <c r="DP196" s="6">
        <f ca="1">IF(Table1[[#This Row],[Net Worth (£)]]&gt;$DS$5,C196,0)</f>
        <v>35</v>
      </c>
      <c r="DQ196" s="20"/>
      <c r="DR196" s="20"/>
      <c r="DS196" s="5"/>
    </row>
    <row r="197" spans="1:123" x14ac:dyDescent="0.2">
      <c r="A197">
        <f t="shared" ca="1" si="7"/>
        <v>2</v>
      </c>
      <c r="B197" s="1" t="str">
        <f ca="1">IF(A197=1, "men", "women")</f>
        <v>women</v>
      </c>
      <c r="C197" s="1">
        <f ca="1">RANDBETWEEN(25,50)</f>
        <v>31</v>
      </c>
      <c r="D197">
        <f ca="1">RANDBETWEEN(1,6)</f>
        <v>4</v>
      </c>
      <c r="E197" t="str">
        <f ca="1">VLOOKUP(D197,$W$5:$X$10,2)</f>
        <v>Technology</v>
      </c>
      <c r="F197">
        <f ca="1">RANDBETWEEN(1,5)</f>
        <v>5</v>
      </c>
      <c r="G197" t="str">
        <f ca="1">VLOOKUP(F197,$Y$5:$Z$9,2)</f>
        <v>Other</v>
      </c>
      <c r="H197">
        <f ca="1">RANDBETWEEN(0,4)</f>
        <v>2</v>
      </c>
      <c r="I197">
        <f ca="1">RANDBETWEEN(1,3)</f>
        <v>3</v>
      </c>
      <c r="J197">
        <f ca="1">RANDBETWEEN(30000,100000)</f>
        <v>92683</v>
      </c>
      <c r="K197">
        <f ca="1">RANDBETWEEN(1,48)</f>
        <v>40</v>
      </c>
      <c r="L197" t="str">
        <f ca="1">VLOOKUP(K197,$AA$5:$AB$52,2)</f>
        <v>Suffolk</v>
      </c>
      <c r="M197">
        <f ca="1">J197*(RANDBETWEEN(2,5))</f>
        <v>370732</v>
      </c>
      <c r="N197">
        <f ca="1">RAND()*M197</f>
        <v>198772.08191152176</v>
      </c>
      <c r="O197">
        <f ca="1">I197*RAND()*J197</f>
        <v>201246.58673440723</v>
      </c>
      <c r="P197">
        <f ca="1">RANDBETWEEN(0,O197)</f>
        <v>445</v>
      </c>
      <c r="Q197">
        <f ca="1">RAND()*J197*2</f>
        <v>158795.12681644119</v>
      </c>
      <c r="R197">
        <f ca="1">RAND()*J197*1.5</f>
        <v>98222.029827867693</v>
      </c>
      <c r="S197">
        <f ca="1">J197+R197+O197</f>
        <v>392151.61656227492</v>
      </c>
      <c r="T197">
        <f ca="1">N197+P197+Q197</f>
        <v>358012.20872796292</v>
      </c>
      <c r="U197">
        <f ca="1">S197-T197</f>
        <v>34139.407834312005</v>
      </c>
      <c r="AC197" s="6">
        <f ca="1">IF(Table1[[#This Row],[gender]]="men",1,0)</f>
        <v>0</v>
      </c>
      <c r="AD197">
        <f ca="1">IF(Table1[[#This Row],[gender]]="women",1,0)</f>
        <v>1</v>
      </c>
      <c r="AH197" s="5"/>
      <c r="AJ197" s="6">
        <f ca="1">IF(Table1[[#This Row],[Column1]]="Health",1,0)</f>
        <v>0</v>
      </c>
      <c r="AK197">
        <f ca="1">IF(Table1[[#This Row],[Column1]]="Construction",1,0)</f>
        <v>0</v>
      </c>
      <c r="AL197">
        <f ca="1">IF(Table1[[#This Row],[Column1]]="Technology",1,0)</f>
        <v>1</v>
      </c>
      <c r="AM197">
        <f ca="1">IF(Table1[[#This Row],[Column1]]="Education",1,0)</f>
        <v>0</v>
      </c>
      <c r="AN197">
        <f ca="1">IF(Table1[[#This Row],[Column1]]="Agriculture",1,0)</f>
        <v>0</v>
      </c>
      <c r="AO197">
        <f ca="1">IF(Table1[[#This Row],[Column1]]="Social Service", 1, 0)</f>
        <v>0</v>
      </c>
      <c r="AT197" s="5"/>
      <c r="AV197" s="17">
        <f t="shared" ref="AV197:AV260" ca="1" si="9">(O198/I198)</f>
        <v>16405.394446055514</v>
      </c>
      <c r="AW197" s="5"/>
      <c r="AX197" s="6">
        <f ca="1">IF(Table1[[#This Row],[Value of Debts]]&gt;$AY$4,1,0)</f>
        <v>1</v>
      </c>
      <c r="AY197" s="20"/>
      <c r="AZ197" s="20"/>
      <c r="BA197" s="5"/>
      <c r="BB197" s="25">
        <f ca="1">Table1[[#This Row],[Mortage Left]]/Table1[[#This Row],[Value of House]]</f>
        <v>0.53616111344993622</v>
      </c>
      <c r="BC197" s="20">
        <f t="shared" ca="1" si="8"/>
        <v>0</v>
      </c>
      <c r="BD197" s="20"/>
      <c r="BE197" s="20"/>
      <c r="BF197" s="20"/>
      <c r="BG197" s="6">
        <f ca="1">IF(Table1[[#This Row],[County]]="Cumbria",Table1[[#This Row],[income]],0)</f>
        <v>0</v>
      </c>
      <c r="BH197" s="20">
        <f ca="1">IF(Table1[[#This Row],[County]]="Cheshire",Table1[[#This Row],[income]],0)</f>
        <v>0</v>
      </c>
      <c r="BI197" s="20">
        <f ca="1">IF(Table1[[#This Row],[County]]="Bristol",Table1[[#This Row],[income]],0)</f>
        <v>0</v>
      </c>
      <c r="BJ197" s="20">
        <f ca="1">IF(Table1[[#This Row],[County]]="Surrey",Table1[[#This Row],[income]],0)</f>
        <v>0</v>
      </c>
      <c r="BK197" s="20">
        <f ca="1">IF(Table1[[#This Row],[County]]="Norfolk",Table1[[#This Row],[income]],0)</f>
        <v>0</v>
      </c>
      <c r="BL197" s="20">
        <f ca="1">IF(Table1[[#This Row],[County]]="Lincolnshire",Table1[[#This Row],[income]],0)</f>
        <v>0</v>
      </c>
      <c r="BM197" s="20">
        <f ca="1">IF(Table1[[#This Row],[County]]="Somerset",Table1[[#This Row],[income]],0)</f>
        <v>0</v>
      </c>
      <c r="BN197" s="20">
        <f ca="1">IF(Table1[[#This Row],[County]]="Cambridgeshire",Table1[[#This Row],[income]],0)</f>
        <v>0</v>
      </c>
      <c r="BO197" s="20">
        <f ca="1">IF(Table1[[#This Row],[County]]="South Yorkshire",Table1[[#This Row],[income]],0)</f>
        <v>0</v>
      </c>
      <c r="BP197" s="20">
        <f ca="1">IF(Table1[[#This Row],[County]]="Greater London",Table1[[#This Row],[income]],0)</f>
        <v>0</v>
      </c>
      <c r="BQ197" s="20">
        <f ca="1">IF(Table1[[#This Row],[County]]="Hampshire",Table1[[#This Row],[income]],0)</f>
        <v>0</v>
      </c>
      <c r="BR197" s="20">
        <f ca="1">IF(Table1[[#This Row],[County]]="Gloucestershire",Table1[[#This Row],[income]],0)</f>
        <v>0</v>
      </c>
      <c r="BS197" s="20">
        <f ca="1">IF(Table1[[#This Row],[County]]="West Sussex",Table1[[#This Row],[income]],0)</f>
        <v>0</v>
      </c>
      <c r="BT197" s="20">
        <f ca="1">IF(Table1[[#This Row],[County]]="Devon",Table1[[#This Row],[income]],0)</f>
        <v>0</v>
      </c>
      <c r="BU197" s="20">
        <f ca="1">IF(Table1[[#This Row],[County]]="Berkshire",Table1[[#This Row],[income]],0)</f>
        <v>0</v>
      </c>
      <c r="BV197" s="20">
        <f ca="1">IF(Table1[[#This Row],[County]]="Staffordshire",Table1[[#This Row],[income]],0)</f>
        <v>0</v>
      </c>
      <c r="BW197" s="20">
        <f ca="1">IF(Table1[[#This Row],[County]]="Leicestershire",Table1[[#This Row],[income]],0)</f>
        <v>0</v>
      </c>
      <c r="BX197" s="20">
        <f ca="1">IF(Table1[[#This Row],[County]]="Cornwall",Table1[[#This Row],[income]],0)</f>
        <v>0</v>
      </c>
      <c r="BY197" s="20">
        <f ca="1">IF(Table1[[#This Row],[County]]="Isle of Wight",Table1[[#This Row],[income]],0)</f>
        <v>0</v>
      </c>
      <c r="BZ197" s="20">
        <f ca="1">IF(Table1[[#This Row],[County]]="Surrey",Table1[[#This Row],[income]],0)</f>
        <v>0</v>
      </c>
      <c r="CA197" s="20">
        <f ca="1">IF(Table1[[#This Row],[County]]="Derbyshire",Table1[[#This Row],[income]],0)</f>
        <v>0</v>
      </c>
      <c r="CB197" s="20">
        <f ca="1">IF(Table1[[#This Row],[County]]="City of London",Table1[[#This Row],[income]],0)</f>
        <v>0</v>
      </c>
      <c r="CC197" s="20">
        <f ca="1">IF(Table1[[#This Row],[County]]="Bedfordshire",Table1[[#This Row],[income]],0)</f>
        <v>0</v>
      </c>
      <c r="CD197" s="20">
        <f ca="1">IF(Table1[[#This Row],[County]]="County Durham",Table1[[#This Row],[income]],0)</f>
        <v>0</v>
      </c>
      <c r="CE197" s="20">
        <f ca="1">IF(Table1[[#This Row],[County]]="East Riding of Yorkshire",Table1[[#This Row],[income]],0)</f>
        <v>0</v>
      </c>
      <c r="CF197" s="20">
        <f ca="1">IF(Table1[[#This Row],[County]]="West Yorkshire",Table1[[#This Row],[income]],0)</f>
        <v>0</v>
      </c>
      <c r="CG197" s="20">
        <f ca="1">IF(Table1[[#This Row],[County]]="Essex",Table1[[#This Row],[income]],0)</f>
        <v>0</v>
      </c>
      <c r="CH197" s="20">
        <f ca="1">IF(Table1[[#This Row],[County]]="East Sussex",Table1[[#This Row],[income]],0)</f>
        <v>0</v>
      </c>
      <c r="CI197" s="20">
        <f ca="1">IF(Table1[[#This Row],[County]]="Greater Manchester",Table1[[#This Row],[income]],0)</f>
        <v>0</v>
      </c>
      <c r="CJ197" s="20">
        <f ca="1">IF(Table1[[#This Row],[County]]="Hertfordshire",Table1[[#This Row],[income]],0)</f>
        <v>0</v>
      </c>
      <c r="CK197" s="20">
        <f ca="1">IF(Table1[[#This Row],[County]]="Herefordshire",Table1[[#This Row],[income]],0)</f>
        <v>0</v>
      </c>
      <c r="CL197" s="20">
        <f ca="1">IF(Table1[[#This Row],[County]]="Lancashire",Table1[[#This Row],[income]],0)</f>
        <v>0</v>
      </c>
      <c r="CM197" s="20">
        <f ca="1">IF(Table1[[#This Row],[County]]="Merseyside",Table1[[#This Row],[income]],0)</f>
        <v>0</v>
      </c>
      <c r="CN197" s="20">
        <f ca="1">IF(Table1[[#This Row],[County]]="Northamptonshire",Table1[[#This Row],[income]],0)</f>
        <v>0</v>
      </c>
      <c r="CO197" s="20">
        <f ca="1">IF(Table1[[#This Row],[County]]="Northumberland",Table1[[#This Row],[income]],0)</f>
        <v>0</v>
      </c>
      <c r="CP197" s="20">
        <f ca="1">IF(Table1[[#This Row],[County]]="Wiltshire",Table1[[#This Row],[income]],0)</f>
        <v>0</v>
      </c>
      <c r="CQ197" s="20">
        <f ca="1">IF(Table1[[#This Row],[County]]="West Midlands",Table1[[#This Row],[income]],0)</f>
        <v>0</v>
      </c>
      <c r="CR197" s="20">
        <f ca="1">IF(Table1[[#This Row],[County]]="Warwickshire",Table1[[#This Row],[income]],0)</f>
        <v>0</v>
      </c>
      <c r="CS197" s="20">
        <f ca="1">IF(Table1[[#This Row],[County]]="Tyne and Wear",Table1[[#This Row],[income]],0)</f>
        <v>0</v>
      </c>
      <c r="CT197" s="20">
        <f ca="1">IF(Table1[[#This Row],[County]]="Worcestershire",Table1[[#This Row],[income]],0)</f>
        <v>0</v>
      </c>
      <c r="CU197" s="20">
        <f ca="1">IF(Table1[[#This Row],[County]]="Rutland",Table1[[#This Row],[income]],0)</f>
        <v>0</v>
      </c>
      <c r="CV197" s="20">
        <f ca="1">IF(Table1[[#This Row],[County]]="Shropshire",Table1[[#This Row],[income]],0)</f>
        <v>0</v>
      </c>
      <c r="CW197" s="20">
        <f ca="1">IF(Table1[[#This Row],[County]]="Dorset",Table1[[#This Row],[income]],0)</f>
        <v>0</v>
      </c>
      <c r="CX197" s="20">
        <f ca="1">IF(Table1[[#This Row],[County]]="Buckinghamshire",Table1[[#This Row],[income]],0)</f>
        <v>0</v>
      </c>
      <c r="CY197" s="20">
        <f ca="1">IF(Table1[[#This Row],[County]]="Suffolk",Table1[[#This Row],[income]],0)</f>
        <v>92683</v>
      </c>
      <c r="CZ197" s="20">
        <f ca="1">IF(Table1[[#This Row],[County]]="North Yorkshire",Table1[[#This Row],[income]],0)</f>
        <v>0</v>
      </c>
      <c r="DA197" s="20">
        <f ca="1">IF(Table1[[#This Row],[County]]="Kent",Table1[[#This Row],[income]],0)</f>
        <v>0</v>
      </c>
      <c r="DB197" s="5">
        <f ca="1">IF(Table1[[#This Row],[County]]="Derbyshire",Table1[[#This Row],[income]],0)</f>
        <v>0</v>
      </c>
      <c r="DD197" s="6">
        <f ca="1">IF(Table1[[#This Row],[Column1]]="Health",Table1[[#This Row],[income]],0)</f>
        <v>0</v>
      </c>
      <c r="DE197" s="20">
        <f ca="1">IF(Table1[[#This Row],[Column1]]="Agriculture",Table1[[#This Row],[income]],0)</f>
        <v>0</v>
      </c>
      <c r="DF197" s="20">
        <f ca="1">IF(Table1[[#This Row],[Column1]]="Technology",Table1[[#This Row],[income]],0)</f>
        <v>92683</v>
      </c>
      <c r="DG197" s="20">
        <f ca="1">IF(Table1[[#This Row],[Column1]]="Social Service",Table1[[#This Row],[income]],0)</f>
        <v>0</v>
      </c>
      <c r="DH197" s="20">
        <f ca="1">IF(Table1[[#This Row],[Column1]]="Education",Table1[[#This Row],[income]],0)</f>
        <v>0</v>
      </c>
      <c r="DI197" s="5">
        <f ca="1">IF(Table1[[#This Row],[Column1]]="Construction",Table1[[#This Row],[income]],0)</f>
        <v>0</v>
      </c>
      <c r="DK197" s="6">
        <f ca="1">IF(Table1[[#This Row],[Value of Debts]]&gt;Table1[[#This Row],[income]],1,0)</f>
        <v>1</v>
      </c>
      <c r="DL197" s="20"/>
      <c r="DM197" s="20"/>
      <c r="DN197" s="5"/>
      <c r="DP197" s="6">
        <f ca="1">IF(Table1[[#This Row],[Net Worth (£)]]&gt;$DS$5,C197,0)</f>
        <v>0</v>
      </c>
      <c r="DQ197" s="20"/>
      <c r="DR197" s="20"/>
      <c r="DS197" s="5"/>
    </row>
    <row r="198" spans="1:123" x14ac:dyDescent="0.2">
      <c r="A198">
        <f t="shared" ref="A198:A261" ca="1" si="10">RANDBETWEEN(1,2)</f>
        <v>2</v>
      </c>
      <c r="B198" s="1" t="str">
        <f ca="1">IF(A198=1, "men", "women")</f>
        <v>women</v>
      </c>
      <c r="C198" s="1">
        <f ca="1">RANDBETWEEN(25,50)</f>
        <v>29</v>
      </c>
      <c r="D198">
        <f ca="1">RANDBETWEEN(1,6)</f>
        <v>3</v>
      </c>
      <c r="E198" t="str">
        <f ca="1">VLOOKUP(D198,$W$5:$X$10,2)</f>
        <v>Education</v>
      </c>
      <c r="F198">
        <f ca="1">RANDBETWEEN(1,5)</f>
        <v>3</v>
      </c>
      <c r="G198" t="str">
        <f ca="1">VLOOKUP(F198,$Y$5:$Z$9,2)</f>
        <v>University</v>
      </c>
      <c r="H198">
        <f ca="1">RANDBETWEEN(0,4)</f>
        <v>0</v>
      </c>
      <c r="I198">
        <f ca="1">RANDBETWEEN(1,3)</f>
        <v>1</v>
      </c>
      <c r="J198">
        <f ca="1">RANDBETWEEN(30000,100000)</f>
        <v>61285</v>
      </c>
      <c r="K198">
        <f ca="1">RANDBETWEEN(1,48)</f>
        <v>8</v>
      </c>
      <c r="L198" t="str">
        <f ca="1">VLOOKUP(K198,$AA$5:$AB$52,2)</f>
        <v>Cornwall</v>
      </c>
      <c r="M198">
        <f ca="1">J198*(RANDBETWEEN(2,5))</f>
        <v>183855</v>
      </c>
      <c r="N198">
        <f ca="1">RAND()*M198</f>
        <v>29460.634777234845</v>
      </c>
      <c r="O198">
        <f ca="1">I198*RAND()*J198</f>
        <v>16405.394446055514</v>
      </c>
      <c r="P198">
        <f ca="1">RANDBETWEEN(0,O198)</f>
        <v>10252</v>
      </c>
      <c r="Q198">
        <f ca="1">RAND()*J198*2</f>
        <v>41669.360532359278</v>
      </c>
      <c r="R198">
        <f ca="1">RAND()*J198*1.5</f>
        <v>70313.518222712533</v>
      </c>
      <c r="S198">
        <f ca="1">J198+R198+O198</f>
        <v>148003.91266876805</v>
      </c>
      <c r="T198">
        <f ca="1">N198+P198+Q198</f>
        <v>81381.995309594116</v>
      </c>
      <c r="U198">
        <f ca="1">S198-T198</f>
        <v>66621.917359173938</v>
      </c>
      <c r="AC198" s="6">
        <f ca="1">IF(Table1[[#This Row],[gender]]="men",1,0)</f>
        <v>0</v>
      </c>
      <c r="AD198">
        <f ca="1">IF(Table1[[#This Row],[gender]]="women",1,0)</f>
        <v>1</v>
      </c>
      <c r="AH198" s="5"/>
      <c r="AJ198" s="6">
        <f ca="1">IF(Table1[[#This Row],[Column1]]="Health",1,0)</f>
        <v>0</v>
      </c>
      <c r="AK198">
        <f ca="1">IF(Table1[[#This Row],[Column1]]="Construction",1,0)</f>
        <v>0</v>
      </c>
      <c r="AL198">
        <f ca="1">IF(Table1[[#This Row],[Column1]]="Technology",1,0)</f>
        <v>0</v>
      </c>
      <c r="AM198">
        <f ca="1">IF(Table1[[#This Row],[Column1]]="Education",1,0)</f>
        <v>1</v>
      </c>
      <c r="AN198">
        <f ca="1">IF(Table1[[#This Row],[Column1]]="Agriculture",1,0)</f>
        <v>0</v>
      </c>
      <c r="AO198">
        <f ca="1">IF(Table1[[#This Row],[Column1]]="Social Service", 1, 0)</f>
        <v>0</v>
      </c>
      <c r="AT198" s="5"/>
      <c r="AV198" s="17">
        <f t="shared" ca="1" si="9"/>
        <v>2310.1933039174251</v>
      </c>
      <c r="AW198" s="5"/>
      <c r="AX198" s="6">
        <f ca="1">IF(Table1[[#This Row],[Value of Debts]]&gt;$AY$4,1,0)</f>
        <v>0</v>
      </c>
      <c r="AY198" s="20"/>
      <c r="AZ198" s="20"/>
      <c r="BA198" s="5"/>
      <c r="BB198" s="25">
        <f ca="1">Table1[[#This Row],[Mortage Left]]/Table1[[#This Row],[Value of House]]</f>
        <v>0.16023842037059011</v>
      </c>
      <c r="BC198" s="20">
        <f t="shared" ref="BC198:BC261" ca="1" si="11">IF(BB198&lt;$BD$4,1,0)</f>
        <v>1</v>
      </c>
      <c r="BD198" s="20"/>
      <c r="BE198" s="20"/>
      <c r="BF198" s="20"/>
      <c r="BG198" s="6">
        <f ca="1">IF(Table1[[#This Row],[County]]="Cumbria",Table1[[#This Row],[income]],0)</f>
        <v>0</v>
      </c>
      <c r="BH198" s="20">
        <f ca="1">IF(Table1[[#This Row],[County]]="Cheshire",Table1[[#This Row],[income]],0)</f>
        <v>0</v>
      </c>
      <c r="BI198" s="20">
        <f ca="1">IF(Table1[[#This Row],[County]]="Bristol",Table1[[#This Row],[income]],0)</f>
        <v>0</v>
      </c>
      <c r="BJ198" s="20">
        <f ca="1">IF(Table1[[#This Row],[County]]="Surrey",Table1[[#This Row],[income]],0)</f>
        <v>0</v>
      </c>
      <c r="BK198" s="20">
        <f ca="1">IF(Table1[[#This Row],[County]]="Norfolk",Table1[[#This Row],[income]],0)</f>
        <v>0</v>
      </c>
      <c r="BL198" s="20">
        <f ca="1">IF(Table1[[#This Row],[County]]="Lincolnshire",Table1[[#This Row],[income]],0)</f>
        <v>0</v>
      </c>
      <c r="BM198" s="20">
        <f ca="1">IF(Table1[[#This Row],[County]]="Somerset",Table1[[#This Row],[income]],0)</f>
        <v>0</v>
      </c>
      <c r="BN198" s="20">
        <f ca="1">IF(Table1[[#This Row],[County]]="Cambridgeshire",Table1[[#This Row],[income]],0)</f>
        <v>0</v>
      </c>
      <c r="BO198" s="20">
        <f ca="1">IF(Table1[[#This Row],[County]]="South Yorkshire",Table1[[#This Row],[income]],0)</f>
        <v>0</v>
      </c>
      <c r="BP198" s="20">
        <f ca="1">IF(Table1[[#This Row],[County]]="Greater London",Table1[[#This Row],[income]],0)</f>
        <v>0</v>
      </c>
      <c r="BQ198" s="20">
        <f ca="1">IF(Table1[[#This Row],[County]]="Hampshire",Table1[[#This Row],[income]],0)</f>
        <v>0</v>
      </c>
      <c r="BR198" s="20">
        <f ca="1">IF(Table1[[#This Row],[County]]="Gloucestershire",Table1[[#This Row],[income]],0)</f>
        <v>0</v>
      </c>
      <c r="BS198" s="20">
        <f ca="1">IF(Table1[[#This Row],[County]]="West Sussex",Table1[[#This Row],[income]],0)</f>
        <v>0</v>
      </c>
      <c r="BT198" s="20">
        <f ca="1">IF(Table1[[#This Row],[County]]="Devon",Table1[[#This Row],[income]],0)</f>
        <v>0</v>
      </c>
      <c r="BU198" s="20">
        <f ca="1">IF(Table1[[#This Row],[County]]="Berkshire",Table1[[#This Row],[income]],0)</f>
        <v>0</v>
      </c>
      <c r="BV198" s="20">
        <f ca="1">IF(Table1[[#This Row],[County]]="Staffordshire",Table1[[#This Row],[income]],0)</f>
        <v>0</v>
      </c>
      <c r="BW198" s="20">
        <f ca="1">IF(Table1[[#This Row],[County]]="Leicestershire",Table1[[#This Row],[income]],0)</f>
        <v>0</v>
      </c>
      <c r="BX198" s="20">
        <f ca="1">IF(Table1[[#This Row],[County]]="Cornwall",Table1[[#This Row],[income]],0)</f>
        <v>61285</v>
      </c>
      <c r="BY198" s="20">
        <f ca="1">IF(Table1[[#This Row],[County]]="Isle of Wight",Table1[[#This Row],[income]],0)</f>
        <v>0</v>
      </c>
      <c r="BZ198" s="20">
        <f ca="1">IF(Table1[[#This Row],[County]]="Surrey",Table1[[#This Row],[income]],0)</f>
        <v>0</v>
      </c>
      <c r="CA198" s="20">
        <f ca="1">IF(Table1[[#This Row],[County]]="Derbyshire",Table1[[#This Row],[income]],0)</f>
        <v>0</v>
      </c>
      <c r="CB198" s="20">
        <f ca="1">IF(Table1[[#This Row],[County]]="City of London",Table1[[#This Row],[income]],0)</f>
        <v>0</v>
      </c>
      <c r="CC198" s="20">
        <f ca="1">IF(Table1[[#This Row],[County]]="Bedfordshire",Table1[[#This Row],[income]],0)</f>
        <v>0</v>
      </c>
      <c r="CD198" s="20">
        <f ca="1">IF(Table1[[#This Row],[County]]="County Durham",Table1[[#This Row],[income]],0)</f>
        <v>0</v>
      </c>
      <c r="CE198" s="20">
        <f ca="1">IF(Table1[[#This Row],[County]]="East Riding of Yorkshire",Table1[[#This Row],[income]],0)</f>
        <v>0</v>
      </c>
      <c r="CF198" s="20">
        <f ca="1">IF(Table1[[#This Row],[County]]="West Yorkshire",Table1[[#This Row],[income]],0)</f>
        <v>0</v>
      </c>
      <c r="CG198" s="20">
        <f ca="1">IF(Table1[[#This Row],[County]]="Essex",Table1[[#This Row],[income]],0)</f>
        <v>0</v>
      </c>
      <c r="CH198" s="20">
        <f ca="1">IF(Table1[[#This Row],[County]]="East Sussex",Table1[[#This Row],[income]],0)</f>
        <v>0</v>
      </c>
      <c r="CI198" s="20">
        <f ca="1">IF(Table1[[#This Row],[County]]="Greater Manchester",Table1[[#This Row],[income]],0)</f>
        <v>0</v>
      </c>
      <c r="CJ198" s="20">
        <f ca="1">IF(Table1[[#This Row],[County]]="Hertfordshire",Table1[[#This Row],[income]],0)</f>
        <v>0</v>
      </c>
      <c r="CK198" s="20">
        <f ca="1">IF(Table1[[#This Row],[County]]="Herefordshire",Table1[[#This Row],[income]],0)</f>
        <v>0</v>
      </c>
      <c r="CL198" s="20">
        <f ca="1">IF(Table1[[#This Row],[County]]="Lancashire",Table1[[#This Row],[income]],0)</f>
        <v>0</v>
      </c>
      <c r="CM198" s="20">
        <f ca="1">IF(Table1[[#This Row],[County]]="Merseyside",Table1[[#This Row],[income]],0)</f>
        <v>0</v>
      </c>
      <c r="CN198" s="20">
        <f ca="1">IF(Table1[[#This Row],[County]]="Northamptonshire",Table1[[#This Row],[income]],0)</f>
        <v>0</v>
      </c>
      <c r="CO198" s="20">
        <f ca="1">IF(Table1[[#This Row],[County]]="Northumberland",Table1[[#This Row],[income]],0)</f>
        <v>0</v>
      </c>
      <c r="CP198" s="20">
        <f ca="1">IF(Table1[[#This Row],[County]]="Wiltshire",Table1[[#This Row],[income]],0)</f>
        <v>0</v>
      </c>
      <c r="CQ198" s="20">
        <f ca="1">IF(Table1[[#This Row],[County]]="West Midlands",Table1[[#This Row],[income]],0)</f>
        <v>0</v>
      </c>
      <c r="CR198" s="20">
        <f ca="1">IF(Table1[[#This Row],[County]]="Warwickshire",Table1[[#This Row],[income]],0)</f>
        <v>0</v>
      </c>
      <c r="CS198" s="20">
        <f ca="1">IF(Table1[[#This Row],[County]]="Tyne and Wear",Table1[[#This Row],[income]],0)</f>
        <v>0</v>
      </c>
      <c r="CT198" s="20">
        <f ca="1">IF(Table1[[#This Row],[County]]="Worcestershire",Table1[[#This Row],[income]],0)</f>
        <v>0</v>
      </c>
      <c r="CU198" s="20">
        <f ca="1">IF(Table1[[#This Row],[County]]="Rutland",Table1[[#This Row],[income]],0)</f>
        <v>0</v>
      </c>
      <c r="CV198" s="20">
        <f ca="1">IF(Table1[[#This Row],[County]]="Shropshire",Table1[[#This Row],[income]],0)</f>
        <v>0</v>
      </c>
      <c r="CW198" s="20">
        <f ca="1">IF(Table1[[#This Row],[County]]="Dorset",Table1[[#This Row],[income]],0)</f>
        <v>0</v>
      </c>
      <c r="CX198" s="20">
        <f ca="1">IF(Table1[[#This Row],[County]]="Buckinghamshire",Table1[[#This Row],[income]],0)</f>
        <v>0</v>
      </c>
      <c r="CY198" s="20">
        <f ca="1">IF(Table1[[#This Row],[County]]="Suffolk",Table1[[#This Row],[income]],0)</f>
        <v>0</v>
      </c>
      <c r="CZ198" s="20">
        <f ca="1">IF(Table1[[#This Row],[County]]="North Yorkshire",Table1[[#This Row],[income]],0)</f>
        <v>0</v>
      </c>
      <c r="DA198" s="20">
        <f ca="1">IF(Table1[[#This Row],[County]]="Kent",Table1[[#This Row],[income]],0)</f>
        <v>0</v>
      </c>
      <c r="DB198" s="5">
        <f ca="1">IF(Table1[[#This Row],[County]]="Derbyshire",Table1[[#This Row],[income]],0)</f>
        <v>0</v>
      </c>
      <c r="DD198" s="6">
        <f ca="1">IF(Table1[[#This Row],[Column1]]="Health",Table1[[#This Row],[income]],0)</f>
        <v>0</v>
      </c>
      <c r="DE198" s="20">
        <f ca="1">IF(Table1[[#This Row],[Column1]]="Agriculture",Table1[[#This Row],[income]],0)</f>
        <v>0</v>
      </c>
      <c r="DF198" s="20">
        <f ca="1">IF(Table1[[#This Row],[Column1]]="Technology",Table1[[#This Row],[income]],0)</f>
        <v>0</v>
      </c>
      <c r="DG198" s="20">
        <f ca="1">IF(Table1[[#This Row],[Column1]]="Social Service",Table1[[#This Row],[income]],0)</f>
        <v>0</v>
      </c>
      <c r="DH198" s="20">
        <f ca="1">IF(Table1[[#This Row],[Column1]]="Education",Table1[[#This Row],[income]],0)</f>
        <v>61285</v>
      </c>
      <c r="DI198" s="5">
        <f ca="1">IF(Table1[[#This Row],[Column1]]="Construction",Table1[[#This Row],[income]],0)</f>
        <v>0</v>
      </c>
      <c r="DK198" s="6">
        <f ca="1">IF(Table1[[#This Row],[Value of Debts]]&gt;Table1[[#This Row],[income]],1,0)</f>
        <v>1</v>
      </c>
      <c r="DL198" s="20"/>
      <c r="DM198" s="20"/>
      <c r="DN198" s="5"/>
      <c r="DP198" s="6">
        <f ca="1">IF(Table1[[#This Row],[Net Worth (£)]]&gt;$DS$5,C198,0)</f>
        <v>29</v>
      </c>
      <c r="DQ198" s="20"/>
      <c r="DR198" s="20"/>
      <c r="DS198" s="5"/>
    </row>
    <row r="199" spans="1:123" x14ac:dyDescent="0.2">
      <c r="A199">
        <f t="shared" ca="1" si="10"/>
        <v>2</v>
      </c>
      <c r="B199" s="1" t="str">
        <f ca="1">IF(A199=1, "men", "women")</f>
        <v>women</v>
      </c>
      <c r="C199" s="1">
        <f ca="1">RANDBETWEEN(25,50)</f>
        <v>31</v>
      </c>
      <c r="D199">
        <f ca="1">RANDBETWEEN(1,6)</f>
        <v>6</v>
      </c>
      <c r="E199" t="str">
        <f ca="1">VLOOKUP(D199,$W$5:$X$10,2)</f>
        <v>Agriculture</v>
      </c>
      <c r="F199">
        <f ca="1">RANDBETWEEN(1,5)</f>
        <v>2</v>
      </c>
      <c r="G199" t="str">
        <f ca="1">VLOOKUP(F199,$Y$5:$Z$9,2)</f>
        <v>College</v>
      </c>
      <c r="H199">
        <f ca="1">RANDBETWEEN(0,4)</f>
        <v>1</v>
      </c>
      <c r="I199">
        <f ca="1">RANDBETWEEN(1,3)</f>
        <v>1</v>
      </c>
      <c r="J199">
        <f ca="1">RANDBETWEEN(30000,100000)</f>
        <v>86323</v>
      </c>
      <c r="K199">
        <f ca="1">RANDBETWEEN(1,48)</f>
        <v>12</v>
      </c>
      <c r="L199" t="str">
        <f ca="1">VLOOKUP(K199,$AA$5:$AB$52,2)</f>
        <v>Dorset</v>
      </c>
      <c r="M199">
        <f ca="1">J199*(RANDBETWEEN(2,5))</f>
        <v>258969</v>
      </c>
      <c r="N199">
        <f ca="1">RAND()*M199</f>
        <v>142765.47598385366</v>
      </c>
      <c r="O199">
        <f ca="1">I199*RAND()*J199</f>
        <v>2310.1933039174251</v>
      </c>
      <c r="P199">
        <f ca="1">RANDBETWEEN(0,O199)</f>
        <v>1955</v>
      </c>
      <c r="Q199">
        <f ca="1">RAND()*J199*2</f>
        <v>140264.29284290012</v>
      </c>
      <c r="R199">
        <f ca="1">RAND()*J199*1.5</f>
        <v>90864.731402033911</v>
      </c>
      <c r="S199">
        <f ca="1">J199+R199+O199</f>
        <v>179497.92470595133</v>
      </c>
      <c r="T199">
        <f ca="1">N199+P199+Q199</f>
        <v>284984.76882675377</v>
      </c>
      <c r="U199">
        <f ca="1">S199-T199</f>
        <v>-105486.84412080245</v>
      </c>
      <c r="AC199" s="6">
        <f ca="1">IF(Table1[[#This Row],[gender]]="men",1,0)</f>
        <v>0</v>
      </c>
      <c r="AD199">
        <f ca="1">IF(Table1[[#This Row],[gender]]="women",1,0)</f>
        <v>1</v>
      </c>
      <c r="AH199" s="5"/>
      <c r="AJ199" s="6">
        <f ca="1">IF(Table1[[#This Row],[Column1]]="Health",1,0)</f>
        <v>0</v>
      </c>
      <c r="AK199">
        <f ca="1">IF(Table1[[#This Row],[Column1]]="Construction",1,0)</f>
        <v>0</v>
      </c>
      <c r="AL199">
        <f ca="1">IF(Table1[[#This Row],[Column1]]="Technology",1,0)</f>
        <v>0</v>
      </c>
      <c r="AM199">
        <f ca="1">IF(Table1[[#This Row],[Column1]]="Education",1,0)</f>
        <v>0</v>
      </c>
      <c r="AN199">
        <f ca="1">IF(Table1[[#This Row],[Column1]]="Agriculture",1,0)</f>
        <v>1</v>
      </c>
      <c r="AO199">
        <f ca="1">IF(Table1[[#This Row],[Column1]]="Social Service", 1, 0)</f>
        <v>0</v>
      </c>
      <c r="AT199" s="5"/>
      <c r="AV199" s="17">
        <f t="shared" ca="1" si="9"/>
        <v>32600.577640156625</v>
      </c>
      <c r="AW199" s="5"/>
      <c r="AX199" s="6">
        <f ca="1">IF(Table1[[#This Row],[Value of Debts]]&gt;$AY$4,1,0)</f>
        <v>1</v>
      </c>
      <c r="AY199" s="20"/>
      <c r="AZ199" s="20"/>
      <c r="BA199" s="5"/>
      <c r="BB199" s="25">
        <f ca="1">Table1[[#This Row],[Mortage Left]]/Table1[[#This Row],[Value of House]]</f>
        <v>0.55128403779546453</v>
      </c>
      <c r="BC199" s="20">
        <f t="shared" ca="1" si="11"/>
        <v>0</v>
      </c>
      <c r="BD199" s="20"/>
      <c r="BE199" s="20"/>
      <c r="BF199" s="20"/>
      <c r="BG199" s="6">
        <f ca="1">IF(Table1[[#This Row],[County]]="Cumbria",Table1[[#This Row],[income]],0)</f>
        <v>0</v>
      </c>
      <c r="BH199" s="20">
        <f ca="1">IF(Table1[[#This Row],[County]]="Cheshire",Table1[[#This Row],[income]],0)</f>
        <v>0</v>
      </c>
      <c r="BI199" s="20">
        <f ca="1">IF(Table1[[#This Row],[County]]="Bristol",Table1[[#This Row],[income]],0)</f>
        <v>0</v>
      </c>
      <c r="BJ199" s="20">
        <f ca="1">IF(Table1[[#This Row],[County]]="Surrey",Table1[[#This Row],[income]],0)</f>
        <v>0</v>
      </c>
      <c r="BK199" s="20">
        <f ca="1">IF(Table1[[#This Row],[County]]="Norfolk",Table1[[#This Row],[income]],0)</f>
        <v>0</v>
      </c>
      <c r="BL199" s="20">
        <f ca="1">IF(Table1[[#This Row],[County]]="Lincolnshire",Table1[[#This Row],[income]],0)</f>
        <v>0</v>
      </c>
      <c r="BM199" s="20">
        <f ca="1">IF(Table1[[#This Row],[County]]="Somerset",Table1[[#This Row],[income]],0)</f>
        <v>0</v>
      </c>
      <c r="BN199" s="20">
        <f ca="1">IF(Table1[[#This Row],[County]]="Cambridgeshire",Table1[[#This Row],[income]],0)</f>
        <v>0</v>
      </c>
      <c r="BO199" s="20">
        <f ca="1">IF(Table1[[#This Row],[County]]="South Yorkshire",Table1[[#This Row],[income]],0)</f>
        <v>0</v>
      </c>
      <c r="BP199" s="20">
        <f ca="1">IF(Table1[[#This Row],[County]]="Greater London",Table1[[#This Row],[income]],0)</f>
        <v>0</v>
      </c>
      <c r="BQ199" s="20">
        <f ca="1">IF(Table1[[#This Row],[County]]="Hampshire",Table1[[#This Row],[income]],0)</f>
        <v>0</v>
      </c>
      <c r="BR199" s="20">
        <f ca="1">IF(Table1[[#This Row],[County]]="Gloucestershire",Table1[[#This Row],[income]],0)</f>
        <v>0</v>
      </c>
      <c r="BS199" s="20">
        <f ca="1">IF(Table1[[#This Row],[County]]="West Sussex",Table1[[#This Row],[income]],0)</f>
        <v>0</v>
      </c>
      <c r="BT199" s="20">
        <f ca="1">IF(Table1[[#This Row],[County]]="Devon",Table1[[#This Row],[income]],0)</f>
        <v>0</v>
      </c>
      <c r="BU199" s="20">
        <f ca="1">IF(Table1[[#This Row],[County]]="Berkshire",Table1[[#This Row],[income]],0)</f>
        <v>0</v>
      </c>
      <c r="BV199" s="20">
        <f ca="1">IF(Table1[[#This Row],[County]]="Staffordshire",Table1[[#This Row],[income]],0)</f>
        <v>0</v>
      </c>
      <c r="BW199" s="20">
        <f ca="1">IF(Table1[[#This Row],[County]]="Leicestershire",Table1[[#This Row],[income]],0)</f>
        <v>0</v>
      </c>
      <c r="BX199" s="20">
        <f ca="1">IF(Table1[[#This Row],[County]]="Cornwall",Table1[[#This Row],[income]],0)</f>
        <v>0</v>
      </c>
      <c r="BY199" s="20">
        <f ca="1">IF(Table1[[#This Row],[County]]="Isle of Wight",Table1[[#This Row],[income]],0)</f>
        <v>0</v>
      </c>
      <c r="BZ199" s="20">
        <f ca="1">IF(Table1[[#This Row],[County]]="Surrey",Table1[[#This Row],[income]],0)</f>
        <v>0</v>
      </c>
      <c r="CA199" s="20">
        <f ca="1">IF(Table1[[#This Row],[County]]="Derbyshire",Table1[[#This Row],[income]],0)</f>
        <v>0</v>
      </c>
      <c r="CB199" s="20">
        <f ca="1">IF(Table1[[#This Row],[County]]="City of London",Table1[[#This Row],[income]],0)</f>
        <v>0</v>
      </c>
      <c r="CC199" s="20">
        <f ca="1">IF(Table1[[#This Row],[County]]="Bedfordshire",Table1[[#This Row],[income]],0)</f>
        <v>0</v>
      </c>
      <c r="CD199" s="20">
        <f ca="1">IF(Table1[[#This Row],[County]]="County Durham",Table1[[#This Row],[income]],0)</f>
        <v>0</v>
      </c>
      <c r="CE199" s="20">
        <f ca="1">IF(Table1[[#This Row],[County]]="East Riding of Yorkshire",Table1[[#This Row],[income]],0)</f>
        <v>0</v>
      </c>
      <c r="CF199" s="20">
        <f ca="1">IF(Table1[[#This Row],[County]]="West Yorkshire",Table1[[#This Row],[income]],0)</f>
        <v>0</v>
      </c>
      <c r="CG199" s="20">
        <f ca="1">IF(Table1[[#This Row],[County]]="Essex",Table1[[#This Row],[income]],0)</f>
        <v>0</v>
      </c>
      <c r="CH199" s="20">
        <f ca="1">IF(Table1[[#This Row],[County]]="East Sussex",Table1[[#This Row],[income]],0)</f>
        <v>0</v>
      </c>
      <c r="CI199" s="20">
        <f ca="1">IF(Table1[[#This Row],[County]]="Greater Manchester",Table1[[#This Row],[income]],0)</f>
        <v>0</v>
      </c>
      <c r="CJ199" s="20">
        <f ca="1">IF(Table1[[#This Row],[County]]="Hertfordshire",Table1[[#This Row],[income]],0)</f>
        <v>0</v>
      </c>
      <c r="CK199" s="20">
        <f ca="1">IF(Table1[[#This Row],[County]]="Herefordshire",Table1[[#This Row],[income]],0)</f>
        <v>0</v>
      </c>
      <c r="CL199" s="20">
        <f ca="1">IF(Table1[[#This Row],[County]]="Lancashire",Table1[[#This Row],[income]],0)</f>
        <v>0</v>
      </c>
      <c r="CM199" s="20">
        <f ca="1">IF(Table1[[#This Row],[County]]="Merseyside",Table1[[#This Row],[income]],0)</f>
        <v>0</v>
      </c>
      <c r="CN199" s="20">
        <f ca="1">IF(Table1[[#This Row],[County]]="Northamptonshire",Table1[[#This Row],[income]],0)</f>
        <v>0</v>
      </c>
      <c r="CO199" s="20">
        <f ca="1">IF(Table1[[#This Row],[County]]="Northumberland",Table1[[#This Row],[income]],0)</f>
        <v>0</v>
      </c>
      <c r="CP199" s="20">
        <f ca="1">IF(Table1[[#This Row],[County]]="Wiltshire",Table1[[#This Row],[income]],0)</f>
        <v>0</v>
      </c>
      <c r="CQ199" s="20">
        <f ca="1">IF(Table1[[#This Row],[County]]="West Midlands",Table1[[#This Row],[income]],0)</f>
        <v>0</v>
      </c>
      <c r="CR199" s="20">
        <f ca="1">IF(Table1[[#This Row],[County]]="Warwickshire",Table1[[#This Row],[income]],0)</f>
        <v>0</v>
      </c>
      <c r="CS199" s="20">
        <f ca="1">IF(Table1[[#This Row],[County]]="Tyne and Wear",Table1[[#This Row],[income]],0)</f>
        <v>0</v>
      </c>
      <c r="CT199" s="20">
        <f ca="1">IF(Table1[[#This Row],[County]]="Worcestershire",Table1[[#This Row],[income]],0)</f>
        <v>0</v>
      </c>
      <c r="CU199" s="20">
        <f ca="1">IF(Table1[[#This Row],[County]]="Rutland",Table1[[#This Row],[income]],0)</f>
        <v>0</v>
      </c>
      <c r="CV199" s="20">
        <f ca="1">IF(Table1[[#This Row],[County]]="Shropshire",Table1[[#This Row],[income]],0)</f>
        <v>0</v>
      </c>
      <c r="CW199" s="20">
        <f ca="1">IF(Table1[[#This Row],[County]]="Dorset",Table1[[#This Row],[income]],0)</f>
        <v>86323</v>
      </c>
      <c r="CX199" s="20">
        <f ca="1">IF(Table1[[#This Row],[County]]="Buckinghamshire",Table1[[#This Row],[income]],0)</f>
        <v>0</v>
      </c>
      <c r="CY199" s="20">
        <f ca="1">IF(Table1[[#This Row],[County]]="Suffolk",Table1[[#This Row],[income]],0)</f>
        <v>0</v>
      </c>
      <c r="CZ199" s="20">
        <f ca="1">IF(Table1[[#This Row],[County]]="North Yorkshire",Table1[[#This Row],[income]],0)</f>
        <v>0</v>
      </c>
      <c r="DA199" s="20">
        <f ca="1">IF(Table1[[#This Row],[County]]="Kent",Table1[[#This Row],[income]],0)</f>
        <v>0</v>
      </c>
      <c r="DB199" s="5">
        <f ca="1">IF(Table1[[#This Row],[County]]="Derbyshire",Table1[[#This Row],[income]],0)</f>
        <v>0</v>
      </c>
      <c r="DD199" s="6">
        <f ca="1">IF(Table1[[#This Row],[Column1]]="Health",Table1[[#This Row],[income]],0)</f>
        <v>0</v>
      </c>
      <c r="DE199" s="20">
        <f ca="1">IF(Table1[[#This Row],[Column1]]="Agriculture",Table1[[#This Row],[income]],0)</f>
        <v>86323</v>
      </c>
      <c r="DF199" s="20">
        <f ca="1">IF(Table1[[#This Row],[Column1]]="Technology",Table1[[#This Row],[income]],0)</f>
        <v>0</v>
      </c>
      <c r="DG199" s="20">
        <f ca="1">IF(Table1[[#This Row],[Column1]]="Social Service",Table1[[#This Row],[income]],0)</f>
        <v>0</v>
      </c>
      <c r="DH199" s="20">
        <f ca="1">IF(Table1[[#This Row],[Column1]]="Education",Table1[[#This Row],[income]],0)</f>
        <v>0</v>
      </c>
      <c r="DI199" s="5">
        <f ca="1">IF(Table1[[#This Row],[Column1]]="Construction",Table1[[#This Row],[income]],0)</f>
        <v>0</v>
      </c>
      <c r="DK199" s="6">
        <f ca="1">IF(Table1[[#This Row],[Value of Debts]]&gt;Table1[[#This Row],[income]],1,0)</f>
        <v>1</v>
      </c>
      <c r="DL199" s="20"/>
      <c r="DM199" s="20"/>
      <c r="DN199" s="5"/>
      <c r="DP199" s="6">
        <f ca="1">IF(Table1[[#This Row],[Net Worth (£)]]&gt;$DS$5,C199,0)</f>
        <v>0</v>
      </c>
      <c r="DQ199" s="20"/>
      <c r="DR199" s="20"/>
      <c r="DS199" s="5"/>
    </row>
    <row r="200" spans="1:123" x14ac:dyDescent="0.2">
      <c r="A200">
        <f t="shared" ca="1" si="10"/>
        <v>2</v>
      </c>
      <c r="B200" s="1" t="str">
        <f ca="1">IF(A200=1, "men", "women")</f>
        <v>women</v>
      </c>
      <c r="C200" s="1">
        <f ca="1">RANDBETWEEN(25,50)</f>
        <v>39</v>
      </c>
      <c r="D200">
        <f ca="1">RANDBETWEEN(1,6)</f>
        <v>1</v>
      </c>
      <c r="E200" t="str">
        <f ca="1">VLOOKUP(D200,$W$5:$X$10,2)</f>
        <v>Health</v>
      </c>
      <c r="F200">
        <f ca="1">RANDBETWEEN(1,5)</f>
        <v>1</v>
      </c>
      <c r="G200" t="str">
        <f ca="1">VLOOKUP(F200,$Y$5:$Z$9,2)</f>
        <v>High School</v>
      </c>
      <c r="H200">
        <f ca="1">RANDBETWEEN(0,4)</f>
        <v>3</v>
      </c>
      <c r="I200">
        <f ca="1">RANDBETWEEN(1,3)</f>
        <v>1</v>
      </c>
      <c r="J200">
        <f ca="1">RANDBETWEEN(30000,100000)</f>
        <v>75032</v>
      </c>
      <c r="K200">
        <f ca="1">RANDBETWEEN(1,48)</f>
        <v>1</v>
      </c>
      <c r="L200" t="str">
        <f ca="1">VLOOKUP(K200,$AA$5:$AB$52,2)</f>
        <v>Bedfordshire</v>
      </c>
      <c r="M200">
        <f ca="1">J200*(RANDBETWEEN(2,5))</f>
        <v>375160</v>
      </c>
      <c r="N200">
        <f ca="1">RAND()*M200</f>
        <v>302904.54307619162</v>
      </c>
      <c r="O200">
        <f ca="1">I200*RAND()*J200</f>
        <v>32600.577640156625</v>
      </c>
      <c r="P200">
        <f ca="1">RANDBETWEEN(0,O200)</f>
        <v>24630</v>
      </c>
      <c r="Q200">
        <f ca="1">RAND()*J200*2</f>
        <v>108151.47124166084</v>
      </c>
      <c r="R200">
        <f ca="1">RAND()*J200*1.5</f>
        <v>7510.067626698743</v>
      </c>
      <c r="S200">
        <f ca="1">J200+R200+O200</f>
        <v>115142.64526685537</v>
      </c>
      <c r="T200">
        <f ca="1">N200+P200+Q200</f>
        <v>435686.01431785244</v>
      </c>
      <c r="U200">
        <f ca="1">S200-T200</f>
        <v>-320543.36905099708</v>
      </c>
      <c r="AC200" s="6">
        <f ca="1">IF(Table1[[#This Row],[gender]]="men",1,0)</f>
        <v>0</v>
      </c>
      <c r="AD200">
        <f ca="1">IF(Table1[[#This Row],[gender]]="women",1,0)</f>
        <v>1</v>
      </c>
      <c r="AH200" s="5"/>
      <c r="AJ200" s="6">
        <f ca="1">IF(Table1[[#This Row],[Column1]]="Health",1,0)</f>
        <v>1</v>
      </c>
      <c r="AK200">
        <f ca="1">IF(Table1[[#This Row],[Column1]]="Construction",1,0)</f>
        <v>0</v>
      </c>
      <c r="AL200">
        <f ca="1">IF(Table1[[#This Row],[Column1]]="Technology",1,0)</f>
        <v>0</v>
      </c>
      <c r="AM200">
        <f ca="1">IF(Table1[[#This Row],[Column1]]="Education",1,0)</f>
        <v>0</v>
      </c>
      <c r="AN200">
        <f ca="1">IF(Table1[[#This Row],[Column1]]="Agriculture",1,0)</f>
        <v>0</v>
      </c>
      <c r="AO200">
        <f ca="1">IF(Table1[[#This Row],[Column1]]="Social Service", 1, 0)</f>
        <v>0</v>
      </c>
      <c r="AT200" s="5"/>
      <c r="AV200" s="17">
        <f t="shared" ca="1" si="9"/>
        <v>35224.719969865037</v>
      </c>
      <c r="AW200" s="5"/>
      <c r="AX200" s="6">
        <f ca="1">IF(Table1[[#This Row],[Value of Debts]]&gt;$AY$4,1,0)</f>
        <v>1</v>
      </c>
      <c r="AY200" s="20"/>
      <c r="AZ200" s="20"/>
      <c r="BA200" s="5"/>
      <c r="BB200" s="25">
        <f ca="1">Table1[[#This Row],[Mortage Left]]/Table1[[#This Row],[Value of House]]</f>
        <v>0.80740095712813631</v>
      </c>
      <c r="BC200" s="20">
        <f t="shared" ca="1" si="11"/>
        <v>0</v>
      </c>
      <c r="BD200" s="20"/>
      <c r="BE200" s="20"/>
      <c r="BF200" s="20"/>
      <c r="BG200" s="6">
        <f ca="1">IF(Table1[[#This Row],[County]]="Cumbria",Table1[[#This Row],[income]],0)</f>
        <v>0</v>
      </c>
      <c r="BH200" s="20">
        <f ca="1">IF(Table1[[#This Row],[County]]="Cheshire",Table1[[#This Row],[income]],0)</f>
        <v>0</v>
      </c>
      <c r="BI200" s="20">
        <f ca="1">IF(Table1[[#This Row],[County]]="Bristol",Table1[[#This Row],[income]],0)</f>
        <v>0</v>
      </c>
      <c r="BJ200" s="20">
        <f ca="1">IF(Table1[[#This Row],[County]]="Surrey",Table1[[#This Row],[income]],0)</f>
        <v>0</v>
      </c>
      <c r="BK200" s="20">
        <f ca="1">IF(Table1[[#This Row],[County]]="Norfolk",Table1[[#This Row],[income]],0)</f>
        <v>0</v>
      </c>
      <c r="BL200" s="20">
        <f ca="1">IF(Table1[[#This Row],[County]]="Lincolnshire",Table1[[#This Row],[income]],0)</f>
        <v>0</v>
      </c>
      <c r="BM200" s="20">
        <f ca="1">IF(Table1[[#This Row],[County]]="Somerset",Table1[[#This Row],[income]],0)</f>
        <v>0</v>
      </c>
      <c r="BN200" s="20">
        <f ca="1">IF(Table1[[#This Row],[County]]="Cambridgeshire",Table1[[#This Row],[income]],0)</f>
        <v>0</v>
      </c>
      <c r="BO200" s="20">
        <f ca="1">IF(Table1[[#This Row],[County]]="South Yorkshire",Table1[[#This Row],[income]],0)</f>
        <v>0</v>
      </c>
      <c r="BP200" s="20">
        <f ca="1">IF(Table1[[#This Row],[County]]="Greater London",Table1[[#This Row],[income]],0)</f>
        <v>0</v>
      </c>
      <c r="BQ200" s="20">
        <f ca="1">IF(Table1[[#This Row],[County]]="Hampshire",Table1[[#This Row],[income]],0)</f>
        <v>0</v>
      </c>
      <c r="BR200" s="20">
        <f ca="1">IF(Table1[[#This Row],[County]]="Gloucestershire",Table1[[#This Row],[income]],0)</f>
        <v>0</v>
      </c>
      <c r="BS200" s="20">
        <f ca="1">IF(Table1[[#This Row],[County]]="West Sussex",Table1[[#This Row],[income]],0)</f>
        <v>0</v>
      </c>
      <c r="BT200" s="20">
        <f ca="1">IF(Table1[[#This Row],[County]]="Devon",Table1[[#This Row],[income]],0)</f>
        <v>0</v>
      </c>
      <c r="BU200" s="20">
        <f ca="1">IF(Table1[[#This Row],[County]]="Berkshire",Table1[[#This Row],[income]],0)</f>
        <v>0</v>
      </c>
      <c r="BV200" s="20">
        <f ca="1">IF(Table1[[#This Row],[County]]="Staffordshire",Table1[[#This Row],[income]],0)</f>
        <v>0</v>
      </c>
      <c r="BW200" s="20">
        <f ca="1">IF(Table1[[#This Row],[County]]="Leicestershire",Table1[[#This Row],[income]],0)</f>
        <v>0</v>
      </c>
      <c r="BX200" s="20">
        <f ca="1">IF(Table1[[#This Row],[County]]="Cornwall",Table1[[#This Row],[income]],0)</f>
        <v>0</v>
      </c>
      <c r="BY200" s="20">
        <f ca="1">IF(Table1[[#This Row],[County]]="Isle of Wight",Table1[[#This Row],[income]],0)</f>
        <v>0</v>
      </c>
      <c r="BZ200" s="20">
        <f ca="1">IF(Table1[[#This Row],[County]]="Surrey",Table1[[#This Row],[income]],0)</f>
        <v>0</v>
      </c>
      <c r="CA200" s="20">
        <f ca="1">IF(Table1[[#This Row],[County]]="Derbyshire",Table1[[#This Row],[income]],0)</f>
        <v>0</v>
      </c>
      <c r="CB200" s="20">
        <f ca="1">IF(Table1[[#This Row],[County]]="City of London",Table1[[#This Row],[income]],0)</f>
        <v>0</v>
      </c>
      <c r="CC200" s="20">
        <f ca="1">IF(Table1[[#This Row],[County]]="Bedfordshire",Table1[[#This Row],[income]],0)</f>
        <v>75032</v>
      </c>
      <c r="CD200" s="20">
        <f ca="1">IF(Table1[[#This Row],[County]]="County Durham",Table1[[#This Row],[income]],0)</f>
        <v>0</v>
      </c>
      <c r="CE200" s="20">
        <f ca="1">IF(Table1[[#This Row],[County]]="East Riding of Yorkshire",Table1[[#This Row],[income]],0)</f>
        <v>0</v>
      </c>
      <c r="CF200" s="20">
        <f ca="1">IF(Table1[[#This Row],[County]]="West Yorkshire",Table1[[#This Row],[income]],0)</f>
        <v>0</v>
      </c>
      <c r="CG200" s="20">
        <f ca="1">IF(Table1[[#This Row],[County]]="Essex",Table1[[#This Row],[income]],0)</f>
        <v>0</v>
      </c>
      <c r="CH200" s="20">
        <f ca="1">IF(Table1[[#This Row],[County]]="East Sussex",Table1[[#This Row],[income]],0)</f>
        <v>0</v>
      </c>
      <c r="CI200" s="20">
        <f ca="1">IF(Table1[[#This Row],[County]]="Greater Manchester",Table1[[#This Row],[income]],0)</f>
        <v>0</v>
      </c>
      <c r="CJ200" s="20">
        <f ca="1">IF(Table1[[#This Row],[County]]="Hertfordshire",Table1[[#This Row],[income]],0)</f>
        <v>0</v>
      </c>
      <c r="CK200" s="20">
        <f ca="1">IF(Table1[[#This Row],[County]]="Herefordshire",Table1[[#This Row],[income]],0)</f>
        <v>0</v>
      </c>
      <c r="CL200" s="20">
        <f ca="1">IF(Table1[[#This Row],[County]]="Lancashire",Table1[[#This Row],[income]],0)</f>
        <v>0</v>
      </c>
      <c r="CM200" s="20">
        <f ca="1">IF(Table1[[#This Row],[County]]="Merseyside",Table1[[#This Row],[income]],0)</f>
        <v>0</v>
      </c>
      <c r="CN200" s="20">
        <f ca="1">IF(Table1[[#This Row],[County]]="Northamptonshire",Table1[[#This Row],[income]],0)</f>
        <v>0</v>
      </c>
      <c r="CO200" s="20">
        <f ca="1">IF(Table1[[#This Row],[County]]="Northumberland",Table1[[#This Row],[income]],0)</f>
        <v>0</v>
      </c>
      <c r="CP200" s="20">
        <f ca="1">IF(Table1[[#This Row],[County]]="Wiltshire",Table1[[#This Row],[income]],0)</f>
        <v>0</v>
      </c>
      <c r="CQ200" s="20">
        <f ca="1">IF(Table1[[#This Row],[County]]="West Midlands",Table1[[#This Row],[income]],0)</f>
        <v>0</v>
      </c>
      <c r="CR200" s="20">
        <f ca="1">IF(Table1[[#This Row],[County]]="Warwickshire",Table1[[#This Row],[income]],0)</f>
        <v>0</v>
      </c>
      <c r="CS200" s="20">
        <f ca="1">IF(Table1[[#This Row],[County]]="Tyne and Wear",Table1[[#This Row],[income]],0)</f>
        <v>0</v>
      </c>
      <c r="CT200" s="20">
        <f ca="1">IF(Table1[[#This Row],[County]]="Worcestershire",Table1[[#This Row],[income]],0)</f>
        <v>0</v>
      </c>
      <c r="CU200" s="20">
        <f ca="1">IF(Table1[[#This Row],[County]]="Rutland",Table1[[#This Row],[income]],0)</f>
        <v>0</v>
      </c>
      <c r="CV200" s="20">
        <f ca="1">IF(Table1[[#This Row],[County]]="Shropshire",Table1[[#This Row],[income]],0)</f>
        <v>0</v>
      </c>
      <c r="CW200" s="20">
        <f ca="1">IF(Table1[[#This Row],[County]]="Dorset",Table1[[#This Row],[income]],0)</f>
        <v>0</v>
      </c>
      <c r="CX200" s="20">
        <f ca="1">IF(Table1[[#This Row],[County]]="Buckinghamshire",Table1[[#This Row],[income]],0)</f>
        <v>0</v>
      </c>
      <c r="CY200" s="20">
        <f ca="1">IF(Table1[[#This Row],[County]]="Suffolk",Table1[[#This Row],[income]],0)</f>
        <v>0</v>
      </c>
      <c r="CZ200" s="20">
        <f ca="1">IF(Table1[[#This Row],[County]]="North Yorkshire",Table1[[#This Row],[income]],0)</f>
        <v>0</v>
      </c>
      <c r="DA200" s="20">
        <f ca="1">IF(Table1[[#This Row],[County]]="Kent",Table1[[#This Row],[income]],0)</f>
        <v>0</v>
      </c>
      <c r="DB200" s="5">
        <f ca="1">IF(Table1[[#This Row],[County]]="Derbyshire",Table1[[#This Row],[income]],0)</f>
        <v>0</v>
      </c>
      <c r="DD200" s="6">
        <f ca="1">IF(Table1[[#This Row],[Column1]]="Health",Table1[[#This Row],[income]],0)</f>
        <v>75032</v>
      </c>
      <c r="DE200" s="20">
        <f ca="1">IF(Table1[[#This Row],[Column1]]="Agriculture",Table1[[#This Row],[income]],0)</f>
        <v>0</v>
      </c>
      <c r="DF200" s="20">
        <f ca="1">IF(Table1[[#This Row],[Column1]]="Technology",Table1[[#This Row],[income]],0)</f>
        <v>0</v>
      </c>
      <c r="DG200" s="20">
        <f ca="1">IF(Table1[[#This Row],[Column1]]="Social Service",Table1[[#This Row],[income]],0)</f>
        <v>0</v>
      </c>
      <c r="DH200" s="20">
        <f ca="1">IF(Table1[[#This Row],[Column1]]="Education",Table1[[#This Row],[income]],0)</f>
        <v>0</v>
      </c>
      <c r="DI200" s="5">
        <f ca="1">IF(Table1[[#This Row],[Column1]]="Construction",Table1[[#This Row],[income]],0)</f>
        <v>0</v>
      </c>
      <c r="DK200" s="6">
        <f ca="1">IF(Table1[[#This Row],[Value of Debts]]&gt;Table1[[#This Row],[income]],1,0)</f>
        <v>1</v>
      </c>
      <c r="DL200" s="20"/>
      <c r="DM200" s="20"/>
      <c r="DN200" s="5"/>
      <c r="DP200" s="6">
        <f ca="1">IF(Table1[[#This Row],[Net Worth (£)]]&gt;$DS$5,C200,0)</f>
        <v>0</v>
      </c>
      <c r="DQ200" s="20"/>
      <c r="DR200" s="20"/>
      <c r="DS200" s="5"/>
    </row>
    <row r="201" spans="1:123" x14ac:dyDescent="0.2">
      <c r="A201">
        <f t="shared" ca="1" si="10"/>
        <v>1</v>
      </c>
      <c r="B201" s="1" t="str">
        <f ca="1">IF(A201=1, "men", "women")</f>
        <v>men</v>
      </c>
      <c r="C201" s="1">
        <f ca="1">RANDBETWEEN(25,50)</f>
        <v>44</v>
      </c>
      <c r="D201">
        <f ca="1">RANDBETWEEN(1,6)</f>
        <v>6</v>
      </c>
      <c r="E201" t="str">
        <f ca="1">VLOOKUP(D201,$W$5:$X$10,2)</f>
        <v>Agriculture</v>
      </c>
      <c r="F201">
        <f ca="1">RANDBETWEEN(1,5)</f>
        <v>2</v>
      </c>
      <c r="G201" t="str">
        <f ca="1">VLOOKUP(F201,$Y$5:$Z$9,2)</f>
        <v>College</v>
      </c>
      <c r="H201">
        <f ca="1">RANDBETWEEN(0,4)</f>
        <v>4</v>
      </c>
      <c r="I201">
        <f ca="1">RANDBETWEEN(1,3)</f>
        <v>1</v>
      </c>
      <c r="J201">
        <f ca="1">RANDBETWEEN(30000,100000)</f>
        <v>66565</v>
      </c>
      <c r="K201">
        <f ca="1">RANDBETWEEN(1,48)</f>
        <v>30</v>
      </c>
      <c r="L201" t="str">
        <f ca="1">VLOOKUP(K201,$AA$5:$AB$52,2)</f>
        <v>North Yorkshire</v>
      </c>
      <c r="M201">
        <f ca="1">J201*(RANDBETWEEN(2,5))</f>
        <v>199695</v>
      </c>
      <c r="N201">
        <f ca="1">RAND()*M201</f>
        <v>189737.37433169756</v>
      </c>
      <c r="O201">
        <f ca="1">I201*RAND()*J201</f>
        <v>35224.719969865037</v>
      </c>
      <c r="P201">
        <f ca="1">RANDBETWEEN(0,O201)</f>
        <v>11985</v>
      </c>
      <c r="Q201">
        <f ca="1">RAND()*J201*2</f>
        <v>76708.221744413488</v>
      </c>
      <c r="R201">
        <f ca="1">RAND()*J201*1.5</f>
        <v>86923.165149845125</v>
      </c>
      <c r="S201">
        <f ca="1">J201+R201+O201</f>
        <v>188712.88511971018</v>
      </c>
      <c r="T201">
        <f ca="1">N201+P201+Q201</f>
        <v>278430.59607611108</v>
      </c>
      <c r="U201">
        <f ca="1">S201-T201</f>
        <v>-89717.710956400901</v>
      </c>
      <c r="AC201" s="6">
        <f ca="1">IF(Table1[[#This Row],[gender]]="men",1,0)</f>
        <v>1</v>
      </c>
      <c r="AD201">
        <f ca="1">IF(Table1[[#This Row],[gender]]="women",1,0)</f>
        <v>0</v>
      </c>
      <c r="AH201" s="5"/>
      <c r="AJ201" s="6">
        <f ca="1">IF(Table1[[#This Row],[Column1]]="Health",1,0)</f>
        <v>0</v>
      </c>
      <c r="AK201">
        <f ca="1">IF(Table1[[#This Row],[Column1]]="Construction",1,0)</f>
        <v>0</v>
      </c>
      <c r="AL201">
        <f ca="1">IF(Table1[[#This Row],[Column1]]="Technology",1,0)</f>
        <v>0</v>
      </c>
      <c r="AM201">
        <f ca="1">IF(Table1[[#This Row],[Column1]]="Education",1,0)</f>
        <v>0</v>
      </c>
      <c r="AN201">
        <f ca="1">IF(Table1[[#This Row],[Column1]]="Agriculture",1,0)</f>
        <v>1</v>
      </c>
      <c r="AO201">
        <f ca="1">IF(Table1[[#This Row],[Column1]]="Social Service", 1, 0)</f>
        <v>0</v>
      </c>
      <c r="AT201" s="5"/>
      <c r="AV201" s="17">
        <f t="shared" ca="1" si="9"/>
        <v>66075.028399321644</v>
      </c>
      <c r="AW201" s="5"/>
      <c r="AX201" s="6">
        <f ca="1">IF(Table1[[#This Row],[Value of Debts]]&gt;$AY$4,1,0)</f>
        <v>1</v>
      </c>
      <c r="AY201" s="20"/>
      <c r="AZ201" s="20"/>
      <c r="BA201" s="5"/>
      <c r="BB201" s="25">
        <f ca="1">Table1[[#This Row],[Mortage Left]]/Table1[[#This Row],[Value of House]]</f>
        <v>0.95013582879740388</v>
      </c>
      <c r="BC201" s="20">
        <f t="shared" ca="1" si="11"/>
        <v>0</v>
      </c>
      <c r="BD201" s="20"/>
      <c r="BE201" s="20"/>
      <c r="BF201" s="20"/>
      <c r="BG201" s="6">
        <f ca="1">IF(Table1[[#This Row],[County]]="Cumbria",Table1[[#This Row],[income]],0)</f>
        <v>0</v>
      </c>
      <c r="BH201" s="20">
        <f ca="1">IF(Table1[[#This Row],[County]]="Cheshire",Table1[[#This Row],[income]],0)</f>
        <v>0</v>
      </c>
      <c r="BI201" s="20">
        <f ca="1">IF(Table1[[#This Row],[County]]="Bristol",Table1[[#This Row],[income]],0)</f>
        <v>0</v>
      </c>
      <c r="BJ201" s="20">
        <f ca="1">IF(Table1[[#This Row],[County]]="Surrey",Table1[[#This Row],[income]],0)</f>
        <v>0</v>
      </c>
      <c r="BK201" s="20">
        <f ca="1">IF(Table1[[#This Row],[County]]="Norfolk",Table1[[#This Row],[income]],0)</f>
        <v>0</v>
      </c>
      <c r="BL201" s="20">
        <f ca="1">IF(Table1[[#This Row],[County]]="Lincolnshire",Table1[[#This Row],[income]],0)</f>
        <v>0</v>
      </c>
      <c r="BM201" s="20">
        <f ca="1">IF(Table1[[#This Row],[County]]="Somerset",Table1[[#This Row],[income]],0)</f>
        <v>0</v>
      </c>
      <c r="BN201" s="20">
        <f ca="1">IF(Table1[[#This Row],[County]]="Cambridgeshire",Table1[[#This Row],[income]],0)</f>
        <v>0</v>
      </c>
      <c r="BO201" s="20">
        <f ca="1">IF(Table1[[#This Row],[County]]="South Yorkshire",Table1[[#This Row],[income]],0)</f>
        <v>0</v>
      </c>
      <c r="BP201" s="20">
        <f ca="1">IF(Table1[[#This Row],[County]]="Greater London",Table1[[#This Row],[income]],0)</f>
        <v>0</v>
      </c>
      <c r="BQ201" s="20">
        <f ca="1">IF(Table1[[#This Row],[County]]="Hampshire",Table1[[#This Row],[income]],0)</f>
        <v>0</v>
      </c>
      <c r="BR201" s="20">
        <f ca="1">IF(Table1[[#This Row],[County]]="Gloucestershire",Table1[[#This Row],[income]],0)</f>
        <v>0</v>
      </c>
      <c r="BS201" s="20">
        <f ca="1">IF(Table1[[#This Row],[County]]="West Sussex",Table1[[#This Row],[income]],0)</f>
        <v>0</v>
      </c>
      <c r="BT201" s="20">
        <f ca="1">IF(Table1[[#This Row],[County]]="Devon",Table1[[#This Row],[income]],0)</f>
        <v>0</v>
      </c>
      <c r="BU201" s="20">
        <f ca="1">IF(Table1[[#This Row],[County]]="Berkshire",Table1[[#This Row],[income]],0)</f>
        <v>0</v>
      </c>
      <c r="BV201" s="20">
        <f ca="1">IF(Table1[[#This Row],[County]]="Staffordshire",Table1[[#This Row],[income]],0)</f>
        <v>0</v>
      </c>
      <c r="BW201" s="20">
        <f ca="1">IF(Table1[[#This Row],[County]]="Leicestershire",Table1[[#This Row],[income]],0)</f>
        <v>0</v>
      </c>
      <c r="BX201" s="20">
        <f ca="1">IF(Table1[[#This Row],[County]]="Cornwall",Table1[[#This Row],[income]],0)</f>
        <v>0</v>
      </c>
      <c r="BY201" s="20">
        <f ca="1">IF(Table1[[#This Row],[County]]="Isle of Wight",Table1[[#This Row],[income]],0)</f>
        <v>0</v>
      </c>
      <c r="BZ201" s="20">
        <f ca="1">IF(Table1[[#This Row],[County]]="Surrey",Table1[[#This Row],[income]],0)</f>
        <v>0</v>
      </c>
      <c r="CA201" s="20">
        <f ca="1">IF(Table1[[#This Row],[County]]="Derbyshire",Table1[[#This Row],[income]],0)</f>
        <v>0</v>
      </c>
      <c r="CB201" s="20">
        <f ca="1">IF(Table1[[#This Row],[County]]="City of London",Table1[[#This Row],[income]],0)</f>
        <v>0</v>
      </c>
      <c r="CC201" s="20">
        <f ca="1">IF(Table1[[#This Row],[County]]="Bedfordshire",Table1[[#This Row],[income]],0)</f>
        <v>0</v>
      </c>
      <c r="CD201" s="20">
        <f ca="1">IF(Table1[[#This Row],[County]]="County Durham",Table1[[#This Row],[income]],0)</f>
        <v>0</v>
      </c>
      <c r="CE201" s="20">
        <f ca="1">IF(Table1[[#This Row],[County]]="East Riding of Yorkshire",Table1[[#This Row],[income]],0)</f>
        <v>0</v>
      </c>
      <c r="CF201" s="20">
        <f ca="1">IF(Table1[[#This Row],[County]]="West Yorkshire",Table1[[#This Row],[income]],0)</f>
        <v>0</v>
      </c>
      <c r="CG201" s="20">
        <f ca="1">IF(Table1[[#This Row],[County]]="Essex",Table1[[#This Row],[income]],0)</f>
        <v>0</v>
      </c>
      <c r="CH201" s="20">
        <f ca="1">IF(Table1[[#This Row],[County]]="East Sussex",Table1[[#This Row],[income]],0)</f>
        <v>0</v>
      </c>
      <c r="CI201" s="20">
        <f ca="1">IF(Table1[[#This Row],[County]]="Greater Manchester",Table1[[#This Row],[income]],0)</f>
        <v>0</v>
      </c>
      <c r="CJ201" s="20">
        <f ca="1">IF(Table1[[#This Row],[County]]="Hertfordshire",Table1[[#This Row],[income]],0)</f>
        <v>0</v>
      </c>
      <c r="CK201" s="20">
        <f ca="1">IF(Table1[[#This Row],[County]]="Herefordshire",Table1[[#This Row],[income]],0)</f>
        <v>0</v>
      </c>
      <c r="CL201" s="20">
        <f ca="1">IF(Table1[[#This Row],[County]]="Lancashire",Table1[[#This Row],[income]],0)</f>
        <v>0</v>
      </c>
      <c r="CM201" s="20">
        <f ca="1">IF(Table1[[#This Row],[County]]="Merseyside",Table1[[#This Row],[income]],0)</f>
        <v>0</v>
      </c>
      <c r="CN201" s="20">
        <f ca="1">IF(Table1[[#This Row],[County]]="Northamptonshire",Table1[[#This Row],[income]],0)</f>
        <v>0</v>
      </c>
      <c r="CO201" s="20">
        <f ca="1">IF(Table1[[#This Row],[County]]="Northumberland",Table1[[#This Row],[income]],0)</f>
        <v>0</v>
      </c>
      <c r="CP201" s="20">
        <f ca="1">IF(Table1[[#This Row],[County]]="Wiltshire",Table1[[#This Row],[income]],0)</f>
        <v>0</v>
      </c>
      <c r="CQ201" s="20">
        <f ca="1">IF(Table1[[#This Row],[County]]="West Midlands",Table1[[#This Row],[income]],0)</f>
        <v>0</v>
      </c>
      <c r="CR201" s="20">
        <f ca="1">IF(Table1[[#This Row],[County]]="Warwickshire",Table1[[#This Row],[income]],0)</f>
        <v>0</v>
      </c>
      <c r="CS201" s="20">
        <f ca="1">IF(Table1[[#This Row],[County]]="Tyne and Wear",Table1[[#This Row],[income]],0)</f>
        <v>0</v>
      </c>
      <c r="CT201" s="20">
        <f ca="1">IF(Table1[[#This Row],[County]]="Worcestershire",Table1[[#This Row],[income]],0)</f>
        <v>0</v>
      </c>
      <c r="CU201" s="20">
        <f ca="1">IF(Table1[[#This Row],[County]]="Rutland",Table1[[#This Row],[income]],0)</f>
        <v>0</v>
      </c>
      <c r="CV201" s="20">
        <f ca="1">IF(Table1[[#This Row],[County]]="Shropshire",Table1[[#This Row],[income]],0)</f>
        <v>0</v>
      </c>
      <c r="CW201" s="20">
        <f ca="1">IF(Table1[[#This Row],[County]]="Dorset",Table1[[#This Row],[income]],0)</f>
        <v>0</v>
      </c>
      <c r="CX201" s="20">
        <f ca="1">IF(Table1[[#This Row],[County]]="Buckinghamshire",Table1[[#This Row],[income]],0)</f>
        <v>0</v>
      </c>
      <c r="CY201" s="20">
        <f ca="1">IF(Table1[[#This Row],[County]]="Suffolk",Table1[[#This Row],[income]],0)</f>
        <v>0</v>
      </c>
      <c r="CZ201" s="20">
        <f ca="1">IF(Table1[[#This Row],[County]]="North Yorkshire",Table1[[#This Row],[income]],0)</f>
        <v>66565</v>
      </c>
      <c r="DA201" s="20">
        <f ca="1">IF(Table1[[#This Row],[County]]="Kent",Table1[[#This Row],[income]],0)</f>
        <v>0</v>
      </c>
      <c r="DB201" s="5">
        <f ca="1">IF(Table1[[#This Row],[County]]="Derbyshire",Table1[[#This Row],[income]],0)</f>
        <v>0</v>
      </c>
      <c r="DD201" s="6">
        <f ca="1">IF(Table1[[#This Row],[Column1]]="Health",Table1[[#This Row],[income]],0)</f>
        <v>0</v>
      </c>
      <c r="DE201" s="20">
        <f ca="1">IF(Table1[[#This Row],[Column1]]="Agriculture",Table1[[#This Row],[income]],0)</f>
        <v>66565</v>
      </c>
      <c r="DF201" s="20">
        <f ca="1">IF(Table1[[#This Row],[Column1]]="Technology",Table1[[#This Row],[income]],0)</f>
        <v>0</v>
      </c>
      <c r="DG201" s="20">
        <f ca="1">IF(Table1[[#This Row],[Column1]]="Social Service",Table1[[#This Row],[income]],0)</f>
        <v>0</v>
      </c>
      <c r="DH201" s="20">
        <f ca="1">IF(Table1[[#This Row],[Column1]]="Education",Table1[[#This Row],[income]],0)</f>
        <v>0</v>
      </c>
      <c r="DI201" s="5">
        <f ca="1">IF(Table1[[#This Row],[Column1]]="Construction",Table1[[#This Row],[income]],0)</f>
        <v>0</v>
      </c>
      <c r="DK201" s="6">
        <f ca="1">IF(Table1[[#This Row],[Value of Debts]]&gt;Table1[[#This Row],[income]],1,0)</f>
        <v>1</v>
      </c>
      <c r="DL201" s="20"/>
      <c r="DM201" s="20"/>
      <c r="DN201" s="5"/>
      <c r="DP201" s="6">
        <f ca="1">IF(Table1[[#This Row],[Net Worth (£)]]&gt;$DS$5,C201,0)</f>
        <v>0</v>
      </c>
      <c r="DQ201" s="20"/>
      <c r="DR201" s="20"/>
      <c r="DS201" s="5"/>
    </row>
    <row r="202" spans="1:123" x14ac:dyDescent="0.2">
      <c r="A202">
        <f t="shared" ca="1" si="10"/>
        <v>1</v>
      </c>
      <c r="B202" s="1" t="str">
        <f ca="1">IF(A202=1, "men", "women")</f>
        <v>men</v>
      </c>
      <c r="C202" s="1">
        <f ca="1">RANDBETWEEN(25,50)</f>
        <v>32</v>
      </c>
      <c r="D202">
        <f ca="1">RANDBETWEEN(1,6)</f>
        <v>1</v>
      </c>
      <c r="E202" t="str">
        <f ca="1">VLOOKUP(D202,$W$5:$X$10,2)</f>
        <v>Health</v>
      </c>
      <c r="F202">
        <f ca="1">RANDBETWEEN(1,5)</f>
        <v>4</v>
      </c>
      <c r="G202" t="str">
        <f ca="1">VLOOKUP(F202,$Y$5:$Z$9,2)</f>
        <v xml:space="preserve">Technical </v>
      </c>
      <c r="H202">
        <f ca="1">RANDBETWEEN(0,4)</f>
        <v>4</v>
      </c>
      <c r="I202">
        <f ca="1">RANDBETWEEN(1,3)</f>
        <v>1</v>
      </c>
      <c r="J202">
        <f ca="1">RANDBETWEEN(30000,100000)</f>
        <v>78641</v>
      </c>
      <c r="K202">
        <f ca="1">RANDBETWEEN(1,48)</f>
        <v>16</v>
      </c>
      <c r="L202" t="str">
        <f ca="1">VLOOKUP(K202,$AA$5:$AB$52,2)</f>
        <v>Essex</v>
      </c>
      <c r="M202">
        <f ca="1">J202*(RANDBETWEEN(2,5))</f>
        <v>314564</v>
      </c>
      <c r="N202">
        <f ca="1">RAND()*M202</f>
        <v>39951.315759546233</v>
      </c>
      <c r="O202">
        <f ca="1">I202*RAND()*J202</f>
        <v>66075.028399321644</v>
      </c>
      <c r="P202">
        <f ca="1">RANDBETWEEN(0,O202)</f>
        <v>47552</v>
      </c>
      <c r="Q202">
        <f ca="1">RAND()*J202*2</f>
        <v>67915.138260292937</v>
      </c>
      <c r="R202">
        <f ca="1">RAND()*J202*1.5</f>
        <v>41221.379066784335</v>
      </c>
      <c r="S202">
        <f ca="1">J202+R202+O202</f>
        <v>185937.407466106</v>
      </c>
      <c r="T202">
        <f ca="1">N202+P202+Q202</f>
        <v>155418.45401983918</v>
      </c>
      <c r="U202">
        <f ca="1">S202-T202</f>
        <v>30518.953446266823</v>
      </c>
      <c r="AC202" s="6">
        <f ca="1">IF(Table1[[#This Row],[gender]]="men",1,0)</f>
        <v>1</v>
      </c>
      <c r="AD202">
        <f ca="1">IF(Table1[[#This Row],[gender]]="women",1,0)</f>
        <v>0</v>
      </c>
      <c r="AH202" s="5"/>
      <c r="AJ202" s="6">
        <f ca="1">IF(Table1[[#This Row],[Column1]]="Health",1,0)</f>
        <v>1</v>
      </c>
      <c r="AK202">
        <f ca="1">IF(Table1[[#This Row],[Column1]]="Construction",1,0)</f>
        <v>0</v>
      </c>
      <c r="AL202">
        <f ca="1">IF(Table1[[#This Row],[Column1]]="Technology",1,0)</f>
        <v>0</v>
      </c>
      <c r="AM202">
        <f ca="1">IF(Table1[[#This Row],[Column1]]="Education",1,0)</f>
        <v>0</v>
      </c>
      <c r="AN202">
        <f ca="1">IF(Table1[[#This Row],[Column1]]="Agriculture",1,0)</f>
        <v>0</v>
      </c>
      <c r="AO202">
        <f ca="1">IF(Table1[[#This Row],[Column1]]="Social Service", 1, 0)</f>
        <v>0</v>
      </c>
      <c r="AT202" s="5"/>
      <c r="AV202" s="17">
        <f t="shared" ca="1" si="9"/>
        <v>53968.800628384262</v>
      </c>
      <c r="AW202" s="5"/>
      <c r="AX202" s="6">
        <f ca="1">IF(Table1[[#This Row],[Value of Debts]]&gt;$AY$4,1,0)</f>
        <v>1</v>
      </c>
      <c r="AY202" s="20"/>
      <c r="AZ202" s="20"/>
      <c r="BA202" s="5"/>
      <c r="BB202" s="25">
        <f ca="1">Table1[[#This Row],[Mortage Left]]/Table1[[#This Row],[Value of House]]</f>
        <v>0.12700536539319895</v>
      </c>
      <c r="BC202" s="20">
        <f t="shared" ca="1" si="11"/>
        <v>1</v>
      </c>
      <c r="BD202" s="20"/>
      <c r="BE202" s="20"/>
      <c r="BF202" s="20"/>
      <c r="BG202" s="6">
        <f ca="1">IF(Table1[[#This Row],[County]]="Cumbria",Table1[[#This Row],[income]],0)</f>
        <v>0</v>
      </c>
      <c r="BH202" s="20">
        <f ca="1">IF(Table1[[#This Row],[County]]="Cheshire",Table1[[#This Row],[income]],0)</f>
        <v>0</v>
      </c>
      <c r="BI202" s="20">
        <f ca="1">IF(Table1[[#This Row],[County]]="Bristol",Table1[[#This Row],[income]],0)</f>
        <v>0</v>
      </c>
      <c r="BJ202" s="20">
        <f ca="1">IF(Table1[[#This Row],[County]]="Surrey",Table1[[#This Row],[income]],0)</f>
        <v>0</v>
      </c>
      <c r="BK202" s="20">
        <f ca="1">IF(Table1[[#This Row],[County]]="Norfolk",Table1[[#This Row],[income]],0)</f>
        <v>0</v>
      </c>
      <c r="BL202" s="20">
        <f ca="1">IF(Table1[[#This Row],[County]]="Lincolnshire",Table1[[#This Row],[income]],0)</f>
        <v>0</v>
      </c>
      <c r="BM202" s="20">
        <f ca="1">IF(Table1[[#This Row],[County]]="Somerset",Table1[[#This Row],[income]],0)</f>
        <v>0</v>
      </c>
      <c r="BN202" s="20">
        <f ca="1">IF(Table1[[#This Row],[County]]="Cambridgeshire",Table1[[#This Row],[income]],0)</f>
        <v>0</v>
      </c>
      <c r="BO202" s="20">
        <f ca="1">IF(Table1[[#This Row],[County]]="South Yorkshire",Table1[[#This Row],[income]],0)</f>
        <v>0</v>
      </c>
      <c r="BP202" s="20">
        <f ca="1">IF(Table1[[#This Row],[County]]="Greater London",Table1[[#This Row],[income]],0)</f>
        <v>0</v>
      </c>
      <c r="BQ202" s="20">
        <f ca="1">IF(Table1[[#This Row],[County]]="Hampshire",Table1[[#This Row],[income]],0)</f>
        <v>0</v>
      </c>
      <c r="BR202" s="20">
        <f ca="1">IF(Table1[[#This Row],[County]]="Gloucestershire",Table1[[#This Row],[income]],0)</f>
        <v>0</v>
      </c>
      <c r="BS202" s="20">
        <f ca="1">IF(Table1[[#This Row],[County]]="West Sussex",Table1[[#This Row],[income]],0)</f>
        <v>0</v>
      </c>
      <c r="BT202" s="20">
        <f ca="1">IF(Table1[[#This Row],[County]]="Devon",Table1[[#This Row],[income]],0)</f>
        <v>0</v>
      </c>
      <c r="BU202" s="20">
        <f ca="1">IF(Table1[[#This Row],[County]]="Berkshire",Table1[[#This Row],[income]],0)</f>
        <v>0</v>
      </c>
      <c r="BV202" s="20">
        <f ca="1">IF(Table1[[#This Row],[County]]="Staffordshire",Table1[[#This Row],[income]],0)</f>
        <v>0</v>
      </c>
      <c r="BW202" s="20">
        <f ca="1">IF(Table1[[#This Row],[County]]="Leicestershire",Table1[[#This Row],[income]],0)</f>
        <v>0</v>
      </c>
      <c r="BX202" s="20">
        <f ca="1">IF(Table1[[#This Row],[County]]="Cornwall",Table1[[#This Row],[income]],0)</f>
        <v>0</v>
      </c>
      <c r="BY202" s="20">
        <f ca="1">IF(Table1[[#This Row],[County]]="Isle of Wight",Table1[[#This Row],[income]],0)</f>
        <v>0</v>
      </c>
      <c r="BZ202" s="20">
        <f ca="1">IF(Table1[[#This Row],[County]]="Surrey",Table1[[#This Row],[income]],0)</f>
        <v>0</v>
      </c>
      <c r="CA202" s="20">
        <f ca="1">IF(Table1[[#This Row],[County]]="Derbyshire",Table1[[#This Row],[income]],0)</f>
        <v>0</v>
      </c>
      <c r="CB202" s="20">
        <f ca="1">IF(Table1[[#This Row],[County]]="City of London",Table1[[#This Row],[income]],0)</f>
        <v>0</v>
      </c>
      <c r="CC202" s="20">
        <f ca="1">IF(Table1[[#This Row],[County]]="Bedfordshire",Table1[[#This Row],[income]],0)</f>
        <v>0</v>
      </c>
      <c r="CD202" s="20">
        <f ca="1">IF(Table1[[#This Row],[County]]="County Durham",Table1[[#This Row],[income]],0)</f>
        <v>0</v>
      </c>
      <c r="CE202" s="20">
        <f ca="1">IF(Table1[[#This Row],[County]]="East Riding of Yorkshire",Table1[[#This Row],[income]],0)</f>
        <v>0</v>
      </c>
      <c r="CF202" s="20">
        <f ca="1">IF(Table1[[#This Row],[County]]="West Yorkshire",Table1[[#This Row],[income]],0)</f>
        <v>0</v>
      </c>
      <c r="CG202" s="20">
        <f ca="1">IF(Table1[[#This Row],[County]]="Essex",Table1[[#This Row],[income]],0)</f>
        <v>78641</v>
      </c>
      <c r="CH202" s="20">
        <f ca="1">IF(Table1[[#This Row],[County]]="East Sussex",Table1[[#This Row],[income]],0)</f>
        <v>0</v>
      </c>
      <c r="CI202" s="20">
        <f ca="1">IF(Table1[[#This Row],[County]]="Greater Manchester",Table1[[#This Row],[income]],0)</f>
        <v>0</v>
      </c>
      <c r="CJ202" s="20">
        <f ca="1">IF(Table1[[#This Row],[County]]="Hertfordshire",Table1[[#This Row],[income]],0)</f>
        <v>0</v>
      </c>
      <c r="CK202" s="20">
        <f ca="1">IF(Table1[[#This Row],[County]]="Herefordshire",Table1[[#This Row],[income]],0)</f>
        <v>0</v>
      </c>
      <c r="CL202" s="20">
        <f ca="1">IF(Table1[[#This Row],[County]]="Lancashire",Table1[[#This Row],[income]],0)</f>
        <v>0</v>
      </c>
      <c r="CM202" s="20">
        <f ca="1">IF(Table1[[#This Row],[County]]="Merseyside",Table1[[#This Row],[income]],0)</f>
        <v>0</v>
      </c>
      <c r="CN202" s="20">
        <f ca="1">IF(Table1[[#This Row],[County]]="Northamptonshire",Table1[[#This Row],[income]],0)</f>
        <v>0</v>
      </c>
      <c r="CO202" s="20">
        <f ca="1">IF(Table1[[#This Row],[County]]="Northumberland",Table1[[#This Row],[income]],0)</f>
        <v>0</v>
      </c>
      <c r="CP202" s="20">
        <f ca="1">IF(Table1[[#This Row],[County]]="Wiltshire",Table1[[#This Row],[income]],0)</f>
        <v>0</v>
      </c>
      <c r="CQ202" s="20">
        <f ca="1">IF(Table1[[#This Row],[County]]="West Midlands",Table1[[#This Row],[income]],0)</f>
        <v>0</v>
      </c>
      <c r="CR202" s="20">
        <f ca="1">IF(Table1[[#This Row],[County]]="Warwickshire",Table1[[#This Row],[income]],0)</f>
        <v>0</v>
      </c>
      <c r="CS202" s="20">
        <f ca="1">IF(Table1[[#This Row],[County]]="Tyne and Wear",Table1[[#This Row],[income]],0)</f>
        <v>0</v>
      </c>
      <c r="CT202" s="20">
        <f ca="1">IF(Table1[[#This Row],[County]]="Worcestershire",Table1[[#This Row],[income]],0)</f>
        <v>0</v>
      </c>
      <c r="CU202" s="20">
        <f ca="1">IF(Table1[[#This Row],[County]]="Rutland",Table1[[#This Row],[income]],0)</f>
        <v>0</v>
      </c>
      <c r="CV202" s="20">
        <f ca="1">IF(Table1[[#This Row],[County]]="Shropshire",Table1[[#This Row],[income]],0)</f>
        <v>0</v>
      </c>
      <c r="CW202" s="20">
        <f ca="1">IF(Table1[[#This Row],[County]]="Dorset",Table1[[#This Row],[income]],0)</f>
        <v>0</v>
      </c>
      <c r="CX202" s="20">
        <f ca="1">IF(Table1[[#This Row],[County]]="Buckinghamshire",Table1[[#This Row],[income]],0)</f>
        <v>0</v>
      </c>
      <c r="CY202" s="20">
        <f ca="1">IF(Table1[[#This Row],[County]]="Suffolk",Table1[[#This Row],[income]],0)</f>
        <v>0</v>
      </c>
      <c r="CZ202" s="20">
        <f ca="1">IF(Table1[[#This Row],[County]]="North Yorkshire",Table1[[#This Row],[income]],0)</f>
        <v>0</v>
      </c>
      <c r="DA202" s="20">
        <f ca="1">IF(Table1[[#This Row],[County]]="Kent",Table1[[#This Row],[income]],0)</f>
        <v>0</v>
      </c>
      <c r="DB202" s="5">
        <f ca="1">IF(Table1[[#This Row],[County]]="Derbyshire",Table1[[#This Row],[income]],0)</f>
        <v>0</v>
      </c>
      <c r="DD202" s="6">
        <f ca="1">IF(Table1[[#This Row],[Column1]]="Health",Table1[[#This Row],[income]],0)</f>
        <v>78641</v>
      </c>
      <c r="DE202" s="20">
        <f ca="1">IF(Table1[[#This Row],[Column1]]="Agriculture",Table1[[#This Row],[income]],0)</f>
        <v>0</v>
      </c>
      <c r="DF202" s="20">
        <f ca="1">IF(Table1[[#This Row],[Column1]]="Technology",Table1[[#This Row],[income]],0)</f>
        <v>0</v>
      </c>
      <c r="DG202" s="20">
        <f ca="1">IF(Table1[[#This Row],[Column1]]="Social Service",Table1[[#This Row],[income]],0)</f>
        <v>0</v>
      </c>
      <c r="DH202" s="20">
        <f ca="1">IF(Table1[[#This Row],[Column1]]="Education",Table1[[#This Row],[income]],0)</f>
        <v>0</v>
      </c>
      <c r="DI202" s="5">
        <f ca="1">IF(Table1[[#This Row],[Column1]]="Construction",Table1[[#This Row],[income]],0)</f>
        <v>0</v>
      </c>
      <c r="DK202" s="6">
        <f ca="1">IF(Table1[[#This Row],[Value of Debts]]&gt;Table1[[#This Row],[income]],1,0)</f>
        <v>1</v>
      </c>
      <c r="DL202" s="20"/>
      <c r="DM202" s="20"/>
      <c r="DN202" s="5"/>
      <c r="DP202" s="6">
        <f ca="1">IF(Table1[[#This Row],[Net Worth (£)]]&gt;$DS$5,C202,0)</f>
        <v>0</v>
      </c>
      <c r="DQ202" s="20"/>
      <c r="DR202" s="20"/>
      <c r="DS202" s="5"/>
    </row>
    <row r="203" spans="1:123" x14ac:dyDescent="0.2">
      <c r="A203">
        <f t="shared" ca="1" si="10"/>
        <v>1</v>
      </c>
      <c r="B203" s="1" t="str">
        <f ca="1">IF(A203=1, "men", "women")</f>
        <v>men</v>
      </c>
      <c r="C203" s="1">
        <f ca="1">RANDBETWEEN(25,50)</f>
        <v>34</v>
      </c>
      <c r="D203">
        <f ca="1">RANDBETWEEN(1,6)</f>
        <v>1</v>
      </c>
      <c r="E203" t="str">
        <f ca="1">VLOOKUP(D203,$W$5:$X$10,2)</f>
        <v>Health</v>
      </c>
      <c r="F203">
        <f ca="1">RANDBETWEEN(1,5)</f>
        <v>5</v>
      </c>
      <c r="G203" t="str">
        <f ca="1">VLOOKUP(F203,$Y$5:$Z$9,2)</f>
        <v>Other</v>
      </c>
      <c r="H203">
        <f ca="1">RANDBETWEEN(0,4)</f>
        <v>3</v>
      </c>
      <c r="I203">
        <f ca="1">RANDBETWEEN(1,3)</f>
        <v>2</v>
      </c>
      <c r="J203">
        <f ca="1">RANDBETWEEN(30000,100000)</f>
        <v>73136</v>
      </c>
      <c r="K203">
        <f ca="1">RANDBETWEEN(1,48)</f>
        <v>14</v>
      </c>
      <c r="L203" t="str">
        <f ca="1">VLOOKUP(K203,$AA$5:$AB$52,2)</f>
        <v>East Riding of Yorkshire</v>
      </c>
      <c r="M203">
        <f ca="1">J203*(RANDBETWEEN(2,5))</f>
        <v>146272</v>
      </c>
      <c r="N203">
        <f ca="1">RAND()*M203</f>
        <v>90791.932517611218</v>
      </c>
      <c r="O203">
        <f ca="1">I203*RAND()*J203</f>
        <v>107937.60125676852</v>
      </c>
      <c r="P203">
        <f ca="1">RANDBETWEEN(0,O203)</f>
        <v>105188</v>
      </c>
      <c r="Q203">
        <f ca="1">RAND()*J203*2</f>
        <v>91356.592202507469</v>
      </c>
      <c r="R203">
        <f ca="1">RAND()*J203*1.5</f>
        <v>22738.099367215862</v>
      </c>
      <c r="S203">
        <f ca="1">J203+R203+O203</f>
        <v>203811.70062398439</v>
      </c>
      <c r="T203">
        <f ca="1">N203+P203+Q203</f>
        <v>287336.52472011867</v>
      </c>
      <c r="U203">
        <f ca="1">S203-T203</f>
        <v>-83524.824096134282</v>
      </c>
      <c r="AC203" s="6">
        <f ca="1">IF(Table1[[#This Row],[gender]]="men",1,0)</f>
        <v>1</v>
      </c>
      <c r="AD203">
        <f ca="1">IF(Table1[[#This Row],[gender]]="women",1,0)</f>
        <v>0</v>
      </c>
      <c r="AH203" s="5"/>
      <c r="AJ203" s="6">
        <f ca="1">IF(Table1[[#This Row],[Column1]]="Health",1,0)</f>
        <v>1</v>
      </c>
      <c r="AK203">
        <f ca="1">IF(Table1[[#This Row],[Column1]]="Construction",1,0)</f>
        <v>0</v>
      </c>
      <c r="AL203">
        <f ca="1">IF(Table1[[#This Row],[Column1]]="Technology",1,0)</f>
        <v>0</v>
      </c>
      <c r="AM203">
        <f ca="1">IF(Table1[[#This Row],[Column1]]="Education",1,0)</f>
        <v>0</v>
      </c>
      <c r="AN203">
        <f ca="1">IF(Table1[[#This Row],[Column1]]="Agriculture",1,0)</f>
        <v>0</v>
      </c>
      <c r="AO203">
        <f ca="1">IF(Table1[[#This Row],[Column1]]="Social Service", 1, 0)</f>
        <v>0</v>
      </c>
      <c r="AT203" s="5"/>
      <c r="AV203" s="17">
        <f t="shared" ca="1" si="9"/>
        <v>19659.272125107596</v>
      </c>
      <c r="AW203" s="5"/>
      <c r="AX203" s="6">
        <f ca="1">IF(Table1[[#This Row],[Value of Debts]]&gt;$AY$4,1,0)</f>
        <v>1</v>
      </c>
      <c r="AY203" s="20"/>
      <c r="AZ203" s="20"/>
      <c r="BA203" s="5"/>
      <c r="BB203" s="25">
        <f ca="1">Table1[[#This Row],[Mortage Left]]/Table1[[#This Row],[Value of House]]</f>
        <v>0.62070616739780149</v>
      </c>
      <c r="BC203" s="20">
        <f t="shared" ca="1" si="11"/>
        <v>0</v>
      </c>
      <c r="BD203" s="20"/>
      <c r="BE203" s="20"/>
      <c r="BF203" s="20"/>
      <c r="BG203" s="6">
        <f ca="1">IF(Table1[[#This Row],[County]]="Cumbria",Table1[[#This Row],[income]],0)</f>
        <v>0</v>
      </c>
      <c r="BH203" s="20">
        <f ca="1">IF(Table1[[#This Row],[County]]="Cheshire",Table1[[#This Row],[income]],0)</f>
        <v>0</v>
      </c>
      <c r="BI203" s="20">
        <f ca="1">IF(Table1[[#This Row],[County]]="Bristol",Table1[[#This Row],[income]],0)</f>
        <v>0</v>
      </c>
      <c r="BJ203" s="20">
        <f ca="1">IF(Table1[[#This Row],[County]]="Surrey",Table1[[#This Row],[income]],0)</f>
        <v>0</v>
      </c>
      <c r="BK203" s="20">
        <f ca="1">IF(Table1[[#This Row],[County]]="Norfolk",Table1[[#This Row],[income]],0)</f>
        <v>0</v>
      </c>
      <c r="BL203" s="20">
        <f ca="1">IF(Table1[[#This Row],[County]]="Lincolnshire",Table1[[#This Row],[income]],0)</f>
        <v>0</v>
      </c>
      <c r="BM203" s="20">
        <f ca="1">IF(Table1[[#This Row],[County]]="Somerset",Table1[[#This Row],[income]],0)</f>
        <v>0</v>
      </c>
      <c r="BN203" s="20">
        <f ca="1">IF(Table1[[#This Row],[County]]="Cambridgeshire",Table1[[#This Row],[income]],0)</f>
        <v>0</v>
      </c>
      <c r="BO203" s="20">
        <f ca="1">IF(Table1[[#This Row],[County]]="South Yorkshire",Table1[[#This Row],[income]],0)</f>
        <v>0</v>
      </c>
      <c r="BP203" s="20">
        <f ca="1">IF(Table1[[#This Row],[County]]="Greater London",Table1[[#This Row],[income]],0)</f>
        <v>0</v>
      </c>
      <c r="BQ203" s="20">
        <f ca="1">IF(Table1[[#This Row],[County]]="Hampshire",Table1[[#This Row],[income]],0)</f>
        <v>0</v>
      </c>
      <c r="BR203" s="20">
        <f ca="1">IF(Table1[[#This Row],[County]]="Gloucestershire",Table1[[#This Row],[income]],0)</f>
        <v>0</v>
      </c>
      <c r="BS203" s="20">
        <f ca="1">IF(Table1[[#This Row],[County]]="West Sussex",Table1[[#This Row],[income]],0)</f>
        <v>0</v>
      </c>
      <c r="BT203" s="20">
        <f ca="1">IF(Table1[[#This Row],[County]]="Devon",Table1[[#This Row],[income]],0)</f>
        <v>0</v>
      </c>
      <c r="BU203" s="20">
        <f ca="1">IF(Table1[[#This Row],[County]]="Berkshire",Table1[[#This Row],[income]],0)</f>
        <v>0</v>
      </c>
      <c r="BV203" s="20">
        <f ca="1">IF(Table1[[#This Row],[County]]="Staffordshire",Table1[[#This Row],[income]],0)</f>
        <v>0</v>
      </c>
      <c r="BW203" s="20">
        <f ca="1">IF(Table1[[#This Row],[County]]="Leicestershire",Table1[[#This Row],[income]],0)</f>
        <v>0</v>
      </c>
      <c r="BX203" s="20">
        <f ca="1">IF(Table1[[#This Row],[County]]="Cornwall",Table1[[#This Row],[income]],0)</f>
        <v>0</v>
      </c>
      <c r="BY203" s="20">
        <f ca="1">IF(Table1[[#This Row],[County]]="Isle of Wight",Table1[[#This Row],[income]],0)</f>
        <v>0</v>
      </c>
      <c r="BZ203" s="20">
        <f ca="1">IF(Table1[[#This Row],[County]]="Surrey",Table1[[#This Row],[income]],0)</f>
        <v>0</v>
      </c>
      <c r="CA203" s="20">
        <f ca="1">IF(Table1[[#This Row],[County]]="Derbyshire",Table1[[#This Row],[income]],0)</f>
        <v>0</v>
      </c>
      <c r="CB203" s="20">
        <f ca="1">IF(Table1[[#This Row],[County]]="City of London",Table1[[#This Row],[income]],0)</f>
        <v>0</v>
      </c>
      <c r="CC203" s="20">
        <f ca="1">IF(Table1[[#This Row],[County]]="Bedfordshire",Table1[[#This Row],[income]],0)</f>
        <v>0</v>
      </c>
      <c r="CD203" s="20">
        <f ca="1">IF(Table1[[#This Row],[County]]="County Durham",Table1[[#This Row],[income]],0)</f>
        <v>0</v>
      </c>
      <c r="CE203" s="20">
        <f ca="1">IF(Table1[[#This Row],[County]]="East Riding of Yorkshire",Table1[[#This Row],[income]],0)</f>
        <v>73136</v>
      </c>
      <c r="CF203" s="20">
        <f ca="1">IF(Table1[[#This Row],[County]]="West Yorkshire",Table1[[#This Row],[income]],0)</f>
        <v>0</v>
      </c>
      <c r="CG203" s="20">
        <f ca="1">IF(Table1[[#This Row],[County]]="Essex",Table1[[#This Row],[income]],0)</f>
        <v>0</v>
      </c>
      <c r="CH203" s="20">
        <f ca="1">IF(Table1[[#This Row],[County]]="East Sussex",Table1[[#This Row],[income]],0)</f>
        <v>0</v>
      </c>
      <c r="CI203" s="20">
        <f ca="1">IF(Table1[[#This Row],[County]]="Greater Manchester",Table1[[#This Row],[income]],0)</f>
        <v>0</v>
      </c>
      <c r="CJ203" s="20">
        <f ca="1">IF(Table1[[#This Row],[County]]="Hertfordshire",Table1[[#This Row],[income]],0)</f>
        <v>0</v>
      </c>
      <c r="CK203" s="20">
        <f ca="1">IF(Table1[[#This Row],[County]]="Herefordshire",Table1[[#This Row],[income]],0)</f>
        <v>0</v>
      </c>
      <c r="CL203" s="20">
        <f ca="1">IF(Table1[[#This Row],[County]]="Lancashire",Table1[[#This Row],[income]],0)</f>
        <v>0</v>
      </c>
      <c r="CM203" s="20">
        <f ca="1">IF(Table1[[#This Row],[County]]="Merseyside",Table1[[#This Row],[income]],0)</f>
        <v>0</v>
      </c>
      <c r="CN203" s="20">
        <f ca="1">IF(Table1[[#This Row],[County]]="Northamptonshire",Table1[[#This Row],[income]],0)</f>
        <v>0</v>
      </c>
      <c r="CO203" s="20">
        <f ca="1">IF(Table1[[#This Row],[County]]="Northumberland",Table1[[#This Row],[income]],0)</f>
        <v>0</v>
      </c>
      <c r="CP203" s="20">
        <f ca="1">IF(Table1[[#This Row],[County]]="Wiltshire",Table1[[#This Row],[income]],0)</f>
        <v>0</v>
      </c>
      <c r="CQ203" s="20">
        <f ca="1">IF(Table1[[#This Row],[County]]="West Midlands",Table1[[#This Row],[income]],0)</f>
        <v>0</v>
      </c>
      <c r="CR203" s="20">
        <f ca="1">IF(Table1[[#This Row],[County]]="Warwickshire",Table1[[#This Row],[income]],0)</f>
        <v>0</v>
      </c>
      <c r="CS203" s="20">
        <f ca="1">IF(Table1[[#This Row],[County]]="Tyne and Wear",Table1[[#This Row],[income]],0)</f>
        <v>0</v>
      </c>
      <c r="CT203" s="20">
        <f ca="1">IF(Table1[[#This Row],[County]]="Worcestershire",Table1[[#This Row],[income]],0)</f>
        <v>0</v>
      </c>
      <c r="CU203" s="20">
        <f ca="1">IF(Table1[[#This Row],[County]]="Rutland",Table1[[#This Row],[income]],0)</f>
        <v>0</v>
      </c>
      <c r="CV203" s="20">
        <f ca="1">IF(Table1[[#This Row],[County]]="Shropshire",Table1[[#This Row],[income]],0)</f>
        <v>0</v>
      </c>
      <c r="CW203" s="20">
        <f ca="1">IF(Table1[[#This Row],[County]]="Dorset",Table1[[#This Row],[income]],0)</f>
        <v>0</v>
      </c>
      <c r="CX203" s="20">
        <f ca="1">IF(Table1[[#This Row],[County]]="Buckinghamshire",Table1[[#This Row],[income]],0)</f>
        <v>0</v>
      </c>
      <c r="CY203" s="20">
        <f ca="1">IF(Table1[[#This Row],[County]]="Suffolk",Table1[[#This Row],[income]],0)</f>
        <v>0</v>
      </c>
      <c r="CZ203" s="20">
        <f ca="1">IF(Table1[[#This Row],[County]]="North Yorkshire",Table1[[#This Row],[income]],0)</f>
        <v>0</v>
      </c>
      <c r="DA203" s="20">
        <f ca="1">IF(Table1[[#This Row],[County]]="Kent",Table1[[#This Row],[income]],0)</f>
        <v>0</v>
      </c>
      <c r="DB203" s="5">
        <f ca="1">IF(Table1[[#This Row],[County]]="Derbyshire",Table1[[#This Row],[income]],0)</f>
        <v>0</v>
      </c>
      <c r="DD203" s="6">
        <f ca="1">IF(Table1[[#This Row],[Column1]]="Health",Table1[[#This Row],[income]],0)</f>
        <v>73136</v>
      </c>
      <c r="DE203" s="20">
        <f ca="1">IF(Table1[[#This Row],[Column1]]="Agriculture",Table1[[#This Row],[income]],0)</f>
        <v>0</v>
      </c>
      <c r="DF203" s="20">
        <f ca="1">IF(Table1[[#This Row],[Column1]]="Technology",Table1[[#This Row],[income]],0)</f>
        <v>0</v>
      </c>
      <c r="DG203" s="20">
        <f ca="1">IF(Table1[[#This Row],[Column1]]="Social Service",Table1[[#This Row],[income]],0)</f>
        <v>0</v>
      </c>
      <c r="DH203" s="20">
        <f ca="1">IF(Table1[[#This Row],[Column1]]="Education",Table1[[#This Row],[income]],0)</f>
        <v>0</v>
      </c>
      <c r="DI203" s="5">
        <f ca="1">IF(Table1[[#This Row],[Column1]]="Construction",Table1[[#This Row],[income]],0)</f>
        <v>0</v>
      </c>
      <c r="DK203" s="6">
        <f ca="1">IF(Table1[[#This Row],[Value of Debts]]&gt;Table1[[#This Row],[income]],1,0)</f>
        <v>1</v>
      </c>
      <c r="DL203" s="20"/>
      <c r="DM203" s="20"/>
      <c r="DN203" s="5"/>
      <c r="DP203" s="6">
        <f ca="1">IF(Table1[[#This Row],[Net Worth (£)]]&gt;$DS$5,C203,0)</f>
        <v>0</v>
      </c>
      <c r="DQ203" s="20"/>
      <c r="DR203" s="20"/>
      <c r="DS203" s="5"/>
    </row>
    <row r="204" spans="1:123" x14ac:dyDescent="0.2">
      <c r="A204">
        <f t="shared" ca="1" si="10"/>
        <v>2</v>
      </c>
      <c r="B204" s="1" t="str">
        <f ca="1">IF(A204=1, "men", "women")</f>
        <v>women</v>
      </c>
      <c r="C204" s="1">
        <f ca="1">RANDBETWEEN(25,50)</f>
        <v>27</v>
      </c>
      <c r="D204">
        <f ca="1">RANDBETWEEN(1,6)</f>
        <v>4</v>
      </c>
      <c r="E204" t="str">
        <f ca="1">VLOOKUP(D204,$W$5:$X$10,2)</f>
        <v>Technology</v>
      </c>
      <c r="F204">
        <f ca="1">RANDBETWEEN(1,5)</f>
        <v>5</v>
      </c>
      <c r="G204" t="str">
        <f ca="1">VLOOKUP(F204,$Y$5:$Z$9,2)</f>
        <v>Other</v>
      </c>
      <c r="H204">
        <f ca="1">RANDBETWEEN(0,4)</f>
        <v>0</v>
      </c>
      <c r="I204">
        <f ca="1">RANDBETWEEN(1,3)</f>
        <v>2</v>
      </c>
      <c r="J204">
        <f ca="1">RANDBETWEEN(30000,100000)</f>
        <v>90680</v>
      </c>
      <c r="K204">
        <f ca="1">RANDBETWEEN(1,48)</f>
        <v>37</v>
      </c>
      <c r="L204" t="str">
        <f ca="1">VLOOKUP(K204,$AA$5:$AB$52,2)</f>
        <v>Somerset</v>
      </c>
      <c r="M204">
        <f ca="1">J204*(RANDBETWEEN(2,5))</f>
        <v>362720</v>
      </c>
      <c r="N204">
        <f ca="1">RAND()*M204</f>
        <v>309225.00181122188</v>
      </c>
      <c r="O204">
        <f ca="1">I204*RAND()*J204</f>
        <v>39318.544250215193</v>
      </c>
      <c r="P204">
        <f ca="1">RANDBETWEEN(0,O204)</f>
        <v>10710</v>
      </c>
      <c r="Q204">
        <f ca="1">RAND()*J204*2</f>
        <v>107541.77392133267</v>
      </c>
      <c r="R204">
        <f ca="1">RAND()*J204*1.5</f>
        <v>86963.497815588882</v>
      </c>
      <c r="S204">
        <f ca="1">J204+R204+O204</f>
        <v>216962.0420658041</v>
      </c>
      <c r="T204">
        <f ca="1">N204+P204+Q204</f>
        <v>427476.77573255455</v>
      </c>
      <c r="U204">
        <f ca="1">S204-T204</f>
        <v>-210514.73366675046</v>
      </c>
      <c r="AC204" s="6">
        <f ca="1">IF(Table1[[#This Row],[gender]]="men",1,0)</f>
        <v>0</v>
      </c>
      <c r="AD204">
        <f ca="1">IF(Table1[[#This Row],[gender]]="women",1,0)</f>
        <v>1</v>
      </c>
      <c r="AH204" s="5"/>
      <c r="AJ204" s="6">
        <f ca="1">IF(Table1[[#This Row],[Column1]]="Health",1,0)</f>
        <v>0</v>
      </c>
      <c r="AK204">
        <f ca="1">IF(Table1[[#This Row],[Column1]]="Construction",1,0)</f>
        <v>0</v>
      </c>
      <c r="AL204">
        <f ca="1">IF(Table1[[#This Row],[Column1]]="Technology",1,0)</f>
        <v>1</v>
      </c>
      <c r="AM204">
        <f ca="1">IF(Table1[[#This Row],[Column1]]="Education",1,0)</f>
        <v>0</v>
      </c>
      <c r="AN204">
        <f ca="1">IF(Table1[[#This Row],[Column1]]="Agriculture",1,0)</f>
        <v>0</v>
      </c>
      <c r="AO204">
        <f ca="1">IF(Table1[[#This Row],[Column1]]="Social Service", 1, 0)</f>
        <v>0</v>
      </c>
      <c r="AT204" s="5"/>
      <c r="AV204" s="17">
        <f t="shared" ca="1" si="9"/>
        <v>27508.67062028802</v>
      </c>
      <c r="AW204" s="5"/>
      <c r="AX204" s="6">
        <f ca="1">IF(Table1[[#This Row],[Value of Debts]]&gt;$AY$4,1,0)</f>
        <v>1</v>
      </c>
      <c r="AY204" s="20"/>
      <c r="AZ204" s="20"/>
      <c r="BA204" s="5"/>
      <c r="BB204" s="25">
        <f ca="1">Table1[[#This Row],[Mortage Left]]/Table1[[#This Row],[Value of House]]</f>
        <v>0.85251709806799147</v>
      </c>
      <c r="BC204" s="20">
        <f t="shared" ca="1" si="11"/>
        <v>0</v>
      </c>
      <c r="BD204" s="20"/>
      <c r="BE204" s="20"/>
      <c r="BF204" s="20"/>
      <c r="BG204" s="6">
        <f ca="1">IF(Table1[[#This Row],[County]]="Cumbria",Table1[[#This Row],[income]],0)</f>
        <v>0</v>
      </c>
      <c r="BH204" s="20">
        <f ca="1">IF(Table1[[#This Row],[County]]="Cheshire",Table1[[#This Row],[income]],0)</f>
        <v>0</v>
      </c>
      <c r="BI204" s="20">
        <f ca="1">IF(Table1[[#This Row],[County]]="Bristol",Table1[[#This Row],[income]],0)</f>
        <v>0</v>
      </c>
      <c r="BJ204" s="20">
        <f ca="1">IF(Table1[[#This Row],[County]]="Surrey",Table1[[#This Row],[income]],0)</f>
        <v>0</v>
      </c>
      <c r="BK204" s="20">
        <f ca="1">IF(Table1[[#This Row],[County]]="Norfolk",Table1[[#This Row],[income]],0)</f>
        <v>0</v>
      </c>
      <c r="BL204" s="20">
        <f ca="1">IF(Table1[[#This Row],[County]]="Lincolnshire",Table1[[#This Row],[income]],0)</f>
        <v>0</v>
      </c>
      <c r="BM204" s="20">
        <f ca="1">IF(Table1[[#This Row],[County]]="Somerset",Table1[[#This Row],[income]],0)</f>
        <v>90680</v>
      </c>
      <c r="BN204" s="20">
        <f ca="1">IF(Table1[[#This Row],[County]]="Cambridgeshire",Table1[[#This Row],[income]],0)</f>
        <v>0</v>
      </c>
      <c r="BO204" s="20">
        <f ca="1">IF(Table1[[#This Row],[County]]="South Yorkshire",Table1[[#This Row],[income]],0)</f>
        <v>0</v>
      </c>
      <c r="BP204" s="20">
        <f ca="1">IF(Table1[[#This Row],[County]]="Greater London",Table1[[#This Row],[income]],0)</f>
        <v>0</v>
      </c>
      <c r="BQ204" s="20">
        <f ca="1">IF(Table1[[#This Row],[County]]="Hampshire",Table1[[#This Row],[income]],0)</f>
        <v>0</v>
      </c>
      <c r="BR204" s="20">
        <f ca="1">IF(Table1[[#This Row],[County]]="Gloucestershire",Table1[[#This Row],[income]],0)</f>
        <v>0</v>
      </c>
      <c r="BS204" s="20">
        <f ca="1">IF(Table1[[#This Row],[County]]="West Sussex",Table1[[#This Row],[income]],0)</f>
        <v>0</v>
      </c>
      <c r="BT204" s="20">
        <f ca="1">IF(Table1[[#This Row],[County]]="Devon",Table1[[#This Row],[income]],0)</f>
        <v>0</v>
      </c>
      <c r="BU204" s="20">
        <f ca="1">IF(Table1[[#This Row],[County]]="Berkshire",Table1[[#This Row],[income]],0)</f>
        <v>0</v>
      </c>
      <c r="BV204" s="20">
        <f ca="1">IF(Table1[[#This Row],[County]]="Staffordshire",Table1[[#This Row],[income]],0)</f>
        <v>0</v>
      </c>
      <c r="BW204" s="20">
        <f ca="1">IF(Table1[[#This Row],[County]]="Leicestershire",Table1[[#This Row],[income]],0)</f>
        <v>0</v>
      </c>
      <c r="BX204" s="20">
        <f ca="1">IF(Table1[[#This Row],[County]]="Cornwall",Table1[[#This Row],[income]],0)</f>
        <v>0</v>
      </c>
      <c r="BY204" s="20">
        <f ca="1">IF(Table1[[#This Row],[County]]="Isle of Wight",Table1[[#This Row],[income]],0)</f>
        <v>0</v>
      </c>
      <c r="BZ204" s="20">
        <f ca="1">IF(Table1[[#This Row],[County]]="Surrey",Table1[[#This Row],[income]],0)</f>
        <v>0</v>
      </c>
      <c r="CA204" s="20">
        <f ca="1">IF(Table1[[#This Row],[County]]="Derbyshire",Table1[[#This Row],[income]],0)</f>
        <v>0</v>
      </c>
      <c r="CB204" s="20">
        <f ca="1">IF(Table1[[#This Row],[County]]="City of London",Table1[[#This Row],[income]],0)</f>
        <v>0</v>
      </c>
      <c r="CC204" s="20">
        <f ca="1">IF(Table1[[#This Row],[County]]="Bedfordshire",Table1[[#This Row],[income]],0)</f>
        <v>0</v>
      </c>
      <c r="CD204" s="20">
        <f ca="1">IF(Table1[[#This Row],[County]]="County Durham",Table1[[#This Row],[income]],0)</f>
        <v>0</v>
      </c>
      <c r="CE204" s="20">
        <f ca="1">IF(Table1[[#This Row],[County]]="East Riding of Yorkshire",Table1[[#This Row],[income]],0)</f>
        <v>0</v>
      </c>
      <c r="CF204" s="20">
        <f ca="1">IF(Table1[[#This Row],[County]]="West Yorkshire",Table1[[#This Row],[income]],0)</f>
        <v>0</v>
      </c>
      <c r="CG204" s="20">
        <f ca="1">IF(Table1[[#This Row],[County]]="Essex",Table1[[#This Row],[income]],0)</f>
        <v>0</v>
      </c>
      <c r="CH204" s="20">
        <f ca="1">IF(Table1[[#This Row],[County]]="East Sussex",Table1[[#This Row],[income]],0)</f>
        <v>0</v>
      </c>
      <c r="CI204" s="20">
        <f ca="1">IF(Table1[[#This Row],[County]]="Greater Manchester",Table1[[#This Row],[income]],0)</f>
        <v>0</v>
      </c>
      <c r="CJ204" s="20">
        <f ca="1">IF(Table1[[#This Row],[County]]="Hertfordshire",Table1[[#This Row],[income]],0)</f>
        <v>0</v>
      </c>
      <c r="CK204" s="20">
        <f ca="1">IF(Table1[[#This Row],[County]]="Herefordshire",Table1[[#This Row],[income]],0)</f>
        <v>0</v>
      </c>
      <c r="CL204" s="20">
        <f ca="1">IF(Table1[[#This Row],[County]]="Lancashire",Table1[[#This Row],[income]],0)</f>
        <v>0</v>
      </c>
      <c r="CM204" s="20">
        <f ca="1">IF(Table1[[#This Row],[County]]="Merseyside",Table1[[#This Row],[income]],0)</f>
        <v>0</v>
      </c>
      <c r="CN204" s="20">
        <f ca="1">IF(Table1[[#This Row],[County]]="Northamptonshire",Table1[[#This Row],[income]],0)</f>
        <v>0</v>
      </c>
      <c r="CO204" s="20">
        <f ca="1">IF(Table1[[#This Row],[County]]="Northumberland",Table1[[#This Row],[income]],0)</f>
        <v>0</v>
      </c>
      <c r="CP204" s="20">
        <f ca="1">IF(Table1[[#This Row],[County]]="Wiltshire",Table1[[#This Row],[income]],0)</f>
        <v>0</v>
      </c>
      <c r="CQ204" s="20">
        <f ca="1">IF(Table1[[#This Row],[County]]="West Midlands",Table1[[#This Row],[income]],0)</f>
        <v>0</v>
      </c>
      <c r="CR204" s="20">
        <f ca="1">IF(Table1[[#This Row],[County]]="Warwickshire",Table1[[#This Row],[income]],0)</f>
        <v>0</v>
      </c>
      <c r="CS204" s="20">
        <f ca="1">IF(Table1[[#This Row],[County]]="Tyne and Wear",Table1[[#This Row],[income]],0)</f>
        <v>0</v>
      </c>
      <c r="CT204" s="20">
        <f ca="1">IF(Table1[[#This Row],[County]]="Worcestershire",Table1[[#This Row],[income]],0)</f>
        <v>0</v>
      </c>
      <c r="CU204" s="20">
        <f ca="1">IF(Table1[[#This Row],[County]]="Rutland",Table1[[#This Row],[income]],0)</f>
        <v>0</v>
      </c>
      <c r="CV204" s="20">
        <f ca="1">IF(Table1[[#This Row],[County]]="Shropshire",Table1[[#This Row],[income]],0)</f>
        <v>0</v>
      </c>
      <c r="CW204" s="20">
        <f ca="1">IF(Table1[[#This Row],[County]]="Dorset",Table1[[#This Row],[income]],0)</f>
        <v>0</v>
      </c>
      <c r="CX204" s="20">
        <f ca="1">IF(Table1[[#This Row],[County]]="Buckinghamshire",Table1[[#This Row],[income]],0)</f>
        <v>0</v>
      </c>
      <c r="CY204" s="20">
        <f ca="1">IF(Table1[[#This Row],[County]]="Suffolk",Table1[[#This Row],[income]],0)</f>
        <v>0</v>
      </c>
      <c r="CZ204" s="20">
        <f ca="1">IF(Table1[[#This Row],[County]]="North Yorkshire",Table1[[#This Row],[income]],0)</f>
        <v>0</v>
      </c>
      <c r="DA204" s="20">
        <f ca="1">IF(Table1[[#This Row],[County]]="Kent",Table1[[#This Row],[income]],0)</f>
        <v>0</v>
      </c>
      <c r="DB204" s="5">
        <f ca="1">IF(Table1[[#This Row],[County]]="Derbyshire",Table1[[#This Row],[income]],0)</f>
        <v>0</v>
      </c>
      <c r="DD204" s="6">
        <f ca="1">IF(Table1[[#This Row],[Column1]]="Health",Table1[[#This Row],[income]],0)</f>
        <v>0</v>
      </c>
      <c r="DE204" s="20">
        <f ca="1">IF(Table1[[#This Row],[Column1]]="Agriculture",Table1[[#This Row],[income]],0)</f>
        <v>0</v>
      </c>
      <c r="DF204" s="20">
        <f ca="1">IF(Table1[[#This Row],[Column1]]="Technology",Table1[[#This Row],[income]],0)</f>
        <v>90680</v>
      </c>
      <c r="DG204" s="20">
        <f ca="1">IF(Table1[[#This Row],[Column1]]="Social Service",Table1[[#This Row],[income]],0)</f>
        <v>0</v>
      </c>
      <c r="DH204" s="20">
        <f ca="1">IF(Table1[[#This Row],[Column1]]="Education",Table1[[#This Row],[income]],0)</f>
        <v>0</v>
      </c>
      <c r="DI204" s="5">
        <f ca="1">IF(Table1[[#This Row],[Column1]]="Construction",Table1[[#This Row],[income]],0)</f>
        <v>0</v>
      </c>
      <c r="DK204" s="6">
        <f ca="1">IF(Table1[[#This Row],[Value of Debts]]&gt;Table1[[#This Row],[income]],1,0)</f>
        <v>1</v>
      </c>
      <c r="DL204" s="20"/>
      <c r="DM204" s="20"/>
      <c r="DN204" s="5"/>
      <c r="DP204" s="6">
        <f ca="1">IF(Table1[[#This Row],[Net Worth (£)]]&gt;$DS$5,C204,0)</f>
        <v>0</v>
      </c>
      <c r="DQ204" s="20"/>
      <c r="DR204" s="20"/>
      <c r="DS204" s="5"/>
    </row>
    <row r="205" spans="1:123" x14ac:dyDescent="0.2">
      <c r="A205">
        <f t="shared" ca="1" si="10"/>
        <v>2</v>
      </c>
      <c r="B205" s="1" t="str">
        <f ca="1">IF(A205=1, "men", "women")</f>
        <v>women</v>
      </c>
      <c r="C205" s="1">
        <f ca="1">RANDBETWEEN(25,50)</f>
        <v>36</v>
      </c>
      <c r="D205">
        <f ca="1">RANDBETWEEN(1,6)</f>
        <v>6</v>
      </c>
      <c r="E205" t="str">
        <f ca="1">VLOOKUP(D205,$W$5:$X$10,2)</f>
        <v>Agriculture</v>
      </c>
      <c r="F205">
        <f ca="1">RANDBETWEEN(1,5)</f>
        <v>5</v>
      </c>
      <c r="G205" t="str">
        <f ca="1">VLOOKUP(F205,$Y$5:$Z$9,2)</f>
        <v>Other</v>
      </c>
      <c r="H205">
        <f ca="1">RANDBETWEEN(0,4)</f>
        <v>1</v>
      </c>
      <c r="I205">
        <f ca="1">RANDBETWEEN(1,3)</f>
        <v>3</v>
      </c>
      <c r="J205">
        <f ca="1">RANDBETWEEN(30000,100000)</f>
        <v>76877</v>
      </c>
      <c r="K205">
        <f ca="1">RANDBETWEEN(1,48)</f>
        <v>6</v>
      </c>
      <c r="L205" t="str">
        <f ca="1">VLOOKUP(K205,$AA$5:$AB$52,2)</f>
        <v>Cheshire</v>
      </c>
      <c r="M205">
        <f ca="1">J205*(RANDBETWEEN(2,5))</f>
        <v>153754</v>
      </c>
      <c r="N205">
        <f ca="1">RAND()*M205</f>
        <v>75866.508761442616</v>
      </c>
      <c r="O205">
        <f ca="1">I205*RAND()*J205</f>
        <v>82526.011860864062</v>
      </c>
      <c r="P205">
        <f ca="1">RANDBETWEEN(0,O205)</f>
        <v>58568</v>
      </c>
      <c r="Q205">
        <f ca="1">RAND()*J205*2</f>
        <v>80306.974565410535</v>
      </c>
      <c r="R205">
        <f ca="1">RAND()*J205*1.5</f>
        <v>86128.512051665632</v>
      </c>
      <c r="S205">
        <f ca="1">J205+R205+O205</f>
        <v>245531.52391252969</v>
      </c>
      <c r="T205">
        <f ca="1">N205+P205+Q205</f>
        <v>214741.48332685314</v>
      </c>
      <c r="U205">
        <f ca="1">S205-T205</f>
        <v>30790.040585676557</v>
      </c>
      <c r="AC205" s="6">
        <f ca="1">IF(Table1[[#This Row],[gender]]="men",1,0)</f>
        <v>0</v>
      </c>
      <c r="AD205">
        <f ca="1">IF(Table1[[#This Row],[gender]]="women",1,0)</f>
        <v>1</v>
      </c>
      <c r="AH205" s="5"/>
      <c r="AJ205" s="6">
        <f ca="1">IF(Table1[[#This Row],[Column1]]="Health",1,0)</f>
        <v>0</v>
      </c>
      <c r="AK205">
        <f ca="1">IF(Table1[[#This Row],[Column1]]="Construction",1,0)</f>
        <v>0</v>
      </c>
      <c r="AL205">
        <f ca="1">IF(Table1[[#This Row],[Column1]]="Technology",1,0)</f>
        <v>0</v>
      </c>
      <c r="AM205">
        <f ca="1">IF(Table1[[#This Row],[Column1]]="Education",1,0)</f>
        <v>0</v>
      </c>
      <c r="AN205">
        <f ca="1">IF(Table1[[#This Row],[Column1]]="Agriculture",1,0)</f>
        <v>1</v>
      </c>
      <c r="AO205">
        <f ca="1">IF(Table1[[#This Row],[Column1]]="Social Service", 1, 0)</f>
        <v>0</v>
      </c>
      <c r="AT205" s="5"/>
      <c r="AV205" s="17">
        <f t="shared" ca="1" si="9"/>
        <v>25635.521804074819</v>
      </c>
      <c r="AW205" s="5"/>
      <c r="AX205" s="6">
        <f ca="1">IF(Table1[[#This Row],[Value of Debts]]&gt;$AY$4,1,0)</f>
        <v>1</v>
      </c>
      <c r="AY205" s="20"/>
      <c r="AZ205" s="20"/>
      <c r="BA205" s="5"/>
      <c r="BB205" s="25">
        <f ca="1">Table1[[#This Row],[Mortage Left]]/Table1[[#This Row],[Value of House]]</f>
        <v>0.49342787024365298</v>
      </c>
      <c r="BC205" s="20">
        <f t="shared" ca="1" si="11"/>
        <v>0</v>
      </c>
      <c r="BD205" s="20"/>
      <c r="BE205" s="20"/>
      <c r="BF205" s="20"/>
      <c r="BG205" s="6">
        <f ca="1">IF(Table1[[#This Row],[County]]="Cumbria",Table1[[#This Row],[income]],0)</f>
        <v>0</v>
      </c>
      <c r="BH205" s="20">
        <f ca="1">IF(Table1[[#This Row],[County]]="Cheshire",Table1[[#This Row],[income]],0)</f>
        <v>76877</v>
      </c>
      <c r="BI205" s="20">
        <f ca="1">IF(Table1[[#This Row],[County]]="Bristol",Table1[[#This Row],[income]],0)</f>
        <v>0</v>
      </c>
      <c r="BJ205" s="20">
        <f ca="1">IF(Table1[[#This Row],[County]]="Surrey",Table1[[#This Row],[income]],0)</f>
        <v>0</v>
      </c>
      <c r="BK205" s="20">
        <f ca="1">IF(Table1[[#This Row],[County]]="Norfolk",Table1[[#This Row],[income]],0)</f>
        <v>0</v>
      </c>
      <c r="BL205" s="20">
        <f ca="1">IF(Table1[[#This Row],[County]]="Lincolnshire",Table1[[#This Row],[income]],0)</f>
        <v>0</v>
      </c>
      <c r="BM205" s="20">
        <f ca="1">IF(Table1[[#This Row],[County]]="Somerset",Table1[[#This Row],[income]],0)</f>
        <v>0</v>
      </c>
      <c r="BN205" s="20">
        <f ca="1">IF(Table1[[#This Row],[County]]="Cambridgeshire",Table1[[#This Row],[income]],0)</f>
        <v>0</v>
      </c>
      <c r="BO205" s="20">
        <f ca="1">IF(Table1[[#This Row],[County]]="South Yorkshire",Table1[[#This Row],[income]],0)</f>
        <v>0</v>
      </c>
      <c r="BP205" s="20">
        <f ca="1">IF(Table1[[#This Row],[County]]="Greater London",Table1[[#This Row],[income]],0)</f>
        <v>0</v>
      </c>
      <c r="BQ205" s="20">
        <f ca="1">IF(Table1[[#This Row],[County]]="Hampshire",Table1[[#This Row],[income]],0)</f>
        <v>0</v>
      </c>
      <c r="BR205" s="20">
        <f ca="1">IF(Table1[[#This Row],[County]]="Gloucestershire",Table1[[#This Row],[income]],0)</f>
        <v>0</v>
      </c>
      <c r="BS205" s="20">
        <f ca="1">IF(Table1[[#This Row],[County]]="West Sussex",Table1[[#This Row],[income]],0)</f>
        <v>0</v>
      </c>
      <c r="BT205" s="20">
        <f ca="1">IF(Table1[[#This Row],[County]]="Devon",Table1[[#This Row],[income]],0)</f>
        <v>0</v>
      </c>
      <c r="BU205" s="20">
        <f ca="1">IF(Table1[[#This Row],[County]]="Berkshire",Table1[[#This Row],[income]],0)</f>
        <v>0</v>
      </c>
      <c r="BV205" s="20">
        <f ca="1">IF(Table1[[#This Row],[County]]="Staffordshire",Table1[[#This Row],[income]],0)</f>
        <v>0</v>
      </c>
      <c r="BW205" s="20">
        <f ca="1">IF(Table1[[#This Row],[County]]="Leicestershire",Table1[[#This Row],[income]],0)</f>
        <v>0</v>
      </c>
      <c r="BX205" s="20">
        <f ca="1">IF(Table1[[#This Row],[County]]="Cornwall",Table1[[#This Row],[income]],0)</f>
        <v>0</v>
      </c>
      <c r="BY205" s="20">
        <f ca="1">IF(Table1[[#This Row],[County]]="Isle of Wight",Table1[[#This Row],[income]],0)</f>
        <v>0</v>
      </c>
      <c r="BZ205" s="20">
        <f ca="1">IF(Table1[[#This Row],[County]]="Surrey",Table1[[#This Row],[income]],0)</f>
        <v>0</v>
      </c>
      <c r="CA205" s="20">
        <f ca="1">IF(Table1[[#This Row],[County]]="Derbyshire",Table1[[#This Row],[income]],0)</f>
        <v>0</v>
      </c>
      <c r="CB205" s="20">
        <f ca="1">IF(Table1[[#This Row],[County]]="City of London",Table1[[#This Row],[income]],0)</f>
        <v>0</v>
      </c>
      <c r="CC205" s="20">
        <f ca="1">IF(Table1[[#This Row],[County]]="Bedfordshire",Table1[[#This Row],[income]],0)</f>
        <v>0</v>
      </c>
      <c r="CD205" s="20">
        <f ca="1">IF(Table1[[#This Row],[County]]="County Durham",Table1[[#This Row],[income]],0)</f>
        <v>0</v>
      </c>
      <c r="CE205" s="20">
        <f ca="1">IF(Table1[[#This Row],[County]]="East Riding of Yorkshire",Table1[[#This Row],[income]],0)</f>
        <v>0</v>
      </c>
      <c r="CF205" s="20">
        <f ca="1">IF(Table1[[#This Row],[County]]="West Yorkshire",Table1[[#This Row],[income]],0)</f>
        <v>0</v>
      </c>
      <c r="CG205" s="20">
        <f ca="1">IF(Table1[[#This Row],[County]]="Essex",Table1[[#This Row],[income]],0)</f>
        <v>0</v>
      </c>
      <c r="CH205" s="20">
        <f ca="1">IF(Table1[[#This Row],[County]]="East Sussex",Table1[[#This Row],[income]],0)</f>
        <v>0</v>
      </c>
      <c r="CI205" s="20">
        <f ca="1">IF(Table1[[#This Row],[County]]="Greater Manchester",Table1[[#This Row],[income]],0)</f>
        <v>0</v>
      </c>
      <c r="CJ205" s="20">
        <f ca="1">IF(Table1[[#This Row],[County]]="Hertfordshire",Table1[[#This Row],[income]],0)</f>
        <v>0</v>
      </c>
      <c r="CK205" s="20">
        <f ca="1">IF(Table1[[#This Row],[County]]="Herefordshire",Table1[[#This Row],[income]],0)</f>
        <v>0</v>
      </c>
      <c r="CL205" s="20">
        <f ca="1">IF(Table1[[#This Row],[County]]="Lancashire",Table1[[#This Row],[income]],0)</f>
        <v>0</v>
      </c>
      <c r="CM205" s="20">
        <f ca="1">IF(Table1[[#This Row],[County]]="Merseyside",Table1[[#This Row],[income]],0)</f>
        <v>0</v>
      </c>
      <c r="CN205" s="20">
        <f ca="1">IF(Table1[[#This Row],[County]]="Northamptonshire",Table1[[#This Row],[income]],0)</f>
        <v>0</v>
      </c>
      <c r="CO205" s="20">
        <f ca="1">IF(Table1[[#This Row],[County]]="Northumberland",Table1[[#This Row],[income]],0)</f>
        <v>0</v>
      </c>
      <c r="CP205" s="20">
        <f ca="1">IF(Table1[[#This Row],[County]]="Wiltshire",Table1[[#This Row],[income]],0)</f>
        <v>0</v>
      </c>
      <c r="CQ205" s="20">
        <f ca="1">IF(Table1[[#This Row],[County]]="West Midlands",Table1[[#This Row],[income]],0)</f>
        <v>0</v>
      </c>
      <c r="CR205" s="20">
        <f ca="1">IF(Table1[[#This Row],[County]]="Warwickshire",Table1[[#This Row],[income]],0)</f>
        <v>0</v>
      </c>
      <c r="CS205" s="20">
        <f ca="1">IF(Table1[[#This Row],[County]]="Tyne and Wear",Table1[[#This Row],[income]],0)</f>
        <v>0</v>
      </c>
      <c r="CT205" s="20">
        <f ca="1">IF(Table1[[#This Row],[County]]="Worcestershire",Table1[[#This Row],[income]],0)</f>
        <v>0</v>
      </c>
      <c r="CU205" s="20">
        <f ca="1">IF(Table1[[#This Row],[County]]="Rutland",Table1[[#This Row],[income]],0)</f>
        <v>0</v>
      </c>
      <c r="CV205" s="20">
        <f ca="1">IF(Table1[[#This Row],[County]]="Shropshire",Table1[[#This Row],[income]],0)</f>
        <v>0</v>
      </c>
      <c r="CW205" s="20">
        <f ca="1">IF(Table1[[#This Row],[County]]="Dorset",Table1[[#This Row],[income]],0)</f>
        <v>0</v>
      </c>
      <c r="CX205" s="20">
        <f ca="1">IF(Table1[[#This Row],[County]]="Buckinghamshire",Table1[[#This Row],[income]],0)</f>
        <v>0</v>
      </c>
      <c r="CY205" s="20">
        <f ca="1">IF(Table1[[#This Row],[County]]="Suffolk",Table1[[#This Row],[income]],0)</f>
        <v>0</v>
      </c>
      <c r="CZ205" s="20">
        <f ca="1">IF(Table1[[#This Row],[County]]="North Yorkshire",Table1[[#This Row],[income]],0)</f>
        <v>0</v>
      </c>
      <c r="DA205" s="20">
        <f ca="1">IF(Table1[[#This Row],[County]]="Kent",Table1[[#This Row],[income]],0)</f>
        <v>0</v>
      </c>
      <c r="DB205" s="5">
        <f ca="1">IF(Table1[[#This Row],[County]]="Derbyshire",Table1[[#This Row],[income]],0)</f>
        <v>0</v>
      </c>
      <c r="DD205" s="6">
        <f ca="1">IF(Table1[[#This Row],[Column1]]="Health",Table1[[#This Row],[income]],0)</f>
        <v>0</v>
      </c>
      <c r="DE205" s="20">
        <f ca="1">IF(Table1[[#This Row],[Column1]]="Agriculture",Table1[[#This Row],[income]],0)</f>
        <v>76877</v>
      </c>
      <c r="DF205" s="20">
        <f ca="1">IF(Table1[[#This Row],[Column1]]="Technology",Table1[[#This Row],[income]],0)</f>
        <v>0</v>
      </c>
      <c r="DG205" s="20">
        <f ca="1">IF(Table1[[#This Row],[Column1]]="Social Service",Table1[[#This Row],[income]],0)</f>
        <v>0</v>
      </c>
      <c r="DH205" s="20">
        <f ca="1">IF(Table1[[#This Row],[Column1]]="Education",Table1[[#This Row],[income]],0)</f>
        <v>0</v>
      </c>
      <c r="DI205" s="5">
        <f ca="1">IF(Table1[[#This Row],[Column1]]="Construction",Table1[[#This Row],[income]],0)</f>
        <v>0</v>
      </c>
      <c r="DK205" s="6">
        <f ca="1">IF(Table1[[#This Row],[Value of Debts]]&gt;Table1[[#This Row],[income]],1,0)</f>
        <v>1</v>
      </c>
      <c r="DL205" s="20"/>
      <c r="DM205" s="20"/>
      <c r="DN205" s="5"/>
      <c r="DP205" s="6">
        <f ca="1">IF(Table1[[#This Row],[Net Worth (£)]]&gt;$DS$5,C205,0)</f>
        <v>0</v>
      </c>
      <c r="DQ205" s="20"/>
      <c r="DR205" s="20"/>
      <c r="DS205" s="5"/>
    </row>
    <row r="206" spans="1:123" x14ac:dyDescent="0.2">
      <c r="A206">
        <f t="shared" ca="1" si="10"/>
        <v>1</v>
      </c>
      <c r="B206" s="1" t="str">
        <f ca="1">IF(A206=1, "men", "women")</f>
        <v>men</v>
      </c>
      <c r="C206" s="1">
        <f ca="1">RANDBETWEEN(25,50)</f>
        <v>28</v>
      </c>
      <c r="D206">
        <f ca="1">RANDBETWEEN(1,6)</f>
        <v>4</v>
      </c>
      <c r="E206" t="str">
        <f ca="1">VLOOKUP(D206,$W$5:$X$10,2)</f>
        <v>Technology</v>
      </c>
      <c r="F206">
        <f ca="1">RANDBETWEEN(1,5)</f>
        <v>4</v>
      </c>
      <c r="G206" t="str">
        <f ca="1">VLOOKUP(F206,$Y$5:$Z$9,2)</f>
        <v xml:space="preserve">Technical </v>
      </c>
      <c r="H206">
        <f ca="1">RANDBETWEEN(0,4)</f>
        <v>3</v>
      </c>
      <c r="I206">
        <f ca="1">RANDBETWEEN(1,3)</f>
        <v>1</v>
      </c>
      <c r="J206">
        <f ca="1">RANDBETWEEN(30000,100000)</f>
        <v>44217</v>
      </c>
      <c r="K206">
        <f ca="1">RANDBETWEEN(1,48)</f>
        <v>17</v>
      </c>
      <c r="L206" t="str">
        <f ca="1">VLOOKUP(K206,$AA$5:$AB$52,2)</f>
        <v>Gloucestershire</v>
      </c>
      <c r="M206">
        <f ca="1">J206*(RANDBETWEEN(2,5))</f>
        <v>221085</v>
      </c>
      <c r="N206">
        <f ca="1">RAND()*M206</f>
        <v>217613.6677186242</v>
      </c>
      <c r="O206">
        <f ca="1">I206*RAND()*J206</f>
        <v>25635.521804074819</v>
      </c>
      <c r="P206">
        <f ca="1">RANDBETWEEN(0,O206)</f>
        <v>906</v>
      </c>
      <c r="Q206">
        <f ca="1">RAND()*J206*2</f>
        <v>79644.574470226071</v>
      </c>
      <c r="R206">
        <f ca="1">RAND()*J206*1.5</f>
        <v>20877.681461067361</v>
      </c>
      <c r="S206">
        <f ca="1">J206+R206+O206</f>
        <v>90730.203265142176</v>
      </c>
      <c r="T206">
        <f ca="1">N206+P206+Q206</f>
        <v>298164.2421888503</v>
      </c>
      <c r="U206">
        <f ca="1">S206-T206</f>
        <v>-207434.03892370814</v>
      </c>
      <c r="AC206" s="6">
        <f ca="1">IF(Table1[[#This Row],[gender]]="men",1,0)</f>
        <v>1</v>
      </c>
      <c r="AD206">
        <f ca="1">IF(Table1[[#This Row],[gender]]="women",1,0)</f>
        <v>0</v>
      </c>
      <c r="AH206" s="5"/>
      <c r="AJ206" s="6">
        <f ca="1">IF(Table1[[#This Row],[Column1]]="Health",1,0)</f>
        <v>0</v>
      </c>
      <c r="AK206">
        <f ca="1">IF(Table1[[#This Row],[Column1]]="Construction",1,0)</f>
        <v>0</v>
      </c>
      <c r="AL206">
        <f ca="1">IF(Table1[[#This Row],[Column1]]="Technology",1,0)</f>
        <v>1</v>
      </c>
      <c r="AM206">
        <f ca="1">IF(Table1[[#This Row],[Column1]]="Education",1,0)</f>
        <v>0</v>
      </c>
      <c r="AN206">
        <f ca="1">IF(Table1[[#This Row],[Column1]]="Agriculture",1,0)</f>
        <v>0</v>
      </c>
      <c r="AO206">
        <f ca="1">IF(Table1[[#This Row],[Column1]]="Social Service", 1, 0)</f>
        <v>0</v>
      </c>
      <c r="AT206" s="5"/>
      <c r="AV206" s="17">
        <f t="shared" ca="1" si="9"/>
        <v>27889.307653131895</v>
      </c>
      <c r="AW206" s="5"/>
      <c r="AX206" s="6">
        <f ca="1">IF(Table1[[#This Row],[Value of Debts]]&gt;$AY$4,1,0)</f>
        <v>1</v>
      </c>
      <c r="AY206" s="20"/>
      <c r="AZ206" s="20"/>
      <c r="BA206" s="5"/>
      <c r="BB206" s="25">
        <f ca="1">Table1[[#This Row],[Mortage Left]]/Table1[[#This Row],[Value of House]]</f>
        <v>0.98429865309100206</v>
      </c>
      <c r="BC206" s="20">
        <f t="shared" ca="1" si="11"/>
        <v>0</v>
      </c>
      <c r="BD206" s="20"/>
      <c r="BE206" s="20"/>
      <c r="BF206" s="20"/>
      <c r="BG206" s="6">
        <f ca="1">IF(Table1[[#This Row],[County]]="Cumbria",Table1[[#This Row],[income]],0)</f>
        <v>0</v>
      </c>
      <c r="BH206" s="20">
        <f ca="1">IF(Table1[[#This Row],[County]]="Cheshire",Table1[[#This Row],[income]],0)</f>
        <v>0</v>
      </c>
      <c r="BI206" s="20">
        <f ca="1">IF(Table1[[#This Row],[County]]="Bristol",Table1[[#This Row],[income]],0)</f>
        <v>0</v>
      </c>
      <c r="BJ206" s="20">
        <f ca="1">IF(Table1[[#This Row],[County]]="Surrey",Table1[[#This Row],[income]],0)</f>
        <v>0</v>
      </c>
      <c r="BK206" s="20">
        <f ca="1">IF(Table1[[#This Row],[County]]="Norfolk",Table1[[#This Row],[income]],0)</f>
        <v>0</v>
      </c>
      <c r="BL206" s="20">
        <f ca="1">IF(Table1[[#This Row],[County]]="Lincolnshire",Table1[[#This Row],[income]],0)</f>
        <v>0</v>
      </c>
      <c r="BM206" s="20">
        <f ca="1">IF(Table1[[#This Row],[County]]="Somerset",Table1[[#This Row],[income]],0)</f>
        <v>0</v>
      </c>
      <c r="BN206" s="20">
        <f ca="1">IF(Table1[[#This Row],[County]]="Cambridgeshire",Table1[[#This Row],[income]],0)</f>
        <v>0</v>
      </c>
      <c r="BO206" s="20">
        <f ca="1">IF(Table1[[#This Row],[County]]="South Yorkshire",Table1[[#This Row],[income]],0)</f>
        <v>0</v>
      </c>
      <c r="BP206" s="20">
        <f ca="1">IF(Table1[[#This Row],[County]]="Greater London",Table1[[#This Row],[income]],0)</f>
        <v>0</v>
      </c>
      <c r="BQ206" s="20">
        <f ca="1">IF(Table1[[#This Row],[County]]="Hampshire",Table1[[#This Row],[income]],0)</f>
        <v>0</v>
      </c>
      <c r="BR206" s="20">
        <f ca="1">IF(Table1[[#This Row],[County]]="Gloucestershire",Table1[[#This Row],[income]],0)</f>
        <v>44217</v>
      </c>
      <c r="BS206" s="20">
        <f ca="1">IF(Table1[[#This Row],[County]]="West Sussex",Table1[[#This Row],[income]],0)</f>
        <v>0</v>
      </c>
      <c r="BT206" s="20">
        <f ca="1">IF(Table1[[#This Row],[County]]="Devon",Table1[[#This Row],[income]],0)</f>
        <v>0</v>
      </c>
      <c r="BU206" s="20">
        <f ca="1">IF(Table1[[#This Row],[County]]="Berkshire",Table1[[#This Row],[income]],0)</f>
        <v>0</v>
      </c>
      <c r="BV206" s="20">
        <f ca="1">IF(Table1[[#This Row],[County]]="Staffordshire",Table1[[#This Row],[income]],0)</f>
        <v>0</v>
      </c>
      <c r="BW206" s="20">
        <f ca="1">IF(Table1[[#This Row],[County]]="Leicestershire",Table1[[#This Row],[income]],0)</f>
        <v>0</v>
      </c>
      <c r="BX206" s="20">
        <f ca="1">IF(Table1[[#This Row],[County]]="Cornwall",Table1[[#This Row],[income]],0)</f>
        <v>0</v>
      </c>
      <c r="BY206" s="20">
        <f ca="1">IF(Table1[[#This Row],[County]]="Isle of Wight",Table1[[#This Row],[income]],0)</f>
        <v>0</v>
      </c>
      <c r="BZ206" s="20">
        <f ca="1">IF(Table1[[#This Row],[County]]="Surrey",Table1[[#This Row],[income]],0)</f>
        <v>0</v>
      </c>
      <c r="CA206" s="20">
        <f ca="1">IF(Table1[[#This Row],[County]]="Derbyshire",Table1[[#This Row],[income]],0)</f>
        <v>0</v>
      </c>
      <c r="CB206" s="20">
        <f ca="1">IF(Table1[[#This Row],[County]]="City of London",Table1[[#This Row],[income]],0)</f>
        <v>0</v>
      </c>
      <c r="CC206" s="20">
        <f ca="1">IF(Table1[[#This Row],[County]]="Bedfordshire",Table1[[#This Row],[income]],0)</f>
        <v>0</v>
      </c>
      <c r="CD206" s="20">
        <f ca="1">IF(Table1[[#This Row],[County]]="County Durham",Table1[[#This Row],[income]],0)</f>
        <v>0</v>
      </c>
      <c r="CE206" s="20">
        <f ca="1">IF(Table1[[#This Row],[County]]="East Riding of Yorkshire",Table1[[#This Row],[income]],0)</f>
        <v>0</v>
      </c>
      <c r="CF206" s="20">
        <f ca="1">IF(Table1[[#This Row],[County]]="West Yorkshire",Table1[[#This Row],[income]],0)</f>
        <v>0</v>
      </c>
      <c r="CG206" s="20">
        <f ca="1">IF(Table1[[#This Row],[County]]="Essex",Table1[[#This Row],[income]],0)</f>
        <v>0</v>
      </c>
      <c r="CH206" s="20">
        <f ca="1">IF(Table1[[#This Row],[County]]="East Sussex",Table1[[#This Row],[income]],0)</f>
        <v>0</v>
      </c>
      <c r="CI206" s="20">
        <f ca="1">IF(Table1[[#This Row],[County]]="Greater Manchester",Table1[[#This Row],[income]],0)</f>
        <v>0</v>
      </c>
      <c r="CJ206" s="20">
        <f ca="1">IF(Table1[[#This Row],[County]]="Hertfordshire",Table1[[#This Row],[income]],0)</f>
        <v>0</v>
      </c>
      <c r="CK206" s="20">
        <f ca="1">IF(Table1[[#This Row],[County]]="Herefordshire",Table1[[#This Row],[income]],0)</f>
        <v>0</v>
      </c>
      <c r="CL206" s="20">
        <f ca="1">IF(Table1[[#This Row],[County]]="Lancashire",Table1[[#This Row],[income]],0)</f>
        <v>0</v>
      </c>
      <c r="CM206" s="20">
        <f ca="1">IF(Table1[[#This Row],[County]]="Merseyside",Table1[[#This Row],[income]],0)</f>
        <v>0</v>
      </c>
      <c r="CN206" s="20">
        <f ca="1">IF(Table1[[#This Row],[County]]="Northamptonshire",Table1[[#This Row],[income]],0)</f>
        <v>0</v>
      </c>
      <c r="CO206" s="20">
        <f ca="1">IF(Table1[[#This Row],[County]]="Northumberland",Table1[[#This Row],[income]],0)</f>
        <v>0</v>
      </c>
      <c r="CP206" s="20">
        <f ca="1">IF(Table1[[#This Row],[County]]="Wiltshire",Table1[[#This Row],[income]],0)</f>
        <v>0</v>
      </c>
      <c r="CQ206" s="20">
        <f ca="1">IF(Table1[[#This Row],[County]]="West Midlands",Table1[[#This Row],[income]],0)</f>
        <v>0</v>
      </c>
      <c r="CR206" s="20">
        <f ca="1">IF(Table1[[#This Row],[County]]="Warwickshire",Table1[[#This Row],[income]],0)</f>
        <v>0</v>
      </c>
      <c r="CS206" s="20">
        <f ca="1">IF(Table1[[#This Row],[County]]="Tyne and Wear",Table1[[#This Row],[income]],0)</f>
        <v>0</v>
      </c>
      <c r="CT206" s="20">
        <f ca="1">IF(Table1[[#This Row],[County]]="Worcestershire",Table1[[#This Row],[income]],0)</f>
        <v>0</v>
      </c>
      <c r="CU206" s="20">
        <f ca="1">IF(Table1[[#This Row],[County]]="Rutland",Table1[[#This Row],[income]],0)</f>
        <v>0</v>
      </c>
      <c r="CV206" s="20">
        <f ca="1">IF(Table1[[#This Row],[County]]="Shropshire",Table1[[#This Row],[income]],0)</f>
        <v>0</v>
      </c>
      <c r="CW206" s="20">
        <f ca="1">IF(Table1[[#This Row],[County]]="Dorset",Table1[[#This Row],[income]],0)</f>
        <v>0</v>
      </c>
      <c r="CX206" s="20">
        <f ca="1">IF(Table1[[#This Row],[County]]="Buckinghamshire",Table1[[#This Row],[income]],0)</f>
        <v>0</v>
      </c>
      <c r="CY206" s="20">
        <f ca="1">IF(Table1[[#This Row],[County]]="Suffolk",Table1[[#This Row],[income]],0)</f>
        <v>0</v>
      </c>
      <c r="CZ206" s="20">
        <f ca="1">IF(Table1[[#This Row],[County]]="North Yorkshire",Table1[[#This Row],[income]],0)</f>
        <v>0</v>
      </c>
      <c r="DA206" s="20">
        <f ca="1">IF(Table1[[#This Row],[County]]="Kent",Table1[[#This Row],[income]],0)</f>
        <v>0</v>
      </c>
      <c r="DB206" s="5">
        <f ca="1">IF(Table1[[#This Row],[County]]="Derbyshire",Table1[[#This Row],[income]],0)</f>
        <v>0</v>
      </c>
      <c r="DD206" s="6">
        <f ca="1">IF(Table1[[#This Row],[Column1]]="Health",Table1[[#This Row],[income]],0)</f>
        <v>0</v>
      </c>
      <c r="DE206" s="20">
        <f ca="1">IF(Table1[[#This Row],[Column1]]="Agriculture",Table1[[#This Row],[income]],0)</f>
        <v>0</v>
      </c>
      <c r="DF206" s="20">
        <f ca="1">IF(Table1[[#This Row],[Column1]]="Technology",Table1[[#This Row],[income]],0)</f>
        <v>44217</v>
      </c>
      <c r="DG206" s="20">
        <f ca="1">IF(Table1[[#This Row],[Column1]]="Social Service",Table1[[#This Row],[income]],0)</f>
        <v>0</v>
      </c>
      <c r="DH206" s="20">
        <f ca="1">IF(Table1[[#This Row],[Column1]]="Education",Table1[[#This Row],[income]],0)</f>
        <v>0</v>
      </c>
      <c r="DI206" s="5">
        <f ca="1">IF(Table1[[#This Row],[Column1]]="Construction",Table1[[#This Row],[income]],0)</f>
        <v>0</v>
      </c>
      <c r="DK206" s="6">
        <f ca="1">IF(Table1[[#This Row],[Value of Debts]]&gt;Table1[[#This Row],[income]],1,0)</f>
        <v>1</v>
      </c>
      <c r="DL206" s="20"/>
      <c r="DM206" s="20"/>
      <c r="DN206" s="5"/>
      <c r="DP206" s="6">
        <f ca="1">IF(Table1[[#This Row],[Net Worth (£)]]&gt;$DS$5,C206,0)</f>
        <v>0</v>
      </c>
      <c r="DQ206" s="20"/>
      <c r="DR206" s="20"/>
      <c r="DS206" s="5"/>
    </row>
    <row r="207" spans="1:123" x14ac:dyDescent="0.2">
      <c r="A207">
        <f t="shared" ca="1" si="10"/>
        <v>2</v>
      </c>
      <c r="B207" s="1" t="str">
        <f ca="1">IF(A207=1, "men", "women")</f>
        <v>women</v>
      </c>
      <c r="C207" s="1">
        <f ca="1">RANDBETWEEN(25,50)</f>
        <v>26</v>
      </c>
      <c r="D207">
        <f ca="1">RANDBETWEEN(1,6)</f>
        <v>2</v>
      </c>
      <c r="E207" t="str">
        <f ca="1">VLOOKUP(D207,$W$5:$X$10,2)</f>
        <v>Construction</v>
      </c>
      <c r="F207">
        <f ca="1">RANDBETWEEN(1,5)</f>
        <v>5</v>
      </c>
      <c r="G207" t="str">
        <f ca="1">VLOOKUP(F207,$Y$5:$Z$9,2)</f>
        <v>Other</v>
      </c>
      <c r="H207">
        <f ca="1">RANDBETWEEN(0,4)</f>
        <v>0</v>
      </c>
      <c r="I207">
        <f ca="1">RANDBETWEEN(1,3)</f>
        <v>2</v>
      </c>
      <c r="J207">
        <f ca="1">RANDBETWEEN(30000,100000)</f>
        <v>83214</v>
      </c>
      <c r="K207">
        <f ca="1">RANDBETWEEN(1,48)</f>
        <v>10</v>
      </c>
      <c r="L207" t="str">
        <f ca="1">VLOOKUP(K207,$AA$5:$AB$52,2)</f>
        <v>Derbyshire</v>
      </c>
      <c r="M207">
        <f ca="1">J207*(RANDBETWEEN(2,5))</f>
        <v>416070</v>
      </c>
      <c r="N207">
        <f ca="1">RAND()*M207</f>
        <v>412073.91862516868</v>
      </c>
      <c r="O207">
        <f ca="1">I207*RAND()*J207</f>
        <v>55778.61530626379</v>
      </c>
      <c r="P207">
        <f ca="1">RANDBETWEEN(0,O207)</f>
        <v>19233</v>
      </c>
      <c r="Q207">
        <f ca="1">RAND()*J207*2</f>
        <v>75568.577698939625</v>
      </c>
      <c r="R207">
        <f ca="1">RAND()*J207*1.5</f>
        <v>1482.8452514821486</v>
      </c>
      <c r="S207">
        <f ca="1">J207+R207+O207</f>
        <v>140475.46055774594</v>
      </c>
      <c r="T207">
        <f ca="1">N207+P207+Q207</f>
        <v>506875.49632410833</v>
      </c>
      <c r="U207">
        <f ca="1">S207-T207</f>
        <v>-366400.03576636239</v>
      </c>
      <c r="AC207" s="6">
        <f ca="1">IF(Table1[[#This Row],[gender]]="men",1,0)</f>
        <v>0</v>
      </c>
      <c r="AD207">
        <f ca="1">IF(Table1[[#This Row],[gender]]="women",1,0)</f>
        <v>1</v>
      </c>
      <c r="AH207" s="5"/>
      <c r="AJ207" s="6">
        <f ca="1">IF(Table1[[#This Row],[Column1]]="Health",1,0)</f>
        <v>0</v>
      </c>
      <c r="AK207">
        <f ca="1">IF(Table1[[#This Row],[Column1]]="Construction",1,0)</f>
        <v>1</v>
      </c>
      <c r="AL207">
        <f ca="1">IF(Table1[[#This Row],[Column1]]="Technology",1,0)</f>
        <v>0</v>
      </c>
      <c r="AM207">
        <f ca="1">IF(Table1[[#This Row],[Column1]]="Education",1,0)</f>
        <v>0</v>
      </c>
      <c r="AN207">
        <f ca="1">IF(Table1[[#This Row],[Column1]]="Agriculture",1,0)</f>
        <v>0</v>
      </c>
      <c r="AO207">
        <f ca="1">IF(Table1[[#This Row],[Column1]]="Social Service", 1, 0)</f>
        <v>0</v>
      </c>
      <c r="AT207" s="5"/>
      <c r="AV207" s="17">
        <f t="shared" ca="1" si="9"/>
        <v>32000.443328216876</v>
      </c>
      <c r="AW207" s="5"/>
      <c r="AX207" s="6">
        <f ca="1">IF(Table1[[#This Row],[Value of Debts]]&gt;$AY$4,1,0)</f>
        <v>1</v>
      </c>
      <c r="AY207" s="20"/>
      <c r="AZ207" s="20"/>
      <c r="BA207" s="5"/>
      <c r="BB207" s="25">
        <f ca="1">Table1[[#This Row],[Mortage Left]]/Table1[[#This Row],[Value of House]]</f>
        <v>0.99039565127302776</v>
      </c>
      <c r="BC207" s="20">
        <f t="shared" ca="1" si="11"/>
        <v>0</v>
      </c>
      <c r="BD207" s="20"/>
      <c r="BE207" s="20"/>
      <c r="BF207" s="20"/>
      <c r="BG207" s="6">
        <f ca="1">IF(Table1[[#This Row],[County]]="Cumbria",Table1[[#This Row],[income]],0)</f>
        <v>0</v>
      </c>
      <c r="BH207" s="20">
        <f ca="1">IF(Table1[[#This Row],[County]]="Cheshire",Table1[[#This Row],[income]],0)</f>
        <v>0</v>
      </c>
      <c r="BI207" s="20">
        <f ca="1">IF(Table1[[#This Row],[County]]="Bristol",Table1[[#This Row],[income]],0)</f>
        <v>0</v>
      </c>
      <c r="BJ207" s="20">
        <f ca="1">IF(Table1[[#This Row],[County]]="Surrey",Table1[[#This Row],[income]],0)</f>
        <v>0</v>
      </c>
      <c r="BK207" s="20">
        <f ca="1">IF(Table1[[#This Row],[County]]="Norfolk",Table1[[#This Row],[income]],0)</f>
        <v>0</v>
      </c>
      <c r="BL207" s="20">
        <f ca="1">IF(Table1[[#This Row],[County]]="Lincolnshire",Table1[[#This Row],[income]],0)</f>
        <v>0</v>
      </c>
      <c r="BM207" s="20">
        <f ca="1">IF(Table1[[#This Row],[County]]="Somerset",Table1[[#This Row],[income]],0)</f>
        <v>0</v>
      </c>
      <c r="BN207" s="20">
        <f ca="1">IF(Table1[[#This Row],[County]]="Cambridgeshire",Table1[[#This Row],[income]],0)</f>
        <v>0</v>
      </c>
      <c r="BO207" s="20">
        <f ca="1">IF(Table1[[#This Row],[County]]="South Yorkshire",Table1[[#This Row],[income]],0)</f>
        <v>0</v>
      </c>
      <c r="BP207" s="20">
        <f ca="1">IF(Table1[[#This Row],[County]]="Greater London",Table1[[#This Row],[income]],0)</f>
        <v>0</v>
      </c>
      <c r="BQ207" s="20">
        <f ca="1">IF(Table1[[#This Row],[County]]="Hampshire",Table1[[#This Row],[income]],0)</f>
        <v>0</v>
      </c>
      <c r="BR207" s="20">
        <f ca="1">IF(Table1[[#This Row],[County]]="Gloucestershire",Table1[[#This Row],[income]],0)</f>
        <v>0</v>
      </c>
      <c r="BS207" s="20">
        <f ca="1">IF(Table1[[#This Row],[County]]="West Sussex",Table1[[#This Row],[income]],0)</f>
        <v>0</v>
      </c>
      <c r="BT207" s="20">
        <f ca="1">IF(Table1[[#This Row],[County]]="Devon",Table1[[#This Row],[income]],0)</f>
        <v>0</v>
      </c>
      <c r="BU207" s="20">
        <f ca="1">IF(Table1[[#This Row],[County]]="Berkshire",Table1[[#This Row],[income]],0)</f>
        <v>0</v>
      </c>
      <c r="BV207" s="20">
        <f ca="1">IF(Table1[[#This Row],[County]]="Staffordshire",Table1[[#This Row],[income]],0)</f>
        <v>0</v>
      </c>
      <c r="BW207" s="20">
        <f ca="1">IF(Table1[[#This Row],[County]]="Leicestershire",Table1[[#This Row],[income]],0)</f>
        <v>0</v>
      </c>
      <c r="BX207" s="20">
        <f ca="1">IF(Table1[[#This Row],[County]]="Cornwall",Table1[[#This Row],[income]],0)</f>
        <v>0</v>
      </c>
      <c r="BY207" s="20">
        <f ca="1">IF(Table1[[#This Row],[County]]="Isle of Wight",Table1[[#This Row],[income]],0)</f>
        <v>0</v>
      </c>
      <c r="BZ207" s="20">
        <f ca="1">IF(Table1[[#This Row],[County]]="Surrey",Table1[[#This Row],[income]],0)</f>
        <v>0</v>
      </c>
      <c r="CA207" s="20">
        <f ca="1">IF(Table1[[#This Row],[County]]="Derbyshire",Table1[[#This Row],[income]],0)</f>
        <v>83214</v>
      </c>
      <c r="CB207" s="20">
        <f ca="1">IF(Table1[[#This Row],[County]]="City of London",Table1[[#This Row],[income]],0)</f>
        <v>0</v>
      </c>
      <c r="CC207" s="20">
        <f ca="1">IF(Table1[[#This Row],[County]]="Bedfordshire",Table1[[#This Row],[income]],0)</f>
        <v>0</v>
      </c>
      <c r="CD207" s="20">
        <f ca="1">IF(Table1[[#This Row],[County]]="County Durham",Table1[[#This Row],[income]],0)</f>
        <v>0</v>
      </c>
      <c r="CE207" s="20">
        <f ca="1">IF(Table1[[#This Row],[County]]="East Riding of Yorkshire",Table1[[#This Row],[income]],0)</f>
        <v>0</v>
      </c>
      <c r="CF207" s="20">
        <f ca="1">IF(Table1[[#This Row],[County]]="West Yorkshire",Table1[[#This Row],[income]],0)</f>
        <v>0</v>
      </c>
      <c r="CG207" s="20">
        <f ca="1">IF(Table1[[#This Row],[County]]="Essex",Table1[[#This Row],[income]],0)</f>
        <v>0</v>
      </c>
      <c r="CH207" s="20">
        <f ca="1">IF(Table1[[#This Row],[County]]="East Sussex",Table1[[#This Row],[income]],0)</f>
        <v>0</v>
      </c>
      <c r="CI207" s="20">
        <f ca="1">IF(Table1[[#This Row],[County]]="Greater Manchester",Table1[[#This Row],[income]],0)</f>
        <v>0</v>
      </c>
      <c r="CJ207" s="20">
        <f ca="1">IF(Table1[[#This Row],[County]]="Hertfordshire",Table1[[#This Row],[income]],0)</f>
        <v>0</v>
      </c>
      <c r="CK207" s="20">
        <f ca="1">IF(Table1[[#This Row],[County]]="Herefordshire",Table1[[#This Row],[income]],0)</f>
        <v>0</v>
      </c>
      <c r="CL207" s="20">
        <f ca="1">IF(Table1[[#This Row],[County]]="Lancashire",Table1[[#This Row],[income]],0)</f>
        <v>0</v>
      </c>
      <c r="CM207" s="20">
        <f ca="1">IF(Table1[[#This Row],[County]]="Merseyside",Table1[[#This Row],[income]],0)</f>
        <v>0</v>
      </c>
      <c r="CN207" s="20">
        <f ca="1">IF(Table1[[#This Row],[County]]="Northamptonshire",Table1[[#This Row],[income]],0)</f>
        <v>0</v>
      </c>
      <c r="CO207" s="20">
        <f ca="1">IF(Table1[[#This Row],[County]]="Northumberland",Table1[[#This Row],[income]],0)</f>
        <v>0</v>
      </c>
      <c r="CP207" s="20">
        <f ca="1">IF(Table1[[#This Row],[County]]="Wiltshire",Table1[[#This Row],[income]],0)</f>
        <v>0</v>
      </c>
      <c r="CQ207" s="20">
        <f ca="1">IF(Table1[[#This Row],[County]]="West Midlands",Table1[[#This Row],[income]],0)</f>
        <v>0</v>
      </c>
      <c r="CR207" s="20">
        <f ca="1">IF(Table1[[#This Row],[County]]="Warwickshire",Table1[[#This Row],[income]],0)</f>
        <v>0</v>
      </c>
      <c r="CS207" s="20">
        <f ca="1">IF(Table1[[#This Row],[County]]="Tyne and Wear",Table1[[#This Row],[income]],0)</f>
        <v>0</v>
      </c>
      <c r="CT207" s="20">
        <f ca="1">IF(Table1[[#This Row],[County]]="Worcestershire",Table1[[#This Row],[income]],0)</f>
        <v>0</v>
      </c>
      <c r="CU207" s="20">
        <f ca="1">IF(Table1[[#This Row],[County]]="Rutland",Table1[[#This Row],[income]],0)</f>
        <v>0</v>
      </c>
      <c r="CV207" s="20">
        <f ca="1">IF(Table1[[#This Row],[County]]="Shropshire",Table1[[#This Row],[income]],0)</f>
        <v>0</v>
      </c>
      <c r="CW207" s="20">
        <f ca="1">IF(Table1[[#This Row],[County]]="Dorset",Table1[[#This Row],[income]],0)</f>
        <v>0</v>
      </c>
      <c r="CX207" s="20">
        <f ca="1">IF(Table1[[#This Row],[County]]="Buckinghamshire",Table1[[#This Row],[income]],0)</f>
        <v>0</v>
      </c>
      <c r="CY207" s="20">
        <f ca="1">IF(Table1[[#This Row],[County]]="Suffolk",Table1[[#This Row],[income]],0)</f>
        <v>0</v>
      </c>
      <c r="CZ207" s="20">
        <f ca="1">IF(Table1[[#This Row],[County]]="North Yorkshire",Table1[[#This Row],[income]],0)</f>
        <v>0</v>
      </c>
      <c r="DA207" s="20">
        <f ca="1">IF(Table1[[#This Row],[County]]="Kent",Table1[[#This Row],[income]],0)</f>
        <v>0</v>
      </c>
      <c r="DB207" s="5">
        <f ca="1">IF(Table1[[#This Row],[County]]="Derbyshire",Table1[[#This Row],[income]],0)</f>
        <v>83214</v>
      </c>
      <c r="DD207" s="6">
        <f ca="1">IF(Table1[[#This Row],[Column1]]="Health",Table1[[#This Row],[income]],0)</f>
        <v>0</v>
      </c>
      <c r="DE207" s="20">
        <f ca="1">IF(Table1[[#This Row],[Column1]]="Agriculture",Table1[[#This Row],[income]],0)</f>
        <v>0</v>
      </c>
      <c r="DF207" s="20">
        <f ca="1">IF(Table1[[#This Row],[Column1]]="Technology",Table1[[#This Row],[income]],0)</f>
        <v>0</v>
      </c>
      <c r="DG207" s="20">
        <f ca="1">IF(Table1[[#This Row],[Column1]]="Social Service",Table1[[#This Row],[income]],0)</f>
        <v>0</v>
      </c>
      <c r="DH207" s="20">
        <f ca="1">IF(Table1[[#This Row],[Column1]]="Education",Table1[[#This Row],[income]],0)</f>
        <v>0</v>
      </c>
      <c r="DI207" s="5">
        <f ca="1">IF(Table1[[#This Row],[Column1]]="Construction",Table1[[#This Row],[income]],0)</f>
        <v>83214</v>
      </c>
      <c r="DK207" s="6">
        <f ca="1">IF(Table1[[#This Row],[Value of Debts]]&gt;Table1[[#This Row],[income]],1,0)</f>
        <v>1</v>
      </c>
      <c r="DL207" s="20"/>
      <c r="DM207" s="20"/>
      <c r="DN207" s="5"/>
      <c r="DP207" s="6">
        <f ca="1">IF(Table1[[#This Row],[Net Worth (£)]]&gt;$DS$5,C207,0)</f>
        <v>0</v>
      </c>
      <c r="DQ207" s="20"/>
      <c r="DR207" s="20"/>
      <c r="DS207" s="5"/>
    </row>
    <row r="208" spans="1:123" x14ac:dyDescent="0.2">
      <c r="A208">
        <f t="shared" ca="1" si="10"/>
        <v>2</v>
      </c>
      <c r="B208" s="1" t="str">
        <f ca="1">IF(A208=1, "men", "women")</f>
        <v>women</v>
      </c>
      <c r="C208" s="1">
        <f ca="1">RANDBETWEEN(25,50)</f>
        <v>33</v>
      </c>
      <c r="D208">
        <f ca="1">RANDBETWEEN(1,6)</f>
        <v>4</v>
      </c>
      <c r="E208" t="str">
        <f ca="1">VLOOKUP(D208,$W$5:$X$10,2)</f>
        <v>Technology</v>
      </c>
      <c r="F208">
        <f ca="1">RANDBETWEEN(1,5)</f>
        <v>4</v>
      </c>
      <c r="G208" t="str">
        <f ca="1">VLOOKUP(F208,$Y$5:$Z$9,2)</f>
        <v xml:space="preserve">Technical </v>
      </c>
      <c r="H208">
        <f ca="1">RANDBETWEEN(0,4)</f>
        <v>4</v>
      </c>
      <c r="I208">
        <f ca="1">RANDBETWEEN(1,3)</f>
        <v>1</v>
      </c>
      <c r="J208">
        <f ca="1">RANDBETWEEN(30000,100000)</f>
        <v>87045</v>
      </c>
      <c r="K208">
        <f ca="1">RANDBETWEEN(1,48)</f>
        <v>2</v>
      </c>
      <c r="L208" t="str">
        <f ca="1">VLOOKUP(K208,$AA$5:$AB$52,2)</f>
        <v>Berkshire</v>
      </c>
      <c r="M208">
        <f ca="1">J208*(RANDBETWEEN(2,5))</f>
        <v>261135</v>
      </c>
      <c r="N208">
        <f ca="1">RAND()*M208</f>
        <v>25397.118484289545</v>
      </c>
      <c r="O208">
        <f ca="1">I208*RAND()*J208</f>
        <v>32000.443328216876</v>
      </c>
      <c r="P208">
        <f ca="1">RANDBETWEEN(0,O208)</f>
        <v>22242</v>
      </c>
      <c r="Q208">
        <f ca="1">RAND()*J208*2</f>
        <v>106456.65365810154</v>
      </c>
      <c r="R208">
        <f ca="1">RAND()*J208*1.5</f>
        <v>59679.250491773819</v>
      </c>
      <c r="S208">
        <f ca="1">J208+R208+O208</f>
        <v>178724.6938199907</v>
      </c>
      <c r="T208">
        <f ca="1">N208+P208+Q208</f>
        <v>154095.77214239107</v>
      </c>
      <c r="U208">
        <f ca="1">S208-T208</f>
        <v>24628.921677599632</v>
      </c>
      <c r="AC208" s="6">
        <f ca="1">IF(Table1[[#This Row],[gender]]="men",1,0)</f>
        <v>0</v>
      </c>
      <c r="AD208">
        <f ca="1">IF(Table1[[#This Row],[gender]]="women",1,0)</f>
        <v>1</v>
      </c>
      <c r="AH208" s="5"/>
      <c r="AJ208" s="6">
        <f ca="1">IF(Table1[[#This Row],[Column1]]="Health",1,0)</f>
        <v>0</v>
      </c>
      <c r="AK208">
        <f ca="1">IF(Table1[[#This Row],[Column1]]="Construction",1,0)</f>
        <v>0</v>
      </c>
      <c r="AL208">
        <f ca="1">IF(Table1[[#This Row],[Column1]]="Technology",1,0)</f>
        <v>1</v>
      </c>
      <c r="AM208">
        <f ca="1">IF(Table1[[#This Row],[Column1]]="Education",1,0)</f>
        <v>0</v>
      </c>
      <c r="AN208">
        <f ca="1">IF(Table1[[#This Row],[Column1]]="Agriculture",1,0)</f>
        <v>0</v>
      </c>
      <c r="AO208">
        <f ca="1">IF(Table1[[#This Row],[Column1]]="Social Service", 1, 0)</f>
        <v>0</v>
      </c>
      <c r="AT208" s="5"/>
      <c r="AV208" s="17">
        <f t="shared" ca="1" si="9"/>
        <v>52439.050790036374</v>
      </c>
      <c r="AW208" s="5"/>
      <c r="AX208" s="6">
        <f ca="1">IF(Table1[[#This Row],[Value of Debts]]&gt;$AY$4,1,0)</f>
        <v>1</v>
      </c>
      <c r="AY208" s="20"/>
      <c r="AZ208" s="20"/>
      <c r="BA208" s="5"/>
      <c r="BB208" s="25">
        <f ca="1">Table1[[#This Row],[Mortage Left]]/Table1[[#This Row],[Value of House]]</f>
        <v>9.7256662202652056E-2</v>
      </c>
      <c r="BC208" s="20">
        <f t="shared" ca="1" si="11"/>
        <v>1</v>
      </c>
      <c r="BD208" s="20"/>
      <c r="BE208" s="20"/>
      <c r="BF208" s="20"/>
      <c r="BG208" s="6">
        <f ca="1">IF(Table1[[#This Row],[County]]="Cumbria",Table1[[#This Row],[income]],0)</f>
        <v>0</v>
      </c>
      <c r="BH208" s="20">
        <f ca="1">IF(Table1[[#This Row],[County]]="Cheshire",Table1[[#This Row],[income]],0)</f>
        <v>0</v>
      </c>
      <c r="BI208" s="20">
        <f ca="1">IF(Table1[[#This Row],[County]]="Bristol",Table1[[#This Row],[income]],0)</f>
        <v>0</v>
      </c>
      <c r="BJ208" s="20">
        <f ca="1">IF(Table1[[#This Row],[County]]="Surrey",Table1[[#This Row],[income]],0)</f>
        <v>0</v>
      </c>
      <c r="BK208" s="20">
        <f ca="1">IF(Table1[[#This Row],[County]]="Norfolk",Table1[[#This Row],[income]],0)</f>
        <v>0</v>
      </c>
      <c r="BL208" s="20">
        <f ca="1">IF(Table1[[#This Row],[County]]="Lincolnshire",Table1[[#This Row],[income]],0)</f>
        <v>0</v>
      </c>
      <c r="BM208" s="20">
        <f ca="1">IF(Table1[[#This Row],[County]]="Somerset",Table1[[#This Row],[income]],0)</f>
        <v>0</v>
      </c>
      <c r="BN208" s="20">
        <f ca="1">IF(Table1[[#This Row],[County]]="Cambridgeshire",Table1[[#This Row],[income]],0)</f>
        <v>0</v>
      </c>
      <c r="BO208" s="20">
        <f ca="1">IF(Table1[[#This Row],[County]]="South Yorkshire",Table1[[#This Row],[income]],0)</f>
        <v>0</v>
      </c>
      <c r="BP208" s="20">
        <f ca="1">IF(Table1[[#This Row],[County]]="Greater London",Table1[[#This Row],[income]],0)</f>
        <v>0</v>
      </c>
      <c r="BQ208" s="20">
        <f ca="1">IF(Table1[[#This Row],[County]]="Hampshire",Table1[[#This Row],[income]],0)</f>
        <v>0</v>
      </c>
      <c r="BR208" s="20">
        <f ca="1">IF(Table1[[#This Row],[County]]="Gloucestershire",Table1[[#This Row],[income]],0)</f>
        <v>0</v>
      </c>
      <c r="BS208" s="20">
        <f ca="1">IF(Table1[[#This Row],[County]]="West Sussex",Table1[[#This Row],[income]],0)</f>
        <v>0</v>
      </c>
      <c r="BT208" s="20">
        <f ca="1">IF(Table1[[#This Row],[County]]="Devon",Table1[[#This Row],[income]],0)</f>
        <v>0</v>
      </c>
      <c r="BU208" s="20">
        <f ca="1">IF(Table1[[#This Row],[County]]="Berkshire",Table1[[#This Row],[income]],0)</f>
        <v>87045</v>
      </c>
      <c r="BV208" s="20">
        <f ca="1">IF(Table1[[#This Row],[County]]="Staffordshire",Table1[[#This Row],[income]],0)</f>
        <v>0</v>
      </c>
      <c r="BW208" s="20">
        <f ca="1">IF(Table1[[#This Row],[County]]="Leicestershire",Table1[[#This Row],[income]],0)</f>
        <v>0</v>
      </c>
      <c r="BX208" s="20">
        <f ca="1">IF(Table1[[#This Row],[County]]="Cornwall",Table1[[#This Row],[income]],0)</f>
        <v>0</v>
      </c>
      <c r="BY208" s="20">
        <f ca="1">IF(Table1[[#This Row],[County]]="Isle of Wight",Table1[[#This Row],[income]],0)</f>
        <v>0</v>
      </c>
      <c r="BZ208" s="20">
        <f ca="1">IF(Table1[[#This Row],[County]]="Surrey",Table1[[#This Row],[income]],0)</f>
        <v>0</v>
      </c>
      <c r="CA208" s="20">
        <f ca="1">IF(Table1[[#This Row],[County]]="Derbyshire",Table1[[#This Row],[income]],0)</f>
        <v>0</v>
      </c>
      <c r="CB208" s="20">
        <f ca="1">IF(Table1[[#This Row],[County]]="City of London",Table1[[#This Row],[income]],0)</f>
        <v>0</v>
      </c>
      <c r="CC208" s="20">
        <f ca="1">IF(Table1[[#This Row],[County]]="Bedfordshire",Table1[[#This Row],[income]],0)</f>
        <v>0</v>
      </c>
      <c r="CD208" s="20">
        <f ca="1">IF(Table1[[#This Row],[County]]="County Durham",Table1[[#This Row],[income]],0)</f>
        <v>0</v>
      </c>
      <c r="CE208" s="20">
        <f ca="1">IF(Table1[[#This Row],[County]]="East Riding of Yorkshire",Table1[[#This Row],[income]],0)</f>
        <v>0</v>
      </c>
      <c r="CF208" s="20">
        <f ca="1">IF(Table1[[#This Row],[County]]="West Yorkshire",Table1[[#This Row],[income]],0)</f>
        <v>0</v>
      </c>
      <c r="CG208" s="20">
        <f ca="1">IF(Table1[[#This Row],[County]]="Essex",Table1[[#This Row],[income]],0)</f>
        <v>0</v>
      </c>
      <c r="CH208" s="20">
        <f ca="1">IF(Table1[[#This Row],[County]]="East Sussex",Table1[[#This Row],[income]],0)</f>
        <v>0</v>
      </c>
      <c r="CI208" s="20">
        <f ca="1">IF(Table1[[#This Row],[County]]="Greater Manchester",Table1[[#This Row],[income]],0)</f>
        <v>0</v>
      </c>
      <c r="CJ208" s="20">
        <f ca="1">IF(Table1[[#This Row],[County]]="Hertfordshire",Table1[[#This Row],[income]],0)</f>
        <v>0</v>
      </c>
      <c r="CK208" s="20">
        <f ca="1">IF(Table1[[#This Row],[County]]="Herefordshire",Table1[[#This Row],[income]],0)</f>
        <v>0</v>
      </c>
      <c r="CL208" s="20">
        <f ca="1">IF(Table1[[#This Row],[County]]="Lancashire",Table1[[#This Row],[income]],0)</f>
        <v>0</v>
      </c>
      <c r="CM208" s="20">
        <f ca="1">IF(Table1[[#This Row],[County]]="Merseyside",Table1[[#This Row],[income]],0)</f>
        <v>0</v>
      </c>
      <c r="CN208" s="20">
        <f ca="1">IF(Table1[[#This Row],[County]]="Northamptonshire",Table1[[#This Row],[income]],0)</f>
        <v>0</v>
      </c>
      <c r="CO208" s="20">
        <f ca="1">IF(Table1[[#This Row],[County]]="Northumberland",Table1[[#This Row],[income]],0)</f>
        <v>0</v>
      </c>
      <c r="CP208" s="20">
        <f ca="1">IF(Table1[[#This Row],[County]]="Wiltshire",Table1[[#This Row],[income]],0)</f>
        <v>0</v>
      </c>
      <c r="CQ208" s="20">
        <f ca="1">IF(Table1[[#This Row],[County]]="West Midlands",Table1[[#This Row],[income]],0)</f>
        <v>0</v>
      </c>
      <c r="CR208" s="20">
        <f ca="1">IF(Table1[[#This Row],[County]]="Warwickshire",Table1[[#This Row],[income]],0)</f>
        <v>0</v>
      </c>
      <c r="CS208" s="20">
        <f ca="1">IF(Table1[[#This Row],[County]]="Tyne and Wear",Table1[[#This Row],[income]],0)</f>
        <v>0</v>
      </c>
      <c r="CT208" s="20">
        <f ca="1">IF(Table1[[#This Row],[County]]="Worcestershire",Table1[[#This Row],[income]],0)</f>
        <v>0</v>
      </c>
      <c r="CU208" s="20">
        <f ca="1">IF(Table1[[#This Row],[County]]="Rutland",Table1[[#This Row],[income]],0)</f>
        <v>0</v>
      </c>
      <c r="CV208" s="20">
        <f ca="1">IF(Table1[[#This Row],[County]]="Shropshire",Table1[[#This Row],[income]],0)</f>
        <v>0</v>
      </c>
      <c r="CW208" s="20">
        <f ca="1">IF(Table1[[#This Row],[County]]="Dorset",Table1[[#This Row],[income]],0)</f>
        <v>0</v>
      </c>
      <c r="CX208" s="20">
        <f ca="1">IF(Table1[[#This Row],[County]]="Buckinghamshire",Table1[[#This Row],[income]],0)</f>
        <v>0</v>
      </c>
      <c r="CY208" s="20">
        <f ca="1">IF(Table1[[#This Row],[County]]="Suffolk",Table1[[#This Row],[income]],0)</f>
        <v>0</v>
      </c>
      <c r="CZ208" s="20">
        <f ca="1">IF(Table1[[#This Row],[County]]="North Yorkshire",Table1[[#This Row],[income]],0)</f>
        <v>0</v>
      </c>
      <c r="DA208" s="20">
        <f ca="1">IF(Table1[[#This Row],[County]]="Kent",Table1[[#This Row],[income]],0)</f>
        <v>0</v>
      </c>
      <c r="DB208" s="5">
        <f ca="1">IF(Table1[[#This Row],[County]]="Derbyshire",Table1[[#This Row],[income]],0)</f>
        <v>0</v>
      </c>
      <c r="DD208" s="6">
        <f ca="1">IF(Table1[[#This Row],[Column1]]="Health",Table1[[#This Row],[income]],0)</f>
        <v>0</v>
      </c>
      <c r="DE208" s="20">
        <f ca="1">IF(Table1[[#This Row],[Column1]]="Agriculture",Table1[[#This Row],[income]],0)</f>
        <v>0</v>
      </c>
      <c r="DF208" s="20">
        <f ca="1">IF(Table1[[#This Row],[Column1]]="Technology",Table1[[#This Row],[income]],0)</f>
        <v>87045</v>
      </c>
      <c r="DG208" s="20">
        <f ca="1">IF(Table1[[#This Row],[Column1]]="Social Service",Table1[[#This Row],[income]],0)</f>
        <v>0</v>
      </c>
      <c r="DH208" s="20">
        <f ca="1">IF(Table1[[#This Row],[Column1]]="Education",Table1[[#This Row],[income]],0)</f>
        <v>0</v>
      </c>
      <c r="DI208" s="5">
        <f ca="1">IF(Table1[[#This Row],[Column1]]="Construction",Table1[[#This Row],[income]],0)</f>
        <v>0</v>
      </c>
      <c r="DK208" s="6">
        <f ca="1">IF(Table1[[#This Row],[Value of Debts]]&gt;Table1[[#This Row],[income]],1,0)</f>
        <v>1</v>
      </c>
      <c r="DL208" s="20"/>
      <c r="DM208" s="20"/>
      <c r="DN208" s="5"/>
      <c r="DP208" s="6">
        <f ca="1">IF(Table1[[#This Row],[Net Worth (£)]]&gt;$DS$5,C208,0)</f>
        <v>0</v>
      </c>
      <c r="DQ208" s="20"/>
      <c r="DR208" s="20"/>
      <c r="DS208" s="5"/>
    </row>
    <row r="209" spans="1:123" x14ac:dyDescent="0.2">
      <c r="A209">
        <f t="shared" ca="1" si="10"/>
        <v>1</v>
      </c>
      <c r="B209" s="1" t="str">
        <f ca="1">IF(A209=1, "men", "women")</f>
        <v>men</v>
      </c>
      <c r="C209" s="1">
        <f ca="1">RANDBETWEEN(25,50)</f>
        <v>36</v>
      </c>
      <c r="D209">
        <f ca="1">RANDBETWEEN(1,6)</f>
        <v>4</v>
      </c>
      <c r="E209" t="str">
        <f ca="1">VLOOKUP(D209,$W$5:$X$10,2)</f>
        <v>Technology</v>
      </c>
      <c r="F209">
        <f ca="1">RANDBETWEEN(1,5)</f>
        <v>3</v>
      </c>
      <c r="G209" t="str">
        <f ca="1">VLOOKUP(F209,$Y$5:$Z$9,2)</f>
        <v>University</v>
      </c>
      <c r="H209">
        <f ca="1">RANDBETWEEN(0,4)</f>
        <v>3</v>
      </c>
      <c r="I209">
        <f ca="1">RANDBETWEEN(1,3)</f>
        <v>1</v>
      </c>
      <c r="J209">
        <f ca="1">RANDBETWEEN(30000,100000)</f>
        <v>58567</v>
      </c>
      <c r="K209">
        <f ca="1">RANDBETWEEN(1,48)</f>
        <v>17</v>
      </c>
      <c r="L209" t="str">
        <f ca="1">VLOOKUP(K209,$AA$5:$AB$52,2)</f>
        <v>Gloucestershire</v>
      </c>
      <c r="M209">
        <f ca="1">J209*(RANDBETWEEN(2,5))</f>
        <v>292835</v>
      </c>
      <c r="N209">
        <f ca="1">RAND()*M209</f>
        <v>74846.459384054979</v>
      </c>
      <c r="O209">
        <f ca="1">I209*RAND()*J209</f>
        <v>52439.050790036374</v>
      </c>
      <c r="P209">
        <f ca="1">RANDBETWEEN(0,O209)</f>
        <v>15000</v>
      </c>
      <c r="Q209">
        <f ca="1">RAND()*J209*2</f>
        <v>54474.932196148635</v>
      </c>
      <c r="R209">
        <f ca="1">RAND()*J209*1.5</f>
        <v>79475.50616968087</v>
      </c>
      <c r="S209">
        <f ca="1">J209+R209+O209</f>
        <v>190481.55695971724</v>
      </c>
      <c r="T209">
        <f ca="1">N209+P209+Q209</f>
        <v>144321.39158020361</v>
      </c>
      <c r="U209">
        <f ca="1">S209-T209</f>
        <v>46160.165379513637</v>
      </c>
      <c r="AC209" s="6">
        <f ca="1">IF(Table1[[#This Row],[gender]]="men",1,0)</f>
        <v>1</v>
      </c>
      <c r="AD209">
        <f ca="1">IF(Table1[[#This Row],[gender]]="women",1,0)</f>
        <v>0</v>
      </c>
      <c r="AH209" s="5"/>
      <c r="AJ209" s="6">
        <f ca="1">IF(Table1[[#This Row],[Column1]]="Health",1,0)</f>
        <v>0</v>
      </c>
      <c r="AK209">
        <f ca="1">IF(Table1[[#This Row],[Column1]]="Construction",1,0)</f>
        <v>0</v>
      </c>
      <c r="AL209">
        <f ca="1">IF(Table1[[#This Row],[Column1]]="Technology",1,0)</f>
        <v>1</v>
      </c>
      <c r="AM209">
        <f ca="1">IF(Table1[[#This Row],[Column1]]="Education",1,0)</f>
        <v>0</v>
      </c>
      <c r="AN209">
        <f ca="1">IF(Table1[[#This Row],[Column1]]="Agriculture",1,0)</f>
        <v>0</v>
      </c>
      <c r="AO209">
        <f ca="1">IF(Table1[[#This Row],[Column1]]="Social Service", 1, 0)</f>
        <v>0</v>
      </c>
      <c r="AT209" s="5"/>
      <c r="AV209" s="17">
        <f t="shared" ca="1" si="9"/>
        <v>17365.16354921637</v>
      </c>
      <c r="AW209" s="5"/>
      <c r="AX209" s="6">
        <f ca="1">IF(Table1[[#This Row],[Value of Debts]]&gt;$AY$4,1,0)</f>
        <v>1</v>
      </c>
      <c r="AY209" s="20"/>
      <c r="AZ209" s="20"/>
      <c r="BA209" s="5"/>
      <c r="BB209" s="25">
        <f ca="1">Table1[[#This Row],[Mortage Left]]/Table1[[#This Row],[Value of House]]</f>
        <v>0.25559260123979366</v>
      </c>
      <c r="BC209" s="20">
        <f t="shared" ca="1" si="11"/>
        <v>1</v>
      </c>
      <c r="BD209" s="20"/>
      <c r="BE209" s="20"/>
      <c r="BF209" s="20"/>
      <c r="BG209" s="6">
        <f ca="1">IF(Table1[[#This Row],[County]]="Cumbria",Table1[[#This Row],[income]],0)</f>
        <v>0</v>
      </c>
      <c r="BH209" s="20">
        <f ca="1">IF(Table1[[#This Row],[County]]="Cheshire",Table1[[#This Row],[income]],0)</f>
        <v>0</v>
      </c>
      <c r="BI209" s="20">
        <f ca="1">IF(Table1[[#This Row],[County]]="Bristol",Table1[[#This Row],[income]],0)</f>
        <v>0</v>
      </c>
      <c r="BJ209" s="20">
        <f ca="1">IF(Table1[[#This Row],[County]]="Surrey",Table1[[#This Row],[income]],0)</f>
        <v>0</v>
      </c>
      <c r="BK209" s="20">
        <f ca="1">IF(Table1[[#This Row],[County]]="Norfolk",Table1[[#This Row],[income]],0)</f>
        <v>0</v>
      </c>
      <c r="BL209" s="20">
        <f ca="1">IF(Table1[[#This Row],[County]]="Lincolnshire",Table1[[#This Row],[income]],0)</f>
        <v>0</v>
      </c>
      <c r="BM209" s="20">
        <f ca="1">IF(Table1[[#This Row],[County]]="Somerset",Table1[[#This Row],[income]],0)</f>
        <v>0</v>
      </c>
      <c r="BN209" s="20">
        <f ca="1">IF(Table1[[#This Row],[County]]="Cambridgeshire",Table1[[#This Row],[income]],0)</f>
        <v>0</v>
      </c>
      <c r="BO209" s="20">
        <f ca="1">IF(Table1[[#This Row],[County]]="South Yorkshire",Table1[[#This Row],[income]],0)</f>
        <v>0</v>
      </c>
      <c r="BP209" s="20">
        <f ca="1">IF(Table1[[#This Row],[County]]="Greater London",Table1[[#This Row],[income]],0)</f>
        <v>0</v>
      </c>
      <c r="BQ209" s="20">
        <f ca="1">IF(Table1[[#This Row],[County]]="Hampshire",Table1[[#This Row],[income]],0)</f>
        <v>0</v>
      </c>
      <c r="BR209" s="20">
        <f ca="1">IF(Table1[[#This Row],[County]]="Gloucestershire",Table1[[#This Row],[income]],0)</f>
        <v>58567</v>
      </c>
      <c r="BS209" s="20">
        <f ca="1">IF(Table1[[#This Row],[County]]="West Sussex",Table1[[#This Row],[income]],0)</f>
        <v>0</v>
      </c>
      <c r="BT209" s="20">
        <f ca="1">IF(Table1[[#This Row],[County]]="Devon",Table1[[#This Row],[income]],0)</f>
        <v>0</v>
      </c>
      <c r="BU209" s="20">
        <f ca="1">IF(Table1[[#This Row],[County]]="Berkshire",Table1[[#This Row],[income]],0)</f>
        <v>0</v>
      </c>
      <c r="BV209" s="20">
        <f ca="1">IF(Table1[[#This Row],[County]]="Staffordshire",Table1[[#This Row],[income]],0)</f>
        <v>0</v>
      </c>
      <c r="BW209" s="20">
        <f ca="1">IF(Table1[[#This Row],[County]]="Leicestershire",Table1[[#This Row],[income]],0)</f>
        <v>0</v>
      </c>
      <c r="BX209" s="20">
        <f ca="1">IF(Table1[[#This Row],[County]]="Cornwall",Table1[[#This Row],[income]],0)</f>
        <v>0</v>
      </c>
      <c r="BY209" s="20">
        <f ca="1">IF(Table1[[#This Row],[County]]="Isle of Wight",Table1[[#This Row],[income]],0)</f>
        <v>0</v>
      </c>
      <c r="BZ209" s="20">
        <f ca="1">IF(Table1[[#This Row],[County]]="Surrey",Table1[[#This Row],[income]],0)</f>
        <v>0</v>
      </c>
      <c r="CA209" s="20">
        <f ca="1">IF(Table1[[#This Row],[County]]="Derbyshire",Table1[[#This Row],[income]],0)</f>
        <v>0</v>
      </c>
      <c r="CB209" s="20">
        <f ca="1">IF(Table1[[#This Row],[County]]="City of London",Table1[[#This Row],[income]],0)</f>
        <v>0</v>
      </c>
      <c r="CC209" s="20">
        <f ca="1">IF(Table1[[#This Row],[County]]="Bedfordshire",Table1[[#This Row],[income]],0)</f>
        <v>0</v>
      </c>
      <c r="CD209" s="20">
        <f ca="1">IF(Table1[[#This Row],[County]]="County Durham",Table1[[#This Row],[income]],0)</f>
        <v>0</v>
      </c>
      <c r="CE209" s="20">
        <f ca="1">IF(Table1[[#This Row],[County]]="East Riding of Yorkshire",Table1[[#This Row],[income]],0)</f>
        <v>0</v>
      </c>
      <c r="CF209" s="20">
        <f ca="1">IF(Table1[[#This Row],[County]]="West Yorkshire",Table1[[#This Row],[income]],0)</f>
        <v>0</v>
      </c>
      <c r="CG209" s="20">
        <f ca="1">IF(Table1[[#This Row],[County]]="Essex",Table1[[#This Row],[income]],0)</f>
        <v>0</v>
      </c>
      <c r="CH209" s="20">
        <f ca="1">IF(Table1[[#This Row],[County]]="East Sussex",Table1[[#This Row],[income]],0)</f>
        <v>0</v>
      </c>
      <c r="CI209" s="20">
        <f ca="1">IF(Table1[[#This Row],[County]]="Greater Manchester",Table1[[#This Row],[income]],0)</f>
        <v>0</v>
      </c>
      <c r="CJ209" s="20">
        <f ca="1">IF(Table1[[#This Row],[County]]="Hertfordshire",Table1[[#This Row],[income]],0)</f>
        <v>0</v>
      </c>
      <c r="CK209" s="20">
        <f ca="1">IF(Table1[[#This Row],[County]]="Herefordshire",Table1[[#This Row],[income]],0)</f>
        <v>0</v>
      </c>
      <c r="CL209" s="20">
        <f ca="1">IF(Table1[[#This Row],[County]]="Lancashire",Table1[[#This Row],[income]],0)</f>
        <v>0</v>
      </c>
      <c r="CM209" s="20">
        <f ca="1">IF(Table1[[#This Row],[County]]="Merseyside",Table1[[#This Row],[income]],0)</f>
        <v>0</v>
      </c>
      <c r="CN209" s="20">
        <f ca="1">IF(Table1[[#This Row],[County]]="Northamptonshire",Table1[[#This Row],[income]],0)</f>
        <v>0</v>
      </c>
      <c r="CO209" s="20">
        <f ca="1">IF(Table1[[#This Row],[County]]="Northumberland",Table1[[#This Row],[income]],0)</f>
        <v>0</v>
      </c>
      <c r="CP209" s="20">
        <f ca="1">IF(Table1[[#This Row],[County]]="Wiltshire",Table1[[#This Row],[income]],0)</f>
        <v>0</v>
      </c>
      <c r="CQ209" s="20">
        <f ca="1">IF(Table1[[#This Row],[County]]="West Midlands",Table1[[#This Row],[income]],0)</f>
        <v>0</v>
      </c>
      <c r="CR209" s="20">
        <f ca="1">IF(Table1[[#This Row],[County]]="Warwickshire",Table1[[#This Row],[income]],0)</f>
        <v>0</v>
      </c>
      <c r="CS209" s="20">
        <f ca="1">IF(Table1[[#This Row],[County]]="Tyne and Wear",Table1[[#This Row],[income]],0)</f>
        <v>0</v>
      </c>
      <c r="CT209" s="20">
        <f ca="1">IF(Table1[[#This Row],[County]]="Worcestershire",Table1[[#This Row],[income]],0)</f>
        <v>0</v>
      </c>
      <c r="CU209" s="20">
        <f ca="1">IF(Table1[[#This Row],[County]]="Rutland",Table1[[#This Row],[income]],0)</f>
        <v>0</v>
      </c>
      <c r="CV209" s="20">
        <f ca="1">IF(Table1[[#This Row],[County]]="Shropshire",Table1[[#This Row],[income]],0)</f>
        <v>0</v>
      </c>
      <c r="CW209" s="20">
        <f ca="1">IF(Table1[[#This Row],[County]]="Dorset",Table1[[#This Row],[income]],0)</f>
        <v>0</v>
      </c>
      <c r="CX209" s="20">
        <f ca="1">IF(Table1[[#This Row],[County]]="Buckinghamshire",Table1[[#This Row],[income]],0)</f>
        <v>0</v>
      </c>
      <c r="CY209" s="20">
        <f ca="1">IF(Table1[[#This Row],[County]]="Suffolk",Table1[[#This Row],[income]],0)</f>
        <v>0</v>
      </c>
      <c r="CZ209" s="20">
        <f ca="1">IF(Table1[[#This Row],[County]]="North Yorkshire",Table1[[#This Row],[income]],0)</f>
        <v>0</v>
      </c>
      <c r="DA209" s="20">
        <f ca="1">IF(Table1[[#This Row],[County]]="Kent",Table1[[#This Row],[income]],0)</f>
        <v>0</v>
      </c>
      <c r="DB209" s="5">
        <f ca="1">IF(Table1[[#This Row],[County]]="Derbyshire",Table1[[#This Row],[income]],0)</f>
        <v>0</v>
      </c>
      <c r="DD209" s="6">
        <f ca="1">IF(Table1[[#This Row],[Column1]]="Health",Table1[[#This Row],[income]],0)</f>
        <v>0</v>
      </c>
      <c r="DE209" s="20">
        <f ca="1">IF(Table1[[#This Row],[Column1]]="Agriculture",Table1[[#This Row],[income]],0)</f>
        <v>0</v>
      </c>
      <c r="DF209" s="20">
        <f ca="1">IF(Table1[[#This Row],[Column1]]="Technology",Table1[[#This Row],[income]],0)</f>
        <v>58567</v>
      </c>
      <c r="DG209" s="20">
        <f ca="1">IF(Table1[[#This Row],[Column1]]="Social Service",Table1[[#This Row],[income]],0)</f>
        <v>0</v>
      </c>
      <c r="DH209" s="20">
        <f ca="1">IF(Table1[[#This Row],[Column1]]="Education",Table1[[#This Row],[income]],0)</f>
        <v>0</v>
      </c>
      <c r="DI209" s="5">
        <f ca="1">IF(Table1[[#This Row],[Column1]]="Construction",Table1[[#This Row],[income]],0)</f>
        <v>0</v>
      </c>
      <c r="DK209" s="6">
        <f ca="1">IF(Table1[[#This Row],[Value of Debts]]&gt;Table1[[#This Row],[income]],1,0)</f>
        <v>1</v>
      </c>
      <c r="DL209" s="20"/>
      <c r="DM209" s="20"/>
      <c r="DN209" s="5"/>
      <c r="DP209" s="6">
        <f ca="1">IF(Table1[[#This Row],[Net Worth (£)]]&gt;$DS$5,C209,0)</f>
        <v>0</v>
      </c>
      <c r="DQ209" s="20"/>
      <c r="DR209" s="20"/>
      <c r="DS209" s="5"/>
    </row>
    <row r="210" spans="1:123" x14ac:dyDescent="0.2">
      <c r="A210">
        <f t="shared" ca="1" si="10"/>
        <v>1</v>
      </c>
      <c r="B210" s="1" t="str">
        <f ca="1">IF(A210=1, "men", "women")</f>
        <v>men</v>
      </c>
      <c r="C210" s="1">
        <f ca="1">RANDBETWEEN(25,50)</f>
        <v>50</v>
      </c>
      <c r="D210">
        <f ca="1">RANDBETWEEN(1,6)</f>
        <v>6</v>
      </c>
      <c r="E210" t="str">
        <f ca="1">VLOOKUP(D210,$W$5:$X$10,2)</f>
        <v>Agriculture</v>
      </c>
      <c r="F210">
        <f ca="1">RANDBETWEEN(1,5)</f>
        <v>4</v>
      </c>
      <c r="G210" t="str">
        <f ca="1">VLOOKUP(F210,$Y$5:$Z$9,2)</f>
        <v xml:space="preserve">Technical </v>
      </c>
      <c r="H210">
        <f ca="1">RANDBETWEEN(0,4)</f>
        <v>2</v>
      </c>
      <c r="I210">
        <f ca="1">RANDBETWEEN(1,3)</f>
        <v>1</v>
      </c>
      <c r="J210">
        <f ca="1">RANDBETWEEN(30000,100000)</f>
        <v>32684</v>
      </c>
      <c r="K210">
        <f ca="1">RANDBETWEEN(1,48)</f>
        <v>25</v>
      </c>
      <c r="L210" t="str">
        <f ca="1">VLOOKUP(K210,$AA$5:$AB$52,2)</f>
        <v>Lancashire</v>
      </c>
      <c r="M210">
        <f ca="1">J210*(RANDBETWEEN(2,5))</f>
        <v>163420</v>
      </c>
      <c r="N210">
        <f ca="1">RAND()*M210</f>
        <v>28743.787982451428</v>
      </c>
      <c r="O210">
        <f ca="1">I210*RAND()*J210</f>
        <v>17365.16354921637</v>
      </c>
      <c r="P210">
        <f ca="1">RANDBETWEEN(0,O210)</f>
        <v>1607</v>
      </c>
      <c r="Q210">
        <f ca="1">RAND()*J210*2</f>
        <v>57146.484701933616</v>
      </c>
      <c r="R210">
        <f ca="1">RAND()*J210*1.5</f>
        <v>4518.0979231339334</v>
      </c>
      <c r="S210">
        <f ca="1">J210+R210+O210</f>
        <v>54567.261472350299</v>
      </c>
      <c r="T210">
        <f ca="1">N210+P210+Q210</f>
        <v>87497.27268438504</v>
      </c>
      <c r="U210">
        <f ca="1">S210-T210</f>
        <v>-32930.01121203474</v>
      </c>
      <c r="AC210" s="6">
        <f ca="1">IF(Table1[[#This Row],[gender]]="men",1,0)</f>
        <v>1</v>
      </c>
      <c r="AD210">
        <f ca="1">IF(Table1[[#This Row],[gender]]="women",1,0)</f>
        <v>0</v>
      </c>
      <c r="AH210" s="5"/>
      <c r="AJ210" s="6">
        <f ca="1">IF(Table1[[#This Row],[Column1]]="Health",1,0)</f>
        <v>0</v>
      </c>
      <c r="AK210">
        <f ca="1">IF(Table1[[#This Row],[Column1]]="Construction",1,0)</f>
        <v>0</v>
      </c>
      <c r="AL210">
        <f ca="1">IF(Table1[[#This Row],[Column1]]="Technology",1,0)</f>
        <v>0</v>
      </c>
      <c r="AM210">
        <f ca="1">IF(Table1[[#This Row],[Column1]]="Education",1,0)</f>
        <v>0</v>
      </c>
      <c r="AN210">
        <f ca="1">IF(Table1[[#This Row],[Column1]]="Agriculture",1,0)</f>
        <v>1</v>
      </c>
      <c r="AO210">
        <f ca="1">IF(Table1[[#This Row],[Column1]]="Social Service", 1, 0)</f>
        <v>0</v>
      </c>
      <c r="AT210" s="5"/>
      <c r="AV210" s="17">
        <f t="shared" ca="1" si="9"/>
        <v>5789.1772288884504</v>
      </c>
      <c r="AW210" s="5"/>
      <c r="AX210" s="6">
        <f ca="1">IF(Table1[[#This Row],[Value of Debts]]&gt;$AY$4,1,0)</f>
        <v>0</v>
      </c>
      <c r="AY210" s="20"/>
      <c r="AZ210" s="20"/>
      <c r="BA210" s="5"/>
      <c r="BB210" s="25">
        <f ca="1">Table1[[#This Row],[Mortage Left]]/Table1[[#This Row],[Value of House]]</f>
        <v>0.1758890465209364</v>
      </c>
      <c r="BC210" s="20">
        <f t="shared" ca="1" si="11"/>
        <v>1</v>
      </c>
      <c r="BD210" s="20"/>
      <c r="BE210" s="20"/>
      <c r="BF210" s="20"/>
      <c r="BG210" s="6">
        <f ca="1">IF(Table1[[#This Row],[County]]="Cumbria",Table1[[#This Row],[income]],0)</f>
        <v>0</v>
      </c>
      <c r="BH210" s="20">
        <f ca="1">IF(Table1[[#This Row],[County]]="Cheshire",Table1[[#This Row],[income]],0)</f>
        <v>0</v>
      </c>
      <c r="BI210" s="20">
        <f ca="1">IF(Table1[[#This Row],[County]]="Bristol",Table1[[#This Row],[income]],0)</f>
        <v>0</v>
      </c>
      <c r="BJ210" s="20">
        <f ca="1">IF(Table1[[#This Row],[County]]="Surrey",Table1[[#This Row],[income]],0)</f>
        <v>0</v>
      </c>
      <c r="BK210" s="20">
        <f ca="1">IF(Table1[[#This Row],[County]]="Norfolk",Table1[[#This Row],[income]],0)</f>
        <v>0</v>
      </c>
      <c r="BL210" s="20">
        <f ca="1">IF(Table1[[#This Row],[County]]="Lincolnshire",Table1[[#This Row],[income]],0)</f>
        <v>0</v>
      </c>
      <c r="BM210" s="20">
        <f ca="1">IF(Table1[[#This Row],[County]]="Somerset",Table1[[#This Row],[income]],0)</f>
        <v>0</v>
      </c>
      <c r="BN210" s="20">
        <f ca="1">IF(Table1[[#This Row],[County]]="Cambridgeshire",Table1[[#This Row],[income]],0)</f>
        <v>0</v>
      </c>
      <c r="BO210" s="20">
        <f ca="1">IF(Table1[[#This Row],[County]]="South Yorkshire",Table1[[#This Row],[income]],0)</f>
        <v>0</v>
      </c>
      <c r="BP210" s="20">
        <f ca="1">IF(Table1[[#This Row],[County]]="Greater London",Table1[[#This Row],[income]],0)</f>
        <v>0</v>
      </c>
      <c r="BQ210" s="20">
        <f ca="1">IF(Table1[[#This Row],[County]]="Hampshire",Table1[[#This Row],[income]],0)</f>
        <v>0</v>
      </c>
      <c r="BR210" s="20">
        <f ca="1">IF(Table1[[#This Row],[County]]="Gloucestershire",Table1[[#This Row],[income]],0)</f>
        <v>0</v>
      </c>
      <c r="BS210" s="20">
        <f ca="1">IF(Table1[[#This Row],[County]]="West Sussex",Table1[[#This Row],[income]],0)</f>
        <v>0</v>
      </c>
      <c r="BT210" s="20">
        <f ca="1">IF(Table1[[#This Row],[County]]="Devon",Table1[[#This Row],[income]],0)</f>
        <v>0</v>
      </c>
      <c r="BU210" s="20">
        <f ca="1">IF(Table1[[#This Row],[County]]="Berkshire",Table1[[#This Row],[income]],0)</f>
        <v>0</v>
      </c>
      <c r="BV210" s="20">
        <f ca="1">IF(Table1[[#This Row],[County]]="Staffordshire",Table1[[#This Row],[income]],0)</f>
        <v>0</v>
      </c>
      <c r="BW210" s="20">
        <f ca="1">IF(Table1[[#This Row],[County]]="Leicestershire",Table1[[#This Row],[income]],0)</f>
        <v>0</v>
      </c>
      <c r="BX210" s="20">
        <f ca="1">IF(Table1[[#This Row],[County]]="Cornwall",Table1[[#This Row],[income]],0)</f>
        <v>0</v>
      </c>
      <c r="BY210" s="20">
        <f ca="1">IF(Table1[[#This Row],[County]]="Isle of Wight",Table1[[#This Row],[income]],0)</f>
        <v>0</v>
      </c>
      <c r="BZ210" s="20">
        <f ca="1">IF(Table1[[#This Row],[County]]="Surrey",Table1[[#This Row],[income]],0)</f>
        <v>0</v>
      </c>
      <c r="CA210" s="20">
        <f ca="1">IF(Table1[[#This Row],[County]]="Derbyshire",Table1[[#This Row],[income]],0)</f>
        <v>0</v>
      </c>
      <c r="CB210" s="20">
        <f ca="1">IF(Table1[[#This Row],[County]]="City of London",Table1[[#This Row],[income]],0)</f>
        <v>0</v>
      </c>
      <c r="CC210" s="20">
        <f ca="1">IF(Table1[[#This Row],[County]]="Bedfordshire",Table1[[#This Row],[income]],0)</f>
        <v>0</v>
      </c>
      <c r="CD210" s="20">
        <f ca="1">IF(Table1[[#This Row],[County]]="County Durham",Table1[[#This Row],[income]],0)</f>
        <v>0</v>
      </c>
      <c r="CE210" s="20">
        <f ca="1">IF(Table1[[#This Row],[County]]="East Riding of Yorkshire",Table1[[#This Row],[income]],0)</f>
        <v>0</v>
      </c>
      <c r="CF210" s="20">
        <f ca="1">IF(Table1[[#This Row],[County]]="West Yorkshire",Table1[[#This Row],[income]],0)</f>
        <v>0</v>
      </c>
      <c r="CG210" s="20">
        <f ca="1">IF(Table1[[#This Row],[County]]="Essex",Table1[[#This Row],[income]],0)</f>
        <v>0</v>
      </c>
      <c r="CH210" s="20">
        <f ca="1">IF(Table1[[#This Row],[County]]="East Sussex",Table1[[#This Row],[income]],0)</f>
        <v>0</v>
      </c>
      <c r="CI210" s="20">
        <f ca="1">IF(Table1[[#This Row],[County]]="Greater Manchester",Table1[[#This Row],[income]],0)</f>
        <v>0</v>
      </c>
      <c r="CJ210" s="20">
        <f ca="1">IF(Table1[[#This Row],[County]]="Hertfordshire",Table1[[#This Row],[income]],0)</f>
        <v>0</v>
      </c>
      <c r="CK210" s="20">
        <f ca="1">IF(Table1[[#This Row],[County]]="Herefordshire",Table1[[#This Row],[income]],0)</f>
        <v>0</v>
      </c>
      <c r="CL210" s="20">
        <f ca="1">IF(Table1[[#This Row],[County]]="Lancashire",Table1[[#This Row],[income]],0)</f>
        <v>32684</v>
      </c>
      <c r="CM210" s="20">
        <f ca="1">IF(Table1[[#This Row],[County]]="Merseyside",Table1[[#This Row],[income]],0)</f>
        <v>0</v>
      </c>
      <c r="CN210" s="20">
        <f ca="1">IF(Table1[[#This Row],[County]]="Northamptonshire",Table1[[#This Row],[income]],0)</f>
        <v>0</v>
      </c>
      <c r="CO210" s="20">
        <f ca="1">IF(Table1[[#This Row],[County]]="Northumberland",Table1[[#This Row],[income]],0)</f>
        <v>0</v>
      </c>
      <c r="CP210" s="20">
        <f ca="1">IF(Table1[[#This Row],[County]]="Wiltshire",Table1[[#This Row],[income]],0)</f>
        <v>0</v>
      </c>
      <c r="CQ210" s="20">
        <f ca="1">IF(Table1[[#This Row],[County]]="West Midlands",Table1[[#This Row],[income]],0)</f>
        <v>0</v>
      </c>
      <c r="CR210" s="20">
        <f ca="1">IF(Table1[[#This Row],[County]]="Warwickshire",Table1[[#This Row],[income]],0)</f>
        <v>0</v>
      </c>
      <c r="CS210" s="20">
        <f ca="1">IF(Table1[[#This Row],[County]]="Tyne and Wear",Table1[[#This Row],[income]],0)</f>
        <v>0</v>
      </c>
      <c r="CT210" s="20">
        <f ca="1">IF(Table1[[#This Row],[County]]="Worcestershire",Table1[[#This Row],[income]],0)</f>
        <v>0</v>
      </c>
      <c r="CU210" s="20">
        <f ca="1">IF(Table1[[#This Row],[County]]="Rutland",Table1[[#This Row],[income]],0)</f>
        <v>0</v>
      </c>
      <c r="CV210" s="20">
        <f ca="1">IF(Table1[[#This Row],[County]]="Shropshire",Table1[[#This Row],[income]],0)</f>
        <v>0</v>
      </c>
      <c r="CW210" s="20">
        <f ca="1">IF(Table1[[#This Row],[County]]="Dorset",Table1[[#This Row],[income]],0)</f>
        <v>0</v>
      </c>
      <c r="CX210" s="20">
        <f ca="1">IF(Table1[[#This Row],[County]]="Buckinghamshire",Table1[[#This Row],[income]],0)</f>
        <v>0</v>
      </c>
      <c r="CY210" s="20">
        <f ca="1">IF(Table1[[#This Row],[County]]="Suffolk",Table1[[#This Row],[income]],0)</f>
        <v>0</v>
      </c>
      <c r="CZ210" s="20">
        <f ca="1">IF(Table1[[#This Row],[County]]="North Yorkshire",Table1[[#This Row],[income]],0)</f>
        <v>0</v>
      </c>
      <c r="DA210" s="20">
        <f ca="1">IF(Table1[[#This Row],[County]]="Kent",Table1[[#This Row],[income]],0)</f>
        <v>0</v>
      </c>
      <c r="DB210" s="5">
        <f ca="1">IF(Table1[[#This Row],[County]]="Derbyshire",Table1[[#This Row],[income]],0)</f>
        <v>0</v>
      </c>
      <c r="DD210" s="6">
        <f ca="1">IF(Table1[[#This Row],[Column1]]="Health",Table1[[#This Row],[income]],0)</f>
        <v>0</v>
      </c>
      <c r="DE210" s="20">
        <f ca="1">IF(Table1[[#This Row],[Column1]]="Agriculture",Table1[[#This Row],[income]],0)</f>
        <v>32684</v>
      </c>
      <c r="DF210" s="20">
        <f ca="1">IF(Table1[[#This Row],[Column1]]="Technology",Table1[[#This Row],[income]],0)</f>
        <v>0</v>
      </c>
      <c r="DG210" s="20">
        <f ca="1">IF(Table1[[#This Row],[Column1]]="Social Service",Table1[[#This Row],[income]],0)</f>
        <v>0</v>
      </c>
      <c r="DH210" s="20">
        <f ca="1">IF(Table1[[#This Row],[Column1]]="Education",Table1[[#This Row],[income]],0)</f>
        <v>0</v>
      </c>
      <c r="DI210" s="5">
        <f ca="1">IF(Table1[[#This Row],[Column1]]="Construction",Table1[[#This Row],[income]],0)</f>
        <v>0</v>
      </c>
      <c r="DK210" s="6">
        <f ca="1">IF(Table1[[#This Row],[Value of Debts]]&gt;Table1[[#This Row],[income]],1,0)</f>
        <v>1</v>
      </c>
      <c r="DL210" s="20"/>
      <c r="DM210" s="20"/>
      <c r="DN210" s="5"/>
      <c r="DP210" s="6">
        <f ca="1">IF(Table1[[#This Row],[Net Worth (£)]]&gt;$DS$5,C210,0)</f>
        <v>0</v>
      </c>
      <c r="DQ210" s="20"/>
      <c r="DR210" s="20"/>
      <c r="DS210" s="5"/>
    </row>
    <row r="211" spans="1:123" x14ac:dyDescent="0.2">
      <c r="A211">
        <f t="shared" ca="1" si="10"/>
        <v>2</v>
      </c>
      <c r="B211" s="1" t="str">
        <f ca="1">IF(A211=1, "men", "women")</f>
        <v>women</v>
      </c>
      <c r="C211" s="1">
        <f ca="1">RANDBETWEEN(25,50)</f>
        <v>37</v>
      </c>
      <c r="D211">
        <f ca="1">RANDBETWEEN(1,6)</f>
        <v>1</v>
      </c>
      <c r="E211" t="str">
        <f ca="1">VLOOKUP(D211,$W$5:$X$10,2)</f>
        <v>Health</v>
      </c>
      <c r="F211">
        <f ca="1">RANDBETWEEN(1,5)</f>
        <v>3</v>
      </c>
      <c r="G211" t="str">
        <f ca="1">VLOOKUP(F211,$Y$5:$Z$9,2)</f>
        <v>University</v>
      </c>
      <c r="H211">
        <f ca="1">RANDBETWEEN(0,4)</f>
        <v>0</v>
      </c>
      <c r="I211">
        <f ca="1">RANDBETWEEN(1,3)</f>
        <v>3</v>
      </c>
      <c r="J211">
        <f ca="1">RANDBETWEEN(30000,100000)</f>
        <v>48168</v>
      </c>
      <c r="K211">
        <f ca="1">RANDBETWEEN(1,48)</f>
        <v>13</v>
      </c>
      <c r="L211" t="str">
        <f ca="1">VLOOKUP(K211,$AA$5:$AB$52,2)</f>
        <v>County Durham</v>
      </c>
      <c r="M211">
        <f ca="1">J211*(RANDBETWEEN(2,5))</f>
        <v>240840</v>
      </c>
      <c r="N211">
        <f ca="1">RAND()*M211</f>
        <v>211483.77486118386</v>
      </c>
      <c r="O211">
        <f ca="1">I211*RAND()*J211</f>
        <v>17367.531686665352</v>
      </c>
      <c r="P211">
        <f ca="1">RANDBETWEEN(0,O211)</f>
        <v>14055</v>
      </c>
      <c r="Q211">
        <f ca="1">RAND()*J211*2</f>
        <v>36822.791821920153</v>
      </c>
      <c r="R211">
        <f ca="1">RAND()*J211*1.5</f>
        <v>65187.102711633866</v>
      </c>
      <c r="S211">
        <f ca="1">J211+R211+O211</f>
        <v>130722.63439829921</v>
      </c>
      <c r="T211">
        <f ca="1">N211+P211+Q211</f>
        <v>262361.56668310403</v>
      </c>
      <c r="U211">
        <f ca="1">S211-T211</f>
        <v>-131638.93228480482</v>
      </c>
      <c r="AC211" s="6">
        <f ca="1">IF(Table1[[#This Row],[gender]]="men",1,0)</f>
        <v>0</v>
      </c>
      <c r="AD211">
        <f ca="1">IF(Table1[[#This Row],[gender]]="women",1,0)</f>
        <v>1</v>
      </c>
      <c r="AH211" s="5"/>
      <c r="AJ211" s="6">
        <f ca="1">IF(Table1[[#This Row],[Column1]]="Health",1,0)</f>
        <v>1</v>
      </c>
      <c r="AK211">
        <f ca="1">IF(Table1[[#This Row],[Column1]]="Construction",1,0)</f>
        <v>0</v>
      </c>
      <c r="AL211">
        <f ca="1">IF(Table1[[#This Row],[Column1]]="Technology",1,0)</f>
        <v>0</v>
      </c>
      <c r="AM211">
        <f ca="1">IF(Table1[[#This Row],[Column1]]="Education",1,0)</f>
        <v>0</v>
      </c>
      <c r="AN211">
        <f ca="1">IF(Table1[[#This Row],[Column1]]="Agriculture",1,0)</f>
        <v>0</v>
      </c>
      <c r="AO211">
        <f ca="1">IF(Table1[[#This Row],[Column1]]="Social Service", 1, 0)</f>
        <v>0</v>
      </c>
      <c r="AT211" s="5"/>
      <c r="AV211" s="17">
        <f t="shared" ca="1" si="9"/>
        <v>12958.617109819348</v>
      </c>
      <c r="AW211" s="5"/>
      <c r="AX211" s="6">
        <f ca="1">IF(Table1[[#This Row],[Value of Debts]]&gt;$AY$4,1,0)</f>
        <v>1</v>
      </c>
      <c r="AY211" s="20"/>
      <c r="AZ211" s="20"/>
      <c r="BA211" s="5"/>
      <c r="BB211" s="25">
        <f ca="1">Table1[[#This Row],[Mortage Left]]/Table1[[#This Row],[Value of House]]</f>
        <v>0.87810901370695837</v>
      </c>
      <c r="BC211" s="20">
        <f t="shared" ca="1" si="11"/>
        <v>0</v>
      </c>
      <c r="BD211" s="20"/>
      <c r="BE211" s="20"/>
      <c r="BF211" s="20"/>
      <c r="BG211" s="6">
        <f ca="1">IF(Table1[[#This Row],[County]]="Cumbria",Table1[[#This Row],[income]],0)</f>
        <v>0</v>
      </c>
      <c r="BH211" s="20">
        <f ca="1">IF(Table1[[#This Row],[County]]="Cheshire",Table1[[#This Row],[income]],0)</f>
        <v>0</v>
      </c>
      <c r="BI211" s="20">
        <f ca="1">IF(Table1[[#This Row],[County]]="Bristol",Table1[[#This Row],[income]],0)</f>
        <v>0</v>
      </c>
      <c r="BJ211" s="20">
        <f ca="1">IF(Table1[[#This Row],[County]]="Surrey",Table1[[#This Row],[income]],0)</f>
        <v>0</v>
      </c>
      <c r="BK211" s="20">
        <f ca="1">IF(Table1[[#This Row],[County]]="Norfolk",Table1[[#This Row],[income]],0)</f>
        <v>0</v>
      </c>
      <c r="BL211" s="20">
        <f ca="1">IF(Table1[[#This Row],[County]]="Lincolnshire",Table1[[#This Row],[income]],0)</f>
        <v>0</v>
      </c>
      <c r="BM211" s="20">
        <f ca="1">IF(Table1[[#This Row],[County]]="Somerset",Table1[[#This Row],[income]],0)</f>
        <v>0</v>
      </c>
      <c r="BN211" s="20">
        <f ca="1">IF(Table1[[#This Row],[County]]="Cambridgeshire",Table1[[#This Row],[income]],0)</f>
        <v>0</v>
      </c>
      <c r="BO211" s="20">
        <f ca="1">IF(Table1[[#This Row],[County]]="South Yorkshire",Table1[[#This Row],[income]],0)</f>
        <v>0</v>
      </c>
      <c r="BP211" s="20">
        <f ca="1">IF(Table1[[#This Row],[County]]="Greater London",Table1[[#This Row],[income]],0)</f>
        <v>0</v>
      </c>
      <c r="BQ211" s="20">
        <f ca="1">IF(Table1[[#This Row],[County]]="Hampshire",Table1[[#This Row],[income]],0)</f>
        <v>0</v>
      </c>
      <c r="BR211" s="20">
        <f ca="1">IF(Table1[[#This Row],[County]]="Gloucestershire",Table1[[#This Row],[income]],0)</f>
        <v>0</v>
      </c>
      <c r="BS211" s="20">
        <f ca="1">IF(Table1[[#This Row],[County]]="West Sussex",Table1[[#This Row],[income]],0)</f>
        <v>0</v>
      </c>
      <c r="BT211" s="20">
        <f ca="1">IF(Table1[[#This Row],[County]]="Devon",Table1[[#This Row],[income]],0)</f>
        <v>0</v>
      </c>
      <c r="BU211" s="20">
        <f ca="1">IF(Table1[[#This Row],[County]]="Berkshire",Table1[[#This Row],[income]],0)</f>
        <v>0</v>
      </c>
      <c r="BV211" s="20">
        <f ca="1">IF(Table1[[#This Row],[County]]="Staffordshire",Table1[[#This Row],[income]],0)</f>
        <v>0</v>
      </c>
      <c r="BW211" s="20">
        <f ca="1">IF(Table1[[#This Row],[County]]="Leicestershire",Table1[[#This Row],[income]],0)</f>
        <v>0</v>
      </c>
      <c r="BX211" s="20">
        <f ca="1">IF(Table1[[#This Row],[County]]="Cornwall",Table1[[#This Row],[income]],0)</f>
        <v>0</v>
      </c>
      <c r="BY211" s="20">
        <f ca="1">IF(Table1[[#This Row],[County]]="Isle of Wight",Table1[[#This Row],[income]],0)</f>
        <v>0</v>
      </c>
      <c r="BZ211" s="20">
        <f ca="1">IF(Table1[[#This Row],[County]]="Surrey",Table1[[#This Row],[income]],0)</f>
        <v>0</v>
      </c>
      <c r="CA211" s="20">
        <f ca="1">IF(Table1[[#This Row],[County]]="Derbyshire",Table1[[#This Row],[income]],0)</f>
        <v>0</v>
      </c>
      <c r="CB211" s="20">
        <f ca="1">IF(Table1[[#This Row],[County]]="City of London",Table1[[#This Row],[income]],0)</f>
        <v>0</v>
      </c>
      <c r="CC211" s="20">
        <f ca="1">IF(Table1[[#This Row],[County]]="Bedfordshire",Table1[[#This Row],[income]],0)</f>
        <v>0</v>
      </c>
      <c r="CD211" s="20">
        <f ca="1">IF(Table1[[#This Row],[County]]="County Durham",Table1[[#This Row],[income]],0)</f>
        <v>48168</v>
      </c>
      <c r="CE211" s="20">
        <f ca="1">IF(Table1[[#This Row],[County]]="East Riding of Yorkshire",Table1[[#This Row],[income]],0)</f>
        <v>0</v>
      </c>
      <c r="CF211" s="20">
        <f ca="1">IF(Table1[[#This Row],[County]]="West Yorkshire",Table1[[#This Row],[income]],0)</f>
        <v>0</v>
      </c>
      <c r="CG211" s="20">
        <f ca="1">IF(Table1[[#This Row],[County]]="Essex",Table1[[#This Row],[income]],0)</f>
        <v>0</v>
      </c>
      <c r="CH211" s="20">
        <f ca="1">IF(Table1[[#This Row],[County]]="East Sussex",Table1[[#This Row],[income]],0)</f>
        <v>0</v>
      </c>
      <c r="CI211" s="20">
        <f ca="1">IF(Table1[[#This Row],[County]]="Greater Manchester",Table1[[#This Row],[income]],0)</f>
        <v>0</v>
      </c>
      <c r="CJ211" s="20">
        <f ca="1">IF(Table1[[#This Row],[County]]="Hertfordshire",Table1[[#This Row],[income]],0)</f>
        <v>0</v>
      </c>
      <c r="CK211" s="20">
        <f ca="1">IF(Table1[[#This Row],[County]]="Herefordshire",Table1[[#This Row],[income]],0)</f>
        <v>0</v>
      </c>
      <c r="CL211" s="20">
        <f ca="1">IF(Table1[[#This Row],[County]]="Lancashire",Table1[[#This Row],[income]],0)</f>
        <v>0</v>
      </c>
      <c r="CM211" s="20">
        <f ca="1">IF(Table1[[#This Row],[County]]="Merseyside",Table1[[#This Row],[income]],0)</f>
        <v>0</v>
      </c>
      <c r="CN211" s="20">
        <f ca="1">IF(Table1[[#This Row],[County]]="Northamptonshire",Table1[[#This Row],[income]],0)</f>
        <v>0</v>
      </c>
      <c r="CO211" s="20">
        <f ca="1">IF(Table1[[#This Row],[County]]="Northumberland",Table1[[#This Row],[income]],0)</f>
        <v>0</v>
      </c>
      <c r="CP211" s="20">
        <f ca="1">IF(Table1[[#This Row],[County]]="Wiltshire",Table1[[#This Row],[income]],0)</f>
        <v>0</v>
      </c>
      <c r="CQ211" s="20">
        <f ca="1">IF(Table1[[#This Row],[County]]="West Midlands",Table1[[#This Row],[income]],0)</f>
        <v>0</v>
      </c>
      <c r="CR211" s="20">
        <f ca="1">IF(Table1[[#This Row],[County]]="Warwickshire",Table1[[#This Row],[income]],0)</f>
        <v>0</v>
      </c>
      <c r="CS211" s="20">
        <f ca="1">IF(Table1[[#This Row],[County]]="Tyne and Wear",Table1[[#This Row],[income]],0)</f>
        <v>0</v>
      </c>
      <c r="CT211" s="20">
        <f ca="1">IF(Table1[[#This Row],[County]]="Worcestershire",Table1[[#This Row],[income]],0)</f>
        <v>0</v>
      </c>
      <c r="CU211" s="20">
        <f ca="1">IF(Table1[[#This Row],[County]]="Rutland",Table1[[#This Row],[income]],0)</f>
        <v>0</v>
      </c>
      <c r="CV211" s="20">
        <f ca="1">IF(Table1[[#This Row],[County]]="Shropshire",Table1[[#This Row],[income]],0)</f>
        <v>0</v>
      </c>
      <c r="CW211" s="20">
        <f ca="1">IF(Table1[[#This Row],[County]]="Dorset",Table1[[#This Row],[income]],0)</f>
        <v>0</v>
      </c>
      <c r="CX211" s="20">
        <f ca="1">IF(Table1[[#This Row],[County]]="Buckinghamshire",Table1[[#This Row],[income]],0)</f>
        <v>0</v>
      </c>
      <c r="CY211" s="20">
        <f ca="1">IF(Table1[[#This Row],[County]]="Suffolk",Table1[[#This Row],[income]],0)</f>
        <v>0</v>
      </c>
      <c r="CZ211" s="20">
        <f ca="1">IF(Table1[[#This Row],[County]]="North Yorkshire",Table1[[#This Row],[income]],0)</f>
        <v>0</v>
      </c>
      <c r="DA211" s="20">
        <f ca="1">IF(Table1[[#This Row],[County]]="Kent",Table1[[#This Row],[income]],0)</f>
        <v>0</v>
      </c>
      <c r="DB211" s="5">
        <f ca="1">IF(Table1[[#This Row],[County]]="Derbyshire",Table1[[#This Row],[income]],0)</f>
        <v>0</v>
      </c>
      <c r="DD211" s="6">
        <f ca="1">IF(Table1[[#This Row],[Column1]]="Health",Table1[[#This Row],[income]],0)</f>
        <v>48168</v>
      </c>
      <c r="DE211" s="20">
        <f ca="1">IF(Table1[[#This Row],[Column1]]="Agriculture",Table1[[#This Row],[income]],0)</f>
        <v>0</v>
      </c>
      <c r="DF211" s="20">
        <f ca="1">IF(Table1[[#This Row],[Column1]]="Technology",Table1[[#This Row],[income]],0)</f>
        <v>0</v>
      </c>
      <c r="DG211" s="20">
        <f ca="1">IF(Table1[[#This Row],[Column1]]="Social Service",Table1[[#This Row],[income]],0)</f>
        <v>0</v>
      </c>
      <c r="DH211" s="20">
        <f ca="1">IF(Table1[[#This Row],[Column1]]="Education",Table1[[#This Row],[income]],0)</f>
        <v>0</v>
      </c>
      <c r="DI211" s="5">
        <f ca="1">IF(Table1[[#This Row],[Column1]]="Construction",Table1[[#This Row],[income]],0)</f>
        <v>0</v>
      </c>
      <c r="DK211" s="6">
        <f ca="1">IF(Table1[[#This Row],[Value of Debts]]&gt;Table1[[#This Row],[income]],1,0)</f>
        <v>1</v>
      </c>
      <c r="DL211" s="20"/>
      <c r="DM211" s="20"/>
      <c r="DN211" s="5"/>
      <c r="DP211" s="6">
        <f ca="1">IF(Table1[[#This Row],[Net Worth (£)]]&gt;$DS$5,C211,0)</f>
        <v>0</v>
      </c>
      <c r="DQ211" s="20"/>
      <c r="DR211" s="20"/>
      <c r="DS211" s="5"/>
    </row>
    <row r="212" spans="1:123" x14ac:dyDescent="0.2">
      <c r="A212">
        <f t="shared" ca="1" si="10"/>
        <v>1</v>
      </c>
      <c r="B212" s="1" t="str">
        <f ca="1">IF(A212=1, "men", "women")</f>
        <v>men</v>
      </c>
      <c r="C212" s="1">
        <f ca="1">RANDBETWEEN(25,50)</f>
        <v>37</v>
      </c>
      <c r="D212">
        <f ca="1">RANDBETWEEN(1,6)</f>
        <v>6</v>
      </c>
      <c r="E212" t="str">
        <f ca="1">VLOOKUP(D212,$W$5:$X$10,2)</f>
        <v>Agriculture</v>
      </c>
      <c r="F212">
        <f ca="1">RANDBETWEEN(1,5)</f>
        <v>3</v>
      </c>
      <c r="G212" t="str">
        <f ca="1">VLOOKUP(F212,$Y$5:$Z$9,2)</f>
        <v>University</v>
      </c>
      <c r="H212">
        <f ca="1">RANDBETWEEN(0,4)</f>
        <v>2</v>
      </c>
      <c r="I212">
        <f ca="1">RANDBETWEEN(1,3)</f>
        <v>2</v>
      </c>
      <c r="J212">
        <f ca="1">RANDBETWEEN(30000,100000)</f>
        <v>51528</v>
      </c>
      <c r="K212">
        <f ca="1">RANDBETWEEN(1,48)</f>
        <v>31</v>
      </c>
      <c r="L212" t="str">
        <f ca="1">VLOOKUP(K212,$AA$5:$AB$52,2)</f>
        <v>Northamptonshire</v>
      </c>
      <c r="M212">
        <f ca="1">J212*(RANDBETWEEN(2,5))</f>
        <v>206112</v>
      </c>
      <c r="N212">
        <f ca="1">RAND()*M212</f>
        <v>181337.18656253043</v>
      </c>
      <c r="O212">
        <f ca="1">I212*RAND()*J212</f>
        <v>25917.234219638696</v>
      </c>
      <c r="P212">
        <f ca="1">RANDBETWEEN(0,O212)</f>
        <v>7179</v>
      </c>
      <c r="Q212">
        <f ca="1">RAND()*J212*2</f>
        <v>62627.086130606011</v>
      </c>
      <c r="R212">
        <f ca="1">RAND()*J212*1.5</f>
        <v>70346.542883985181</v>
      </c>
      <c r="S212">
        <f ca="1">J212+R212+O212</f>
        <v>147791.77710362387</v>
      </c>
      <c r="T212">
        <f ca="1">N212+P212+Q212</f>
        <v>251143.27269313645</v>
      </c>
      <c r="U212">
        <f ca="1">S212-T212</f>
        <v>-103351.49558951257</v>
      </c>
      <c r="AC212" s="6">
        <f ca="1">IF(Table1[[#This Row],[gender]]="men",1,0)</f>
        <v>1</v>
      </c>
      <c r="AD212">
        <f ca="1">IF(Table1[[#This Row],[gender]]="women",1,0)</f>
        <v>0</v>
      </c>
      <c r="AH212" s="5"/>
      <c r="AJ212" s="6">
        <f ca="1">IF(Table1[[#This Row],[Column1]]="Health",1,0)</f>
        <v>0</v>
      </c>
      <c r="AK212">
        <f ca="1">IF(Table1[[#This Row],[Column1]]="Construction",1,0)</f>
        <v>0</v>
      </c>
      <c r="AL212">
        <f ca="1">IF(Table1[[#This Row],[Column1]]="Technology",1,0)</f>
        <v>0</v>
      </c>
      <c r="AM212">
        <f ca="1">IF(Table1[[#This Row],[Column1]]="Education",1,0)</f>
        <v>0</v>
      </c>
      <c r="AN212">
        <f ca="1">IF(Table1[[#This Row],[Column1]]="Agriculture",1,0)</f>
        <v>1</v>
      </c>
      <c r="AO212">
        <f ca="1">IF(Table1[[#This Row],[Column1]]="Social Service", 1, 0)</f>
        <v>0</v>
      </c>
      <c r="AT212" s="5"/>
      <c r="AV212" s="17">
        <f t="shared" ca="1" si="9"/>
        <v>2844.1144295593454</v>
      </c>
      <c r="AW212" s="5"/>
      <c r="AX212" s="6">
        <f ca="1">IF(Table1[[#This Row],[Value of Debts]]&gt;$AY$4,1,0)</f>
        <v>1</v>
      </c>
      <c r="AY212" s="20"/>
      <c r="AZ212" s="20"/>
      <c r="BA212" s="5"/>
      <c r="BB212" s="25">
        <f ca="1">Table1[[#This Row],[Mortage Left]]/Table1[[#This Row],[Value of House]]</f>
        <v>0.87979926720681201</v>
      </c>
      <c r="BC212" s="20">
        <f t="shared" ca="1" si="11"/>
        <v>0</v>
      </c>
      <c r="BD212" s="20"/>
      <c r="BE212" s="20"/>
      <c r="BF212" s="20"/>
      <c r="BG212" s="6">
        <f ca="1">IF(Table1[[#This Row],[County]]="Cumbria",Table1[[#This Row],[income]],0)</f>
        <v>0</v>
      </c>
      <c r="BH212" s="20">
        <f ca="1">IF(Table1[[#This Row],[County]]="Cheshire",Table1[[#This Row],[income]],0)</f>
        <v>0</v>
      </c>
      <c r="BI212" s="20">
        <f ca="1">IF(Table1[[#This Row],[County]]="Bristol",Table1[[#This Row],[income]],0)</f>
        <v>0</v>
      </c>
      <c r="BJ212" s="20">
        <f ca="1">IF(Table1[[#This Row],[County]]="Surrey",Table1[[#This Row],[income]],0)</f>
        <v>0</v>
      </c>
      <c r="BK212" s="20">
        <f ca="1">IF(Table1[[#This Row],[County]]="Norfolk",Table1[[#This Row],[income]],0)</f>
        <v>0</v>
      </c>
      <c r="BL212" s="20">
        <f ca="1">IF(Table1[[#This Row],[County]]="Lincolnshire",Table1[[#This Row],[income]],0)</f>
        <v>0</v>
      </c>
      <c r="BM212" s="20">
        <f ca="1">IF(Table1[[#This Row],[County]]="Somerset",Table1[[#This Row],[income]],0)</f>
        <v>0</v>
      </c>
      <c r="BN212" s="20">
        <f ca="1">IF(Table1[[#This Row],[County]]="Cambridgeshire",Table1[[#This Row],[income]],0)</f>
        <v>0</v>
      </c>
      <c r="BO212" s="20">
        <f ca="1">IF(Table1[[#This Row],[County]]="South Yorkshire",Table1[[#This Row],[income]],0)</f>
        <v>0</v>
      </c>
      <c r="BP212" s="20">
        <f ca="1">IF(Table1[[#This Row],[County]]="Greater London",Table1[[#This Row],[income]],0)</f>
        <v>0</v>
      </c>
      <c r="BQ212" s="20">
        <f ca="1">IF(Table1[[#This Row],[County]]="Hampshire",Table1[[#This Row],[income]],0)</f>
        <v>0</v>
      </c>
      <c r="BR212" s="20">
        <f ca="1">IF(Table1[[#This Row],[County]]="Gloucestershire",Table1[[#This Row],[income]],0)</f>
        <v>0</v>
      </c>
      <c r="BS212" s="20">
        <f ca="1">IF(Table1[[#This Row],[County]]="West Sussex",Table1[[#This Row],[income]],0)</f>
        <v>0</v>
      </c>
      <c r="BT212" s="20">
        <f ca="1">IF(Table1[[#This Row],[County]]="Devon",Table1[[#This Row],[income]],0)</f>
        <v>0</v>
      </c>
      <c r="BU212" s="20">
        <f ca="1">IF(Table1[[#This Row],[County]]="Berkshire",Table1[[#This Row],[income]],0)</f>
        <v>0</v>
      </c>
      <c r="BV212" s="20">
        <f ca="1">IF(Table1[[#This Row],[County]]="Staffordshire",Table1[[#This Row],[income]],0)</f>
        <v>0</v>
      </c>
      <c r="BW212" s="20">
        <f ca="1">IF(Table1[[#This Row],[County]]="Leicestershire",Table1[[#This Row],[income]],0)</f>
        <v>0</v>
      </c>
      <c r="BX212" s="20">
        <f ca="1">IF(Table1[[#This Row],[County]]="Cornwall",Table1[[#This Row],[income]],0)</f>
        <v>0</v>
      </c>
      <c r="BY212" s="20">
        <f ca="1">IF(Table1[[#This Row],[County]]="Isle of Wight",Table1[[#This Row],[income]],0)</f>
        <v>0</v>
      </c>
      <c r="BZ212" s="20">
        <f ca="1">IF(Table1[[#This Row],[County]]="Surrey",Table1[[#This Row],[income]],0)</f>
        <v>0</v>
      </c>
      <c r="CA212" s="20">
        <f ca="1">IF(Table1[[#This Row],[County]]="Derbyshire",Table1[[#This Row],[income]],0)</f>
        <v>0</v>
      </c>
      <c r="CB212" s="20">
        <f ca="1">IF(Table1[[#This Row],[County]]="City of London",Table1[[#This Row],[income]],0)</f>
        <v>0</v>
      </c>
      <c r="CC212" s="20">
        <f ca="1">IF(Table1[[#This Row],[County]]="Bedfordshire",Table1[[#This Row],[income]],0)</f>
        <v>0</v>
      </c>
      <c r="CD212" s="20">
        <f ca="1">IF(Table1[[#This Row],[County]]="County Durham",Table1[[#This Row],[income]],0)</f>
        <v>0</v>
      </c>
      <c r="CE212" s="20">
        <f ca="1">IF(Table1[[#This Row],[County]]="East Riding of Yorkshire",Table1[[#This Row],[income]],0)</f>
        <v>0</v>
      </c>
      <c r="CF212" s="20">
        <f ca="1">IF(Table1[[#This Row],[County]]="West Yorkshire",Table1[[#This Row],[income]],0)</f>
        <v>0</v>
      </c>
      <c r="CG212" s="20">
        <f ca="1">IF(Table1[[#This Row],[County]]="Essex",Table1[[#This Row],[income]],0)</f>
        <v>0</v>
      </c>
      <c r="CH212" s="20">
        <f ca="1">IF(Table1[[#This Row],[County]]="East Sussex",Table1[[#This Row],[income]],0)</f>
        <v>0</v>
      </c>
      <c r="CI212" s="20">
        <f ca="1">IF(Table1[[#This Row],[County]]="Greater Manchester",Table1[[#This Row],[income]],0)</f>
        <v>0</v>
      </c>
      <c r="CJ212" s="20">
        <f ca="1">IF(Table1[[#This Row],[County]]="Hertfordshire",Table1[[#This Row],[income]],0)</f>
        <v>0</v>
      </c>
      <c r="CK212" s="20">
        <f ca="1">IF(Table1[[#This Row],[County]]="Herefordshire",Table1[[#This Row],[income]],0)</f>
        <v>0</v>
      </c>
      <c r="CL212" s="20">
        <f ca="1">IF(Table1[[#This Row],[County]]="Lancashire",Table1[[#This Row],[income]],0)</f>
        <v>0</v>
      </c>
      <c r="CM212" s="20">
        <f ca="1">IF(Table1[[#This Row],[County]]="Merseyside",Table1[[#This Row],[income]],0)</f>
        <v>0</v>
      </c>
      <c r="CN212" s="20">
        <f ca="1">IF(Table1[[#This Row],[County]]="Northamptonshire",Table1[[#This Row],[income]],0)</f>
        <v>51528</v>
      </c>
      <c r="CO212" s="20">
        <f ca="1">IF(Table1[[#This Row],[County]]="Northumberland",Table1[[#This Row],[income]],0)</f>
        <v>0</v>
      </c>
      <c r="CP212" s="20">
        <f ca="1">IF(Table1[[#This Row],[County]]="Wiltshire",Table1[[#This Row],[income]],0)</f>
        <v>0</v>
      </c>
      <c r="CQ212" s="20">
        <f ca="1">IF(Table1[[#This Row],[County]]="West Midlands",Table1[[#This Row],[income]],0)</f>
        <v>0</v>
      </c>
      <c r="CR212" s="20">
        <f ca="1">IF(Table1[[#This Row],[County]]="Warwickshire",Table1[[#This Row],[income]],0)</f>
        <v>0</v>
      </c>
      <c r="CS212" s="20">
        <f ca="1">IF(Table1[[#This Row],[County]]="Tyne and Wear",Table1[[#This Row],[income]],0)</f>
        <v>0</v>
      </c>
      <c r="CT212" s="20">
        <f ca="1">IF(Table1[[#This Row],[County]]="Worcestershire",Table1[[#This Row],[income]],0)</f>
        <v>0</v>
      </c>
      <c r="CU212" s="20">
        <f ca="1">IF(Table1[[#This Row],[County]]="Rutland",Table1[[#This Row],[income]],0)</f>
        <v>0</v>
      </c>
      <c r="CV212" s="20">
        <f ca="1">IF(Table1[[#This Row],[County]]="Shropshire",Table1[[#This Row],[income]],0)</f>
        <v>0</v>
      </c>
      <c r="CW212" s="20">
        <f ca="1">IF(Table1[[#This Row],[County]]="Dorset",Table1[[#This Row],[income]],0)</f>
        <v>0</v>
      </c>
      <c r="CX212" s="20">
        <f ca="1">IF(Table1[[#This Row],[County]]="Buckinghamshire",Table1[[#This Row],[income]],0)</f>
        <v>0</v>
      </c>
      <c r="CY212" s="20">
        <f ca="1">IF(Table1[[#This Row],[County]]="Suffolk",Table1[[#This Row],[income]],0)</f>
        <v>0</v>
      </c>
      <c r="CZ212" s="20">
        <f ca="1">IF(Table1[[#This Row],[County]]="North Yorkshire",Table1[[#This Row],[income]],0)</f>
        <v>0</v>
      </c>
      <c r="DA212" s="20">
        <f ca="1">IF(Table1[[#This Row],[County]]="Kent",Table1[[#This Row],[income]],0)</f>
        <v>0</v>
      </c>
      <c r="DB212" s="5">
        <f ca="1">IF(Table1[[#This Row],[County]]="Derbyshire",Table1[[#This Row],[income]],0)</f>
        <v>0</v>
      </c>
      <c r="DD212" s="6">
        <f ca="1">IF(Table1[[#This Row],[Column1]]="Health",Table1[[#This Row],[income]],0)</f>
        <v>0</v>
      </c>
      <c r="DE212" s="20">
        <f ca="1">IF(Table1[[#This Row],[Column1]]="Agriculture",Table1[[#This Row],[income]],0)</f>
        <v>51528</v>
      </c>
      <c r="DF212" s="20">
        <f ca="1">IF(Table1[[#This Row],[Column1]]="Technology",Table1[[#This Row],[income]],0)</f>
        <v>0</v>
      </c>
      <c r="DG212" s="20">
        <f ca="1">IF(Table1[[#This Row],[Column1]]="Social Service",Table1[[#This Row],[income]],0)</f>
        <v>0</v>
      </c>
      <c r="DH212" s="20">
        <f ca="1">IF(Table1[[#This Row],[Column1]]="Education",Table1[[#This Row],[income]],0)</f>
        <v>0</v>
      </c>
      <c r="DI212" s="5">
        <f ca="1">IF(Table1[[#This Row],[Column1]]="Construction",Table1[[#This Row],[income]],0)</f>
        <v>0</v>
      </c>
      <c r="DK212" s="6">
        <f ca="1">IF(Table1[[#This Row],[Value of Debts]]&gt;Table1[[#This Row],[income]],1,0)</f>
        <v>1</v>
      </c>
      <c r="DL212" s="20"/>
      <c r="DM212" s="20"/>
      <c r="DN212" s="5"/>
      <c r="DP212" s="6">
        <f ca="1">IF(Table1[[#This Row],[Net Worth (£)]]&gt;$DS$5,C212,0)</f>
        <v>0</v>
      </c>
      <c r="DQ212" s="20"/>
      <c r="DR212" s="20"/>
      <c r="DS212" s="5"/>
    </row>
    <row r="213" spans="1:123" x14ac:dyDescent="0.2">
      <c r="A213">
        <f t="shared" ca="1" si="10"/>
        <v>2</v>
      </c>
      <c r="B213" s="1" t="str">
        <f ca="1">IF(A213=1, "men", "women")</f>
        <v>women</v>
      </c>
      <c r="C213" s="1">
        <f ca="1">RANDBETWEEN(25,50)</f>
        <v>42</v>
      </c>
      <c r="D213">
        <f ca="1">RANDBETWEEN(1,6)</f>
        <v>6</v>
      </c>
      <c r="E213" t="str">
        <f ca="1">VLOOKUP(D213,$W$5:$X$10,2)</f>
        <v>Agriculture</v>
      </c>
      <c r="F213">
        <f ca="1">RANDBETWEEN(1,5)</f>
        <v>5</v>
      </c>
      <c r="G213" t="str">
        <f ca="1">VLOOKUP(F213,$Y$5:$Z$9,2)</f>
        <v>Other</v>
      </c>
      <c r="H213">
        <f ca="1">RANDBETWEEN(0,4)</f>
        <v>4</v>
      </c>
      <c r="I213">
        <f ca="1">RANDBETWEEN(1,3)</f>
        <v>3</v>
      </c>
      <c r="J213">
        <f ca="1">RANDBETWEEN(30000,100000)</f>
        <v>56291</v>
      </c>
      <c r="K213">
        <f ca="1">RANDBETWEEN(1,48)</f>
        <v>21</v>
      </c>
      <c r="L213" t="str">
        <f ca="1">VLOOKUP(K213,$AA$5:$AB$52,2)</f>
        <v>Herefordshire</v>
      </c>
      <c r="M213">
        <f ca="1">J213*(RANDBETWEEN(2,5))</f>
        <v>281455</v>
      </c>
      <c r="N213">
        <f ca="1">RAND()*M213</f>
        <v>53335.541396819113</v>
      </c>
      <c r="O213">
        <f ca="1">I213*RAND()*J213</f>
        <v>8532.3432886780356</v>
      </c>
      <c r="P213">
        <f ca="1">RANDBETWEEN(0,O213)</f>
        <v>5779</v>
      </c>
      <c r="Q213">
        <f ca="1">RAND()*J213*2</f>
        <v>96128.455850655853</v>
      </c>
      <c r="R213">
        <f ca="1">RAND()*J213*1.5</f>
        <v>47021.402418599748</v>
      </c>
      <c r="S213">
        <f ca="1">J213+R213+O213</f>
        <v>111844.74570727779</v>
      </c>
      <c r="T213">
        <f ca="1">N213+P213+Q213</f>
        <v>155242.99724747497</v>
      </c>
      <c r="U213">
        <f ca="1">S213-T213</f>
        <v>-43398.251540197176</v>
      </c>
      <c r="AC213" s="6">
        <f ca="1">IF(Table1[[#This Row],[gender]]="men",1,0)</f>
        <v>0</v>
      </c>
      <c r="AD213">
        <f ca="1">IF(Table1[[#This Row],[gender]]="women",1,0)</f>
        <v>1</v>
      </c>
      <c r="AH213" s="5"/>
      <c r="AJ213" s="6">
        <f ca="1">IF(Table1[[#This Row],[Column1]]="Health",1,0)</f>
        <v>0</v>
      </c>
      <c r="AK213">
        <f ca="1">IF(Table1[[#This Row],[Column1]]="Construction",1,0)</f>
        <v>0</v>
      </c>
      <c r="AL213">
        <f ca="1">IF(Table1[[#This Row],[Column1]]="Technology",1,0)</f>
        <v>0</v>
      </c>
      <c r="AM213">
        <f ca="1">IF(Table1[[#This Row],[Column1]]="Education",1,0)</f>
        <v>0</v>
      </c>
      <c r="AN213">
        <f ca="1">IF(Table1[[#This Row],[Column1]]="Agriculture",1,0)</f>
        <v>1</v>
      </c>
      <c r="AO213">
        <f ca="1">IF(Table1[[#This Row],[Column1]]="Social Service", 1, 0)</f>
        <v>0</v>
      </c>
      <c r="AT213" s="5"/>
      <c r="AV213" s="17">
        <f t="shared" ca="1" si="9"/>
        <v>42508.302523734215</v>
      </c>
      <c r="AW213" s="5"/>
      <c r="AX213" s="6">
        <f ca="1">IF(Table1[[#This Row],[Value of Debts]]&gt;$AY$4,1,0)</f>
        <v>1</v>
      </c>
      <c r="AY213" s="20"/>
      <c r="AZ213" s="20"/>
      <c r="BA213" s="5"/>
      <c r="BB213" s="25">
        <f ca="1">Table1[[#This Row],[Mortage Left]]/Table1[[#This Row],[Value of House]]</f>
        <v>0.18949935654658512</v>
      </c>
      <c r="BC213" s="20">
        <f t="shared" ca="1" si="11"/>
        <v>1</v>
      </c>
      <c r="BD213" s="20"/>
      <c r="BE213" s="20"/>
      <c r="BF213" s="20"/>
      <c r="BG213" s="6">
        <f ca="1">IF(Table1[[#This Row],[County]]="Cumbria",Table1[[#This Row],[income]],0)</f>
        <v>0</v>
      </c>
      <c r="BH213" s="20">
        <f ca="1">IF(Table1[[#This Row],[County]]="Cheshire",Table1[[#This Row],[income]],0)</f>
        <v>0</v>
      </c>
      <c r="BI213" s="20">
        <f ca="1">IF(Table1[[#This Row],[County]]="Bristol",Table1[[#This Row],[income]],0)</f>
        <v>0</v>
      </c>
      <c r="BJ213" s="20">
        <f ca="1">IF(Table1[[#This Row],[County]]="Surrey",Table1[[#This Row],[income]],0)</f>
        <v>0</v>
      </c>
      <c r="BK213" s="20">
        <f ca="1">IF(Table1[[#This Row],[County]]="Norfolk",Table1[[#This Row],[income]],0)</f>
        <v>0</v>
      </c>
      <c r="BL213" s="20">
        <f ca="1">IF(Table1[[#This Row],[County]]="Lincolnshire",Table1[[#This Row],[income]],0)</f>
        <v>0</v>
      </c>
      <c r="BM213" s="20">
        <f ca="1">IF(Table1[[#This Row],[County]]="Somerset",Table1[[#This Row],[income]],0)</f>
        <v>0</v>
      </c>
      <c r="BN213" s="20">
        <f ca="1">IF(Table1[[#This Row],[County]]="Cambridgeshire",Table1[[#This Row],[income]],0)</f>
        <v>0</v>
      </c>
      <c r="BO213" s="20">
        <f ca="1">IF(Table1[[#This Row],[County]]="South Yorkshire",Table1[[#This Row],[income]],0)</f>
        <v>0</v>
      </c>
      <c r="BP213" s="20">
        <f ca="1">IF(Table1[[#This Row],[County]]="Greater London",Table1[[#This Row],[income]],0)</f>
        <v>0</v>
      </c>
      <c r="BQ213" s="20">
        <f ca="1">IF(Table1[[#This Row],[County]]="Hampshire",Table1[[#This Row],[income]],0)</f>
        <v>0</v>
      </c>
      <c r="BR213" s="20">
        <f ca="1">IF(Table1[[#This Row],[County]]="Gloucestershire",Table1[[#This Row],[income]],0)</f>
        <v>0</v>
      </c>
      <c r="BS213" s="20">
        <f ca="1">IF(Table1[[#This Row],[County]]="West Sussex",Table1[[#This Row],[income]],0)</f>
        <v>0</v>
      </c>
      <c r="BT213" s="20">
        <f ca="1">IF(Table1[[#This Row],[County]]="Devon",Table1[[#This Row],[income]],0)</f>
        <v>0</v>
      </c>
      <c r="BU213" s="20">
        <f ca="1">IF(Table1[[#This Row],[County]]="Berkshire",Table1[[#This Row],[income]],0)</f>
        <v>0</v>
      </c>
      <c r="BV213" s="20">
        <f ca="1">IF(Table1[[#This Row],[County]]="Staffordshire",Table1[[#This Row],[income]],0)</f>
        <v>0</v>
      </c>
      <c r="BW213" s="20">
        <f ca="1">IF(Table1[[#This Row],[County]]="Leicestershire",Table1[[#This Row],[income]],0)</f>
        <v>0</v>
      </c>
      <c r="BX213" s="20">
        <f ca="1">IF(Table1[[#This Row],[County]]="Cornwall",Table1[[#This Row],[income]],0)</f>
        <v>0</v>
      </c>
      <c r="BY213" s="20">
        <f ca="1">IF(Table1[[#This Row],[County]]="Isle of Wight",Table1[[#This Row],[income]],0)</f>
        <v>0</v>
      </c>
      <c r="BZ213" s="20">
        <f ca="1">IF(Table1[[#This Row],[County]]="Surrey",Table1[[#This Row],[income]],0)</f>
        <v>0</v>
      </c>
      <c r="CA213" s="20">
        <f ca="1">IF(Table1[[#This Row],[County]]="Derbyshire",Table1[[#This Row],[income]],0)</f>
        <v>0</v>
      </c>
      <c r="CB213" s="20">
        <f ca="1">IF(Table1[[#This Row],[County]]="City of London",Table1[[#This Row],[income]],0)</f>
        <v>0</v>
      </c>
      <c r="CC213" s="20">
        <f ca="1">IF(Table1[[#This Row],[County]]="Bedfordshire",Table1[[#This Row],[income]],0)</f>
        <v>0</v>
      </c>
      <c r="CD213" s="20">
        <f ca="1">IF(Table1[[#This Row],[County]]="County Durham",Table1[[#This Row],[income]],0)</f>
        <v>0</v>
      </c>
      <c r="CE213" s="20">
        <f ca="1">IF(Table1[[#This Row],[County]]="East Riding of Yorkshire",Table1[[#This Row],[income]],0)</f>
        <v>0</v>
      </c>
      <c r="CF213" s="20">
        <f ca="1">IF(Table1[[#This Row],[County]]="West Yorkshire",Table1[[#This Row],[income]],0)</f>
        <v>0</v>
      </c>
      <c r="CG213" s="20">
        <f ca="1">IF(Table1[[#This Row],[County]]="Essex",Table1[[#This Row],[income]],0)</f>
        <v>0</v>
      </c>
      <c r="CH213" s="20">
        <f ca="1">IF(Table1[[#This Row],[County]]="East Sussex",Table1[[#This Row],[income]],0)</f>
        <v>0</v>
      </c>
      <c r="CI213" s="20">
        <f ca="1">IF(Table1[[#This Row],[County]]="Greater Manchester",Table1[[#This Row],[income]],0)</f>
        <v>0</v>
      </c>
      <c r="CJ213" s="20">
        <f ca="1">IF(Table1[[#This Row],[County]]="Hertfordshire",Table1[[#This Row],[income]],0)</f>
        <v>0</v>
      </c>
      <c r="CK213" s="20">
        <f ca="1">IF(Table1[[#This Row],[County]]="Herefordshire",Table1[[#This Row],[income]],0)</f>
        <v>56291</v>
      </c>
      <c r="CL213" s="20">
        <f ca="1">IF(Table1[[#This Row],[County]]="Lancashire",Table1[[#This Row],[income]],0)</f>
        <v>0</v>
      </c>
      <c r="CM213" s="20">
        <f ca="1">IF(Table1[[#This Row],[County]]="Merseyside",Table1[[#This Row],[income]],0)</f>
        <v>0</v>
      </c>
      <c r="CN213" s="20">
        <f ca="1">IF(Table1[[#This Row],[County]]="Northamptonshire",Table1[[#This Row],[income]],0)</f>
        <v>0</v>
      </c>
      <c r="CO213" s="20">
        <f ca="1">IF(Table1[[#This Row],[County]]="Northumberland",Table1[[#This Row],[income]],0)</f>
        <v>0</v>
      </c>
      <c r="CP213" s="20">
        <f ca="1">IF(Table1[[#This Row],[County]]="Wiltshire",Table1[[#This Row],[income]],0)</f>
        <v>0</v>
      </c>
      <c r="CQ213" s="20">
        <f ca="1">IF(Table1[[#This Row],[County]]="West Midlands",Table1[[#This Row],[income]],0)</f>
        <v>0</v>
      </c>
      <c r="CR213" s="20">
        <f ca="1">IF(Table1[[#This Row],[County]]="Warwickshire",Table1[[#This Row],[income]],0)</f>
        <v>0</v>
      </c>
      <c r="CS213" s="20">
        <f ca="1">IF(Table1[[#This Row],[County]]="Tyne and Wear",Table1[[#This Row],[income]],0)</f>
        <v>0</v>
      </c>
      <c r="CT213" s="20">
        <f ca="1">IF(Table1[[#This Row],[County]]="Worcestershire",Table1[[#This Row],[income]],0)</f>
        <v>0</v>
      </c>
      <c r="CU213" s="20">
        <f ca="1">IF(Table1[[#This Row],[County]]="Rutland",Table1[[#This Row],[income]],0)</f>
        <v>0</v>
      </c>
      <c r="CV213" s="20">
        <f ca="1">IF(Table1[[#This Row],[County]]="Shropshire",Table1[[#This Row],[income]],0)</f>
        <v>0</v>
      </c>
      <c r="CW213" s="20">
        <f ca="1">IF(Table1[[#This Row],[County]]="Dorset",Table1[[#This Row],[income]],0)</f>
        <v>0</v>
      </c>
      <c r="CX213" s="20">
        <f ca="1">IF(Table1[[#This Row],[County]]="Buckinghamshire",Table1[[#This Row],[income]],0)</f>
        <v>0</v>
      </c>
      <c r="CY213" s="20">
        <f ca="1">IF(Table1[[#This Row],[County]]="Suffolk",Table1[[#This Row],[income]],0)</f>
        <v>0</v>
      </c>
      <c r="CZ213" s="20">
        <f ca="1">IF(Table1[[#This Row],[County]]="North Yorkshire",Table1[[#This Row],[income]],0)</f>
        <v>0</v>
      </c>
      <c r="DA213" s="20">
        <f ca="1">IF(Table1[[#This Row],[County]]="Kent",Table1[[#This Row],[income]],0)</f>
        <v>0</v>
      </c>
      <c r="DB213" s="5">
        <f ca="1">IF(Table1[[#This Row],[County]]="Derbyshire",Table1[[#This Row],[income]],0)</f>
        <v>0</v>
      </c>
      <c r="DD213" s="6">
        <f ca="1">IF(Table1[[#This Row],[Column1]]="Health",Table1[[#This Row],[income]],0)</f>
        <v>0</v>
      </c>
      <c r="DE213" s="20">
        <f ca="1">IF(Table1[[#This Row],[Column1]]="Agriculture",Table1[[#This Row],[income]],0)</f>
        <v>56291</v>
      </c>
      <c r="DF213" s="20">
        <f ca="1">IF(Table1[[#This Row],[Column1]]="Technology",Table1[[#This Row],[income]],0)</f>
        <v>0</v>
      </c>
      <c r="DG213" s="20">
        <f ca="1">IF(Table1[[#This Row],[Column1]]="Social Service",Table1[[#This Row],[income]],0)</f>
        <v>0</v>
      </c>
      <c r="DH213" s="20">
        <f ca="1">IF(Table1[[#This Row],[Column1]]="Education",Table1[[#This Row],[income]],0)</f>
        <v>0</v>
      </c>
      <c r="DI213" s="5">
        <f ca="1">IF(Table1[[#This Row],[Column1]]="Construction",Table1[[#This Row],[income]],0)</f>
        <v>0</v>
      </c>
      <c r="DK213" s="6">
        <f ca="1">IF(Table1[[#This Row],[Value of Debts]]&gt;Table1[[#This Row],[income]],1,0)</f>
        <v>1</v>
      </c>
      <c r="DL213" s="20"/>
      <c r="DM213" s="20"/>
      <c r="DN213" s="5"/>
      <c r="DP213" s="6">
        <f ca="1">IF(Table1[[#This Row],[Net Worth (£)]]&gt;$DS$5,C213,0)</f>
        <v>0</v>
      </c>
      <c r="DQ213" s="20"/>
      <c r="DR213" s="20"/>
      <c r="DS213" s="5"/>
    </row>
    <row r="214" spans="1:123" x14ac:dyDescent="0.2">
      <c r="A214">
        <f t="shared" ca="1" si="10"/>
        <v>2</v>
      </c>
      <c r="B214" s="1" t="str">
        <f ca="1">IF(A214=1, "men", "women")</f>
        <v>women</v>
      </c>
      <c r="C214" s="1">
        <f ca="1">RANDBETWEEN(25,50)</f>
        <v>39</v>
      </c>
      <c r="D214">
        <f ca="1">RANDBETWEEN(1,6)</f>
        <v>5</v>
      </c>
      <c r="E214" t="str">
        <f ca="1">VLOOKUP(D214,$W$5:$X$10,2)</f>
        <v>Social Service</v>
      </c>
      <c r="F214">
        <f ca="1">RANDBETWEEN(1,5)</f>
        <v>3</v>
      </c>
      <c r="G214" t="str">
        <f ca="1">VLOOKUP(F214,$Y$5:$Z$9,2)</f>
        <v>University</v>
      </c>
      <c r="H214">
        <f ca="1">RANDBETWEEN(0,4)</f>
        <v>3</v>
      </c>
      <c r="I214">
        <f ca="1">RANDBETWEEN(1,3)</f>
        <v>2</v>
      </c>
      <c r="J214">
        <f ca="1">RANDBETWEEN(30000,100000)</f>
        <v>90280</v>
      </c>
      <c r="K214">
        <f ca="1">RANDBETWEEN(1,48)</f>
        <v>15</v>
      </c>
      <c r="L214" t="str">
        <f ca="1">VLOOKUP(K214,$AA$5:$AB$52,2)</f>
        <v>East Sussex</v>
      </c>
      <c r="M214">
        <f ca="1">J214*(RANDBETWEEN(2,5))</f>
        <v>270840</v>
      </c>
      <c r="N214">
        <f ca="1">RAND()*M214</f>
        <v>221318.61724463003</v>
      </c>
      <c r="O214">
        <f ca="1">I214*RAND()*J214</f>
        <v>85016.605047468431</v>
      </c>
      <c r="P214">
        <f ca="1">RANDBETWEEN(0,O214)</f>
        <v>58373</v>
      </c>
      <c r="Q214">
        <f ca="1">RAND()*J214*2</f>
        <v>144810.84803666253</v>
      </c>
      <c r="R214">
        <f ca="1">RAND()*J214*1.5</f>
        <v>15522.10075599451</v>
      </c>
      <c r="S214">
        <f ca="1">J214+R214+O214</f>
        <v>190818.70580346294</v>
      </c>
      <c r="T214">
        <f ca="1">N214+P214+Q214</f>
        <v>424502.46528129256</v>
      </c>
      <c r="U214">
        <f ca="1">S214-T214</f>
        <v>-233683.75947782962</v>
      </c>
      <c r="AC214" s="6">
        <f ca="1">IF(Table1[[#This Row],[gender]]="men",1,0)</f>
        <v>0</v>
      </c>
      <c r="AD214">
        <f ca="1">IF(Table1[[#This Row],[gender]]="women",1,0)</f>
        <v>1</v>
      </c>
      <c r="AH214" s="5"/>
      <c r="AJ214" s="6">
        <f ca="1">IF(Table1[[#This Row],[Column1]]="Health",1,0)</f>
        <v>0</v>
      </c>
      <c r="AK214">
        <f ca="1">IF(Table1[[#This Row],[Column1]]="Construction",1,0)</f>
        <v>0</v>
      </c>
      <c r="AL214">
        <f ca="1">IF(Table1[[#This Row],[Column1]]="Technology",1,0)</f>
        <v>0</v>
      </c>
      <c r="AM214">
        <f ca="1">IF(Table1[[#This Row],[Column1]]="Education",1,0)</f>
        <v>0</v>
      </c>
      <c r="AN214">
        <f ca="1">IF(Table1[[#This Row],[Column1]]="Agriculture",1,0)</f>
        <v>0</v>
      </c>
      <c r="AO214">
        <f ca="1">IF(Table1[[#This Row],[Column1]]="Social Service", 1, 0)</f>
        <v>1</v>
      </c>
      <c r="AT214" s="5"/>
      <c r="AV214" s="17">
        <f t="shared" ca="1" si="9"/>
        <v>26034.046640093609</v>
      </c>
      <c r="AW214" s="5"/>
      <c r="AX214" s="6">
        <f ca="1">IF(Table1[[#This Row],[Value of Debts]]&gt;$AY$4,1,0)</f>
        <v>1</v>
      </c>
      <c r="AY214" s="20"/>
      <c r="AZ214" s="20"/>
      <c r="BA214" s="5"/>
      <c r="BB214" s="25">
        <f ca="1">Table1[[#This Row],[Mortage Left]]/Table1[[#This Row],[Value of House]]</f>
        <v>0.81715631828618385</v>
      </c>
      <c r="BC214" s="20">
        <f t="shared" ca="1" si="11"/>
        <v>0</v>
      </c>
      <c r="BD214" s="20"/>
      <c r="BE214" s="20"/>
      <c r="BF214" s="20"/>
      <c r="BG214" s="6">
        <f ca="1">IF(Table1[[#This Row],[County]]="Cumbria",Table1[[#This Row],[income]],0)</f>
        <v>0</v>
      </c>
      <c r="BH214" s="20">
        <f ca="1">IF(Table1[[#This Row],[County]]="Cheshire",Table1[[#This Row],[income]],0)</f>
        <v>0</v>
      </c>
      <c r="BI214" s="20">
        <f ca="1">IF(Table1[[#This Row],[County]]="Bristol",Table1[[#This Row],[income]],0)</f>
        <v>0</v>
      </c>
      <c r="BJ214" s="20">
        <f ca="1">IF(Table1[[#This Row],[County]]="Surrey",Table1[[#This Row],[income]],0)</f>
        <v>0</v>
      </c>
      <c r="BK214" s="20">
        <f ca="1">IF(Table1[[#This Row],[County]]="Norfolk",Table1[[#This Row],[income]],0)</f>
        <v>0</v>
      </c>
      <c r="BL214" s="20">
        <f ca="1">IF(Table1[[#This Row],[County]]="Lincolnshire",Table1[[#This Row],[income]],0)</f>
        <v>0</v>
      </c>
      <c r="BM214" s="20">
        <f ca="1">IF(Table1[[#This Row],[County]]="Somerset",Table1[[#This Row],[income]],0)</f>
        <v>0</v>
      </c>
      <c r="BN214" s="20">
        <f ca="1">IF(Table1[[#This Row],[County]]="Cambridgeshire",Table1[[#This Row],[income]],0)</f>
        <v>0</v>
      </c>
      <c r="BO214" s="20">
        <f ca="1">IF(Table1[[#This Row],[County]]="South Yorkshire",Table1[[#This Row],[income]],0)</f>
        <v>0</v>
      </c>
      <c r="BP214" s="20">
        <f ca="1">IF(Table1[[#This Row],[County]]="Greater London",Table1[[#This Row],[income]],0)</f>
        <v>0</v>
      </c>
      <c r="BQ214" s="20">
        <f ca="1">IF(Table1[[#This Row],[County]]="Hampshire",Table1[[#This Row],[income]],0)</f>
        <v>0</v>
      </c>
      <c r="BR214" s="20">
        <f ca="1">IF(Table1[[#This Row],[County]]="Gloucestershire",Table1[[#This Row],[income]],0)</f>
        <v>0</v>
      </c>
      <c r="BS214" s="20">
        <f ca="1">IF(Table1[[#This Row],[County]]="West Sussex",Table1[[#This Row],[income]],0)</f>
        <v>0</v>
      </c>
      <c r="BT214" s="20">
        <f ca="1">IF(Table1[[#This Row],[County]]="Devon",Table1[[#This Row],[income]],0)</f>
        <v>0</v>
      </c>
      <c r="BU214" s="20">
        <f ca="1">IF(Table1[[#This Row],[County]]="Berkshire",Table1[[#This Row],[income]],0)</f>
        <v>0</v>
      </c>
      <c r="BV214" s="20">
        <f ca="1">IF(Table1[[#This Row],[County]]="Staffordshire",Table1[[#This Row],[income]],0)</f>
        <v>0</v>
      </c>
      <c r="BW214" s="20">
        <f ca="1">IF(Table1[[#This Row],[County]]="Leicestershire",Table1[[#This Row],[income]],0)</f>
        <v>0</v>
      </c>
      <c r="BX214" s="20">
        <f ca="1">IF(Table1[[#This Row],[County]]="Cornwall",Table1[[#This Row],[income]],0)</f>
        <v>0</v>
      </c>
      <c r="BY214" s="20">
        <f ca="1">IF(Table1[[#This Row],[County]]="Isle of Wight",Table1[[#This Row],[income]],0)</f>
        <v>0</v>
      </c>
      <c r="BZ214" s="20">
        <f ca="1">IF(Table1[[#This Row],[County]]="Surrey",Table1[[#This Row],[income]],0)</f>
        <v>0</v>
      </c>
      <c r="CA214" s="20">
        <f ca="1">IF(Table1[[#This Row],[County]]="Derbyshire",Table1[[#This Row],[income]],0)</f>
        <v>0</v>
      </c>
      <c r="CB214" s="20">
        <f ca="1">IF(Table1[[#This Row],[County]]="City of London",Table1[[#This Row],[income]],0)</f>
        <v>0</v>
      </c>
      <c r="CC214" s="20">
        <f ca="1">IF(Table1[[#This Row],[County]]="Bedfordshire",Table1[[#This Row],[income]],0)</f>
        <v>0</v>
      </c>
      <c r="CD214" s="20">
        <f ca="1">IF(Table1[[#This Row],[County]]="County Durham",Table1[[#This Row],[income]],0)</f>
        <v>0</v>
      </c>
      <c r="CE214" s="20">
        <f ca="1">IF(Table1[[#This Row],[County]]="East Riding of Yorkshire",Table1[[#This Row],[income]],0)</f>
        <v>0</v>
      </c>
      <c r="CF214" s="20">
        <f ca="1">IF(Table1[[#This Row],[County]]="West Yorkshire",Table1[[#This Row],[income]],0)</f>
        <v>0</v>
      </c>
      <c r="CG214" s="20">
        <f ca="1">IF(Table1[[#This Row],[County]]="Essex",Table1[[#This Row],[income]],0)</f>
        <v>0</v>
      </c>
      <c r="CH214" s="20">
        <f ca="1">IF(Table1[[#This Row],[County]]="East Sussex",Table1[[#This Row],[income]],0)</f>
        <v>90280</v>
      </c>
      <c r="CI214" s="20">
        <f ca="1">IF(Table1[[#This Row],[County]]="Greater Manchester",Table1[[#This Row],[income]],0)</f>
        <v>0</v>
      </c>
      <c r="CJ214" s="20">
        <f ca="1">IF(Table1[[#This Row],[County]]="Hertfordshire",Table1[[#This Row],[income]],0)</f>
        <v>0</v>
      </c>
      <c r="CK214" s="20">
        <f ca="1">IF(Table1[[#This Row],[County]]="Herefordshire",Table1[[#This Row],[income]],0)</f>
        <v>0</v>
      </c>
      <c r="CL214" s="20">
        <f ca="1">IF(Table1[[#This Row],[County]]="Lancashire",Table1[[#This Row],[income]],0)</f>
        <v>0</v>
      </c>
      <c r="CM214" s="20">
        <f ca="1">IF(Table1[[#This Row],[County]]="Merseyside",Table1[[#This Row],[income]],0)</f>
        <v>0</v>
      </c>
      <c r="CN214" s="20">
        <f ca="1">IF(Table1[[#This Row],[County]]="Northamptonshire",Table1[[#This Row],[income]],0)</f>
        <v>0</v>
      </c>
      <c r="CO214" s="20">
        <f ca="1">IF(Table1[[#This Row],[County]]="Northumberland",Table1[[#This Row],[income]],0)</f>
        <v>0</v>
      </c>
      <c r="CP214" s="20">
        <f ca="1">IF(Table1[[#This Row],[County]]="Wiltshire",Table1[[#This Row],[income]],0)</f>
        <v>0</v>
      </c>
      <c r="CQ214" s="20">
        <f ca="1">IF(Table1[[#This Row],[County]]="West Midlands",Table1[[#This Row],[income]],0)</f>
        <v>0</v>
      </c>
      <c r="CR214" s="20">
        <f ca="1">IF(Table1[[#This Row],[County]]="Warwickshire",Table1[[#This Row],[income]],0)</f>
        <v>0</v>
      </c>
      <c r="CS214" s="20">
        <f ca="1">IF(Table1[[#This Row],[County]]="Tyne and Wear",Table1[[#This Row],[income]],0)</f>
        <v>0</v>
      </c>
      <c r="CT214" s="20">
        <f ca="1">IF(Table1[[#This Row],[County]]="Worcestershire",Table1[[#This Row],[income]],0)</f>
        <v>0</v>
      </c>
      <c r="CU214" s="20">
        <f ca="1">IF(Table1[[#This Row],[County]]="Rutland",Table1[[#This Row],[income]],0)</f>
        <v>0</v>
      </c>
      <c r="CV214" s="20">
        <f ca="1">IF(Table1[[#This Row],[County]]="Shropshire",Table1[[#This Row],[income]],0)</f>
        <v>0</v>
      </c>
      <c r="CW214" s="20">
        <f ca="1">IF(Table1[[#This Row],[County]]="Dorset",Table1[[#This Row],[income]],0)</f>
        <v>0</v>
      </c>
      <c r="CX214" s="20">
        <f ca="1">IF(Table1[[#This Row],[County]]="Buckinghamshire",Table1[[#This Row],[income]],0)</f>
        <v>0</v>
      </c>
      <c r="CY214" s="20">
        <f ca="1">IF(Table1[[#This Row],[County]]="Suffolk",Table1[[#This Row],[income]],0)</f>
        <v>0</v>
      </c>
      <c r="CZ214" s="20">
        <f ca="1">IF(Table1[[#This Row],[County]]="North Yorkshire",Table1[[#This Row],[income]],0)</f>
        <v>0</v>
      </c>
      <c r="DA214" s="20">
        <f ca="1">IF(Table1[[#This Row],[County]]="Kent",Table1[[#This Row],[income]],0)</f>
        <v>0</v>
      </c>
      <c r="DB214" s="5">
        <f ca="1">IF(Table1[[#This Row],[County]]="Derbyshire",Table1[[#This Row],[income]],0)</f>
        <v>0</v>
      </c>
      <c r="DD214" s="6">
        <f ca="1">IF(Table1[[#This Row],[Column1]]="Health",Table1[[#This Row],[income]],0)</f>
        <v>0</v>
      </c>
      <c r="DE214" s="20">
        <f ca="1">IF(Table1[[#This Row],[Column1]]="Agriculture",Table1[[#This Row],[income]],0)</f>
        <v>0</v>
      </c>
      <c r="DF214" s="20">
        <f ca="1">IF(Table1[[#This Row],[Column1]]="Technology",Table1[[#This Row],[income]],0)</f>
        <v>0</v>
      </c>
      <c r="DG214" s="20">
        <f ca="1">IF(Table1[[#This Row],[Column1]]="Social Service",Table1[[#This Row],[income]],0)</f>
        <v>90280</v>
      </c>
      <c r="DH214" s="20">
        <f ca="1">IF(Table1[[#This Row],[Column1]]="Education",Table1[[#This Row],[income]],0)</f>
        <v>0</v>
      </c>
      <c r="DI214" s="5">
        <f ca="1">IF(Table1[[#This Row],[Column1]]="Construction",Table1[[#This Row],[income]],0)</f>
        <v>0</v>
      </c>
      <c r="DK214" s="6">
        <f ca="1">IF(Table1[[#This Row],[Value of Debts]]&gt;Table1[[#This Row],[income]],1,0)</f>
        <v>1</v>
      </c>
      <c r="DL214" s="20"/>
      <c r="DM214" s="20"/>
      <c r="DN214" s="5"/>
      <c r="DP214" s="6">
        <f ca="1">IF(Table1[[#This Row],[Net Worth (£)]]&gt;$DS$5,C214,0)</f>
        <v>0</v>
      </c>
      <c r="DQ214" s="20"/>
      <c r="DR214" s="20"/>
      <c r="DS214" s="5"/>
    </row>
    <row r="215" spans="1:123" x14ac:dyDescent="0.2">
      <c r="A215">
        <f t="shared" ca="1" si="10"/>
        <v>2</v>
      </c>
      <c r="B215" s="1" t="str">
        <f ca="1">IF(A215=1, "men", "women")</f>
        <v>women</v>
      </c>
      <c r="C215" s="1">
        <f ca="1">RANDBETWEEN(25,50)</f>
        <v>39</v>
      </c>
      <c r="D215">
        <f ca="1">RANDBETWEEN(1,6)</f>
        <v>2</v>
      </c>
      <c r="E215" t="str">
        <f ca="1">VLOOKUP(D215,$W$5:$X$10,2)</f>
        <v>Construction</v>
      </c>
      <c r="F215">
        <f ca="1">RANDBETWEEN(1,5)</f>
        <v>5</v>
      </c>
      <c r="G215" t="str">
        <f ca="1">VLOOKUP(F215,$Y$5:$Z$9,2)</f>
        <v>Other</v>
      </c>
      <c r="H215">
        <f ca="1">RANDBETWEEN(0,4)</f>
        <v>4</v>
      </c>
      <c r="I215">
        <f ca="1">RANDBETWEEN(1,3)</f>
        <v>3</v>
      </c>
      <c r="J215">
        <f ca="1">RANDBETWEEN(30000,100000)</f>
        <v>39381</v>
      </c>
      <c r="K215">
        <f ca="1">RANDBETWEEN(1,48)</f>
        <v>30</v>
      </c>
      <c r="L215" t="str">
        <f ca="1">VLOOKUP(K215,$AA$5:$AB$52,2)</f>
        <v>North Yorkshire</v>
      </c>
      <c r="M215">
        <f ca="1">J215*(RANDBETWEEN(2,5))</f>
        <v>118143</v>
      </c>
      <c r="N215">
        <f ca="1">RAND()*M215</f>
        <v>63641.441688736297</v>
      </c>
      <c r="O215">
        <f ca="1">I215*RAND()*J215</f>
        <v>78102.139920280824</v>
      </c>
      <c r="P215">
        <f ca="1">RANDBETWEEN(0,O215)</f>
        <v>41419</v>
      </c>
      <c r="Q215">
        <f ca="1">RAND()*J215*2</f>
        <v>56735.226875990709</v>
      </c>
      <c r="R215">
        <f ca="1">RAND()*J215*1.5</f>
        <v>49179.102683227655</v>
      </c>
      <c r="S215">
        <f ca="1">J215+R215+O215</f>
        <v>166662.24260350846</v>
      </c>
      <c r="T215">
        <f ca="1">N215+P215+Q215</f>
        <v>161795.66856472701</v>
      </c>
      <c r="U215">
        <f ca="1">S215-T215</f>
        <v>4866.5740387814585</v>
      </c>
      <c r="AC215" s="6">
        <f ca="1">IF(Table1[[#This Row],[gender]]="men",1,0)</f>
        <v>0</v>
      </c>
      <c r="AD215">
        <f ca="1">IF(Table1[[#This Row],[gender]]="women",1,0)</f>
        <v>1</v>
      </c>
      <c r="AH215" s="5"/>
      <c r="AJ215" s="6">
        <f ca="1">IF(Table1[[#This Row],[Column1]]="Health",1,0)</f>
        <v>0</v>
      </c>
      <c r="AK215">
        <f ca="1">IF(Table1[[#This Row],[Column1]]="Construction",1,0)</f>
        <v>1</v>
      </c>
      <c r="AL215">
        <f ca="1">IF(Table1[[#This Row],[Column1]]="Technology",1,0)</f>
        <v>0</v>
      </c>
      <c r="AM215">
        <f ca="1">IF(Table1[[#This Row],[Column1]]="Education",1,0)</f>
        <v>0</v>
      </c>
      <c r="AN215">
        <f ca="1">IF(Table1[[#This Row],[Column1]]="Agriculture",1,0)</f>
        <v>0</v>
      </c>
      <c r="AO215">
        <f ca="1">IF(Table1[[#This Row],[Column1]]="Social Service", 1, 0)</f>
        <v>0</v>
      </c>
      <c r="AT215" s="5"/>
      <c r="AV215" s="17">
        <f t="shared" ca="1" si="9"/>
        <v>40234.256635345111</v>
      </c>
      <c r="AW215" s="5"/>
      <c r="AX215" s="6">
        <f ca="1">IF(Table1[[#This Row],[Value of Debts]]&gt;$AY$4,1,0)</f>
        <v>1</v>
      </c>
      <c r="AY215" s="20"/>
      <c r="AZ215" s="20"/>
      <c r="BA215" s="5"/>
      <c r="BB215" s="25">
        <f ca="1">Table1[[#This Row],[Mortage Left]]/Table1[[#This Row],[Value of House]]</f>
        <v>0.53868144273242002</v>
      </c>
      <c r="BC215" s="20">
        <f t="shared" ca="1" si="11"/>
        <v>0</v>
      </c>
      <c r="BD215" s="20"/>
      <c r="BE215" s="20"/>
      <c r="BF215" s="20"/>
      <c r="BG215" s="6">
        <f ca="1">IF(Table1[[#This Row],[County]]="Cumbria",Table1[[#This Row],[income]],0)</f>
        <v>0</v>
      </c>
      <c r="BH215" s="20">
        <f ca="1">IF(Table1[[#This Row],[County]]="Cheshire",Table1[[#This Row],[income]],0)</f>
        <v>0</v>
      </c>
      <c r="BI215" s="20">
        <f ca="1">IF(Table1[[#This Row],[County]]="Bristol",Table1[[#This Row],[income]],0)</f>
        <v>0</v>
      </c>
      <c r="BJ215" s="20">
        <f ca="1">IF(Table1[[#This Row],[County]]="Surrey",Table1[[#This Row],[income]],0)</f>
        <v>0</v>
      </c>
      <c r="BK215" s="20">
        <f ca="1">IF(Table1[[#This Row],[County]]="Norfolk",Table1[[#This Row],[income]],0)</f>
        <v>0</v>
      </c>
      <c r="BL215" s="20">
        <f ca="1">IF(Table1[[#This Row],[County]]="Lincolnshire",Table1[[#This Row],[income]],0)</f>
        <v>0</v>
      </c>
      <c r="BM215" s="20">
        <f ca="1">IF(Table1[[#This Row],[County]]="Somerset",Table1[[#This Row],[income]],0)</f>
        <v>0</v>
      </c>
      <c r="BN215" s="20">
        <f ca="1">IF(Table1[[#This Row],[County]]="Cambridgeshire",Table1[[#This Row],[income]],0)</f>
        <v>0</v>
      </c>
      <c r="BO215" s="20">
        <f ca="1">IF(Table1[[#This Row],[County]]="South Yorkshire",Table1[[#This Row],[income]],0)</f>
        <v>0</v>
      </c>
      <c r="BP215" s="20">
        <f ca="1">IF(Table1[[#This Row],[County]]="Greater London",Table1[[#This Row],[income]],0)</f>
        <v>0</v>
      </c>
      <c r="BQ215" s="20">
        <f ca="1">IF(Table1[[#This Row],[County]]="Hampshire",Table1[[#This Row],[income]],0)</f>
        <v>0</v>
      </c>
      <c r="BR215" s="20">
        <f ca="1">IF(Table1[[#This Row],[County]]="Gloucestershire",Table1[[#This Row],[income]],0)</f>
        <v>0</v>
      </c>
      <c r="BS215" s="20">
        <f ca="1">IF(Table1[[#This Row],[County]]="West Sussex",Table1[[#This Row],[income]],0)</f>
        <v>0</v>
      </c>
      <c r="BT215" s="20">
        <f ca="1">IF(Table1[[#This Row],[County]]="Devon",Table1[[#This Row],[income]],0)</f>
        <v>0</v>
      </c>
      <c r="BU215" s="20">
        <f ca="1">IF(Table1[[#This Row],[County]]="Berkshire",Table1[[#This Row],[income]],0)</f>
        <v>0</v>
      </c>
      <c r="BV215" s="20">
        <f ca="1">IF(Table1[[#This Row],[County]]="Staffordshire",Table1[[#This Row],[income]],0)</f>
        <v>0</v>
      </c>
      <c r="BW215" s="20">
        <f ca="1">IF(Table1[[#This Row],[County]]="Leicestershire",Table1[[#This Row],[income]],0)</f>
        <v>0</v>
      </c>
      <c r="BX215" s="20">
        <f ca="1">IF(Table1[[#This Row],[County]]="Cornwall",Table1[[#This Row],[income]],0)</f>
        <v>0</v>
      </c>
      <c r="BY215" s="20">
        <f ca="1">IF(Table1[[#This Row],[County]]="Isle of Wight",Table1[[#This Row],[income]],0)</f>
        <v>0</v>
      </c>
      <c r="BZ215" s="20">
        <f ca="1">IF(Table1[[#This Row],[County]]="Surrey",Table1[[#This Row],[income]],0)</f>
        <v>0</v>
      </c>
      <c r="CA215" s="20">
        <f ca="1">IF(Table1[[#This Row],[County]]="Derbyshire",Table1[[#This Row],[income]],0)</f>
        <v>0</v>
      </c>
      <c r="CB215" s="20">
        <f ca="1">IF(Table1[[#This Row],[County]]="City of London",Table1[[#This Row],[income]],0)</f>
        <v>0</v>
      </c>
      <c r="CC215" s="20">
        <f ca="1">IF(Table1[[#This Row],[County]]="Bedfordshire",Table1[[#This Row],[income]],0)</f>
        <v>0</v>
      </c>
      <c r="CD215" s="20">
        <f ca="1">IF(Table1[[#This Row],[County]]="County Durham",Table1[[#This Row],[income]],0)</f>
        <v>0</v>
      </c>
      <c r="CE215" s="20">
        <f ca="1">IF(Table1[[#This Row],[County]]="East Riding of Yorkshire",Table1[[#This Row],[income]],0)</f>
        <v>0</v>
      </c>
      <c r="CF215" s="20">
        <f ca="1">IF(Table1[[#This Row],[County]]="West Yorkshire",Table1[[#This Row],[income]],0)</f>
        <v>0</v>
      </c>
      <c r="CG215" s="20">
        <f ca="1">IF(Table1[[#This Row],[County]]="Essex",Table1[[#This Row],[income]],0)</f>
        <v>0</v>
      </c>
      <c r="CH215" s="20">
        <f ca="1">IF(Table1[[#This Row],[County]]="East Sussex",Table1[[#This Row],[income]],0)</f>
        <v>0</v>
      </c>
      <c r="CI215" s="20">
        <f ca="1">IF(Table1[[#This Row],[County]]="Greater Manchester",Table1[[#This Row],[income]],0)</f>
        <v>0</v>
      </c>
      <c r="CJ215" s="20">
        <f ca="1">IF(Table1[[#This Row],[County]]="Hertfordshire",Table1[[#This Row],[income]],0)</f>
        <v>0</v>
      </c>
      <c r="CK215" s="20">
        <f ca="1">IF(Table1[[#This Row],[County]]="Herefordshire",Table1[[#This Row],[income]],0)</f>
        <v>0</v>
      </c>
      <c r="CL215" s="20">
        <f ca="1">IF(Table1[[#This Row],[County]]="Lancashire",Table1[[#This Row],[income]],0)</f>
        <v>0</v>
      </c>
      <c r="CM215" s="20">
        <f ca="1">IF(Table1[[#This Row],[County]]="Merseyside",Table1[[#This Row],[income]],0)</f>
        <v>0</v>
      </c>
      <c r="CN215" s="20">
        <f ca="1">IF(Table1[[#This Row],[County]]="Northamptonshire",Table1[[#This Row],[income]],0)</f>
        <v>0</v>
      </c>
      <c r="CO215" s="20">
        <f ca="1">IF(Table1[[#This Row],[County]]="Northumberland",Table1[[#This Row],[income]],0)</f>
        <v>0</v>
      </c>
      <c r="CP215" s="20">
        <f ca="1">IF(Table1[[#This Row],[County]]="Wiltshire",Table1[[#This Row],[income]],0)</f>
        <v>0</v>
      </c>
      <c r="CQ215" s="20">
        <f ca="1">IF(Table1[[#This Row],[County]]="West Midlands",Table1[[#This Row],[income]],0)</f>
        <v>0</v>
      </c>
      <c r="CR215" s="20">
        <f ca="1">IF(Table1[[#This Row],[County]]="Warwickshire",Table1[[#This Row],[income]],0)</f>
        <v>0</v>
      </c>
      <c r="CS215" s="20">
        <f ca="1">IF(Table1[[#This Row],[County]]="Tyne and Wear",Table1[[#This Row],[income]],0)</f>
        <v>0</v>
      </c>
      <c r="CT215" s="20">
        <f ca="1">IF(Table1[[#This Row],[County]]="Worcestershire",Table1[[#This Row],[income]],0)</f>
        <v>0</v>
      </c>
      <c r="CU215" s="20">
        <f ca="1">IF(Table1[[#This Row],[County]]="Rutland",Table1[[#This Row],[income]],0)</f>
        <v>0</v>
      </c>
      <c r="CV215" s="20">
        <f ca="1">IF(Table1[[#This Row],[County]]="Shropshire",Table1[[#This Row],[income]],0)</f>
        <v>0</v>
      </c>
      <c r="CW215" s="20">
        <f ca="1">IF(Table1[[#This Row],[County]]="Dorset",Table1[[#This Row],[income]],0)</f>
        <v>0</v>
      </c>
      <c r="CX215" s="20">
        <f ca="1">IF(Table1[[#This Row],[County]]="Buckinghamshire",Table1[[#This Row],[income]],0)</f>
        <v>0</v>
      </c>
      <c r="CY215" s="20">
        <f ca="1">IF(Table1[[#This Row],[County]]="Suffolk",Table1[[#This Row],[income]],0)</f>
        <v>0</v>
      </c>
      <c r="CZ215" s="20">
        <f ca="1">IF(Table1[[#This Row],[County]]="North Yorkshire",Table1[[#This Row],[income]],0)</f>
        <v>39381</v>
      </c>
      <c r="DA215" s="20">
        <f ca="1">IF(Table1[[#This Row],[County]]="Kent",Table1[[#This Row],[income]],0)</f>
        <v>0</v>
      </c>
      <c r="DB215" s="5">
        <f ca="1">IF(Table1[[#This Row],[County]]="Derbyshire",Table1[[#This Row],[income]],0)</f>
        <v>0</v>
      </c>
      <c r="DD215" s="6">
        <f ca="1">IF(Table1[[#This Row],[Column1]]="Health",Table1[[#This Row],[income]],0)</f>
        <v>0</v>
      </c>
      <c r="DE215" s="20">
        <f ca="1">IF(Table1[[#This Row],[Column1]]="Agriculture",Table1[[#This Row],[income]],0)</f>
        <v>0</v>
      </c>
      <c r="DF215" s="20">
        <f ca="1">IF(Table1[[#This Row],[Column1]]="Technology",Table1[[#This Row],[income]],0)</f>
        <v>0</v>
      </c>
      <c r="DG215" s="20">
        <f ca="1">IF(Table1[[#This Row],[Column1]]="Social Service",Table1[[#This Row],[income]],0)</f>
        <v>0</v>
      </c>
      <c r="DH215" s="20">
        <f ca="1">IF(Table1[[#This Row],[Column1]]="Education",Table1[[#This Row],[income]],0)</f>
        <v>0</v>
      </c>
      <c r="DI215" s="5">
        <f ca="1">IF(Table1[[#This Row],[Column1]]="Construction",Table1[[#This Row],[income]],0)</f>
        <v>39381</v>
      </c>
      <c r="DK215" s="6">
        <f ca="1">IF(Table1[[#This Row],[Value of Debts]]&gt;Table1[[#This Row],[income]],1,0)</f>
        <v>1</v>
      </c>
      <c r="DL215" s="20"/>
      <c r="DM215" s="20"/>
      <c r="DN215" s="5"/>
      <c r="DP215" s="6">
        <f ca="1">IF(Table1[[#This Row],[Net Worth (£)]]&gt;$DS$5,C215,0)</f>
        <v>0</v>
      </c>
      <c r="DQ215" s="20"/>
      <c r="DR215" s="20"/>
      <c r="DS215" s="5"/>
    </row>
    <row r="216" spans="1:123" x14ac:dyDescent="0.2">
      <c r="A216">
        <f t="shared" ca="1" si="10"/>
        <v>2</v>
      </c>
      <c r="B216" s="1" t="str">
        <f ca="1">IF(A216=1, "men", "women")</f>
        <v>women</v>
      </c>
      <c r="C216" s="1">
        <f ca="1">RANDBETWEEN(25,50)</f>
        <v>41</v>
      </c>
      <c r="D216">
        <f ca="1">RANDBETWEEN(1,6)</f>
        <v>6</v>
      </c>
      <c r="E216" t="str">
        <f ca="1">VLOOKUP(D216,$W$5:$X$10,2)</f>
        <v>Agriculture</v>
      </c>
      <c r="F216">
        <f ca="1">RANDBETWEEN(1,5)</f>
        <v>2</v>
      </c>
      <c r="G216" t="str">
        <f ca="1">VLOOKUP(F216,$Y$5:$Z$9,2)</f>
        <v>College</v>
      </c>
      <c r="H216">
        <f ca="1">RANDBETWEEN(0,4)</f>
        <v>0</v>
      </c>
      <c r="I216">
        <f ca="1">RANDBETWEEN(1,3)</f>
        <v>2</v>
      </c>
      <c r="J216">
        <f ca="1">RANDBETWEEN(30000,100000)</f>
        <v>70619</v>
      </c>
      <c r="K216">
        <f ca="1">RANDBETWEEN(1,48)</f>
        <v>21</v>
      </c>
      <c r="L216" t="str">
        <f ca="1">VLOOKUP(K216,$AA$5:$AB$52,2)</f>
        <v>Herefordshire</v>
      </c>
      <c r="M216">
        <f ca="1">J216*(RANDBETWEEN(2,5))</f>
        <v>353095</v>
      </c>
      <c r="N216">
        <f ca="1">RAND()*M216</f>
        <v>34459.562391878986</v>
      </c>
      <c r="O216">
        <f ca="1">I216*RAND()*J216</f>
        <v>80468.513270690222</v>
      </c>
      <c r="P216">
        <f ca="1">RANDBETWEEN(0,O216)</f>
        <v>56084</v>
      </c>
      <c r="Q216">
        <f ca="1">RAND()*J216*2</f>
        <v>89585.915558291948</v>
      </c>
      <c r="R216">
        <f ca="1">RAND()*J216*1.5</f>
        <v>9522.6567898203903</v>
      </c>
      <c r="S216">
        <f ca="1">J216+R216+O216</f>
        <v>160610.17006051063</v>
      </c>
      <c r="T216">
        <f ca="1">N216+P216+Q216</f>
        <v>180129.47795017093</v>
      </c>
      <c r="U216">
        <f ca="1">S216-T216</f>
        <v>-19519.307889660296</v>
      </c>
      <c r="AC216" s="6">
        <f ca="1">IF(Table1[[#This Row],[gender]]="men",1,0)</f>
        <v>0</v>
      </c>
      <c r="AD216">
        <f ca="1">IF(Table1[[#This Row],[gender]]="women",1,0)</f>
        <v>1</v>
      </c>
      <c r="AH216" s="5"/>
      <c r="AJ216" s="6">
        <f ca="1">IF(Table1[[#This Row],[Column1]]="Health",1,0)</f>
        <v>0</v>
      </c>
      <c r="AK216">
        <f ca="1">IF(Table1[[#This Row],[Column1]]="Construction",1,0)</f>
        <v>0</v>
      </c>
      <c r="AL216">
        <f ca="1">IF(Table1[[#This Row],[Column1]]="Technology",1,0)</f>
        <v>0</v>
      </c>
      <c r="AM216">
        <f ca="1">IF(Table1[[#This Row],[Column1]]="Education",1,0)</f>
        <v>0</v>
      </c>
      <c r="AN216">
        <f ca="1">IF(Table1[[#This Row],[Column1]]="Agriculture",1,0)</f>
        <v>1</v>
      </c>
      <c r="AO216">
        <f ca="1">IF(Table1[[#This Row],[Column1]]="Social Service", 1, 0)</f>
        <v>0</v>
      </c>
      <c r="AT216" s="5"/>
      <c r="AV216" s="17">
        <f t="shared" ca="1" si="9"/>
        <v>7616.2494881857247</v>
      </c>
      <c r="AW216" s="5"/>
      <c r="AX216" s="6">
        <f ca="1">IF(Table1[[#This Row],[Value of Debts]]&gt;$AY$4,1,0)</f>
        <v>1</v>
      </c>
      <c r="AY216" s="20"/>
      <c r="AZ216" s="20"/>
      <c r="BA216" s="5"/>
      <c r="BB216" s="25">
        <f ca="1">Table1[[#This Row],[Mortage Left]]/Table1[[#This Row],[Value of House]]</f>
        <v>9.7592892541324527E-2</v>
      </c>
      <c r="BC216" s="20">
        <f t="shared" ca="1" si="11"/>
        <v>1</v>
      </c>
      <c r="BD216" s="20"/>
      <c r="BE216" s="20"/>
      <c r="BF216" s="20"/>
      <c r="BG216" s="6">
        <f ca="1">IF(Table1[[#This Row],[County]]="Cumbria",Table1[[#This Row],[income]],0)</f>
        <v>0</v>
      </c>
      <c r="BH216" s="20">
        <f ca="1">IF(Table1[[#This Row],[County]]="Cheshire",Table1[[#This Row],[income]],0)</f>
        <v>0</v>
      </c>
      <c r="BI216" s="20">
        <f ca="1">IF(Table1[[#This Row],[County]]="Bristol",Table1[[#This Row],[income]],0)</f>
        <v>0</v>
      </c>
      <c r="BJ216" s="20">
        <f ca="1">IF(Table1[[#This Row],[County]]="Surrey",Table1[[#This Row],[income]],0)</f>
        <v>0</v>
      </c>
      <c r="BK216" s="20">
        <f ca="1">IF(Table1[[#This Row],[County]]="Norfolk",Table1[[#This Row],[income]],0)</f>
        <v>0</v>
      </c>
      <c r="BL216" s="20">
        <f ca="1">IF(Table1[[#This Row],[County]]="Lincolnshire",Table1[[#This Row],[income]],0)</f>
        <v>0</v>
      </c>
      <c r="BM216" s="20">
        <f ca="1">IF(Table1[[#This Row],[County]]="Somerset",Table1[[#This Row],[income]],0)</f>
        <v>0</v>
      </c>
      <c r="BN216" s="20">
        <f ca="1">IF(Table1[[#This Row],[County]]="Cambridgeshire",Table1[[#This Row],[income]],0)</f>
        <v>0</v>
      </c>
      <c r="BO216" s="20">
        <f ca="1">IF(Table1[[#This Row],[County]]="South Yorkshire",Table1[[#This Row],[income]],0)</f>
        <v>0</v>
      </c>
      <c r="BP216" s="20">
        <f ca="1">IF(Table1[[#This Row],[County]]="Greater London",Table1[[#This Row],[income]],0)</f>
        <v>0</v>
      </c>
      <c r="BQ216" s="20">
        <f ca="1">IF(Table1[[#This Row],[County]]="Hampshire",Table1[[#This Row],[income]],0)</f>
        <v>0</v>
      </c>
      <c r="BR216" s="20">
        <f ca="1">IF(Table1[[#This Row],[County]]="Gloucestershire",Table1[[#This Row],[income]],0)</f>
        <v>0</v>
      </c>
      <c r="BS216" s="20">
        <f ca="1">IF(Table1[[#This Row],[County]]="West Sussex",Table1[[#This Row],[income]],0)</f>
        <v>0</v>
      </c>
      <c r="BT216" s="20">
        <f ca="1">IF(Table1[[#This Row],[County]]="Devon",Table1[[#This Row],[income]],0)</f>
        <v>0</v>
      </c>
      <c r="BU216" s="20">
        <f ca="1">IF(Table1[[#This Row],[County]]="Berkshire",Table1[[#This Row],[income]],0)</f>
        <v>0</v>
      </c>
      <c r="BV216" s="20">
        <f ca="1">IF(Table1[[#This Row],[County]]="Staffordshire",Table1[[#This Row],[income]],0)</f>
        <v>0</v>
      </c>
      <c r="BW216" s="20">
        <f ca="1">IF(Table1[[#This Row],[County]]="Leicestershire",Table1[[#This Row],[income]],0)</f>
        <v>0</v>
      </c>
      <c r="BX216" s="20">
        <f ca="1">IF(Table1[[#This Row],[County]]="Cornwall",Table1[[#This Row],[income]],0)</f>
        <v>0</v>
      </c>
      <c r="BY216" s="20">
        <f ca="1">IF(Table1[[#This Row],[County]]="Isle of Wight",Table1[[#This Row],[income]],0)</f>
        <v>0</v>
      </c>
      <c r="BZ216" s="20">
        <f ca="1">IF(Table1[[#This Row],[County]]="Surrey",Table1[[#This Row],[income]],0)</f>
        <v>0</v>
      </c>
      <c r="CA216" s="20">
        <f ca="1">IF(Table1[[#This Row],[County]]="Derbyshire",Table1[[#This Row],[income]],0)</f>
        <v>0</v>
      </c>
      <c r="CB216" s="20">
        <f ca="1">IF(Table1[[#This Row],[County]]="City of London",Table1[[#This Row],[income]],0)</f>
        <v>0</v>
      </c>
      <c r="CC216" s="20">
        <f ca="1">IF(Table1[[#This Row],[County]]="Bedfordshire",Table1[[#This Row],[income]],0)</f>
        <v>0</v>
      </c>
      <c r="CD216" s="20">
        <f ca="1">IF(Table1[[#This Row],[County]]="County Durham",Table1[[#This Row],[income]],0)</f>
        <v>0</v>
      </c>
      <c r="CE216" s="20">
        <f ca="1">IF(Table1[[#This Row],[County]]="East Riding of Yorkshire",Table1[[#This Row],[income]],0)</f>
        <v>0</v>
      </c>
      <c r="CF216" s="20">
        <f ca="1">IF(Table1[[#This Row],[County]]="West Yorkshire",Table1[[#This Row],[income]],0)</f>
        <v>0</v>
      </c>
      <c r="CG216" s="20">
        <f ca="1">IF(Table1[[#This Row],[County]]="Essex",Table1[[#This Row],[income]],0)</f>
        <v>0</v>
      </c>
      <c r="CH216" s="20">
        <f ca="1">IF(Table1[[#This Row],[County]]="East Sussex",Table1[[#This Row],[income]],0)</f>
        <v>0</v>
      </c>
      <c r="CI216" s="20">
        <f ca="1">IF(Table1[[#This Row],[County]]="Greater Manchester",Table1[[#This Row],[income]],0)</f>
        <v>0</v>
      </c>
      <c r="CJ216" s="20">
        <f ca="1">IF(Table1[[#This Row],[County]]="Hertfordshire",Table1[[#This Row],[income]],0)</f>
        <v>0</v>
      </c>
      <c r="CK216" s="20">
        <f ca="1">IF(Table1[[#This Row],[County]]="Herefordshire",Table1[[#This Row],[income]],0)</f>
        <v>70619</v>
      </c>
      <c r="CL216" s="20">
        <f ca="1">IF(Table1[[#This Row],[County]]="Lancashire",Table1[[#This Row],[income]],0)</f>
        <v>0</v>
      </c>
      <c r="CM216" s="20">
        <f ca="1">IF(Table1[[#This Row],[County]]="Merseyside",Table1[[#This Row],[income]],0)</f>
        <v>0</v>
      </c>
      <c r="CN216" s="20">
        <f ca="1">IF(Table1[[#This Row],[County]]="Northamptonshire",Table1[[#This Row],[income]],0)</f>
        <v>0</v>
      </c>
      <c r="CO216" s="20">
        <f ca="1">IF(Table1[[#This Row],[County]]="Northumberland",Table1[[#This Row],[income]],0)</f>
        <v>0</v>
      </c>
      <c r="CP216" s="20">
        <f ca="1">IF(Table1[[#This Row],[County]]="Wiltshire",Table1[[#This Row],[income]],0)</f>
        <v>0</v>
      </c>
      <c r="CQ216" s="20">
        <f ca="1">IF(Table1[[#This Row],[County]]="West Midlands",Table1[[#This Row],[income]],0)</f>
        <v>0</v>
      </c>
      <c r="CR216" s="20">
        <f ca="1">IF(Table1[[#This Row],[County]]="Warwickshire",Table1[[#This Row],[income]],0)</f>
        <v>0</v>
      </c>
      <c r="CS216" s="20">
        <f ca="1">IF(Table1[[#This Row],[County]]="Tyne and Wear",Table1[[#This Row],[income]],0)</f>
        <v>0</v>
      </c>
      <c r="CT216" s="20">
        <f ca="1">IF(Table1[[#This Row],[County]]="Worcestershire",Table1[[#This Row],[income]],0)</f>
        <v>0</v>
      </c>
      <c r="CU216" s="20">
        <f ca="1">IF(Table1[[#This Row],[County]]="Rutland",Table1[[#This Row],[income]],0)</f>
        <v>0</v>
      </c>
      <c r="CV216" s="20">
        <f ca="1">IF(Table1[[#This Row],[County]]="Shropshire",Table1[[#This Row],[income]],0)</f>
        <v>0</v>
      </c>
      <c r="CW216" s="20">
        <f ca="1">IF(Table1[[#This Row],[County]]="Dorset",Table1[[#This Row],[income]],0)</f>
        <v>0</v>
      </c>
      <c r="CX216" s="20">
        <f ca="1">IF(Table1[[#This Row],[County]]="Buckinghamshire",Table1[[#This Row],[income]],0)</f>
        <v>0</v>
      </c>
      <c r="CY216" s="20">
        <f ca="1">IF(Table1[[#This Row],[County]]="Suffolk",Table1[[#This Row],[income]],0)</f>
        <v>0</v>
      </c>
      <c r="CZ216" s="20">
        <f ca="1">IF(Table1[[#This Row],[County]]="North Yorkshire",Table1[[#This Row],[income]],0)</f>
        <v>0</v>
      </c>
      <c r="DA216" s="20">
        <f ca="1">IF(Table1[[#This Row],[County]]="Kent",Table1[[#This Row],[income]],0)</f>
        <v>0</v>
      </c>
      <c r="DB216" s="5">
        <f ca="1">IF(Table1[[#This Row],[County]]="Derbyshire",Table1[[#This Row],[income]],0)</f>
        <v>0</v>
      </c>
      <c r="DD216" s="6">
        <f ca="1">IF(Table1[[#This Row],[Column1]]="Health",Table1[[#This Row],[income]],0)</f>
        <v>0</v>
      </c>
      <c r="DE216" s="20">
        <f ca="1">IF(Table1[[#This Row],[Column1]]="Agriculture",Table1[[#This Row],[income]],0)</f>
        <v>70619</v>
      </c>
      <c r="DF216" s="20">
        <f ca="1">IF(Table1[[#This Row],[Column1]]="Technology",Table1[[#This Row],[income]],0)</f>
        <v>0</v>
      </c>
      <c r="DG216" s="20">
        <f ca="1">IF(Table1[[#This Row],[Column1]]="Social Service",Table1[[#This Row],[income]],0)</f>
        <v>0</v>
      </c>
      <c r="DH216" s="20">
        <f ca="1">IF(Table1[[#This Row],[Column1]]="Education",Table1[[#This Row],[income]],0)</f>
        <v>0</v>
      </c>
      <c r="DI216" s="5">
        <f ca="1">IF(Table1[[#This Row],[Column1]]="Construction",Table1[[#This Row],[income]],0)</f>
        <v>0</v>
      </c>
      <c r="DK216" s="6">
        <f ca="1">IF(Table1[[#This Row],[Value of Debts]]&gt;Table1[[#This Row],[income]],1,0)</f>
        <v>1</v>
      </c>
      <c r="DL216" s="20"/>
      <c r="DM216" s="20"/>
      <c r="DN216" s="5"/>
      <c r="DP216" s="6">
        <f ca="1">IF(Table1[[#This Row],[Net Worth (£)]]&gt;$DS$5,C216,0)</f>
        <v>0</v>
      </c>
      <c r="DQ216" s="20"/>
      <c r="DR216" s="20"/>
      <c r="DS216" s="5"/>
    </row>
    <row r="217" spans="1:123" x14ac:dyDescent="0.2">
      <c r="A217">
        <f t="shared" ca="1" si="10"/>
        <v>2</v>
      </c>
      <c r="B217" s="1" t="str">
        <f ca="1">IF(A217=1, "men", "women")</f>
        <v>women</v>
      </c>
      <c r="C217" s="1">
        <f ca="1">RANDBETWEEN(25,50)</f>
        <v>44</v>
      </c>
      <c r="D217">
        <f ca="1">RANDBETWEEN(1,6)</f>
        <v>1</v>
      </c>
      <c r="E217" t="str">
        <f ca="1">VLOOKUP(D217,$W$5:$X$10,2)</f>
        <v>Health</v>
      </c>
      <c r="F217">
        <f ca="1">RANDBETWEEN(1,5)</f>
        <v>1</v>
      </c>
      <c r="G217" t="str">
        <f ca="1">VLOOKUP(F217,$Y$5:$Z$9,2)</f>
        <v>High School</v>
      </c>
      <c r="H217">
        <f ca="1">RANDBETWEEN(0,4)</f>
        <v>1</v>
      </c>
      <c r="I217">
        <f ca="1">RANDBETWEEN(1,3)</f>
        <v>3</v>
      </c>
      <c r="J217">
        <f ca="1">RANDBETWEEN(30000,100000)</f>
        <v>54945</v>
      </c>
      <c r="K217">
        <f ca="1">RANDBETWEEN(1,48)</f>
        <v>26</v>
      </c>
      <c r="L217" t="str">
        <f ca="1">VLOOKUP(K217,$AA$5:$AB$52,2)</f>
        <v>Leicestershire</v>
      </c>
      <c r="M217">
        <f ca="1">J217*(RANDBETWEEN(2,5))</f>
        <v>109890</v>
      </c>
      <c r="N217">
        <f ca="1">RAND()*M217</f>
        <v>87315.218390240436</v>
      </c>
      <c r="O217">
        <f ca="1">I217*RAND()*J217</f>
        <v>22848.748464557175</v>
      </c>
      <c r="P217">
        <f ca="1">RANDBETWEEN(0,O217)</f>
        <v>9785</v>
      </c>
      <c r="Q217">
        <f ca="1">RAND()*J217*2</f>
        <v>97830.344476708284</v>
      </c>
      <c r="R217">
        <f ca="1">RAND()*J217*1.5</f>
        <v>67536.277404554028</v>
      </c>
      <c r="S217">
        <f ca="1">J217+R217+O217</f>
        <v>145330.02586911121</v>
      </c>
      <c r="T217">
        <f ca="1">N217+P217+Q217</f>
        <v>194930.56286694872</v>
      </c>
      <c r="U217">
        <f ca="1">S217-T217</f>
        <v>-49600.536997837509</v>
      </c>
      <c r="AC217" s="6">
        <f ca="1">IF(Table1[[#This Row],[gender]]="men",1,0)</f>
        <v>0</v>
      </c>
      <c r="AD217">
        <f ca="1">IF(Table1[[#This Row],[gender]]="women",1,0)</f>
        <v>1</v>
      </c>
      <c r="AH217" s="5"/>
      <c r="AJ217" s="6">
        <f ca="1">IF(Table1[[#This Row],[Column1]]="Health",1,0)</f>
        <v>1</v>
      </c>
      <c r="AK217">
        <f ca="1">IF(Table1[[#This Row],[Column1]]="Construction",1,0)</f>
        <v>0</v>
      </c>
      <c r="AL217">
        <f ca="1">IF(Table1[[#This Row],[Column1]]="Technology",1,0)</f>
        <v>0</v>
      </c>
      <c r="AM217">
        <f ca="1">IF(Table1[[#This Row],[Column1]]="Education",1,0)</f>
        <v>0</v>
      </c>
      <c r="AN217">
        <f ca="1">IF(Table1[[#This Row],[Column1]]="Agriculture",1,0)</f>
        <v>0</v>
      </c>
      <c r="AO217">
        <f ca="1">IF(Table1[[#This Row],[Column1]]="Social Service", 1, 0)</f>
        <v>0</v>
      </c>
      <c r="AT217" s="5"/>
      <c r="AV217" s="17">
        <f t="shared" ca="1" si="9"/>
        <v>14504.50410388405</v>
      </c>
      <c r="AW217" s="5"/>
      <c r="AX217" s="6">
        <f ca="1">IF(Table1[[#This Row],[Value of Debts]]&gt;$AY$4,1,0)</f>
        <v>1</v>
      </c>
      <c r="AY217" s="20"/>
      <c r="AZ217" s="20"/>
      <c r="BA217" s="5"/>
      <c r="BB217" s="25">
        <f ca="1">Table1[[#This Row],[Mortage Left]]/Table1[[#This Row],[Value of House]]</f>
        <v>0.79456928192046994</v>
      </c>
      <c r="BC217" s="20">
        <f t="shared" ca="1" si="11"/>
        <v>0</v>
      </c>
      <c r="BD217" s="20"/>
      <c r="BE217" s="20"/>
      <c r="BF217" s="20"/>
      <c r="BG217" s="6">
        <f ca="1">IF(Table1[[#This Row],[County]]="Cumbria",Table1[[#This Row],[income]],0)</f>
        <v>0</v>
      </c>
      <c r="BH217" s="20">
        <f ca="1">IF(Table1[[#This Row],[County]]="Cheshire",Table1[[#This Row],[income]],0)</f>
        <v>0</v>
      </c>
      <c r="BI217" s="20">
        <f ca="1">IF(Table1[[#This Row],[County]]="Bristol",Table1[[#This Row],[income]],0)</f>
        <v>0</v>
      </c>
      <c r="BJ217" s="20">
        <f ca="1">IF(Table1[[#This Row],[County]]="Surrey",Table1[[#This Row],[income]],0)</f>
        <v>0</v>
      </c>
      <c r="BK217" s="20">
        <f ca="1">IF(Table1[[#This Row],[County]]="Norfolk",Table1[[#This Row],[income]],0)</f>
        <v>0</v>
      </c>
      <c r="BL217" s="20">
        <f ca="1">IF(Table1[[#This Row],[County]]="Lincolnshire",Table1[[#This Row],[income]],0)</f>
        <v>0</v>
      </c>
      <c r="BM217" s="20">
        <f ca="1">IF(Table1[[#This Row],[County]]="Somerset",Table1[[#This Row],[income]],0)</f>
        <v>0</v>
      </c>
      <c r="BN217" s="20">
        <f ca="1">IF(Table1[[#This Row],[County]]="Cambridgeshire",Table1[[#This Row],[income]],0)</f>
        <v>0</v>
      </c>
      <c r="BO217" s="20">
        <f ca="1">IF(Table1[[#This Row],[County]]="South Yorkshire",Table1[[#This Row],[income]],0)</f>
        <v>0</v>
      </c>
      <c r="BP217" s="20">
        <f ca="1">IF(Table1[[#This Row],[County]]="Greater London",Table1[[#This Row],[income]],0)</f>
        <v>0</v>
      </c>
      <c r="BQ217" s="20">
        <f ca="1">IF(Table1[[#This Row],[County]]="Hampshire",Table1[[#This Row],[income]],0)</f>
        <v>0</v>
      </c>
      <c r="BR217" s="20">
        <f ca="1">IF(Table1[[#This Row],[County]]="Gloucestershire",Table1[[#This Row],[income]],0)</f>
        <v>0</v>
      </c>
      <c r="BS217" s="20">
        <f ca="1">IF(Table1[[#This Row],[County]]="West Sussex",Table1[[#This Row],[income]],0)</f>
        <v>0</v>
      </c>
      <c r="BT217" s="20">
        <f ca="1">IF(Table1[[#This Row],[County]]="Devon",Table1[[#This Row],[income]],0)</f>
        <v>0</v>
      </c>
      <c r="BU217" s="20">
        <f ca="1">IF(Table1[[#This Row],[County]]="Berkshire",Table1[[#This Row],[income]],0)</f>
        <v>0</v>
      </c>
      <c r="BV217" s="20">
        <f ca="1">IF(Table1[[#This Row],[County]]="Staffordshire",Table1[[#This Row],[income]],0)</f>
        <v>0</v>
      </c>
      <c r="BW217" s="20">
        <f ca="1">IF(Table1[[#This Row],[County]]="Leicestershire",Table1[[#This Row],[income]],0)</f>
        <v>54945</v>
      </c>
      <c r="BX217" s="20">
        <f ca="1">IF(Table1[[#This Row],[County]]="Cornwall",Table1[[#This Row],[income]],0)</f>
        <v>0</v>
      </c>
      <c r="BY217" s="20">
        <f ca="1">IF(Table1[[#This Row],[County]]="Isle of Wight",Table1[[#This Row],[income]],0)</f>
        <v>0</v>
      </c>
      <c r="BZ217" s="20">
        <f ca="1">IF(Table1[[#This Row],[County]]="Surrey",Table1[[#This Row],[income]],0)</f>
        <v>0</v>
      </c>
      <c r="CA217" s="20">
        <f ca="1">IF(Table1[[#This Row],[County]]="Derbyshire",Table1[[#This Row],[income]],0)</f>
        <v>0</v>
      </c>
      <c r="CB217" s="20">
        <f ca="1">IF(Table1[[#This Row],[County]]="City of London",Table1[[#This Row],[income]],0)</f>
        <v>0</v>
      </c>
      <c r="CC217" s="20">
        <f ca="1">IF(Table1[[#This Row],[County]]="Bedfordshire",Table1[[#This Row],[income]],0)</f>
        <v>0</v>
      </c>
      <c r="CD217" s="20">
        <f ca="1">IF(Table1[[#This Row],[County]]="County Durham",Table1[[#This Row],[income]],0)</f>
        <v>0</v>
      </c>
      <c r="CE217" s="20">
        <f ca="1">IF(Table1[[#This Row],[County]]="East Riding of Yorkshire",Table1[[#This Row],[income]],0)</f>
        <v>0</v>
      </c>
      <c r="CF217" s="20">
        <f ca="1">IF(Table1[[#This Row],[County]]="West Yorkshire",Table1[[#This Row],[income]],0)</f>
        <v>0</v>
      </c>
      <c r="CG217" s="20">
        <f ca="1">IF(Table1[[#This Row],[County]]="Essex",Table1[[#This Row],[income]],0)</f>
        <v>0</v>
      </c>
      <c r="CH217" s="20">
        <f ca="1">IF(Table1[[#This Row],[County]]="East Sussex",Table1[[#This Row],[income]],0)</f>
        <v>0</v>
      </c>
      <c r="CI217" s="20">
        <f ca="1">IF(Table1[[#This Row],[County]]="Greater Manchester",Table1[[#This Row],[income]],0)</f>
        <v>0</v>
      </c>
      <c r="CJ217" s="20">
        <f ca="1">IF(Table1[[#This Row],[County]]="Hertfordshire",Table1[[#This Row],[income]],0)</f>
        <v>0</v>
      </c>
      <c r="CK217" s="20">
        <f ca="1">IF(Table1[[#This Row],[County]]="Herefordshire",Table1[[#This Row],[income]],0)</f>
        <v>0</v>
      </c>
      <c r="CL217" s="20">
        <f ca="1">IF(Table1[[#This Row],[County]]="Lancashire",Table1[[#This Row],[income]],0)</f>
        <v>0</v>
      </c>
      <c r="CM217" s="20">
        <f ca="1">IF(Table1[[#This Row],[County]]="Merseyside",Table1[[#This Row],[income]],0)</f>
        <v>0</v>
      </c>
      <c r="CN217" s="20">
        <f ca="1">IF(Table1[[#This Row],[County]]="Northamptonshire",Table1[[#This Row],[income]],0)</f>
        <v>0</v>
      </c>
      <c r="CO217" s="20">
        <f ca="1">IF(Table1[[#This Row],[County]]="Northumberland",Table1[[#This Row],[income]],0)</f>
        <v>0</v>
      </c>
      <c r="CP217" s="20">
        <f ca="1">IF(Table1[[#This Row],[County]]="Wiltshire",Table1[[#This Row],[income]],0)</f>
        <v>0</v>
      </c>
      <c r="CQ217" s="20">
        <f ca="1">IF(Table1[[#This Row],[County]]="West Midlands",Table1[[#This Row],[income]],0)</f>
        <v>0</v>
      </c>
      <c r="CR217" s="20">
        <f ca="1">IF(Table1[[#This Row],[County]]="Warwickshire",Table1[[#This Row],[income]],0)</f>
        <v>0</v>
      </c>
      <c r="CS217" s="20">
        <f ca="1">IF(Table1[[#This Row],[County]]="Tyne and Wear",Table1[[#This Row],[income]],0)</f>
        <v>0</v>
      </c>
      <c r="CT217" s="20">
        <f ca="1">IF(Table1[[#This Row],[County]]="Worcestershire",Table1[[#This Row],[income]],0)</f>
        <v>0</v>
      </c>
      <c r="CU217" s="20">
        <f ca="1">IF(Table1[[#This Row],[County]]="Rutland",Table1[[#This Row],[income]],0)</f>
        <v>0</v>
      </c>
      <c r="CV217" s="20">
        <f ca="1">IF(Table1[[#This Row],[County]]="Shropshire",Table1[[#This Row],[income]],0)</f>
        <v>0</v>
      </c>
      <c r="CW217" s="20">
        <f ca="1">IF(Table1[[#This Row],[County]]="Dorset",Table1[[#This Row],[income]],0)</f>
        <v>0</v>
      </c>
      <c r="CX217" s="20">
        <f ca="1">IF(Table1[[#This Row],[County]]="Buckinghamshire",Table1[[#This Row],[income]],0)</f>
        <v>0</v>
      </c>
      <c r="CY217" s="20">
        <f ca="1">IF(Table1[[#This Row],[County]]="Suffolk",Table1[[#This Row],[income]],0)</f>
        <v>0</v>
      </c>
      <c r="CZ217" s="20">
        <f ca="1">IF(Table1[[#This Row],[County]]="North Yorkshire",Table1[[#This Row],[income]],0)</f>
        <v>0</v>
      </c>
      <c r="DA217" s="20">
        <f ca="1">IF(Table1[[#This Row],[County]]="Kent",Table1[[#This Row],[income]],0)</f>
        <v>0</v>
      </c>
      <c r="DB217" s="5">
        <f ca="1">IF(Table1[[#This Row],[County]]="Derbyshire",Table1[[#This Row],[income]],0)</f>
        <v>0</v>
      </c>
      <c r="DD217" s="6">
        <f ca="1">IF(Table1[[#This Row],[Column1]]="Health",Table1[[#This Row],[income]],0)</f>
        <v>54945</v>
      </c>
      <c r="DE217" s="20">
        <f ca="1">IF(Table1[[#This Row],[Column1]]="Agriculture",Table1[[#This Row],[income]],0)</f>
        <v>0</v>
      </c>
      <c r="DF217" s="20">
        <f ca="1">IF(Table1[[#This Row],[Column1]]="Technology",Table1[[#This Row],[income]],0)</f>
        <v>0</v>
      </c>
      <c r="DG217" s="20">
        <f ca="1">IF(Table1[[#This Row],[Column1]]="Social Service",Table1[[#This Row],[income]],0)</f>
        <v>0</v>
      </c>
      <c r="DH217" s="20">
        <f ca="1">IF(Table1[[#This Row],[Column1]]="Education",Table1[[#This Row],[income]],0)</f>
        <v>0</v>
      </c>
      <c r="DI217" s="5">
        <f ca="1">IF(Table1[[#This Row],[Column1]]="Construction",Table1[[#This Row],[income]],0)</f>
        <v>0</v>
      </c>
      <c r="DK217" s="6">
        <f ca="1">IF(Table1[[#This Row],[Value of Debts]]&gt;Table1[[#This Row],[income]],1,0)</f>
        <v>1</v>
      </c>
      <c r="DL217" s="20"/>
      <c r="DM217" s="20"/>
      <c r="DN217" s="5"/>
      <c r="DP217" s="6">
        <f ca="1">IF(Table1[[#This Row],[Net Worth (£)]]&gt;$DS$5,C217,0)</f>
        <v>0</v>
      </c>
      <c r="DQ217" s="20"/>
      <c r="DR217" s="20"/>
      <c r="DS217" s="5"/>
    </row>
    <row r="218" spans="1:123" x14ac:dyDescent="0.2">
      <c r="A218">
        <f t="shared" ca="1" si="10"/>
        <v>2</v>
      </c>
      <c r="B218" s="1" t="str">
        <f ca="1">IF(A218=1, "men", "women")</f>
        <v>women</v>
      </c>
      <c r="C218" s="1">
        <f ca="1">RANDBETWEEN(25,50)</f>
        <v>29</v>
      </c>
      <c r="D218">
        <f ca="1">RANDBETWEEN(1,6)</f>
        <v>3</v>
      </c>
      <c r="E218" t="str">
        <f ca="1">VLOOKUP(D218,$W$5:$X$10,2)</f>
        <v>Education</v>
      </c>
      <c r="F218">
        <f ca="1">RANDBETWEEN(1,5)</f>
        <v>1</v>
      </c>
      <c r="G218" t="str">
        <f ca="1">VLOOKUP(F218,$Y$5:$Z$9,2)</f>
        <v>High School</v>
      </c>
      <c r="H218">
        <f ca="1">RANDBETWEEN(0,4)</f>
        <v>3</v>
      </c>
      <c r="I218">
        <f ca="1">RANDBETWEEN(1,3)</f>
        <v>2</v>
      </c>
      <c r="J218">
        <f ca="1">RANDBETWEEN(30000,100000)</f>
        <v>41406</v>
      </c>
      <c r="K218">
        <f ca="1">RANDBETWEEN(1,48)</f>
        <v>32</v>
      </c>
      <c r="L218" t="str">
        <f ca="1">VLOOKUP(K218,$AA$5:$AB$52,2)</f>
        <v>Northumberland</v>
      </c>
      <c r="M218">
        <f ca="1">J218*(RANDBETWEEN(2,5))</f>
        <v>207030</v>
      </c>
      <c r="N218">
        <f ca="1">RAND()*M218</f>
        <v>137221.81136525286</v>
      </c>
      <c r="O218">
        <f ca="1">I218*RAND()*J218</f>
        <v>29009.0082077681</v>
      </c>
      <c r="P218">
        <f ca="1">RANDBETWEEN(0,O218)</f>
        <v>2768</v>
      </c>
      <c r="Q218">
        <f ca="1">RAND()*J218*2</f>
        <v>75011.514366137315</v>
      </c>
      <c r="R218">
        <f ca="1">RAND()*J218*1.5</f>
        <v>37991.732858413379</v>
      </c>
      <c r="S218">
        <f ca="1">J218+R218+O218</f>
        <v>108406.74106618148</v>
      </c>
      <c r="T218">
        <f ca="1">N218+P218+Q218</f>
        <v>215001.32573139016</v>
      </c>
      <c r="U218">
        <f ca="1">S218-T218</f>
        <v>-106594.58466520868</v>
      </c>
      <c r="AC218" s="6">
        <f ca="1">IF(Table1[[#This Row],[gender]]="men",1,0)</f>
        <v>0</v>
      </c>
      <c r="AD218">
        <f ca="1">IF(Table1[[#This Row],[gender]]="women",1,0)</f>
        <v>1</v>
      </c>
      <c r="AH218" s="5"/>
      <c r="AJ218" s="6">
        <f ca="1">IF(Table1[[#This Row],[Column1]]="Health",1,0)</f>
        <v>0</v>
      </c>
      <c r="AK218">
        <f ca="1">IF(Table1[[#This Row],[Column1]]="Construction",1,0)</f>
        <v>0</v>
      </c>
      <c r="AL218">
        <f ca="1">IF(Table1[[#This Row],[Column1]]="Technology",1,0)</f>
        <v>0</v>
      </c>
      <c r="AM218">
        <f ca="1">IF(Table1[[#This Row],[Column1]]="Education",1,0)</f>
        <v>1</v>
      </c>
      <c r="AN218">
        <f ca="1">IF(Table1[[#This Row],[Column1]]="Agriculture",1,0)</f>
        <v>0</v>
      </c>
      <c r="AO218">
        <f ca="1">IF(Table1[[#This Row],[Column1]]="Social Service", 1, 0)</f>
        <v>0</v>
      </c>
      <c r="AT218" s="5"/>
      <c r="AV218" s="17">
        <f t="shared" ca="1" si="9"/>
        <v>23466.638747543529</v>
      </c>
      <c r="AW218" s="5"/>
      <c r="AX218" s="6">
        <f ca="1">IF(Table1[[#This Row],[Value of Debts]]&gt;$AY$4,1,0)</f>
        <v>1</v>
      </c>
      <c r="AY218" s="20"/>
      <c r="AZ218" s="20"/>
      <c r="BA218" s="5"/>
      <c r="BB218" s="25">
        <f ca="1">Table1[[#This Row],[Mortage Left]]/Table1[[#This Row],[Value of House]]</f>
        <v>0.66281124168117111</v>
      </c>
      <c r="BC218" s="20">
        <f t="shared" ca="1" si="11"/>
        <v>0</v>
      </c>
      <c r="BD218" s="20"/>
      <c r="BE218" s="20"/>
      <c r="BF218" s="20"/>
      <c r="BG218" s="6">
        <f ca="1">IF(Table1[[#This Row],[County]]="Cumbria",Table1[[#This Row],[income]],0)</f>
        <v>0</v>
      </c>
      <c r="BH218" s="20">
        <f ca="1">IF(Table1[[#This Row],[County]]="Cheshire",Table1[[#This Row],[income]],0)</f>
        <v>0</v>
      </c>
      <c r="BI218" s="20">
        <f ca="1">IF(Table1[[#This Row],[County]]="Bristol",Table1[[#This Row],[income]],0)</f>
        <v>0</v>
      </c>
      <c r="BJ218" s="20">
        <f ca="1">IF(Table1[[#This Row],[County]]="Surrey",Table1[[#This Row],[income]],0)</f>
        <v>0</v>
      </c>
      <c r="BK218" s="20">
        <f ca="1">IF(Table1[[#This Row],[County]]="Norfolk",Table1[[#This Row],[income]],0)</f>
        <v>0</v>
      </c>
      <c r="BL218" s="20">
        <f ca="1">IF(Table1[[#This Row],[County]]="Lincolnshire",Table1[[#This Row],[income]],0)</f>
        <v>0</v>
      </c>
      <c r="BM218" s="20">
        <f ca="1">IF(Table1[[#This Row],[County]]="Somerset",Table1[[#This Row],[income]],0)</f>
        <v>0</v>
      </c>
      <c r="BN218" s="20">
        <f ca="1">IF(Table1[[#This Row],[County]]="Cambridgeshire",Table1[[#This Row],[income]],0)</f>
        <v>0</v>
      </c>
      <c r="BO218" s="20">
        <f ca="1">IF(Table1[[#This Row],[County]]="South Yorkshire",Table1[[#This Row],[income]],0)</f>
        <v>0</v>
      </c>
      <c r="BP218" s="20">
        <f ca="1">IF(Table1[[#This Row],[County]]="Greater London",Table1[[#This Row],[income]],0)</f>
        <v>0</v>
      </c>
      <c r="BQ218" s="20">
        <f ca="1">IF(Table1[[#This Row],[County]]="Hampshire",Table1[[#This Row],[income]],0)</f>
        <v>0</v>
      </c>
      <c r="BR218" s="20">
        <f ca="1">IF(Table1[[#This Row],[County]]="Gloucestershire",Table1[[#This Row],[income]],0)</f>
        <v>0</v>
      </c>
      <c r="BS218" s="20">
        <f ca="1">IF(Table1[[#This Row],[County]]="West Sussex",Table1[[#This Row],[income]],0)</f>
        <v>0</v>
      </c>
      <c r="BT218" s="20">
        <f ca="1">IF(Table1[[#This Row],[County]]="Devon",Table1[[#This Row],[income]],0)</f>
        <v>0</v>
      </c>
      <c r="BU218" s="20">
        <f ca="1">IF(Table1[[#This Row],[County]]="Berkshire",Table1[[#This Row],[income]],0)</f>
        <v>0</v>
      </c>
      <c r="BV218" s="20">
        <f ca="1">IF(Table1[[#This Row],[County]]="Staffordshire",Table1[[#This Row],[income]],0)</f>
        <v>0</v>
      </c>
      <c r="BW218" s="20">
        <f ca="1">IF(Table1[[#This Row],[County]]="Leicestershire",Table1[[#This Row],[income]],0)</f>
        <v>0</v>
      </c>
      <c r="BX218" s="20">
        <f ca="1">IF(Table1[[#This Row],[County]]="Cornwall",Table1[[#This Row],[income]],0)</f>
        <v>0</v>
      </c>
      <c r="BY218" s="20">
        <f ca="1">IF(Table1[[#This Row],[County]]="Isle of Wight",Table1[[#This Row],[income]],0)</f>
        <v>0</v>
      </c>
      <c r="BZ218" s="20">
        <f ca="1">IF(Table1[[#This Row],[County]]="Surrey",Table1[[#This Row],[income]],0)</f>
        <v>0</v>
      </c>
      <c r="CA218" s="20">
        <f ca="1">IF(Table1[[#This Row],[County]]="Derbyshire",Table1[[#This Row],[income]],0)</f>
        <v>0</v>
      </c>
      <c r="CB218" s="20">
        <f ca="1">IF(Table1[[#This Row],[County]]="City of London",Table1[[#This Row],[income]],0)</f>
        <v>0</v>
      </c>
      <c r="CC218" s="20">
        <f ca="1">IF(Table1[[#This Row],[County]]="Bedfordshire",Table1[[#This Row],[income]],0)</f>
        <v>0</v>
      </c>
      <c r="CD218" s="20">
        <f ca="1">IF(Table1[[#This Row],[County]]="County Durham",Table1[[#This Row],[income]],0)</f>
        <v>0</v>
      </c>
      <c r="CE218" s="20">
        <f ca="1">IF(Table1[[#This Row],[County]]="East Riding of Yorkshire",Table1[[#This Row],[income]],0)</f>
        <v>0</v>
      </c>
      <c r="CF218" s="20">
        <f ca="1">IF(Table1[[#This Row],[County]]="West Yorkshire",Table1[[#This Row],[income]],0)</f>
        <v>0</v>
      </c>
      <c r="CG218" s="20">
        <f ca="1">IF(Table1[[#This Row],[County]]="Essex",Table1[[#This Row],[income]],0)</f>
        <v>0</v>
      </c>
      <c r="CH218" s="20">
        <f ca="1">IF(Table1[[#This Row],[County]]="East Sussex",Table1[[#This Row],[income]],0)</f>
        <v>0</v>
      </c>
      <c r="CI218" s="20">
        <f ca="1">IF(Table1[[#This Row],[County]]="Greater Manchester",Table1[[#This Row],[income]],0)</f>
        <v>0</v>
      </c>
      <c r="CJ218" s="20">
        <f ca="1">IF(Table1[[#This Row],[County]]="Hertfordshire",Table1[[#This Row],[income]],0)</f>
        <v>0</v>
      </c>
      <c r="CK218" s="20">
        <f ca="1">IF(Table1[[#This Row],[County]]="Herefordshire",Table1[[#This Row],[income]],0)</f>
        <v>0</v>
      </c>
      <c r="CL218" s="20">
        <f ca="1">IF(Table1[[#This Row],[County]]="Lancashire",Table1[[#This Row],[income]],0)</f>
        <v>0</v>
      </c>
      <c r="CM218" s="20">
        <f ca="1">IF(Table1[[#This Row],[County]]="Merseyside",Table1[[#This Row],[income]],0)</f>
        <v>0</v>
      </c>
      <c r="CN218" s="20">
        <f ca="1">IF(Table1[[#This Row],[County]]="Northamptonshire",Table1[[#This Row],[income]],0)</f>
        <v>0</v>
      </c>
      <c r="CO218" s="20">
        <f ca="1">IF(Table1[[#This Row],[County]]="Northumberland",Table1[[#This Row],[income]],0)</f>
        <v>41406</v>
      </c>
      <c r="CP218" s="20">
        <f ca="1">IF(Table1[[#This Row],[County]]="Wiltshire",Table1[[#This Row],[income]],0)</f>
        <v>0</v>
      </c>
      <c r="CQ218" s="20">
        <f ca="1">IF(Table1[[#This Row],[County]]="West Midlands",Table1[[#This Row],[income]],0)</f>
        <v>0</v>
      </c>
      <c r="CR218" s="20">
        <f ca="1">IF(Table1[[#This Row],[County]]="Warwickshire",Table1[[#This Row],[income]],0)</f>
        <v>0</v>
      </c>
      <c r="CS218" s="20">
        <f ca="1">IF(Table1[[#This Row],[County]]="Tyne and Wear",Table1[[#This Row],[income]],0)</f>
        <v>0</v>
      </c>
      <c r="CT218" s="20">
        <f ca="1">IF(Table1[[#This Row],[County]]="Worcestershire",Table1[[#This Row],[income]],0)</f>
        <v>0</v>
      </c>
      <c r="CU218" s="20">
        <f ca="1">IF(Table1[[#This Row],[County]]="Rutland",Table1[[#This Row],[income]],0)</f>
        <v>0</v>
      </c>
      <c r="CV218" s="20">
        <f ca="1">IF(Table1[[#This Row],[County]]="Shropshire",Table1[[#This Row],[income]],0)</f>
        <v>0</v>
      </c>
      <c r="CW218" s="20">
        <f ca="1">IF(Table1[[#This Row],[County]]="Dorset",Table1[[#This Row],[income]],0)</f>
        <v>0</v>
      </c>
      <c r="CX218" s="20">
        <f ca="1">IF(Table1[[#This Row],[County]]="Buckinghamshire",Table1[[#This Row],[income]],0)</f>
        <v>0</v>
      </c>
      <c r="CY218" s="20">
        <f ca="1">IF(Table1[[#This Row],[County]]="Suffolk",Table1[[#This Row],[income]],0)</f>
        <v>0</v>
      </c>
      <c r="CZ218" s="20">
        <f ca="1">IF(Table1[[#This Row],[County]]="North Yorkshire",Table1[[#This Row],[income]],0)</f>
        <v>0</v>
      </c>
      <c r="DA218" s="20">
        <f ca="1">IF(Table1[[#This Row],[County]]="Kent",Table1[[#This Row],[income]],0)</f>
        <v>0</v>
      </c>
      <c r="DB218" s="5">
        <f ca="1">IF(Table1[[#This Row],[County]]="Derbyshire",Table1[[#This Row],[income]],0)</f>
        <v>0</v>
      </c>
      <c r="DD218" s="6">
        <f ca="1">IF(Table1[[#This Row],[Column1]]="Health",Table1[[#This Row],[income]],0)</f>
        <v>0</v>
      </c>
      <c r="DE218" s="20">
        <f ca="1">IF(Table1[[#This Row],[Column1]]="Agriculture",Table1[[#This Row],[income]],0)</f>
        <v>0</v>
      </c>
      <c r="DF218" s="20">
        <f ca="1">IF(Table1[[#This Row],[Column1]]="Technology",Table1[[#This Row],[income]],0)</f>
        <v>0</v>
      </c>
      <c r="DG218" s="20">
        <f ca="1">IF(Table1[[#This Row],[Column1]]="Social Service",Table1[[#This Row],[income]],0)</f>
        <v>0</v>
      </c>
      <c r="DH218" s="20">
        <f ca="1">IF(Table1[[#This Row],[Column1]]="Education",Table1[[#This Row],[income]],0)</f>
        <v>41406</v>
      </c>
      <c r="DI218" s="5">
        <f ca="1">IF(Table1[[#This Row],[Column1]]="Construction",Table1[[#This Row],[income]],0)</f>
        <v>0</v>
      </c>
      <c r="DK218" s="6">
        <f ca="1">IF(Table1[[#This Row],[Value of Debts]]&gt;Table1[[#This Row],[income]],1,0)</f>
        <v>1</v>
      </c>
      <c r="DL218" s="20"/>
      <c r="DM218" s="20"/>
      <c r="DN218" s="5"/>
      <c r="DP218" s="6">
        <f ca="1">IF(Table1[[#This Row],[Net Worth (£)]]&gt;$DS$5,C218,0)</f>
        <v>0</v>
      </c>
      <c r="DQ218" s="20"/>
      <c r="DR218" s="20"/>
      <c r="DS218" s="5"/>
    </row>
    <row r="219" spans="1:123" x14ac:dyDescent="0.2">
      <c r="A219">
        <f t="shared" ca="1" si="10"/>
        <v>2</v>
      </c>
      <c r="B219" s="1" t="str">
        <f ca="1">IF(A219=1, "men", "women")</f>
        <v>women</v>
      </c>
      <c r="C219" s="1">
        <f ca="1">RANDBETWEEN(25,50)</f>
        <v>25</v>
      </c>
      <c r="D219">
        <f ca="1">RANDBETWEEN(1,6)</f>
        <v>6</v>
      </c>
      <c r="E219" t="str">
        <f ca="1">VLOOKUP(D219,$W$5:$X$10,2)</f>
        <v>Agriculture</v>
      </c>
      <c r="F219">
        <f ca="1">RANDBETWEEN(1,5)</f>
        <v>4</v>
      </c>
      <c r="G219" t="str">
        <f ca="1">VLOOKUP(F219,$Y$5:$Z$9,2)</f>
        <v xml:space="preserve">Technical </v>
      </c>
      <c r="H219">
        <f ca="1">RANDBETWEEN(0,4)</f>
        <v>0</v>
      </c>
      <c r="I219">
        <f ca="1">RANDBETWEEN(1,3)</f>
        <v>3</v>
      </c>
      <c r="J219">
        <f ca="1">RANDBETWEEN(30000,100000)</f>
        <v>36610</v>
      </c>
      <c r="K219">
        <f ca="1">RANDBETWEEN(1,48)</f>
        <v>16</v>
      </c>
      <c r="L219" t="str">
        <f ca="1">VLOOKUP(K219,$AA$5:$AB$52,2)</f>
        <v>Essex</v>
      </c>
      <c r="M219">
        <f ca="1">J219*(RANDBETWEEN(2,5))</f>
        <v>146440</v>
      </c>
      <c r="N219">
        <f ca="1">RAND()*M219</f>
        <v>61126.153902666054</v>
      </c>
      <c r="O219">
        <f ca="1">I219*RAND()*J219</f>
        <v>70399.916242630585</v>
      </c>
      <c r="P219">
        <f ca="1">RANDBETWEEN(0,O219)</f>
        <v>59457</v>
      </c>
      <c r="Q219">
        <f ca="1">RAND()*J219*2</f>
        <v>31871.768899915696</v>
      </c>
      <c r="R219">
        <f ca="1">RAND()*J219*1.5</f>
        <v>18211.521324545149</v>
      </c>
      <c r="S219">
        <f ca="1">J219+R219+O219</f>
        <v>125221.43756717573</v>
      </c>
      <c r="T219">
        <f ca="1">N219+P219+Q219</f>
        <v>152454.92280258174</v>
      </c>
      <c r="U219">
        <f ca="1">S219-T219</f>
        <v>-27233.485235406013</v>
      </c>
      <c r="AC219" s="6">
        <f ca="1">IF(Table1[[#This Row],[gender]]="men",1,0)</f>
        <v>0</v>
      </c>
      <c r="AD219">
        <f ca="1">IF(Table1[[#This Row],[gender]]="women",1,0)</f>
        <v>1</v>
      </c>
      <c r="AH219" s="5"/>
      <c r="AJ219" s="6">
        <f ca="1">IF(Table1[[#This Row],[Column1]]="Health",1,0)</f>
        <v>0</v>
      </c>
      <c r="AK219">
        <f ca="1">IF(Table1[[#This Row],[Column1]]="Construction",1,0)</f>
        <v>0</v>
      </c>
      <c r="AL219">
        <f ca="1">IF(Table1[[#This Row],[Column1]]="Technology",1,0)</f>
        <v>0</v>
      </c>
      <c r="AM219">
        <f ca="1">IF(Table1[[#This Row],[Column1]]="Education",1,0)</f>
        <v>0</v>
      </c>
      <c r="AN219">
        <f ca="1">IF(Table1[[#This Row],[Column1]]="Agriculture",1,0)</f>
        <v>1</v>
      </c>
      <c r="AO219">
        <f ca="1">IF(Table1[[#This Row],[Column1]]="Social Service", 1, 0)</f>
        <v>0</v>
      </c>
      <c r="AT219" s="5"/>
      <c r="AV219" s="17">
        <f t="shared" ca="1" si="9"/>
        <v>47606.589482407267</v>
      </c>
      <c r="AW219" s="5"/>
      <c r="AX219" s="6">
        <f ca="1">IF(Table1[[#This Row],[Value of Debts]]&gt;$AY$4,1,0)</f>
        <v>1</v>
      </c>
      <c r="AY219" s="20"/>
      <c r="AZ219" s="20"/>
      <c r="BA219" s="5"/>
      <c r="BB219" s="25">
        <f ca="1">Table1[[#This Row],[Mortage Left]]/Table1[[#This Row],[Value of House]]</f>
        <v>0.41741432602202988</v>
      </c>
      <c r="BC219" s="20">
        <f t="shared" ca="1" si="11"/>
        <v>0</v>
      </c>
      <c r="BD219" s="20"/>
      <c r="BE219" s="20"/>
      <c r="BF219" s="20"/>
      <c r="BG219" s="6">
        <f ca="1">IF(Table1[[#This Row],[County]]="Cumbria",Table1[[#This Row],[income]],0)</f>
        <v>0</v>
      </c>
      <c r="BH219" s="20">
        <f ca="1">IF(Table1[[#This Row],[County]]="Cheshire",Table1[[#This Row],[income]],0)</f>
        <v>0</v>
      </c>
      <c r="BI219" s="20">
        <f ca="1">IF(Table1[[#This Row],[County]]="Bristol",Table1[[#This Row],[income]],0)</f>
        <v>0</v>
      </c>
      <c r="BJ219" s="20">
        <f ca="1">IF(Table1[[#This Row],[County]]="Surrey",Table1[[#This Row],[income]],0)</f>
        <v>0</v>
      </c>
      <c r="BK219" s="20">
        <f ca="1">IF(Table1[[#This Row],[County]]="Norfolk",Table1[[#This Row],[income]],0)</f>
        <v>0</v>
      </c>
      <c r="BL219" s="20">
        <f ca="1">IF(Table1[[#This Row],[County]]="Lincolnshire",Table1[[#This Row],[income]],0)</f>
        <v>0</v>
      </c>
      <c r="BM219" s="20">
        <f ca="1">IF(Table1[[#This Row],[County]]="Somerset",Table1[[#This Row],[income]],0)</f>
        <v>0</v>
      </c>
      <c r="BN219" s="20">
        <f ca="1">IF(Table1[[#This Row],[County]]="Cambridgeshire",Table1[[#This Row],[income]],0)</f>
        <v>0</v>
      </c>
      <c r="BO219" s="20">
        <f ca="1">IF(Table1[[#This Row],[County]]="South Yorkshire",Table1[[#This Row],[income]],0)</f>
        <v>0</v>
      </c>
      <c r="BP219" s="20">
        <f ca="1">IF(Table1[[#This Row],[County]]="Greater London",Table1[[#This Row],[income]],0)</f>
        <v>0</v>
      </c>
      <c r="BQ219" s="20">
        <f ca="1">IF(Table1[[#This Row],[County]]="Hampshire",Table1[[#This Row],[income]],0)</f>
        <v>0</v>
      </c>
      <c r="BR219" s="20">
        <f ca="1">IF(Table1[[#This Row],[County]]="Gloucestershire",Table1[[#This Row],[income]],0)</f>
        <v>0</v>
      </c>
      <c r="BS219" s="20">
        <f ca="1">IF(Table1[[#This Row],[County]]="West Sussex",Table1[[#This Row],[income]],0)</f>
        <v>0</v>
      </c>
      <c r="BT219" s="20">
        <f ca="1">IF(Table1[[#This Row],[County]]="Devon",Table1[[#This Row],[income]],0)</f>
        <v>0</v>
      </c>
      <c r="BU219" s="20">
        <f ca="1">IF(Table1[[#This Row],[County]]="Berkshire",Table1[[#This Row],[income]],0)</f>
        <v>0</v>
      </c>
      <c r="BV219" s="20">
        <f ca="1">IF(Table1[[#This Row],[County]]="Staffordshire",Table1[[#This Row],[income]],0)</f>
        <v>0</v>
      </c>
      <c r="BW219" s="20">
        <f ca="1">IF(Table1[[#This Row],[County]]="Leicestershire",Table1[[#This Row],[income]],0)</f>
        <v>0</v>
      </c>
      <c r="BX219" s="20">
        <f ca="1">IF(Table1[[#This Row],[County]]="Cornwall",Table1[[#This Row],[income]],0)</f>
        <v>0</v>
      </c>
      <c r="BY219" s="20">
        <f ca="1">IF(Table1[[#This Row],[County]]="Isle of Wight",Table1[[#This Row],[income]],0)</f>
        <v>0</v>
      </c>
      <c r="BZ219" s="20">
        <f ca="1">IF(Table1[[#This Row],[County]]="Surrey",Table1[[#This Row],[income]],0)</f>
        <v>0</v>
      </c>
      <c r="CA219" s="20">
        <f ca="1">IF(Table1[[#This Row],[County]]="Derbyshire",Table1[[#This Row],[income]],0)</f>
        <v>0</v>
      </c>
      <c r="CB219" s="20">
        <f ca="1">IF(Table1[[#This Row],[County]]="City of London",Table1[[#This Row],[income]],0)</f>
        <v>0</v>
      </c>
      <c r="CC219" s="20">
        <f ca="1">IF(Table1[[#This Row],[County]]="Bedfordshire",Table1[[#This Row],[income]],0)</f>
        <v>0</v>
      </c>
      <c r="CD219" s="20">
        <f ca="1">IF(Table1[[#This Row],[County]]="County Durham",Table1[[#This Row],[income]],0)</f>
        <v>0</v>
      </c>
      <c r="CE219" s="20">
        <f ca="1">IF(Table1[[#This Row],[County]]="East Riding of Yorkshire",Table1[[#This Row],[income]],0)</f>
        <v>0</v>
      </c>
      <c r="CF219" s="20">
        <f ca="1">IF(Table1[[#This Row],[County]]="West Yorkshire",Table1[[#This Row],[income]],0)</f>
        <v>0</v>
      </c>
      <c r="CG219" s="20">
        <f ca="1">IF(Table1[[#This Row],[County]]="Essex",Table1[[#This Row],[income]],0)</f>
        <v>36610</v>
      </c>
      <c r="CH219" s="20">
        <f ca="1">IF(Table1[[#This Row],[County]]="East Sussex",Table1[[#This Row],[income]],0)</f>
        <v>0</v>
      </c>
      <c r="CI219" s="20">
        <f ca="1">IF(Table1[[#This Row],[County]]="Greater Manchester",Table1[[#This Row],[income]],0)</f>
        <v>0</v>
      </c>
      <c r="CJ219" s="20">
        <f ca="1">IF(Table1[[#This Row],[County]]="Hertfordshire",Table1[[#This Row],[income]],0)</f>
        <v>0</v>
      </c>
      <c r="CK219" s="20">
        <f ca="1">IF(Table1[[#This Row],[County]]="Herefordshire",Table1[[#This Row],[income]],0)</f>
        <v>0</v>
      </c>
      <c r="CL219" s="20">
        <f ca="1">IF(Table1[[#This Row],[County]]="Lancashire",Table1[[#This Row],[income]],0)</f>
        <v>0</v>
      </c>
      <c r="CM219" s="20">
        <f ca="1">IF(Table1[[#This Row],[County]]="Merseyside",Table1[[#This Row],[income]],0)</f>
        <v>0</v>
      </c>
      <c r="CN219" s="20">
        <f ca="1">IF(Table1[[#This Row],[County]]="Northamptonshire",Table1[[#This Row],[income]],0)</f>
        <v>0</v>
      </c>
      <c r="CO219" s="20">
        <f ca="1">IF(Table1[[#This Row],[County]]="Northumberland",Table1[[#This Row],[income]],0)</f>
        <v>0</v>
      </c>
      <c r="CP219" s="20">
        <f ca="1">IF(Table1[[#This Row],[County]]="Wiltshire",Table1[[#This Row],[income]],0)</f>
        <v>0</v>
      </c>
      <c r="CQ219" s="20">
        <f ca="1">IF(Table1[[#This Row],[County]]="West Midlands",Table1[[#This Row],[income]],0)</f>
        <v>0</v>
      </c>
      <c r="CR219" s="20">
        <f ca="1">IF(Table1[[#This Row],[County]]="Warwickshire",Table1[[#This Row],[income]],0)</f>
        <v>0</v>
      </c>
      <c r="CS219" s="20">
        <f ca="1">IF(Table1[[#This Row],[County]]="Tyne and Wear",Table1[[#This Row],[income]],0)</f>
        <v>0</v>
      </c>
      <c r="CT219" s="20">
        <f ca="1">IF(Table1[[#This Row],[County]]="Worcestershire",Table1[[#This Row],[income]],0)</f>
        <v>0</v>
      </c>
      <c r="CU219" s="20">
        <f ca="1">IF(Table1[[#This Row],[County]]="Rutland",Table1[[#This Row],[income]],0)</f>
        <v>0</v>
      </c>
      <c r="CV219" s="20">
        <f ca="1">IF(Table1[[#This Row],[County]]="Shropshire",Table1[[#This Row],[income]],0)</f>
        <v>0</v>
      </c>
      <c r="CW219" s="20">
        <f ca="1">IF(Table1[[#This Row],[County]]="Dorset",Table1[[#This Row],[income]],0)</f>
        <v>0</v>
      </c>
      <c r="CX219" s="20">
        <f ca="1">IF(Table1[[#This Row],[County]]="Buckinghamshire",Table1[[#This Row],[income]],0)</f>
        <v>0</v>
      </c>
      <c r="CY219" s="20">
        <f ca="1">IF(Table1[[#This Row],[County]]="Suffolk",Table1[[#This Row],[income]],0)</f>
        <v>0</v>
      </c>
      <c r="CZ219" s="20">
        <f ca="1">IF(Table1[[#This Row],[County]]="North Yorkshire",Table1[[#This Row],[income]],0)</f>
        <v>0</v>
      </c>
      <c r="DA219" s="20">
        <f ca="1">IF(Table1[[#This Row],[County]]="Kent",Table1[[#This Row],[income]],0)</f>
        <v>0</v>
      </c>
      <c r="DB219" s="5">
        <f ca="1">IF(Table1[[#This Row],[County]]="Derbyshire",Table1[[#This Row],[income]],0)</f>
        <v>0</v>
      </c>
      <c r="DD219" s="6">
        <f ca="1">IF(Table1[[#This Row],[Column1]]="Health",Table1[[#This Row],[income]],0)</f>
        <v>0</v>
      </c>
      <c r="DE219" s="20">
        <f ca="1">IF(Table1[[#This Row],[Column1]]="Agriculture",Table1[[#This Row],[income]],0)</f>
        <v>36610</v>
      </c>
      <c r="DF219" s="20">
        <f ca="1">IF(Table1[[#This Row],[Column1]]="Technology",Table1[[#This Row],[income]],0)</f>
        <v>0</v>
      </c>
      <c r="DG219" s="20">
        <f ca="1">IF(Table1[[#This Row],[Column1]]="Social Service",Table1[[#This Row],[income]],0)</f>
        <v>0</v>
      </c>
      <c r="DH219" s="20">
        <f ca="1">IF(Table1[[#This Row],[Column1]]="Education",Table1[[#This Row],[income]],0)</f>
        <v>0</v>
      </c>
      <c r="DI219" s="5">
        <f ca="1">IF(Table1[[#This Row],[Column1]]="Construction",Table1[[#This Row],[income]],0)</f>
        <v>0</v>
      </c>
      <c r="DK219" s="6">
        <f ca="1">IF(Table1[[#This Row],[Value of Debts]]&gt;Table1[[#This Row],[income]],1,0)</f>
        <v>1</v>
      </c>
      <c r="DL219" s="20"/>
      <c r="DM219" s="20"/>
      <c r="DN219" s="5"/>
      <c r="DP219" s="6">
        <f ca="1">IF(Table1[[#This Row],[Net Worth (£)]]&gt;$DS$5,C219,0)</f>
        <v>0</v>
      </c>
      <c r="DQ219" s="20"/>
      <c r="DR219" s="20"/>
      <c r="DS219" s="5"/>
    </row>
    <row r="220" spans="1:123" x14ac:dyDescent="0.2">
      <c r="A220">
        <f t="shared" ca="1" si="10"/>
        <v>2</v>
      </c>
      <c r="B220" s="1" t="str">
        <f ca="1">IF(A220=1, "men", "women")</f>
        <v>women</v>
      </c>
      <c r="C220" s="1">
        <f ca="1">RANDBETWEEN(25,50)</f>
        <v>34</v>
      </c>
      <c r="D220">
        <f ca="1">RANDBETWEEN(1,6)</f>
        <v>3</v>
      </c>
      <c r="E220" t="str">
        <f ca="1">VLOOKUP(D220,$W$5:$X$10,2)</f>
        <v>Education</v>
      </c>
      <c r="F220">
        <f ca="1">RANDBETWEEN(1,5)</f>
        <v>4</v>
      </c>
      <c r="G220" t="str">
        <f ca="1">VLOOKUP(F220,$Y$5:$Z$9,2)</f>
        <v xml:space="preserve">Technical </v>
      </c>
      <c r="H220">
        <f ca="1">RANDBETWEEN(0,4)</f>
        <v>0</v>
      </c>
      <c r="I220">
        <f ca="1">RANDBETWEEN(1,3)</f>
        <v>2</v>
      </c>
      <c r="J220">
        <f ca="1">RANDBETWEEN(30000,100000)</f>
        <v>49209</v>
      </c>
      <c r="K220">
        <f ca="1">RANDBETWEEN(1,48)</f>
        <v>4</v>
      </c>
      <c r="L220" t="str">
        <f ca="1">VLOOKUP(K220,$AA$5:$AB$52,2)</f>
        <v>Buckinghamshire</v>
      </c>
      <c r="M220">
        <f ca="1">J220*(RANDBETWEEN(2,5))</f>
        <v>246045</v>
      </c>
      <c r="N220">
        <f ca="1">RAND()*M220</f>
        <v>149001.36823369152</v>
      </c>
      <c r="O220">
        <f ca="1">I220*RAND()*J220</f>
        <v>95213.178964814535</v>
      </c>
      <c r="P220">
        <f ca="1">RANDBETWEEN(0,O220)</f>
        <v>54080</v>
      </c>
      <c r="Q220">
        <f ca="1">RAND()*J220*2</f>
        <v>76579.9165159697</v>
      </c>
      <c r="R220">
        <f ca="1">RAND()*J220*1.5</f>
        <v>7358.1843123547787</v>
      </c>
      <c r="S220">
        <f ca="1">J220+R220+O220</f>
        <v>151780.36327716932</v>
      </c>
      <c r="T220">
        <f ca="1">N220+P220+Q220</f>
        <v>279661.28474966122</v>
      </c>
      <c r="U220">
        <f ca="1">S220-T220</f>
        <v>-127880.9214724919</v>
      </c>
      <c r="AC220" s="6">
        <f ca="1">IF(Table1[[#This Row],[gender]]="men",1,0)</f>
        <v>0</v>
      </c>
      <c r="AD220">
        <f ca="1">IF(Table1[[#This Row],[gender]]="women",1,0)</f>
        <v>1</v>
      </c>
      <c r="AH220" s="5"/>
      <c r="AJ220" s="6">
        <f ca="1">IF(Table1[[#This Row],[Column1]]="Health",1,0)</f>
        <v>0</v>
      </c>
      <c r="AK220">
        <f ca="1">IF(Table1[[#This Row],[Column1]]="Construction",1,0)</f>
        <v>0</v>
      </c>
      <c r="AL220">
        <f ca="1">IF(Table1[[#This Row],[Column1]]="Technology",1,0)</f>
        <v>0</v>
      </c>
      <c r="AM220">
        <f ca="1">IF(Table1[[#This Row],[Column1]]="Education",1,0)</f>
        <v>1</v>
      </c>
      <c r="AN220">
        <f ca="1">IF(Table1[[#This Row],[Column1]]="Agriculture",1,0)</f>
        <v>0</v>
      </c>
      <c r="AO220">
        <f ca="1">IF(Table1[[#This Row],[Column1]]="Social Service", 1, 0)</f>
        <v>0</v>
      </c>
      <c r="AT220" s="5"/>
      <c r="AV220" s="17">
        <f t="shared" ca="1" si="9"/>
        <v>53126.832490074019</v>
      </c>
      <c r="AW220" s="5"/>
      <c r="AX220" s="6">
        <f ca="1">IF(Table1[[#This Row],[Value of Debts]]&gt;$AY$4,1,0)</f>
        <v>1</v>
      </c>
      <c r="AY220" s="20"/>
      <c r="AZ220" s="20"/>
      <c r="BA220" s="5"/>
      <c r="BB220" s="25">
        <f ca="1">Table1[[#This Row],[Mortage Left]]/Table1[[#This Row],[Value of House]]</f>
        <v>0.60558584093841172</v>
      </c>
      <c r="BC220" s="20">
        <f t="shared" ca="1" si="11"/>
        <v>0</v>
      </c>
      <c r="BD220" s="20"/>
      <c r="BE220" s="20"/>
      <c r="BF220" s="20"/>
      <c r="BG220" s="6">
        <f ca="1">IF(Table1[[#This Row],[County]]="Cumbria",Table1[[#This Row],[income]],0)</f>
        <v>0</v>
      </c>
      <c r="BH220" s="20">
        <f ca="1">IF(Table1[[#This Row],[County]]="Cheshire",Table1[[#This Row],[income]],0)</f>
        <v>0</v>
      </c>
      <c r="BI220" s="20">
        <f ca="1">IF(Table1[[#This Row],[County]]="Bristol",Table1[[#This Row],[income]],0)</f>
        <v>0</v>
      </c>
      <c r="BJ220" s="20">
        <f ca="1">IF(Table1[[#This Row],[County]]="Surrey",Table1[[#This Row],[income]],0)</f>
        <v>0</v>
      </c>
      <c r="BK220" s="20">
        <f ca="1">IF(Table1[[#This Row],[County]]="Norfolk",Table1[[#This Row],[income]],0)</f>
        <v>0</v>
      </c>
      <c r="BL220" s="20">
        <f ca="1">IF(Table1[[#This Row],[County]]="Lincolnshire",Table1[[#This Row],[income]],0)</f>
        <v>0</v>
      </c>
      <c r="BM220" s="20">
        <f ca="1">IF(Table1[[#This Row],[County]]="Somerset",Table1[[#This Row],[income]],0)</f>
        <v>0</v>
      </c>
      <c r="BN220" s="20">
        <f ca="1">IF(Table1[[#This Row],[County]]="Cambridgeshire",Table1[[#This Row],[income]],0)</f>
        <v>0</v>
      </c>
      <c r="BO220" s="20">
        <f ca="1">IF(Table1[[#This Row],[County]]="South Yorkshire",Table1[[#This Row],[income]],0)</f>
        <v>0</v>
      </c>
      <c r="BP220" s="20">
        <f ca="1">IF(Table1[[#This Row],[County]]="Greater London",Table1[[#This Row],[income]],0)</f>
        <v>0</v>
      </c>
      <c r="BQ220" s="20">
        <f ca="1">IF(Table1[[#This Row],[County]]="Hampshire",Table1[[#This Row],[income]],0)</f>
        <v>0</v>
      </c>
      <c r="BR220" s="20">
        <f ca="1">IF(Table1[[#This Row],[County]]="Gloucestershire",Table1[[#This Row],[income]],0)</f>
        <v>0</v>
      </c>
      <c r="BS220" s="20">
        <f ca="1">IF(Table1[[#This Row],[County]]="West Sussex",Table1[[#This Row],[income]],0)</f>
        <v>0</v>
      </c>
      <c r="BT220" s="20">
        <f ca="1">IF(Table1[[#This Row],[County]]="Devon",Table1[[#This Row],[income]],0)</f>
        <v>0</v>
      </c>
      <c r="BU220" s="20">
        <f ca="1">IF(Table1[[#This Row],[County]]="Berkshire",Table1[[#This Row],[income]],0)</f>
        <v>0</v>
      </c>
      <c r="BV220" s="20">
        <f ca="1">IF(Table1[[#This Row],[County]]="Staffordshire",Table1[[#This Row],[income]],0)</f>
        <v>0</v>
      </c>
      <c r="BW220" s="20">
        <f ca="1">IF(Table1[[#This Row],[County]]="Leicestershire",Table1[[#This Row],[income]],0)</f>
        <v>0</v>
      </c>
      <c r="BX220" s="20">
        <f ca="1">IF(Table1[[#This Row],[County]]="Cornwall",Table1[[#This Row],[income]],0)</f>
        <v>0</v>
      </c>
      <c r="BY220" s="20">
        <f ca="1">IF(Table1[[#This Row],[County]]="Isle of Wight",Table1[[#This Row],[income]],0)</f>
        <v>0</v>
      </c>
      <c r="BZ220" s="20">
        <f ca="1">IF(Table1[[#This Row],[County]]="Surrey",Table1[[#This Row],[income]],0)</f>
        <v>0</v>
      </c>
      <c r="CA220" s="20">
        <f ca="1">IF(Table1[[#This Row],[County]]="Derbyshire",Table1[[#This Row],[income]],0)</f>
        <v>0</v>
      </c>
      <c r="CB220" s="20">
        <f ca="1">IF(Table1[[#This Row],[County]]="City of London",Table1[[#This Row],[income]],0)</f>
        <v>0</v>
      </c>
      <c r="CC220" s="20">
        <f ca="1">IF(Table1[[#This Row],[County]]="Bedfordshire",Table1[[#This Row],[income]],0)</f>
        <v>0</v>
      </c>
      <c r="CD220" s="20">
        <f ca="1">IF(Table1[[#This Row],[County]]="County Durham",Table1[[#This Row],[income]],0)</f>
        <v>0</v>
      </c>
      <c r="CE220" s="20">
        <f ca="1">IF(Table1[[#This Row],[County]]="East Riding of Yorkshire",Table1[[#This Row],[income]],0)</f>
        <v>0</v>
      </c>
      <c r="CF220" s="20">
        <f ca="1">IF(Table1[[#This Row],[County]]="West Yorkshire",Table1[[#This Row],[income]],0)</f>
        <v>0</v>
      </c>
      <c r="CG220" s="20">
        <f ca="1">IF(Table1[[#This Row],[County]]="Essex",Table1[[#This Row],[income]],0)</f>
        <v>0</v>
      </c>
      <c r="CH220" s="20">
        <f ca="1">IF(Table1[[#This Row],[County]]="East Sussex",Table1[[#This Row],[income]],0)</f>
        <v>0</v>
      </c>
      <c r="CI220" s="20">
        <f ca="1">IF(Table1[[#This Row],[County]]="Greater Manchester",Table1[[#This Row],[income]],0)</f>
        <v>0</v>
      </c>
      <c r="CJ220" s="20">
        <f ca="1">IF(Table1[[#This Row],[County]]="Hertfordshire",Table1[[#This Row],[income]],0)</f>
        <v>0</v>
      </c>
      <c r="CK220" s="20">
        <f ca="1">IF(Table1[[#This Row],[County]]="Herefordshire",Table1[[#This Row],[income]],0)</f>
        <v>0</v>
      </c>
      <c r="CL220" s="20">
        <f ca="1">IF(Table1[[#This Row],[County]]="Lancashire",Table1[[#This Row],[income]],0)</f>
        <v>0</v>
      </c>
      <c r="CM220" s="20">
        <f ca="1">IF(Table1[[#This Row],[County]]="Merseyside",Table1[[#This Row],[income]],0)</f>
        <v>0</v>
      </c>
      <c r="CN220" s="20">
        <f ca="1">IF(Table1[[#This Row],[County]]="Northamptonshire",Table1[[#This Row],[income]],0)</f>
        <v>0</v>
      </c>
      <c r="CO220" s="20">
        <f ca="1">IF(Table1[[#This Row],[County]]="Northumberland",Table1[[#This Row],[income]],0)</f>
        <v>0</v>
      </c>
      <c r="CP220" s="20">
        <f ca="1">IF(Table1[[#This Row],[County]]="Wiltshire",Table1[[#This Row],[income]],0)</f>
        <v>0</v>
      </c>
      <c r="CQ220" s="20">
        <f ca="1">IF(Table1[[#This Row],[County]]="West Midlands",Table1[[#This Row],[income]],0)</f>
        <v>0</v>
      </c>
      <c r="CR220" s="20">
        <f ca="1">IF(Table1[[#This Row],[County]]="Warwickshire",Table1[[#This Row],[income]],0)</f>
        <v>0</v>
      </c>
      <c r="CS220" s="20">
        <f ca="1">IF(Table1[[#This Row],[County]]="Tyne and Wear",Table1[[#This Row],[income]],0)</f>
        <v>0</v>
      </c>
      <c r="CT220" s="20">
        <f ca="1">IF(Table1[[#This Row],[County]]="Worcestershire",Table1[[#This Row],[income]],0)</f>
        <v>0</v>
      </c>
      <c r="CU220" s="20">
        <f ca="1">IF(Table1[[#This Row],[County]]="Rutland",Table1[[#This Row],[income]],0)</f>
        <v>0</v>
      </c>
      <c r="CV220" s="20">
        <f ca="1">IF(Table1[[#This Row],[County]]="Shropshire",Table1[[#This Row],[income]],0)</f>
        <v>0</v>
      </c>
      <c r="CW220" s="20">
        <f ca="1">IF(Table1[[#This Row],[County]]="Dorset",Table1[[#This Row],[income]],0)</f>
        <v>0</v>
      </c>
      <c r="CX220" s="20">
        <f ca="1">IF(Table1[[#This Row],[County]]="Buckinghamshire",Table1[[#This Row],[income]],0)</f>
        <v>49209</v>
      </c>
      <c r="CY220" s="20">
        <f ca="1">IF(Table1[[#This Row],[County]]="Suffolk",Table1[[#This Row],[income]],0)</f>
        <v>0</v>
      </c>
      <c r="CZ220" s="20">
        <f ca="1">IF(Table1[[#This Row],[County]]="North Yorkshire",Table1[[#This Row],[income]],0)</f>
        <v>0</v>
      </c>
      <c r="DA220" s="20">
        <f ca="1">IF(Table1[[#This Row],[County]]="Kent",Table1[[#This Row],[income]],0)</f>
        <v>0</v>
      </c>
      <c r="DB220" s="5">
        <f ca="1">IF(Table1[[#This Row],[County]]="Derbyshire",Table1[[#This Row],[income]],0)</f>
        <v>0</v>
      </c>
      <c r="DD220" s="6">
        <f ca="1">IF(Table1[[#This Row],[Column1]]="Health",Table1[[#This Row],[income]],0)</f>
        <v>0</v>
      </c>
      <c r="DE220" s="20">
        <f ca="1">IF(Table1[[#This Row],[Column1]]="Agriculture",Table1[[#This Row],[income]],0)</f>
        <v>0</v>
      </c>
      <c r="DF220" s="20">
        <f ca="1">IF(Table1[[#This Row],[Column1]]="Technology",Table1[[#This Row],[income]],0)</f>
        <v>0</v>
      </c>
      <c r="DG220" s="20">
        <f ca="1">IF(Table1[[#This Row],[Column1]]="Social Service",Table1[[#This Row],[income]],0)</f>
        <v>0</v>
      </c>
      <c r="DH220" s="20">
        <f ca="1">IF(Table1[[#This Row],[Column1]]="Education",Table1[[#This Row],[income]],0)</f>
        <v>49209</v>
      </c>
      <c r="DI220" s="5">
        <f ca="1">IF(Table1[[#This Row],[Column1]]="Construction",Table1[[#This Row],[income]],0)</f>
        <v>0</v>
      </c>
      <c r="DK220" s="6">
        <f ca="1">IF(Table1[[#This Row],[Value of Debts]]&gt;Table1[[#This Row],[income]],1,0)</f>
        <v>1</v>
      </c>
      <c r="DL220" s="20"/>
      <c r="DM220" s="20"/>
      <c r="DN220" s="5"/>
      <c r="DP220" s="6">
        <f ca="1">IF(Table1[[#This Row],[Net Worth (£)]]&gt;$DS$5,C220,0)</f>
        <v>0</v>
      </c>
      <c r="DQ220" s="20"/>
      <c r="DR220" s="20"/>
      <c r="DS220" s="5"/>
    </row>
    <row r="221" spans="1:123" x14ac:dyDescent="0.2">
      <c r="A221">
        <f t="shared" ca="1" si="10"/>
        <v>1</v>
      </c>
      <c r="B221" s="1" t="str">
        <f ca="1">IF(A221=1, "men", "women")</f>
        <v>men</v>
      </c>
      <c r="C221" s="1">
        <f ca="1">RANDBETWEEN(25,50)</f>
        <v>37</v>
      </c>
      <c r="D221">
        <f ca="1">RANDBETWEEN(1,6)</f>
        <v>4</v>
      </c>
      <c r="E221" t="str">
        <f ca="1">VLOOKUP(D221,$W$5:$X$10,2)</f>
        <v>Technology</v>
      </c>
      <c r="F221">
        <f ca="1">RANDBETWEEN(1,5)</f>
        <v>4</v>
      </c>
      <c r="G221" t="str">
        <f ca="1">VLOOKUP(F221,$Y$5:$Z$9,2)</f>
        <v xml:space="preserve">Technical </v>
      </c>
      <c r="H221">
        <f ca="1">RANDBETWEEN(0,4)</f>
        <v>1</v>
      </c>
      <c r="I221">
        <f ca="1">RANDBETWEEN(1,3)</f>
        <v>3</v>
      </c>
      <c r="J221">
        <f ca="1">RANDBETWEEN(30000,100000)</f>
        <v>67564</v>
      </c>
      <c r="K221">
        <f ca="1">RANDBETWEEN(1,48)</f>
        <v>41</v>
      </c>
      <c r="L221" t="str">
        <f ca="1">VLOOKUP(K221,$AA$5:$AB$52,2)</f>
        <v>Surrey</v>
      </c>
      <c r="M221">
        <f ca="1">J221*(RANDBETWEEN(2,5))</f>
        <v>270256</v>
      </c>
      <c r="N221">
        <f ca="1">RAND()*M221</f>
        <v>253806.16803040594</v>
      </c>
      <c r="O221">
        <f ca="1">I221*RAND()*J221</f>
        <v>159380.49747022206</v>
      </c>
      <c r="P221">
        <f ca="1">RANDBETWEEN(0,O221)</f>
        <v>62056</v>
      </c>
      <c r="Q221">
        <f ca="1">RAND()*J221*2</f>
        <v>96347.477849267394</v>
      </c>
      <c r="R221">
        <f ca="1">RAND()*J221*1.5</f>
        <v>62967.872289420964</v>
      </c>
      <c r="S221">
        <f ca="1">J221+R221+O221</f>
        <v>289912.36975964304</v>
      </c>
      <c r="T221">
        <f ca="1">N221+P221+Q221</f>
        <v>412209.64587967331</v>
      </c>
      <c r="U221">
        <f ca="1">S221-T221</f>
        <v>-122297.27612003026</v>
      </c>
      <c r="AC221" s="6">
        <f ca="1">IF(Table1[[#This Row],[gender]]="men",1,0)</f>
        <v>1</v>
      </c>
      <c r="AD221">
        <f ca="1">IF(Table1[[#This Row],[gender]]="women",1,0)</f>
        <v>0</v>
      </c>
      <c r="AH221" s="5"/>
      <c r="AJ221" s="6">
        <f ca="1">IF(Table1[[#This Row],[Column1]]="Health",1,0)</f>
        <v>0</v>
      </c>
      <c r="AK221">
        <f ca="1">IF(Table1[[#This Row],[Column1]]="Construction",1,0)</f>
        <v>0</v>
      </c>
      <c r="AL221">
        <f ca="1">IF(Table1[[#This Row],[Column1]]="Technology",1,0)</f>
        <v>1</v>
      </c>
      <c r="AM221">
        <f ca="1">IF(Table1[[#This Row],[Column1]]="Education",1,0)</f>
        <v>0</v>
      </c>
      <c r="AN221">
        <f ca="1">IF(Table1[[#This Row],[Column1]]="Agriculture",1,0)</f>
        <v>0</v>
      </c>
      <c r="AO221">
        <f ca="1">IF(Table1[[#This Row],[Column1]]="Social Service", 1, 0)</f>
        <v>0</v>
      </c>
      <c r="AT221" s="5"/>
      <c r="AV221" s="17">
        <f t="shared" ca="1" si="9"/>
        <v>38410.762160716942</v>
      </c>
      <c r="AW221" s="5"/>
      <c r="AX221" s="6">
        <f ca="1">IF(Table1[[#This Row],[Value of Debts]]&gt;$AY$4,1,0)</f>
        <v>1</v>
      </c>
      <c r="AY221" s="20"/>
      <c r="AZ221" s="20"/>
      <c r="BA221" s="5"/>
      <c r="BB221" s="25">
        <f ca="1">Table1[[#This Row],[Mortage Left]]/Table1[[#This Row],[Value of House]]</f>
        <v>0.93913240790363928</v>
      </c>
      <c r="BC221" s="20">
        <f t="shared" ca="1" si="11"/>
        <v>0</v>
      </c>
      <c r="BD221" s="20"/>
      <c r="BE221" s="20"/>
      <c r="BF221" s="20"/>
      <c r="BG221" s="6">
        <f ca="1">IF(Table1[[#This Row],[County]]="Cumbria",Table1[[#This Row],[income]],0)</f>
        <v>0</v>
      </c>
      <c r="BH221" s="20">
        <f ca="1">IF(Table1[[#This Row],[County]]="Cheshire",Table1[[#This Row],[income]],0)</f>
        <v>0</v>
      </c>
      <c r="BI221" s="20">
        <f ca="1">IF(Table1[[#This Row],[County]]="Bristol",Table1[[#This Row],[income]],0)</f>
        <v>0</v>
      </c>
      <c r="BJ221" s="20">
        <f ca="1">IF(Table1[[#This Row],[County]]="Surrey",Table1[[#This Row],[income]],0)</f>
        <v>67564</v>
      </c>
      <c r="BK221" s="20">
        <f ca="1">IF(Table1[[#This Row],[County]]="Norfolk",Table1[[#This Row],[income]],0)</f>
        <v>0</v>
      </c>
      <c r="BL221" s="20">
        <f ca="1">IF(Table1[[#This Row],[County]]="Lincolnshire",Table1[[#This Row],[income]],0)</f>
        <v>0</v>
      </c>
      <c r="BM221" s="20">
        <f ca="1">IF(Table1[[#This Row],[County]]="Somerset",Table1[[#This Row],[income]],0)</f>
        <v>0</v>
      </c>
      <c r="BN221" s="20">
        <f ca="1">IF(Table1[[#This Row],[County]]="Cambridgeshire",Table1[[#This Row],[income]],0)</f>
        <v>0</v>
      </c>
      <c r="BO221" s="20">
        <f ca="1">IF(Table1[[#This Row],[County]]="South Yorkshire",Table1[[#This Row],[income]],0)</f>
        <v>0</v>
      </c>
      <c r="BP221" s="20">
        <f ca="1">IF(Table1[[#This Row],[County]]="Greater London",Table1[[#This Row],[income]],0)</f>
        <v>0</v>
      </c>
      <c r="BQ221" s="20">
        <f ca="1">IF(Table1[[#This Row],[County]]="Hampshire",Table1[[#This Row],[income]],0)</f>
        <v>0</v>
      </c>
      <c r="BR221" s="20">
        <f ca="1">IF(Table1[[#This Row],[County]]="Gloucestershire",Table1[[#This Row],[income]],0)</f>
        <v>0</v>
      </c>
      <c r="BS221" s="20">
        <f ca="1">IF(Table1[[#This Row],[County]]="West Sussex",Table1[[#This Row],[income]],0)</f>
        <v>0</v>
      </c>
      <c r="BT221" s="20">
        <f ca="1">IF(Table1[[#This Row],[County]]="Devon",Table1[[#This Row],[income]],0)</f>
        <v>0</v>
      </c>
      <c r="BU221" s="20">
        <f ca="1">IF(Table1[[#This Row],[County]]="Berkshire",Table1[[#This Row],[income]],0)</f>
        <v>0</v>
      </c>
      <c r="BV221" s="20">
        <f ca="1">IF(Table1[[#This Row],[County]]="Staffordshire",Table1[[#This Row],[income]],0)</f>
        <v>0</v>
      </c>
      <c r="BW221" s="20">
        <f ca="1">IF(Table1[[#This Row],[County]]="Leicestershire",Table1[[#This Row],[income]],0)</f>
        <v>0</v>
      </c>
      <c r="BX221" s="20">
        <f ca="1">IF(Table1[[#This Row],[County]]="Cornwall",Table1[[#This Row],[income]],0)</f>
        <v>0</v>
      </c>
      <c r="BY221" s="20">
        <f ca="1">IF(Table1[[#This Row],[County]]="Isle of Wight",Table1[[#This Row],[income]],0)</f>
        <v>0</v>
      </c>
      <c r="BZ221" s="20">
        <f ca="1">IF(Table1[[#This Row],[County]]="Surrey",Table1[[#This Row],[income]],0)</f>
        <v>67564</v>
      </c>
      <c r="CA221" s="20">
        <f ca="1">IF(Table1[[#This Row],[County]]="Derbyshire",Table1[[#This Row],[income]],0)</f>
        <v>0</v>
      </c>
      <c r="CB221" s="20">
        <f ca="1">IF(Table1[[#This Row],[County]]="City of London",Table1[[#This Row],[income]],0)</f>
        <v>0</v>
      </c>
      <c r="CC221" s="20">
        <f ca="1">IF(Table1[[#This Row],[County]]="Bedfordshire",Table1[[#This Row],[income]],0)</f>
        <v>0</v>
      </c>
      <c r="CD221" s="20">
        <f ca="1">IF(Table1[[#This Row],[County]]="County Durham",Table1[[#This Row],[income]],0)</f>
        <v>0</v>
      </c>
      <c r="CE221" s="20">
        <f ca="1">IF(Table1[[#This Row],[County]]="East Riding of Yorkshire",Table1[[#This Row],[income]],0)</f>
        <v>0</v>
      </c>
      <c r="CF221" s="20">
        <f ca="1">IF(Table1[[#This Row],[County]]="West Yorkshire",Table1[[#This Row],[income]],0)</f>
        <v>0</v>
      </c>
      <c r="CG221" s="20">
        <f ca="1">IF(Table1[[#This Row],[County]]="Essex",Table1[[#This Row],[income]],0)</f>
        <v>0</v>
      </c>
      <c r="CH221" s="20">
        <f ca="1">IF(Table1[[#This Row],[County]]="East Sussex",Table1[[#This Row],[income]],0)</f>
        <v>0</v>
      </c>
      <c r="CI221" s="20">
        <f ca="1">IF(Table1[[#This Row],[County]]="Greater Manchester",Table1[[#This Row],[income]],0)</f>
        <v>0</v>
      </c>
      <c r="CJ221" s="20">
        <f ca="1">IF(Table1[[#This Row],[County]]="Hertfordshire",Table1[[#This Row],[income]],0)</f>
        <v>0</v>
      </c>
      <c r="CK221" s="20">
        <f ca="1">IF(Table1[[#This Row],[County]]="Herefordshire",Table1[[#This Row],[income]],0)</f>
        <v>0</v>
      </c>
      <c r="CL221" s="20">
        <f ca="1">IF(Table1[[#This Row],[County]]="Lancashire",Table1[[#This Row],[income]],0)</f>
        <v>0</v>
      </c>
      <c r="CM221" s="20">
        <f ca="1">IF(Table1[[#This Row],[County]]="Merseyside",Table1[[#This Row],[income]],0)</f>
        <v>0</v>
      </c>
      <c r="CN221" s="20">
        <f ca="1">IF(Table1[[#This Row],[County]]="Northamptonshire",Table1[[#This Row],[income]],0)</f>
        <v>0</v>
      </c>
      <c r="CO221" s="20">
        <f ca="1">IF(Table1[[#This Row],[County]]="Northumberland",Table1[[#This Row],[income]],0)</f>
        <v>0</v>
      </c>
      <c r="CP221" s="20">
        <f ca="1">IF(Table1[[#This Row],[County]]="Wiltshire",Table1[[#This Row],[income]],0)</f>
        <v>0</v>
      </c>
      <c r="CQ221" s="20">
        <f ca="1">IF(Table1[[#This Row],[County]]="West Midlands",Table1[[#This Row],[income]],0)</f>
        <v>0</v>
      </c>
      <c r="CR221" s="20">
        <f ca="1">IF(Table1[[#This Row],[County]]="Warwickshire",Table1[[#This Row],[income]],0)</f>
        <v>0</v>
      </c>
      <c r="CS221" s="20">
        <f ca="1">IF(Table1[[#This Row],[County]]="Tyne and Wear",Table1[[#This Row],[income]],0)</f>
        <v>0</v>
      </c>
      <c r="CT221" s="20">
        <f ca="1">IF(Table1[[#This Row],[County]]="Worcestershire",Table1[[#This Row],[income]],0)</f>
        <v>0</v>
      </c>
      <c r="CU221" s="20">
        <f ca="1">IF(Table1[[#This Row],[County]]="Rutland",Table1[[#This Row],[income]],0)</f>
        <v>0</v>
      </c>
      <c r="CV221" s="20">
        <f ca="1">IF(Table1[[#This Row],[County]]="Shropshire",Table1[[#This Row],[income]],0)</f>
        <v>0</v>
      </c>
      <c r="CW221" s="20">
        <f ca="1">IF(Table1[[#This Row],[County]]="Dorset",Table1[[#This Row],[income]],0)</f>
        <v>0</v>
      </c>
      <c r="CX221" s="20">
        <f ca="1">IF(Table1[[#This Row],[County]]="Buckinghamshire",Table1[[#This Row],[income]],0)</f>
        <v>0</v>
      </c>
      <c r="CY221" s="20">
        <f ca="1">IF(Table1[[#This Row],[County]]="Suffolk",Table1[[#This Row],[income]],0)</f>
        <v>0</v>
      </c>
      <c r="CZ221" s="20">
        <f ca="1">IF(Table1[[#This Row],[County]]="North Yorkshire",Table1[[#This Row],[income]],0)</f>
        <v>0</v>
      </c>
      <c r="DA221" s="20">
        <f ca="1">IF(Table1[[#This Row],[County]]="Kent",Table1[[#This Row],[income]],0)</f>
        <v>0</v>
      </c>
      <c r="DB221" s="5">
        <f ca="1">IF(Table1[[#This Row],[County]]="Derbyshire",Table1[[#This Row],[income]],0)</f>
        <v>0</v>
      </c>
      <c r="DD221" s="6">
        <f ca="1">IF(Table1[[#This Row],[Column1]]="Health",Table1[[#This Row],[income]],0)</f>
        <v>0</v>
      </c>
      <c r="DE221" s="20">
        <f ca="1">IF(Table1[[#This Row],[Column1]]="Agriculture",Table1[[#This Row],[income]],0)</f>
        <v>0</v>
      </c>
      <c r="DF221" s="20">
        <f ca="1">IF(Table1[[#This Row],[Column1]]="Technology",Table1[[#This Row],[income]],0)</f>
        <v>67564</v>
      </c>
      <c r="DG221" s="20">
        <f ca="1">IF(Table1[[#This Row],[Column1]]="Social Service",Table1[[#This Row],[income]],0)</f>
        <v>0</v>
      </c>
      <c r="DH221" s="20">
        <f ca="1">IF(Table1[[#This Row],[Column1]]="Education",Table1[[#This Row],[income]],0)</f>
        <v>0</v>
      </c>
      <c r="DI221" s="5">
        <f ca="1">IF(Table1[[#This Row],[Column1]]="Construction",Table1[[#This Row],[income]],0)</f>
        <v>0</v>
      </c>
      <c r="DK221" s="6">
        <f ca="1">IF(Table1[[#This Row],[Value of Debts]]&gt;Table1[[#This Row],[income]],1,0)</f>
        <v>1</v>
      </c>
      <c r="DL221" s="20"/>
      <c r="DM221" s="20"/>
      <c r="DN221" s="5"/>
      <c r="DP221" s="6">
        <f ca="1">IF(Table1[[#This Row],[Net Worth (£)]]&gt;$DS$5,C221,0)</f>
        <v>0</v>
      </c>
      <c r="DQ221" s="20"/>
      <c r="DR221" s="20"/>
      <c r="DS221" s="5"/>
    </row>
    <row r="222" spans="1:123" x14ac:dyDescent="0.2">
      <c r="A222">
        <f t="shared" ca="1" si="10"/>
        <v>2</v>
      </c>
      <c r="B222" s="1" t="str">
        <f ca="1">IF(A222=1, "men", "women")</f>
        <v>women</v>
      </c>
      <c r="C222" s="1">
        <f ca="1">RANDBETWEEN(25,50)</f>
        <v>49</v>
      </c>
      <c r="D222">
        <f ca="1">RANDBETWEEN(1,6)</f>
        <v>6</v>
      </c>
      <c r="E222" t="str">
        <f ca="1">VLOOKUP(D222,$W$5:$X$10,2)</f>
        <v>Agriculture</v>
      </c>
      <c r="F222">
        <f ca="1">RANDBETWEEN(1,5)</f>
        <v>3</v>
      </c>
      <c r="G222" t="str">
        <f ca="1">VLOOKUP(F222,$Y$5:$Z$9,2)</f>
        <v>University</v>
      </c>
      <c r="H222">
        <f ca="1">RANDBETWEEN(0,4)</f>
        <v>1</v>
      </c>
      <c r="I222">
        <f ca="1">RANDBETWEEN(1,3)</f>
        <v>1</v>
      </c>
      <c r="J222">
        <f ca="1">RANDBETWEEN(30000,100000)</f>
        <v>78166</v>
      </c>
      <c r="K222">
        <f ca="1">RANDBETWEEN(1,48)</f>
        <v>38</v>
      </c>
      <c r="L222" t="str">
        <f ca="1">VLOOKUP(K222,$AA$5:$AB$52,2)</f>
        <v>South Yorkshire</v>
      </c>
      <c r="M222">
        <f ca="1">J222*(RANDBETWEEN(2,5))</f>
        <v>312664</v>
      </c>
      <c r="N222">
        <f ca="1">RAND()*M222</f>
        <v>45875.447444916223</v>
      </c>
      <c r="O222">
        <f ca="1">I222*RAND()*J222</f>
        <v>38410.762160716942</v>
      </c>
      <c r="P222">
        <f ca="1">RANDBETWEEN(0,O222)</f>
        <v>13606</v>
      </c>
      <c r="Q222">
        <f ca="1">RAND()*J222*2</f>
        <v>9033.7201179570311</v>
      </c>
      <c r="R222">
        <f ca="1">RAND()*J222*1.5</f>
        <v>54090.651240432737</v>
      </c>
      <c r="S222">
        <f ca="1">J222+R222+O222</f>
        <v>170667.41340114968</v>
      </c>
      <c r="T222">
        <f ca="1">N222+P222+Q222</f>
        <v>68515.167562873248</v>
      </c>
      <c r="U222">
        <f ca="1">S222-T222</f>
        <v>102152.24583827643</v>
      </c>
      <c r="AC222" s="6">
        <f ca="1">IF(Table1[[#This Row],[gender]]="men",1,0)</f>
        <v>0</v>
      </c>
      <c r="AD222">
        <f ca="1">IF(Table1[[#This Row],[gender]]="women",1,0)</f>
        <v>1</v>
      </c>
      <c r="AH222" s="5"/>
      <c r="AJ222" s="6">
        <f ca="1">IF(Table1[[#This Row],[Column1]]="Health",1,0)</f>
        <v>0</v>
      </c>
      <c r="AK222">
        <f ca="1">IF(Table1[[#This Row],[Column1]]="Construction",1,0)</f>
        <v>0</v>
      </c>
      <c r="AL222">
        <f ca="1">IF(Table1[[#This Row],[Column1]]="Technology",1,0)</f>
        <v>0</v>
      </c>
      <c r="AM222">
        <f ca="1">IF(Table1[[#This Row],[Column1]]="Education",1,0)</f>
        <v>0</v>
      </c>
      <c r="AN222">
        <f ca="1">IF(Table1[[#This Row],[Column1]]="Agriculture",1,0)</f>
        <v>1</v>
      </c>
      <c r="AO222">
        <f ca="1">IF(Table1[[#This Row],[Column1]]="Social Service", 1, 0)</f>
        <v>0</v>
      </c>
      <c r="AT222" s="5"/>
      <c r="AV222" s="17">
        <f t="shared" ca="1" si="9"/>
        <v>82537.460684889098</v>
      </c>
      <c r="AW222" s="5"/>
      <c r="AX222" s="6">
        <f ca="1">IF(Table1[[#This Row],[Value of Debts]]&gt;$AY$4,1,0)</f>
        <v>0</v>
      </c>
      <c r="AY222" s="20"/>
      <c r="AZ222" s="20"/>
      <c r="BA222" s="5"/>
      <c r="BB222" s="25">
        <f ca="1">Table1[[#This Row],[Mortage Left]]/Table1[[#This Row],[Value of House]]</f>
        <v>0.14672443084242581</v>
      </c>
      <c r="BC222" s="20">
        <f t="shared" ca="1" si="11"/>
        <v>1</v>
      </c>
      <c r="BD222" s="20"/>
      <c r="BE222" s="20"/>
      <c r="BF222" s="20"/>
      <c r="BG222" s="6">
        <f ca="1">IF(Table1[[#This Row],[County]]="Cumbria",Table1[[#This Row],[income]],0)</f>
        <v>0</v>
      </c>
      <c r="BH222" s="20">
        <f ca="1">IF(Table1[[#This Row],[County]]="Cheshire",Table1[[#This Row],[income]],0)</f>
        <v>0</v>
      </c>
      <c r="BI222" s="20">
        <f ca="1">IF(Table1[[#This Row],[County]]="Bristol",Table1[[#This Row],[income]],0)</f>
        <v>0</v>
      </c>
      <c r="BJ222" s="20">
        <f ca="1">IF(Table1[[#This Row],[County]]="Surrey",Table1[[#This Row],[income]],0)</f>
        <v>0</v>
      </c>
      <c r="BK222" s="20">
        <f ca="1">IF(Table1[[#This Row],[County]]="Norfolk",Table1[[#This Row],[income]],0)</f>
        <v>0</v>
      </c>
      <c r="BL222" s="20">
        <f ca="1">IF(Table1[[#This Row],[County]]="Lincolnshire",Table1[[#This Row],[income]],0)</f>
        <v>0</v>
      </c>
      <c r="BM222" s="20">
        <f ca="1">IF(Table1[[#This Row],[County]]="Somerset",Table1[[#This Row],[income]],0)</f>
        <v>0</v>
      </c>
      <c r="BN222" s="20">
        <f ca="1">IF(Table1[[#This Row],[County]]="Cambridgeshire",Table1[[#This Row],[income]],0)</f>
        <v>0</v>
      </c>
      <c r="BO222" s="20">
        <f ca="1">IF(Table1[[#This Row],[County]]="South Yorkshire",Table1[[#This Row],[income]],0)</f>
        <v>78166</v>
      </c>
      <c r="BP222" s="20">
        <f ca="1">IF(Table1[[#This Row],[County]]="Greater London",Table1[[#This Row],[income]],0)</f>
        <v>0</v>
      </c>
      <c r="BQ222" s="20">
        <f ca="1">IF(Table1[[#This Row],[County]]="Hampshire",Table1[[#This Row],[income]],0)</f>
        <v>0</v>
      </c>
      <c r="BR222" s="20">
        <f ca="1">IF(Table1[[#This Row],[County]]="Gloucestershire",Table1[[#This Row],[income]],0)</f>
        <v>0</v>
      </c>
      <c r="BS222" s="20">
        <f ca="1">IF(Table1[[#This Row],[County]]="West Sussex",Table1[[#This Row],[income]],0)</f>
        <v>0</v>
      </c>
      <c r="BT222" s="20">
        <f ca="1">IF(Table1[[#This Row],[County]]="Devon",Table1[[#This Row],[income]],0)</f>
        <v>0</v>
      </c>
      <c r="BU222" s="20">
        <f ca="1">IF(Table1[[#This Row],[County]]="Berkshire",Table1[[#This Row],[income]],0)</f>
        <v>0</v>
      </c>
      <c r="BV222" s="20">
        <f ca="1">IF(Table1[[#This Row],[County]]="Staffordshire",Table1[[#This Row],[income]],0)</f>
        <v>0</v>
      </c>
      <c r="BW222" s="20">
        <f ca="1">IF(Table1[[#This Row],[County]]="Leicestershire",Table1[[#This Row],[income]],0)</f>
        <v>0</v>
      </c>
      <c r="BX222" s="20">
        <f ca="1">IF(Table1[[#This Row],[County]]="Cornwall",Table1[[#This Row],[income]],0)</f>
        <v>0</v>
      </c>
      <c r="BY222" s="20">
        <f ca="1">IF(Table1[[#This Row],[County]]="Isle of Wight",Table1[[#This Row],[income]],0)</f>
        <v>0</v>
      </c>
      <c r="BZ222" s="20">
        <f ca="1">IF(Table1[[#This Row],[County]]="Surrey",Table1[[#This Row],[income]],0)</f>
        <v>0</v>
      </c>
      <c r="CA222" s="20">
        <f ca="1">IF(Table1[[#This Row],[County]]="Derbyshire",Table1[[#This Row],[income]],0)</f>
        <v>0</v>
      </c>
      <c r="CB222" s="20">
        <f ca="1">IF(Table1[[#This Row],[County]]="City of London",Table1[[#This Row],[income]],0)</f>
        <v>0</v>
      </c>
      <c r="CC222" s="20">
        <f ca="1">IF(Table1[[#This Row],[County]]="Bedfordshire",Table1[[#This Row],[income]],0)</f>
        <v>0</v>
      </c>
      <c r="CD222" s="20">
        <f ca="1">IF(Table1[[#This Row],[County]]="County Durham",Table1[[#This Row],[income]],0)</f>
        <v>0</v>
      </c>
      <c r="CE222" s="20">
        <f ca="1">IF(Table1[[#This Row],[County]]="East Riding of Yorkshire",Table1[[#This Row],[income]],0)</f>
        <v>0</v>
      </c>
      <c r="CF222" s="20">
        <f ca="1">IF(Table1[[#This Row],[County]]="West Yorkshire",Table1[[#This Row],[income]],0)</f>
        <v>0</v>
      </c>
      <c r="CG222" s="20">
        <f ca="1">IF(Table1[[#This Row],[County]]="Essex",Table1[[#This Row],[income]],0)</f>
        <v>0</v>
      </c>
      <c r="CH222" s="20">
        <f ca="1">IF(Table1[[#This Row],[County]]="East Sussex",Table1[[#This Row],[income]],0)</f>
        <v>0</v>
      </c>
      <c r="CI222" s="20">
        <f ca="1">IF(Table1[[#This Row],[County]]="Greater Manchester",Table1[[#This Row],[income]],0)</f>
        <v>0</v>
      </c>
      <c r="CJ222" s="20">
        <f ca="1">IF(Table1[[#This Row],[County]]="Hertfordshire",Table1[[#This Row],[income]],0)</f>
        <v>0</v>
      </c>
      <c r="CK222" s="20">
        <f ca="1">IF(Table1[[#This Row],[County]]="Herefordshire",Table1[[#This Row],[income]],0)</f>
        <v>0</v>
      </c>
      <c r="CL222" s="20">
        <f ca="1">IF(Table1[[#This Row],[County]]="Lancashire",Table1[[#This Row],[income]],0)</f>
        <v>0</v>
      </c>
      <c r="CM222" s="20">
        <f ca="1">IF(Table1[[#This Row],[County]]="Merseyside",Table1[[#This Row],[income]],0)</f>
        <v>0</v>
      </c>
      <c r="CN222" s="20">
        <f ca="1">IF(Table1[[#This Row],[County]]="Northamptonshire",Table1[[#This Row],[income]],0)</f>
        <v>0</v>
      </c>
      <c r="CO222" s="20">
        <f ca="1">IF(Table1[[#This Row],[County]]="Northumberland",Table1[[#This Row],[income]],0)</f>
        <v>0</v>
      </c>
      <c r="CP222" s="20">
        <f ca="1">IF(Table1[[#This Row],[County]]="Wiltshire",Table1[[#This Row],[income]],0)</f>
        <v>0</v>
      </c>
      <c r="CQ222" s="20">
        <f ca="1">IF(Table1[[#This Row],[County]]="West Midlands",Table1[[#This Row],[income]],0)</f>
        <v>0</v>
      </c>
      <c r="CR222" s="20">
        <f ca="1">IF(Table1[[#This Row],[County]]="Warwickshire",Table1[[#This Row],[income]],0)</f>
        <v>0</v>
      </c>
      <c r="CS222" s="20">
        <f ca="1">IF(Table1[[#This Row],[County]]="Tyne and Wear",Table1[[#This Row],[income]],0)</f>
        <v>0</v>
      </c>
      <c r="CT222" s="20">
        <f ca="1">IF(Table1[[#This Row],[County]]="Worcestershire",Table1[[#This Row],[income]],0)</f>
        <v>0</v>
      </c>
      <c r="CU222" s="20">
        <f ca="1">IF(Table1[[#This Row],[County]]="Rutland",Table1[[#This Row],[income]],0)</f>
        <v>0</v>
      </c>
      <c r="CV222" s="20">
        <f ca="1">IF(Table1[[#This Row],[County]]="Shropshire",Table1[[#This Row],[income]],0)</f>
        <v>0</v>
      </c>
      <c r="CW222" s="20">
        <f ca="1">IF(Table1[[#This Row],[County]]="Dorset",Table1[[#This Row],[income]],0)</f>
        <v>0</v>
      </c>
      <c r="CX222" s="20">
        <f ca="1">IF(Table1[[#This Row],[County]]="Buckinghamshire",Table1[[#This Row],[income]],0)</f>
        <v>0</v>
      </c>
      <c r="CY222" s="20">
        <f ca="1">IF(Table1[[#This Row],[County]]="Suffolk",Table1[[#This Row],[income]],0)</f>
        <v>0</v>
      </c>
      <c r="CZ222" s="20">
        <f ca="1">IF(Table1[[#This Row],[County]]="North Yorkshire",Table1[[#This Row],[income]],0)</f>
        <v>0</v>
      </c>
      <c r="DA222" s="20">
        <f ca="1">IF(Table1[[#This Row],[County]]="Kent",Table1[[#This Row],[income]],0)</f>
        <v>0</v>
      </c>
      <c r="DB222" s="5">
        <f ca="1">IF(Table1[[#This Row],[County]]="Derbyshire",Table1[[#This Row],[income]],0)</f>
        <v>0</v>
      </c>
      <c r="DD222" s="6">
        <f ca="1">IF(Table1[[#This Row],[Column1]]="Health",Table1[[#This Row],[income]],0)</f>
        <v>0</v>
      </c>
      <c r="DE222" s="20">
        <f ca="1">IF(Table1[[#This Row],[Column1]]="Agriculture",Table1[[#This Row],[income]],0)</f>
        <v>78166</v>
      </c>
      <c r="DF222" s="20">
        <f ca="1">IF(Table1[[#This Row],[Column1]]="Technology",Table1[[#This Row],[income]],0)</f>
        <v>0</v>
      </c>
      <c r="DG222" s="20">
        <f ca="1">IF(Table1[[#This Row],[Column1]]="Social Service",Table1[[#This Row],[income]],0)</f>
        <v>0</v>
      </c>
      <c r="DH222" s="20">
        <f ca="1">IF(Table1[[#This Row],[Column1]]="Education",Table1[[#This Row],[income]],0)</f>
        <v>0</v>
      </c>
      <c r="DI222" s="5">
        <f ca="1">IF(Table1[[#This Row],[Column1]]="Construction",Table1[[#This Row],[income]],0)</f>
        <v>0</v>
      </c>
      <c r="DK222" s="6">
        <f ca="1">IF(Table1[[#This Row],[Value of Debts]]&gt;Table1[[#This Row],[income]],1,0)</f>
        <v>0</v>
      </c>
      <c r="DL222" s="20"/>
      <c r="DM222" s="20"/>
      <c r="DN222" s="5"/>
      <c r="DP222" s="6">
        <f ca="1">IF(Table1[[#This Row],[Net Worth (£)]]&gt;$DS$5,C222,0)</f>
        <v>49</v>
      </c>
      <c r="DQ222" s="20"/>
      <c r="DR222" s="20"/>
      <c r="DS222" s="5"/>
    </row>
    <row r="223" spans="1:123" x14ac:dyDescent="0.2">
      <c r="A223">
        <f t="shared" ca="1" si="10"/>
        <v>1</v>
      </c>
      <c r="B223" s="1" t="str">
        <f ca="1">IF(A223=1, "men", "women")</f>
        <v>men</v>
      </c>
      <c r="C223" s="1">
        <f ca="1">RANDBETWEEN(25,50)</f>
        <v>28</v>
      </c>
      <c r="D223">
        <f ca="1">RANDBETWEEN(1,6)</f>
        <v>5</v>
      </c>
      <c r="E223" t="str">
        <f ca="1">VLOOKUP(D223,$W$5:$X$10,2)</f>
        <v>Social Service</v>
      </c>
      <c r="F223">
        <f ca="1">RANDBETWEEN(1,5)</f>
        <v>4</v>
      </c>
      <c r="G223" t="str">
        <f ca="1">VLOOKUP(F223,$Y$5:$Z$9,2)</f>
        <v xml:space="preserve">Technical </v>
      </c>
      <c r="H223">
        <f ca="1">RANDBETWEEN(0,4)</f>
        <v>0</v>
      </c>
      <c r="I223">
        <f ca="1">RANDBETWEEN(1,3)</f>
        <v>3</v>
      </c>
      <c r="J223">
        <f ca="1">RANDBETWEEN(30000,100000)</f>
        <v>94357</v>
      </c>
      <c r="K223">
        <f ca="1">RANDBETWEEN(1,48)</f>
        <v>13</v>
      </c>
      <c r="L223" t="str">
        <f ca="1">VLOOKUP(K223,$AA$5:$AB$52,2)</f>
        <v>County Durham</v>
      </c>
      <c r="M223">
        <f ca="1">J223*(RANDBETWEEN(2,5))</f>
        <v>188714</v>
      </c>
      <c r="N223">
        <f ca="1">RAND()*M223</f>
        <v>105193.62123410284</v>
      </c>
      <c r="O223">
        <f ca="1">I223*RAND()*J223</f>
        <v>247612.38205466728</v>
      </c>
      <c r="P223">
        <f ca="1">RANDBETWEEN(0,O223)</f>
        <v>206745</v>
      </c>
      <c r="Q223">
        <f ca="1">RAND()*J223*2</f>
        <v>39682.645259188757</v>
      </c>
      <c r="R223">
        <f ca="1">RAND()*J223*1.5</f>
        <v>107416.19657516325</v>
      </c>
      <c r="S223">
        <f ca="1">J223+R223+O223</f>
        <v>449385.5786298305</v>
      </c>
      <c r="T223">
        <f ca="1">N223+P223+Q223</f>
        <v>351621.26649329165</v>
      </c>
      <c r="U223">
        <f ca="1">S223-T223</f>
        <v>97764.312136538851</v>
      </c>
      <c r="AC223" s="6">
        <f ca="1">IF(Table1[[#This Row],[gender]]="men",1,0)</f>
        <v>1</v>
      </c>
      <c r="AD223">
        <f ca="1">IF(Table1[[#This Row],[gender]]="women",1,0)</f>
        <v>0</v>
      </c>
      <c r="AH223" s="5"/>
      <c r="AJ223" s="6">
        <f ca="1">IF(Table1[[#This Row],[Column1]]="Health",1,0)</f>
        <v>0</v>
      </c>
      <c r="AK223">
        <f ca="1">IF(Table1[[#This Row],[Column1]]="Construction",1,0)</f>
        <v>0</v>
      </c>
      <c r="AL223">
        <f ca="1">IF(Table1[[#This Row],[Column1]]="Technology",1,0)</f>
        <v>0</v>
      </c>
      <c r="AM223">
        <f ca="1">IF(Table1[[#This Row],[Column1]]="Education",1,0)</f>
        <v>0</v>
      </c>
      <c r="AN223">
        <f ca="1">IF(Table1[[#This Row],[Column1]]="Agriculture",1,0)</f>
        <v>0</v>
      </c>
      <c r="AO223">
        <f ca="1">IF(Table1[[#This Row],[Column1]]="Social Service", 1, 0)</f>
        <v>1</v>
      </c>
      <c r="AT223" s="5"/>
      <c r="AV223" s="17">
        <f t="shared" ca="1" si="9"/>
        <v>13218.669326331341</v>
      </c>
      <c r="AW223" s="5"/>
      <c r="AX223" s="6">
        <f ca="1">IF(Table1[[#This Row],[Value of Debts]]&gt;$AY$4,1,0)</f>
        <v>1</v>
      </c>
      <c r="AY223" s="20"/>
      <c r="AZ223" s="20"/>
      <c r="BA223" s="5"/>
      <c r="BB223" s="25">
        <f ca="1">Table1[[#This Row],[Mortage Left]]/Table1[[#This Row],[Value of House]]</f>
        <v>0.55742351512925825</v>
      </c>
      <c r="BC223" s="20">
        <f t="shared" ca="1" si="11"/>
        <v>0</v>
      </c>
      <c r="BD223" s="20"/>
      <c r="BE223" s="20"/>
      <c r="BF223" s="20"/>
      <c r="BG223" s="6">
        <f ca="1">IF(Table1[[#This Row],[County]]="Cumbria",Table1[[#This Row],[income]],0)</f>
        <v>0</v>
      </c>
      <c r="BH223" s="20">
        <f ca="1">IF(Table1[[#This Row],[County]]="Cheshire",Table1[[#This Row],[income]],0)</f>
        <v>0</v>
      </c>
      <c r="BI223" s="20">
        <f ca="1">IF(Table1[[#This Row],[County]]="Bristol",Table1[[#This Row],[income]],0)</f>
        <v>0</v>
      </c>
      <c r="BJ223" s="20">
        <f ca="1">IF(Table1[[#This Row],[County]]="Surrey",Table1[[#This Row],[income]],0)</f>
        <v>0</v>
      </c>
      <c r="BK223" s="20">
        <f ca="1">IF(Table1[[#This Row],[County]]="Norfolk",Table1[[#This Row],[income]],0)</f>
        <v>0</v>
      </c>
      <c r="BL223" s="20">
        <f ca="1">IF(Table1[[#This Row],[County]]="Lincolnshire",Table1[[#This Row],[income]],0)</f>
        <v>0</v>
      </c>
      <c r="BM223" s="20">
        <f ca="1">IF(Table1[[#This Row],[County]]="Somerset",Table1[[#This Row],[income]],0)</f>
        <v>0</v>
      </c>
      <c r="BN223" s="20">
        <f ca="1">IF(Table1[[#This Row],[County]]="Cambridgeshire",Table1[[#This Row],[income]],0)</f>
        <v>0</v>
      </c>
      <c r="BO223" s="20">
        <f ca="1">IF(Table1[[#This Row],[County]]="South Yorkshire",Table1[[#This Row],[income]],0)</f>
        <v>0</v>
      </c>
      <c r="BP223" s="20">
        <f ca="1">IF(Table1[[#This Row],[County]]="Greater London",Table1[[#This Row],[income]],0)</f>
        <v>0</v>
      </c>
      <c r="BQ223" s="20">
        <f ca="1">IF(Table1[[#This Row],[County]]="Hampshire",Table1[[#This Row],[income]],0)</f>
        <v>0</v>
      </c>
      <c r="BR223" s="20">
        <f ca="1">IF(Table1[[#This Row],[County]]="Gloucestershire",Table1[[#This Row],[income]],0)</f>
        <v>0</v>
      </c>
      <c r="BS223" s="20">
        <f ca="1">IF(Table1[[#This Row],[County]]="West Sussex",Table1[[#This Row],[income]],0)</f>
        <v>0</v>
      </c>
      <c r="BT223" s="20">
        <f ca="1">IF(Table1[[#This Row],[County]]="Devon",Table1[[#This Row],[income]],0)</f>
        <v>0</v>
      </c>
      <c r="BU223" s="20">
        <f ca="1">IF(Table1[[#This Row],[County]]="Berkshire",Table1[[#This Row],[income]],0)</f>
        <v>0</v>
      </c>
      <c r="BV223" s="20">
        <f ca="1">IF(Table1[[#This Row],[County]]="Staffordshire",Table1[[#This Row],[income]],0)</f>
        <v>0</v>
      </c>
      <c r="BW223" s="20">
        <f ca="1">IF(Table1[[#This Row],[County]]="Leicestershire",Table1[[#This Row],[income]],0)</f>
        <v>0</v>
      </c>
      <c r="BX223" s="20">
        <f ca="1">IF(Table1[[#This Row],[County]]="Cornwall",Table1[[#This Row],[income]],0)</f>
        <v>0</v>
      </c>
      <c r="BY223" s="20">
        <f ca="1">IF(Table1[[#This Row],[County]]="Isle of Wight",Table1[[#This Row],[income]],0)</f>
        <v>0</v>
      </c>
      <c r="BZ223" s="20">
        <f ca="1">IF(Table1[[#This Row],[County]]="Surrey",Table1[[#This Row],[income]],0)</f>
        <v>0</v>
      </c>
      <c r="CA223" s="20">
        <f ca="1">IF(Table1[[#This Row],[County]]="Derbyshire",Table1[[#This Row],[income]],0)</f>
        <v>0</v>
      </c>
      <c r="CB223" s="20">
        <f ca="1">IF(Table1[[#This Row],[County]]="City of London",Table1[[#This Row],[income]],0)</f>
        <v>0</v>
      </c>
      <c r="CC223" s="20">
        <f ca="1">IF(Table1[[#This Row],[County]]="Bedfordshire",Table1[[#This Row],[income]],0)</f>
        <v>0</v>
      </c>
      <c r="CD223" s="20">
        <f ca="1">IF(Table1[[#This Row],[County]]="County Durham",Table1[[#This Row],[income]],0)</f>
        <v>94357</v>
      </c>
      <c r="CE223" s="20">
        <f ca="1">IF(Table1[[#This Row],[County]]="East Riding of Yorkshire",Table1[[#This Row],[income]],0)</f>
        <v>0</v>
      </c>
      <c r="CF223" s="20">
        <f ca="1">IF(Table1[[#This Row],[County]]="West Yorkshire",Table1[[#This Row],[income]],0)</f>
        <v>0</v>
      </c>
      <c r="CG223" s="20">
        <f ca="1">IF(Table1[[#This Row],[County]]="Essex",Table1[[#This Row],[income]],0)</f>
        <v>0</v>
      </c>
      <c r="CH223" s="20">
        <f ca="1">IF(Table1[[#This Row],[County]]="East Sussex",Table1[[#This Row],[income]],0)</f>
        <v>0</v>
      </c>
      <c r="CI223" s="20">
        <f ca="1">IF(Table1[[#This Row],[County]]="Greater Manchester",Table1[[#This Row],[income]],0)</f>
        <v>0</v>
      </c>
      <c r="CJ223" s="20">
        <f ca="1">IF(Table1[[#This Row],[County]]="Hertfordshire",Table1[[#This Row],[income]],0)</f>
        <v>0</v>
      </c>
      <c r="CK223" s="20">
        <f ca="1">IF(Table1[[#This Row],[County]]="Herefordshire",Table1[[#This Row],[income]],0)</f>
        <v>0</v>
      </c>
      <c r="CL223" s="20">
        <f ca="1">IF(Table1[[#This Row],[County]]="Lancashire",Table1[[#This Row],[income]],0)</f>
        <v>0</v>
      </c>
      <c r="CM223" s="20">
        <f ca="1">IF(Table1[[#This Row],[County]]="Merseyside",Table1[[#This Row],[income]],0)</f>
        <v>0</v>
      </c>
      <c r="CN223" s="20">
        <f ca="1">IF(Table1[[#This Row],[County]]="Northamptonshire",Table1[[#This Row],[income]],0)</f>
        <v>0</v>
      </c>
      <c r="CO223" s="20">
        <f ca="1">IF(Table1[[#This Row],[County]]="Northumberland",Table1[[#This Row],[income]],0)</f>
        <v>0</v>
      </c>
      <c r="CP223" s="20">
        <f ca="1">IF(Table1[[#This Row],[County]]="Wiltshire",Table1[[#This Row],[income]],0)</f>
        <v>0</v>
      </c>
      <c r="CQ223" s="20">
        <f ca="1">IF(Table1[[#This Row],[County]]="West Midlands",Table1[[#This Row],[income]],0)</f>
        <v>0</v>
      </c>
      <c r="CR223" s="20">
        <f ca="1">IF(Table1[[#This Row],[County]]="Warwickshire",Table1[[#This Row],[income]],0)</f>
        <v>0</v>
      </c>
      <c r="CS223" s="20">
        <f ca="1">IF(Table1[[#This Row],[County]]="Tyne and Wear",Table1[[#This Row],[income]],0)</f>
        <v>0</v>
      </c>
      <c r="CT223" s="20">
        <f ca="1">IF(Table1[[#This Row],[County]]="Worcestershire",Table1[[#This Row],[income]],0)</f>
        <v>0</v>
      </c>
      <c r="CU223" s="20">
        <f ca="1">IF(Table1[[#This Row],[County]]="Rutland",Table1[[#This Row],[income]],0)</f>
        <v>0</v>
      </c>
      <c r="CV223" s="20">
        <f ca="1">IF(Table1[[#This Row],[County]]="Shropshire",Table1[[#This Row],[income]],0)</f>
        <v>0</v>
      </c>
      <c r="CW223" s="20">
        <f ca="1">IF(Table1[[#This Row],[County]]="Dorset",Table1[[#This Row],[income]],0)</f>
        <v>0</v>
      </c>
      <c r="CX223" s="20">
        <f ca="1">IF(Table1[[#This Row],[County]]="Buckinghamshire",Table1[[#This Row],[income]],0)</f>
        <v>0</v>
      </c>
      <c r="CY223" s="20">
        <f ca="1">IF(Table1[[#This Row],[County]]="Suffolk",Table1[[#This Row],[income]],0)</f>
        <v>0</v>
      </c>
      <c r="CZ223" s="20">
        <f ca="1">IF(Table1[[#This Row],[County]]="North Yorkshire",Table1[[#This Row],[income]],0)</f>
        <v>0</v>
      </c>
      <c r="DA223" s="20">
        <f ca="1">IF(Table1[[#This Row],[County]]="Kent",Table1[[#This Row],[income]],0)</f>
        <v>0</v>
      </c>
      <c r="DB223" s="5">
        <f ca="1">IF(Table1[[#This Row],[County]]="Derbyshire",Table1[[#This Row],[income]],0)</f>
        <v>0</v>
      </c>
      <c r="DD223" s="6">
        <f ca="1">IF(Table1[[#This Row],[Column1]]="Health",Table1[[#This Row],[income]],0)</f>
        <v>0</v>
      </c>
      <c r="DE223" s="20">
        <f ca="1">IF(Table1[[#This Row],[Column1]]="Agriculture",Table1[[#This Row],[income]],0)</f>
        <v>0</v>
      </c>
      <c r="DF223" s="20">
        <f ca="1">IF(Table1[[#This Row],[Column1]]="Technology",Table1[[#This Row],[income]],0)</f>
        <v>0</v>
      </c>
      <c r="DG223" s="20">
        <f ca="1">IF(Table1[[#This Row],[Column1]]="Social Service",Table1[[#This Row],[income]],0)</f>
        <v>94357</v>
      </c>
      <c r="DH223" s="20">
        <f ca="1">IF(Table1[[#This Row],[Column1]]="Education",Table1[[#This Row],[income]],0)</f>
        <v>0</v>
      </c>
      <c r="DI223" s="5">
        <f ca="1">IF(Table1[[#This Row],[Column1]]="Construction",Table1[[#This Row],[income]],0)</f>
        <v>0</v>
      </c>
      <c r="DK223" s="6">
        <f ca="1">IF(Table1[[#This Row],[Value of Debts]]&gt;Table1[[#This Row],[income]],1,0)</f>
        <v>1</v>
      </c>
      <c r="DL223" s="20"/>
      <c r="DM223" s="20"/>
      <c r="DN223" s="5"/>
      <c r="DP223" s="6">
        <f ca="1">IF(Table1[[#This Row],[Net Worth (£)]]&gt;$DS$5,C223,0)</f>
        <v>28</v>
      </c>
      <c r="DQ223" s="20"/>
      <c r="DR223" s="20"/>
      <c r="DS223" s="5"/>
    </row>
    <row r="224" spans="1:123" x14ac:dyDescent="0.2">
      <c r="A224">
        <f t="shared" ca="1" si="10"/>
        <v>1</v>
      </c>
      <c r="B224" s="1" t="str">
        <f ca="1">IF(A224=1, "men", "women")</f>
        <v>men</v>
      </c>
      <c r="C224" s="1">
        <f ca="1">RANDBETWEEN(25,50)</f>
        <v>25</v>
      </c>
      <c r="D224">
        <f ca="1">RANDBETWEEN(1,6)</f>
        <v>3</v>
      </c>
      <c r="E224" t="str">
        <f ca="1">VLOOKUP(D224,$W$5:$X$10,2)</f>
        <v>Education</v>
      </c>
      <c r="F224">
        <f ca="1">RANDBETWEEN(1,5)</f>
        <v>4</v>
      </c>
      <c r="G224" t="str">
        <f ca="1">VLOOKUP(F224,$Y$5:$Z$9,2)</f>
        <v xml:space="preserve">Technical </v>
      </c>
      <c r="H224">
        <f ca="1">RANDBETWEEN(0,4)</f>
        <v>3</v>
      </c>
      <c r="I224">
        <f ca="1">RANDBETWEEN(1,3)</f>
        <v>2</v>
      </c>
      <c r="J224">
        <f ca="1">RANDBETWEEN(30000,100000)</f>
        <v>32911</v>
      </c>
      <c r="K224">
        <f ca="1">RANDBETWEEN(1,48)</f>
        <v>41</v>
      </c>
      <c r="L224" t="str">
        <f ca="1">VLOOKUP(K224,$AA$5:$AB$52,2)</f>
        <v>Surrey</v>
      </c>
      <c r="M224">
        <f ca="1">J224*(RANDBETWEEN(2,5))</f>
        <v>65822</v>
      </c>
      <c r="N224">
        <f ca="1">RAND()*M224</f>
        <v>9384.1605506062479</v>
      </c>
      <c r="O224">
        <f ca="1">I224*RAND()*J224</f>
        <v>26437.338652662682</v>
      </c>
      <c r="P224">
        <f ca="1">RANDBETWEEN(0,O224)</f>
        <v>17219</v>
      </c>
      <c r="Q224">
        <f ca="1">RAND()*J224*2</f>
        <v>535.10437839264785</v>
      </c>
      <c r="R224">
        <f ca="1">RAND()*J224*1.5</f>
        <v>27402.107675771229</v>
      </c>
      <c r="S224">
        <f ca="1">J224+R224+O224</f>
        <v>86750.446328433914</v>
      </c>
      <c r="T224">
        <f ca="1">N224+P224+Q224</f>
        <v>27138.264928998895</v>
      </c>
      <c r="U224">
        <f ca="1">S224-T224</f>
        <v>59612.181399435023</v>
      </c>
      <c r="AC224" s="6">
        <f ca="1">IF(Table1[[#This Row],[gender]]="men",1,0)</f>
        <v>1</v>
      </c>
      <c r="AD224">
        <f ca="1">IF(Table1[[#This Row],[gender]]="women",1,0)</f>
        <v>0</v>
      </c>
      <c r="AH224" s="5"/>
      <c r="AJ224" s="6">
        <f ca="1">IF(Table1[[#This Row],[Column1]]="Health",1,0)</f>
        <v>0</v>
      </c>
      <c r="AK224">
        <f ca="1">IF(Table1[[#This Row],[Column1]]="Construction",1,0)</f>
        <v>0</v>
      </c>
      <c r="AL224">
        <f ca="1">IF(Table1[[#This Row],[Column1]]="Technology",1,0)</f>
        <v>0</v>
      </c>
      <c r="AM224">
        <f ca="1">IF(Table1[[#This Row],[Column1]]="Education",1,0)</f>
        <v>1</v>
      </c>
      <c r="AN224">
        <f ca="1">IF(Table1[[#This Row],[Column1]]="Agriculture",1,0)</f>
        <v>0</v>
      </c>
      <c r="AO224">
        <f ca="1">IF(Table1[[#This Row],[Column1]]="Social Service", 1, 0)</f>
        <v>0</v>
      </c>
      <c r="AT224" s="5"/>
      <c r="AV224" s="17">
        <f t="shared" ca="1" si="9"/>
        <v>17898.433039517353</v>
      </c>
      <c r="AW224" s="5"/>
      <c r="AX224" s="6">
        <f ca="1">IF(Table1[[#This Row],[Value of Debts]]&gt;$AY$4,1,0)</f>
        <v>0</v>
      </c>
      <c r="AY224" s="20"/>
      <c r="AZ224" s="20"/>
      <c r="BA224" s="5"/>
      <c r="BB224" s="25">
        <f ca="1">Table1[[#This Row],[Mortage Left]]/Table1[[#This Row],[Value of House]]</f>
        <v>0.14256875437705097</v>
      </c>
      <c r="BC224" s="20">
        <f t="shared" ca="1" si="11"/>
        <v>1</v>
      </c>
      <c r="BD224" s="20"/>
      <c r="BE224" s="20"/>
      <c r="BF224" s="20"/>
      <c r="BG224" s="6">
        <f ca="1">IF(Table1[[#This Row],[County]]="Cumbria",Table1[[#This Row],[income]],0)</f>
        <v>0</v>
      </c>
      <c r="BH224" s="20">
        <f ca="1">IF(Table1[[#This Row],[County]]="Cheshire",Table1[[#This Row],[income]],0)</f>
        <v>0</v>
      </c>
      <c r="BI224" s="20">
        <f ca="1">IF(Table1[[#This Row],[County]]="Bristol",Table1[[#This Row],[income]],0)</f>
        <v>0</v>
      </c>
      <c r="BJ224" s="20">
        <f ca="1">IF(Table1[[#This Row],[County]]="Surrey",Table1[[#This Row],[income]],0)</f>
        <v>32911</v>
      </c>
      <c r="BK224" s="20">
        <f ca="1">IF(Table1[[#This Row],[County]]="Norfolk",Table1[[#This Row],[income]],0)</f>
        <v>0</v>
      </c>
      <c r="BL224" s="20">
        <f ca="1">IF(Table1[[#This Row],[County]]="Lincolnshire",Table1[[#This Row],[income]],0)</f>
        <v>0</v>
      </c>
      <c r="BM224" s="20">
        <f ca="1">IF(Table1[[#This Row],[County]]="Somerset",Table1[[#This Row],[income]],0)</f>
        <v>0</v>
      </c>
      <c r="BN224" s="20">
        <f ca="1">IF(Table1[[#This Row],[County]]="Cambridgeshire",Table1[[#This Row],[income]],0)</f>
        <v>0</v>
      </c>
      <c r="BO224" s="20">
        <f ca="1">IF(Table1[[#This Row],[County]]="South Yorkshire",Table1[[#This Row],[income]],0)</f>
        <v>0</v>
      </c>
      <c r="BP224" s="20">
        <f ca="1">IF(Table1[[#This Row],[County]]="Greater London",Table1[[#This Row],[income]],0)</f>
        <v>0</v>
      </c>
      <c r="BQ224" s="20">
        <f ca="1">IF(Table1[[#This Row],[County]]="Hampshire",Table1[[#This Row],[income]],0)</f>
        <v>0</v>
      </c>
      <c r="BR224" s="20">
        <f ca="1">IF(Table1[[#This Row],[County]]="Gloucestershire",Table1[[#This Row],[income]],0)</f>
        <v>0</v>
      </c>
      <c r="BS224" s="20">
        <f ca="1">IF(Table1[[#This Row],[County]]="West Sussex",Table1[[#This Row],[income]],0)</f>
        <v>0</v>
      </c>
      <c r="BT224" s="20">
        <f ca="1">IF(Table1[[#This Row],[County]]="Devon",Table1[[#This Row],[income]],0)</f>
        <v>0</v>
      </c>
      <c r="BU224" s="20">
        <f ca="1">IF(Table1[[#This Row],[County]]="Berkshire",Table1[[#This Row],[income]],0)</f>
        <v>0</v>
      </c>
      <c r="BV224" s="20">
        <f ca="1">IF(Table1[[#This Row],[County]]="Staffordshire",Table1[[#This Row],[income]],0)</f>
        <v>0</v>
      </c>
      <c r="BW224" s="20">
        <f ca="1">IF(Table1[[#This Row],[County]]="Leicestershire",Table1[[#This Row],[income]],0)</f>
        <v>0</v>
      </c>
      <c r="BX224" s="20">
        <f ca="1">IF(Table1[[#This Row],[County]]="Cornwall",Table1[[#This Row],[income]],0)</f>
        <v>0</v>
      </c>
      <c r="BY224" s="20">
        <f ca="1">IF(Table1[[#This Row],[County]]="Isle of Wight",Table1[[#This Row],[income]],0)</f>
        <v>0</v>
      </c>
      <c r="BZ224" s="20">
        <f ca="1">IF(Table1[[#This Row],[County]]="Surrey",Table1[[#This Row],[income]],0)</f>
        <v>32911</v>
      </c>
      <c r="CA224" s="20">
        <f ca="1">IF(Table1[[#This Row],[County]]="Derbyshire",Table1[[#This Row],[income]],0)</f>
        <v>0</v>
      </c>
      <c r="CB224" s="20">
        <f ca="1">IF(Table1[[#This Row],[County]]="City of London",Table1[[#This Row],[income]],0)</f>
        <v>0</v>
      </c>
      <c r="CC224" s="20">
        <f ca="1">IF(Table1[[#This Row],[County]]="Bedfordshire",Table1[[#This Row],[income]],0)</f>
        <v>0</v>
      </c>
      <c r="CD224" s="20">
        <f ca="1">IF(Table1[[#This Row],[County]]="County Durham",Table1[[#This Row],[income]],0)</f>
        <v>0</v>
      </c>
      <c r="CE224" s="20">
        <f ca="1">IF(Table1[[#This Row],[County]]="East Riding of Yorkshire",Table1[[#This Row],[income]],0)</f>
        <v>0</v>
      </c>
      <c r="CF224" s="20">
        <f ca="1">IF(Table1[[#This Row],[County]]="West Yorkshire",Table1[[#This Row],[income]],0)</f>
        <v>0</v>
      </c>
      <c r="CG224" s="20">
        <f ca="1">IF(Table1[[#This Row],[County]]="Essex",Table1[[#This Row],[income]],0)</f>
        <v>0</v>
      </c>
      <c r="CH224" s="20">
        <f ca="1">IF(Table1[[#This Row],[County]]="East Sussex",Table1[[#This Row],[income]],0)</f>
        <v>0</v>
      </c>
      <c r="CI224" s="20">
        <f ca="1">IF(Table1[[#This Row],[County]]="Greater Manchester",Table1[[#This Row],[income]],0)</f>
        <v>0</v>
      </c>
      <c r="CJ224" s="20">
        <f ca="1">IF(Table1[[#This Row],[County]]="Hertfordshire",Table1[[#This Row],[income]],0)</f>
        <v>0</v>
      </c>
      <c r="CK224" s="20">
        <f ca="1">IF(Table1[[#This Row],[County]]="Herefordshire",Table1[[#This Row],[income]],0)</f>
        <v>0</v>
      </c>
      <c r="CL224" s="20">
        <f ca="1">IF(Table1[[#This Row],[County]]="Lancashire",Table1[[#This Row],[income]],0)</f>
        <v>0</v>
      </c>
      <c r="CM224" s="20">
        <f ca="1">IF(Table1[[#This Row],[County]]="Merseyside",Table1[[#This Row],[income]],0)</f>
        <v>0</v>
      </c>
      <c r="CN224" s="20">
        <f ca="1">IF(Table1[[#This Row],[County]]="Northamptonshire",Table1[[#This Row],[income]],0)</f>
        <v>0</v>
      </c>
      <c r="CO224" s="20">
        <f ca="1">IF(Table1[[#This Row],[County]]="Northumberland",Table1[[#This Row],[income]],0)</f>
        <v>0</v>
      </c>
      <c r="CP224" s="20">
        <f ca="1">IF(Table1[[#This Row],[County]]="Wiltshire",Table1[[#This Row],[income]],0)</f>
        <v>0</v>
      </c>
      <c r="CQ224" s="20">
        <f ca="1">IF(Table1[[#This Row],[County]]="West Midlands",Table1[[#This Row],[income]],0)</f>
        <v>0</v>
      </c>
      <c r="CR224" s="20">
        <f ca="1">IF(Table1[[#This Row],[County]]="Warwickshire",Table1[[#This Row],[income]],0)</f>
        <v>0</v>
      </c>
      <c r="CS224" s="20">
        <f ca="1">IF(Table1[[#This Row],[County]]="Tyne and Wear",Table1[[#This Row],[income]],0)</f>
        <v>0</v>
      </c>
      <c r="CT224" s="20">
        <f ca="1">IF(Table1[[#This Row],[County]]="Worcestershire",Table1[[#This Row],[income]],0)</f>
        <v>0</v>
      </c>
      <c r="CU224" s="20">
        <f ca="1">IF(Table1[[#This Row],[County]]="Rutland",Table1[[#This Row],[income]],0)</f>
        <v>0</v>
      </c>
      <c r="CV224" s="20">
        <f ca="1">IF(Table1[[#This Row],[County]]="Shropshire",Table1[[#This Row],[income]],0)</f>
        <v>0</v>
      </c>
      <c r="CW224" s="20">
        <f ca="1">IF(Table1[[#This Row],[County]]="Dorset",Table1[[#This Row],[income]],0)</f>
        <v>0</v>
      </c>
      <c r="CX224" s="20">
        <f ca="1">IF(Table1[[#This Row],[County]]="Buckinghamshire",Table1[[#This Row],[income]],0)</f>
        <v>0</v>
      </c>
      <c r="CY224" s="20">
        <f ca="1">IF(Table1[[#This Row],[County]]="Suffolk",Table1[[#This Row],[income]],0)</f>
        <v>0</v>
      </c>
      <c r="CZ224" s="20">
        <f ca="1">IF(Table1[[#This Row],[County]]="North Yorkshire",Table1[[#This Row],[income]],0)</f>
        <v>0</v>
      </c>
      <c r="DA224" s="20">
        <f ca="1">IF(Table1[[#This Row],[County]]="Kent",Table1[[#This Row],[income]],0)</f>
        <v>0</v>
      </c>
      <c r="DB224" s="5">
        <f ca="1">IF(Table1[[#This Row],[County]]="Derbyshire",Table1[[#This Row],[income]],0)</f>
        <v>0</v>
      </c>
      <c r="DD224" s="6">
        <f ca="1">IF(Table1[[#This Row],[Column1]]="Health",Table1[[#This Row],[income]],0)</f>
        <v>0</v>
      </c>
      <c r="DE224" s="20">
        <f ca="1">IF(Table1[[#This Row],[Column1]]="Agriculture",Table1[[#This Row],[income]],0)</f>
        <v>0</v>
      </c>
      <c r="DF224" s="20">
        <f ca="1">IF(Table1[[#This Row],[Column1]]="Technology",Table1[[#This Row],[income]],0)</f>
        <v>0</v>
      </c>
      <c r="DG224" s="20">
        <f ca="1">IF(Table1[[#This Row],[Column1]]="Social Service",Table1[[#This Row],[income]],0)</f>
        <v>0</v>
      </c>
      <c r="DH224" s="20">
        <f ca="1">IF(Table1[[#This Row],[Column1]]="Education",Table1[[#This Row],[income]],0)</f>
        <v>32911</v>
      </c>
      <c r="DI224" s="5">
        <f ca="1">IF(Table1[[#This Row],[Column1]]="Construction",Table1[[#This Row],[income]],0)</f>
        <v>0</v>
      </c>
      <c r="DK224" s="6">
        <f ca="1">IF(Table1[[#This Row],[Value of Debts]]&gt;Table1[[#This Row],[income]],1,0)</f>
        <v>0</v>
      </c>
      <c r="DL224" s="20"/>
      <c r="DM224" s="20"/>
      <c r="DN224" s="5"/>
      <c r="DP224" s="6">
        <f ca="1">IF(Table1[[#This Row],[Net Worth (£)]]&gt;$DS$5,C224,0)</f>
        <v>25</v>
      </c>
      <c r="DQ224" s="20"/>
      <c r="DR224" s="20"/>
      <c r="DS224" s="5"/>
    </row>
    <row r="225" spans="1:123" x14ac:dyDescent="0.2">
      <c r="A225">
        <f t="shared" ca="1" si="10"/>
        <v>2</v>
      </c>
      <c r="B225" s="1" t="str">
        <f ca="1">IF(A225=1, "men", "women")</f>
        <v>women</v>
      </c>
      <c r="C225" s="1">
        <f ca="1">RANDBETWEEN(25,50)</f>
        <v>26</v>
      </c>
      <c r="D225">
        <f ca="1">RANDBETWEEN(1,6)</f>
        <v>1</v>
      </c>
      <c r="E225" t="str">
        <f ca="1">VLOOKUP(D225,$W$5:$X$10,2)</f>
        <v>Health</v>
      </c>
      <c r="F225">
        <f ca="1">RANDBETWEEN(1,5)</f>
        <v>5</v>
      </c>
      <c r="G225" t="str">
        <f ca="1">VLOOKUP(F225,$Y$5:$Z$9,2)</f>
        <v>Other</v>
      </c>
      <c r="H225">
        <f ca="1">RANDBETWEEN(0,4)</f>
        <v>1</v>
      </c>
      <c r="I225">
        <f ca="1">RANDBETWEEN(1,3)</f>
        <v>2</v>
      </c>
      <c r="J225">
        <f ca="1">RANDBETWEEN(30000,100000)</f>
        <v>88895</v>
      </c>
      <c r="K225">
        <f ca="1">RANDBETWEEN(1,48)</f>
        <v>24</v>
      </c>
      <c r="L225" t="str">
        <f ca="1">VLOOKUP(K225,$AA$5:$AB$52,2)</f>
        <v>Kent</v>
      </c>
      <c r="M225">
        <f ca="1">J225*(RANDBETWEEN(2,5))</f>
        <v>266685</v>
      </c>
      <c r="N225">
        <f ca="1">RAND()*M225</f>
        <v>211384.5110406462</v>
      </c>
      <c r="O225">
        <f ca="1">I225*RAND()*J225</f>
        <v>35796.866079034706</v>
      </c>
      <c r="P225">
        <f ca="1">RANDBETWEEN(0,O225)</f>
        <v>3174</v>
      </c>
      <c r="Q225">
        <f ca="1">RAND()*J225*2</f>
        <v>14438.762610438405</v>
      </c>
      <c r="R225">
        <f ca="1">RAND()*J225*1.5</f>
        <v>125126.00905605023</v>
      </c>
      <c r="S225">
        <f ca="1">J225+R225+O225</f>
        <v>249817.87513508491</v>
      </c>
      <c r="T225">
        <f ca="1">N225+P225+Q225</f>
        <v>228997.2736510846</v>
      </c>
      <c r="U225">
        <f ca="1">S225-T225</f>
        <v>20820.601484000304</v>
      </c>
      <c r="AC225" s="6">
        <f ca="1">IF(Table1[[#This Row],[gender]]="men",1,0)</f>
        <v>0</v>
      </c>
      <c r="AD225">
        <f ca="1">IF(Table1[[#This Row],[gender]]="women",1,0)</f>
        <v>1</v>
      </c>
      <c r="AH225" s="5"/>
      <c r="AJ225" s="6">
        <f ca="1">IF(Table1[[#This Row],[Column1]]="Health",1,0)</f>
        <v>1</v>
      </c>
      <c r="AK225">
        <f ca="1">IF(Table1[[#This Row],[Column1]]="Construction",1,0)</f>
        <v>0</v>
      </c>
      <c r="AL225">
        <f ca="1">IF(Table1[[#This Row],[Column1]]="Technology",1,0)</f>
        <v>0</v>
      </c>
      <c r="AM225">
        <f ca="1">IF(Table1[[#This Row],[Column1]]="Education",1,0)</f>
        <v>0</v>
      </c>
      <c r="AN225">
        <f ca="1">IF(Table1[[#This Row],[Column1]]="Agriculture",1,0)</f>
        <v>0</v>
      </c>
      <c r="AO225">
        <f ca="1">IF(Table1[[#This Row],[Column1]]="Social Service", 1, 0)</f>
        <v>0</v>
      </c>
      <c r="AT225" s="5"/>
      <c r="AV225" s="17">
        <f t="shared" ca="1" si="9"/>
        <v>25912.674563768112</v>
      </c>
      <c r="AW225" s="5"/>
      <c r="AX225" s="6">
        <f ca="1">IF(Table1[[#This Row],[Value of Debts]]&gt;$AY$4,1,0)</f>
        <v>1</v>
      </c>
      <c r="AY225" s="20"/>
      <c r="AZ225" s="20"/>
      <c r="BA225" s="5"/>
      <c r="BB225" s="25">
        <f ca="1">Table1[[#This Row],[Mortage Left]]/Table1[[#This Row],[Value of House]]</f>
        <v>0.79263742257962089</v>
      </c>
      <c r="BC225" s="20">
        <f t="shared" ca="1" si="11"/>
        <v>0</v>
      </c>
      <c r="BD225" s="20"/>
      <c r="BE225" s="20"/>
      <c r="BF225" s="20"/>
      <c r="BG225" s="6">
        <f ca="1">IF(Table1[[#This Row],[County]]="Cumbria",Table1[[#This Row],[income]],0)</f>
        <v>0</v>
      </c>
      <c r="BH225" s="20">
        <f ca="1">IF(Table1[[#This Row],[County]]="Cheshire",Table1[[#This Row],[income]],0)</f>
        <v>0</v>
      </c>
      <c r="BI225" s="20">
        <f ca="1">IF(Table1[[#This Row],[County]]="Bristol",Table1[[#This Row],[income]],0)</f>
        <v>0</v>
      </c>
      <c r="BJ225" s="20">
        <f ca="1">IF(Table1[[#This Row],[County]]="Surrey",Table1[[#This Row],[income]],0)</f>
        <v>0</v>
      </c>
      <c r="BK225" s="20">
        <f ca="1">IF(Table1[[#This Row],[County]]="Norfolk",Table1[[#This Row],[income]],0)</f>
        <v>0</v>
      </c>
      <c r="BL225" s="20">
        <f ca="1">IF(Table1[[#This Row],[County]]="Lincolnshire",Table1[[#This Row],[income]],0)</f>
        <v>0</v>
      </c>
      <c r="BM225" s="20">
        <f ca="1">IF(Table1[[#This Row],[County]]="Somerset",Table1[[#This Row],[income]],0)</f>
        <v>0</v>
      </c>
      <c r="BN225" s="20">
        <f ca="1">IF(Table1[[#This Row],[County]]="Cambridgeshire",Table1[[#This Row],[income]],0)</f>
        <v>0</v>
      </c>
      <c r="BO225" s="20">
        <f ca="1">IF(Table1[[#This Row],[County]]="South Yorkshire",Table1[[#This Row],[income]],0)</f>
        <v>0</v>
      </c>
      <c r="BP225" s="20">
        <f ca="1">IF(Table1[[#This Row],[County]]="Greater London",Table1[[#This Row],[income]],0)</f>
        <v>0</v>
      </c>
      <c r="BQ225" s="20">
        <f ca="1">IF(Table1[[#This Row],[County]]="Hampshire",Table1[[#This Row],[income]],0)</f>
        <v>0</v>
      </c>
      <c r="BR225" s="20">
        <f ca="1">IF(Table1[[#This Row],[County]]="Gloucestershire",Table1[[#This Row],[income]],0)</f>
        <v>0</v>
      </c>
      <c r="BS225" s="20">
        <f ca="1">IF(Table1[[#This Row],[County]]="West Sussex",Table1[[#This Row],[income]],0)</f>
        <v>0</v>
      </c>
      <c r="BT225" s="20">
        <f ca="1">IF(Table1[[#This Row],[County]]="Devon",Table1[[#This Row],[income]],0)</f>
        <v>0</v>
      </c>
      <c r="BU225" s="20">
        <f ca="1">IF(Table1[[#This Row],[County]]="Berkshire",Table1[[#This Row],[income]],0)</f>
        <v>0</v>
      </c>
      <c r="BV225" s="20">
        <f ca="1">IF(Table1[[#This Row],[County]]="Staffordshire",Table1[[#This Row],[income]],0)</f>
        <v>0</v>
      </c>
      <c r="BW225" s="20">
        <f ca="1">IF(Table1[[#This Row],[County]]="Leicestershire",Table1[[#This Row],[income]],0)</f>
        <v>0</v>
      </c>
      <c r="BX225" s="20">
        <f ca="1">IF(Table1[[#This Row],[County]]="Cornwall",Table1[[#This Row],[income]],0)</f>
        <v>0</v>
      </c>
      <c r="BY225" s="20">
        <f ca="1">IF(Table1[[#This Row],[County]]="Isle of Wight",Table1[[#This Row],[income]],0)</f>
        <v>0</v>
      </c>
      <c r="BZ225" s="20">
        <f ca="1">IF(Table1[[#This Row],[County]]="Surrey",Table1[[#This Row],[income]],0)</f>
        <v>0</v>
      </c>
      <c r="CA225" s="20">
        <f ca="1">IF(Table1[[#This Row],[County]]="Derbyshire",Table1[[#This Row],[income]],0)</f>
        <v>0</v>
      </c>
      <c r="CB225" s="20">
        <f ca="1">IF(Table1[[#This Row],[County]]="City of London",Table1[[#This Row],[income]],0)</f>
        <v>0</v>
      </c>
      <c r="CC225" s="20">
        <f ca="1">IF(Table1[[#This Row],[County]]="Bedfordshire",Table1[[#This Row],[income]],0)</f>
        <v>0</v>
      </c>
      <c r="CD225" s="20">
        <f ca="1">IF(Table1[[#This Row],[County]]="County Durham",Table1[[#This Row],[income]],0)</f>
        <v>0</v>
      </c>
      <c r="CE225" s="20">
        <f ca="1">IF(Table1[[#This Row],[County]]="East Riding of Yorkshire",Table1[[#This Row],[income]],0)</f>
        <v>0</v>
      </c>
      <c r="CF225" s="20">
        <f ca="1">IF(Table1[[#This Row],[County]]="West Yorkshire",Table1[[#This Row],[income]],0)</f>
        <v>0</v>
      </c>
      <c r="CG225" s="20">
        <f ca="1">IF(Table1[[#This Row],[County]]="Essex",Table1[[#This Row],[income]],0)</f>
        <v>0</v>
      </c>
      <c r="CH225" s="20">
        <f ca="1">IF(Table1[[#This Row],[County]]="East Sussex",Table1[[#This Row],[income]],0)</f>
        <v>0</v>
      </c>
      <c r="CI225" s="20">
        <f ca="1">IF(Table1[[#This Row],[County]]="Greater Manchester",Table1[[#This Row],[income]],0)</f>
        <v>0</v>
      </c>
      <c r="CJ225" s="20">
        <f ca="1">IF(Table1[[#This Row],[County]]="Hertfordshire",Table1[[#This Row],[income]],0)</f>
        <v>0</v>
      </c>
      <c r="CK225" s="20">
        <f ca="1">IF(Table1[[#This Row],[County]]="Herefordshire",Table1[[#This Row],[income]],0)</f>
        <v>0</v>
      </c>
      <c r="CL225" s="20">
        <f ca="1">IF(Table1[[#This Row],[County]]="Lancashire",Table1[[#This Row],[income]],0)</f>
        <v>0</v>
      </c>
      <c r="CM225" s="20">
        <f ca="1">IF(Table1[[#This Row],[County]]="Merseyside",Table1[[#This Row],[income]],0)</f>
        <v>0</v>
      </c>
      <c r="CN225" s="20">
        <f ca="1">IF(Table1[[#This Row],[County]]="Northamptonshire",Table1[[#This Row],[income]],0)</f>
        <v>0</v>
      </c>
      <c r="CO225" s="20">
        <f ca="1">IF(Table1[[#This Row],[County]]="Northumberland",Table1[[#This Row],[income]],0)</f>
        <v>0</v>
      </c>
      <c r="CP225" s="20">
        <f ca="1">IF(Table1[[#This Row],[County]]="Wiltshire",Table1[[#This Row],[income]],0)</f>
        <v>0</v>
      </c>
      <c r="CQ225" s="20">
        <f ca="1">IF(Table1[[#This Row],[County]]="West Midlands",Table1[[#This Row],[income]],0)</f>
        <v>0</v>
      </c>
      <c r="CR225" s="20">
        <f ca="1">IF(Table1[[#This Row],[County]]="Warwickshire",Table1[[#This Row],[income]],0)</f>
        <v>0</v>
      </c>
      <c r="CS225" s="20">
        <f ca="1">IF(Table1[[#This Row],[County]]="Tyne and Wear",Table1[[#This Row],[income]],0)</f>
        <v>0</v>
      </c>
      <c r="CT225" s="20">
        <f ca="1">IF(Table1[[#This Row],[County]]="Worcestershire",Table1[[#This Row],[income]],0)</f>
        <v>0</v>
      </c>
      <c r="CU225" s="20">
        <f ca="1">IF(Table1[[#This Row],[County]]="Rutland",Table1[[#This Row],[income]],0)</f>
        <v>0</v>
      </c>
      <c r="CV225" s="20">
        <f ca="1">IF(Table1[[#This Row],[County]]="Shropshire",Table1[[#This Row],[income]],0)</f>
        <v>0</v>
      </c>
      <c r="CW225" s="20">
        <f ca="1">IF(Table1[[#This Row],[County]]="Dorset",Table1[[#This Row],[income]],0)</f>
        <v>0</v>
      </c>
      <c r="CX225" s="20">
        <f ca="1">IF(Table1[[#This Row],[County]]="Buckinghamshire",Table1[[#This Row],[income]],0)</f>
        <v>0</v>
      </c>
      <c r="CY225" s="20">
        <f ca="1">IF(Table1[[#This Row],[County]]="Suffolk",Table1[[#This Row],[income]],0)</f>
        <v>0</v>
      </c>
      <c r="CZ225" s="20">
        <f ca="1">IF(Table1[[#This Row],[County]]="North Yorkshire",Table1[[#This Row],[income]],0)</f>
        <v>0</v>
      </c>
      <c r="DA225" s="20">
        <f ca="1">IF(Table1[[#This Row],[County]]="Kent",Table1[[#This Row],[income]],0)</f>
        <v>88895</v>
      </c>
      <c r="DB225" s="5">
        <f ca="1">IF(Table1[[#This Row],[County]]="Derbyshire",Table1[[#This Row],[income]],0)</f>
        <v>0</v>
      </c>
      <c r="DD225" s="6">
        <f ca="1">IF(Table1[[#This Row],[Column1]]="Health",Table1[[#This Row],[income]],0)</f>
        <v>88895</v>
      </c>
      <c r="DE225" s="20">
        <f ca="1">IF(Table1[[#This Row],[Column1]]="Agriculture",Table1[[#This Row],[income]],0)</f>
        <v>0</v>
      </c>
      <c r="DF225" s="20">
        <f ca="1">IF(Table1[[#This Row],[Column1]]="Technology",Table1[[#This Row],[income]],0)</f>
        <v>0</v>
      </c>
      <c r="DG225" s="20">
        <f ca="1">IF(Table1[[#This Row],[Column1]]="Social Service",Table1[[#This Row],[income]],0)</f>
        <v>0</v>
      </c>
      <c r="DH225" s="20">
        <f ca="1">IF(Table1[[#This Row],[Column1]]="Education",Table1[[#This Row],[income]],0)</f>
        <v>0</v>
      </c>
      <c r="DI225" s="5">
        <f ca="1">IF(Table1[[#This Row],[Column1]]="Construction",Table1[[#This Row],[income]],0)</f>
        <v>0</v>
      </c>
      <c r="DK225" s="6">
        <f ca="1">IF(Table1[[#This Row],[Value of Debts]]&gt;Table1[[#This Row],[income]],1,0)</f>
        <v>1</v>
      </c>
      <c r="DL225" s="20"/>
      <c r="DM225" s="20"/>
      <c r="DN225" s="5"/>
      <c r="DP225" s="6">
        <f ca="1">IF(Table1[[#This Row],[Net Worth (£)]]&gt;$DS$5,C225,0)</f>
        <v>0</v>
      </c>
      <c r="DQ225" s="20"/>
      <c r="DR225" s="20"/>
      <c r="DS225" s="5"/>
    </row>
    <row r="226" spans="1:123" x14ac:dyDescent="0.2">
      <c r="A226">
        <f t="shared" ca="1" si="10"/>
        <v>2</v>
      </c>
      <c r="B226" s="1" t="str">
        <f ca="1">IF(A226=1, "men", "women")</f>
        <v>women</v>
      </c>
      <c r="C226" s="1">
        <f ca="1">RANDBETWEEN(25,50)</f>
        <v>36</v>
      </c>
      <c r="D226">
        <f ca="1">RANDBETWEEN(1,6)</f>
        <v>1</v>
      </c>
      <c r="E226" t="str">
        <f ca="1">VLOOKUP(D226,$W$5:$X$10,2)</f>
        <v>Health</v>
      </c>
      <c r="F226">
        <f ca="1">RANDBETWEEN(1,5)</f>
        <v>4</v>
      </c>
      <c r="G226" t="str">
        <f ca="1">VLOOKUP(F226,$Y$5:$Z$9,2)</f>
        <v xml:space="preserve">Technical </v>
      </c>
      <c r="H226">
        <f ca="1">RANDBETWEEN(0,4)</f>
        <v>1</v>
      </c>
      <c r="I226">
        <f ca="1">RANDBETWEEN(1,3)</f>
        <v>1</v>
      </c>
      <c r="J226">
        <f ca="1">RANDBETWEEN(30000,100000)</f>
        <v>68862</v>
      </c>
      <c r="K226">
        <f ca="1">RANDBETWEEN(1,48)</f>
        <v>48</v>
      </c>
      <c r="L226" t="str">
        <f ca="1">VLOOKUP(K226,$AA$5:$AB$52,2)</f>
        <v>Worcestershire</v>
      </c>
      <c r="M226">
        <f ca="1">J226*(RANDBETWEEN(2,5))</f>
        <v>344310</v>
      </c>
      <c r="N226">
        <f ca="1">RAND()*M226</f>
        <v>101624.63052715517</v>
      </c>
      <c r="O226">
        <f ca="1">I226*RAND()*J226</f>
        <v>25912.674563768112</v>
      </c>
      <c r="P226">
        <f ca="1">RANDBETWEEN(0,O226)</f>
        <v>5218</v>
      </c>
      <c r="Q226">
        <f ca="1">RAND()*J226*2</f>
        <v>110191.09594311503</v>
      </c>
      <c r="R226">
        <f ca="1">RAND()*J226*1.5</f>
        <v>93348.908903951742</v>
      </c>
      <c r="S226">
        <f ca="1">J226+R226+O226</f>
        <v>188123.58346771987</v>
      </c>
      <c r="T226">
        <f ca="1">N226+P226+Q226</f>
        <v>217033.72647027019</v>
      </c>
      <c r="U226">
        <f ca="1">S226-T226</f>
        <v>-28910.143002550321</v>
      </c>
      <c r="AC226" s="6">
        <f ca="1">IF(Table1[[#This Row],[gender]]="men",1,0)</f>
        <v>0</v>
      </c>
      <c r="AD226">
        <f ca="1">IF(Table1[[#This Row],[gender]]="women",1,0)</f>
        <v>1</v>
      </c>
      <c r="AH226" s="5"/>
      <c r="AJ226" s="6">
        <f ca="1">IF(Table1[[#This Row],[Column1]]="Health",1,0)</f>
        <v>1</v>
      </c>
      <c r="AK226">
        <f ca="1">IF(Table1[[#This Row],[Column1]]="Construction",1,0)</f>
        <v>0</v>
      </c>
      <c r="AL226">
        <f ca="1">IF(Table1[[#This Row],[Column1]]="Technology",1,0)</f>
        <v>0</v>
      </c>
      <c r="AM226">
        <f ca="1">IF(Table1[[#This Row],[Column1]]="Education",1,0)</f>
        <v>0</v>
      </c>
      <c r="AN226">
        <f ca="1">IF(Table1[[#This Row],[Column1]]="Agriculture",1,0)</f>
        <v>0</v>
      </c>
      <c r="AO226">
        <f ca="1">IF(Table1[[#This Row],[Column1]]="Social Service", 1, 0)</f>
        <v>0</v>
      </c>
      <c r="AT226" s="5"/>
      <c r="AV226" s="17">
        <f t="shared" ca="1" si="9"/>
        <v>26964.742877025205</v>
      </c>
      <c r="AW226" s="5"/>
      <c r="AX226" s="6">
        <f ca="1">IF(Table1[[#This Row],[Value of Debts]]&gt;$AY$4,1,0)</f>
        <v>1</v>
      </c>
      <c r="AY226" s="20"/>
      <c r="AZ226" s="20"/>
      <c r="BA226" s="5"/>
      <c r="BB226" s="25">
        <f ca="1">Table1[[#This Row],[Mortage Left]]/Table1[[#This Row],[Value of House]]</f>
        <v>0.29515445536625473</v>
      </c>
      <c r="BC226" s="20">
        <f t="shared" ca="1" si="11"/>
        <v>1</v>
      </c>
      <c r="BD226" s="20"/>
      <c r="BE226" s="20"/>
      <c r="BF226" s="20"/>
      <c r="BG226" s="6">
        <f ca="1">IF(Table1[[#This Row],[County]]="Cumbria",Table1[[#This Row],[income]],0)</f>
        <v>0</v>
      </c>
      <c r="BH226" s="20">
        <f ca="1">IF(Table1[[#This Row],[County]]="Cheshire",Table1[[#This Row],[income]],0)</f>
        <v>0</v>
      </c>
      <c r="BI226" s="20">
        <f ca="1">IF(Table1[[#This Row],[County]]="Bristol",Table1[[#This Row],[income]],0)</f>
        <v>0</v>
      </c>
      <c r="BJ226" s="20">
        <f ca="1">IF(Table1[[#This Row],[County]]="Surrey",Table1[[#This Row],[income]],0)</f>
        <v>0</v>
      </c>
      <c r="BK226" s="20">
        <f ca="1">IF(Table1[[#This Row],[County]]="Norfolk",Table1[[#This Row],[income]],0)</f>
        <v>0</v>
      </c>
      <c r="BL226" s="20">
        <f ca="1">IF(Table1[[#This Row],[County]]="Lincolnshire",Table1[[#This Row],[income]],0)</f>
        <v>0</v>
      </c>
      <c r="BM226" s="20">
        <f ca="1">IF(Table1[[#This Row],[County]]="Somerset",Table1[[#This Row],[income]],0)</f>
        <v>0</v>
      </c>
      <c r="BN226" s="20">
        <f ca="1">IF(Table1[[#This Row],[County]]="Cambridgeshire",Table1[[#This Row],[income]],0)</f>
        <v>0</v>
      </c>
      <c r="BO226" s="20">
        <f ca="1">IF(Table1[[#This Row],[County]]="South Yorkshire",Table1[[#This Row],[income]],0)</f>
        <v>0</v>
      </c>
      <c r="BP226" s="20">
        <f ca="1">IF(Table1[[#This Row],[County]]="Greater London",Table1[[#This Row],[income]],0)</f>
        <v>0</v>
      </c>
      <c r="BQ226" s="20">
        <f ca="1">IF(Table1[[#This Row],[County]]="Hampshire",Table1[[#This Row],[income]],0)</f>
        <v>0</v>
      </c>
      <c r="BR226" s="20">
        <f ca="1">IF(Table1[[#This Row],[County]]="Gloucestershire",Table1[[#This Row],[income]],0)</f>
        <v>0</v>
      </c>
      <c r="BS226" s="20">
        <f ca="1">IF(Table1[[#This Row],[County]]="West Sussex",Table1[[#This Row],[income]],0)</f>
        <v>0</v>
      </c>
      <c r="BT226" s="20">
        <f ca="1">IF(Table1[[#This Row],[County]]="Devon",Table1[[#This Row],[income]],0)</f>
        <v>0</v>
      </c>
      <c r="BU226" s="20">
        <f ca="1">IF(Table1[[#This Row],[County]]="Berkshire",Table1[[#This Row],[income]],0)</f>
        <v>0</v>
      </c>
      <c r="BV226" s="20">
        <f ca="1">IF(Table1[[#This Row],[County]]="Staffordshire",Table1[[#This Row],[income]],0)</f>
        <v>0</v>
      </c>
      <c r="BW226" s="20">
        <f ca="1">IF(Table1[[#This Row],[County]]="Leicestershire",Table1[[#This Row],[income]],0)</f>
        <v>0</v>
      </c>
      <c r="BX226" s="20">
        <f ca="1">IF(Table1[[#This Row],[County]]="Cornwall",Table1[[#This Row],[income]],0)</f>
        <v>0</v>
      </c>
      <c r="BY226" s="20">
        <f ca="1">IF(Table1[[#This Row],[County]]="Isle of Wight",Table1[[#This Row],[income]],0)</f>
        <v>0</v>
      </c>
      <c r="BZ226" s="20">
        <f ca="1">IF(Table1[[#This Row],[County]]="Surrey",Table1[[#This Row],[income]],0)</f>
        <v>0</v>
      </c>
      <c r="CA226" s="20">
        <f ca="1">IF(Table1[[#This Row],[County]]="Derbyshire",Table1[[#This Row],[income]],0)</f>
        <v>0</v>
      </c>
      <c r="CB226" s="20">
        <f ca="1">IF(Table1[[#This Row],[County]]="City of London",Table1[[#This Row],[income]],0)</f>
        <v>0</v>
      </c>
      <c r="CC226" s="20">
        <f ca="1">IF(Table1[[#This Row],[County]]="Bedfordshire",Table1[[#This Row],[income]],0)</f>
        <v>0</v>
      </c>
      <c r="CD226" s="20">
        <f ca="1">IF(Table1[[#This Row],[County]]="County Durham",Table1[[#This Row],[income]],0)</f>
        <v>0</v>
      </c>
      <c r="CE226" s="20">
        <f ca="1">IF(Table1[[#This Row],[County]]="East Riding of Yorkshire",Table1[[#This Row],[income]],0)</f>
        <v>0</v>
      </c>
      <c r="CF226" s="20">
        <f ca="1">IF(Table1[[#This Row],[County]]="West Yorkshire",Table1[[#This Row],[income]],0)</f>
        <v>0</v>
      </c>
      <c r="CG226" s="20">
        <f ca="1">IF(Table1[[#This Row],[County]]="Essex",Table1[[#This Row],[income]],0)</f>
        <v>0</v>
      </c>
      <c r="CH226" s="20">
        <f ca="1">IF(Table1[[#This Row],[County]]="East Sussex",Table1[[#This Row],[income]],0)</f>
        <v>0</v>
      </c>
      <c r="CI226" s="20">
        <f ca="1">IF(Table1[[#This Row],[County]]="Greater Manchester",Table1[[#This Row],[income]],0)</f>
        <v>0</v>
      </c>
      <c r="CJ226" s="20">
        <f ca="1">IF(Table1[[#This Row],[County]]="Hertfordshire",Table1[[#This Row],[income]],0)</f>
        <v>0</v>
      </c>
      <c r="CK226" s="20">
        <f ca="1">IF(Table1[[#This Row],[County]]="Herefordshire",Table1[[#This Row],[income]],0)</f>
        <v>0</v>
      </c>
      <c r="CL226" s="20">
        <f ca="1">IF(Table1[[#This Row],[County]]="Lancashire",Table1[[#This Row],[income]],0)</f>
        <v>0</v>
      </c>
      <c r="CM226" s="20">
        <f ca="1">IF(Table1[[#This Row],[County]]="Merseyside",Table1[[#This Row],[income]],0)</f>
        <v>0</v>
      </c>
      <c r="CN226" s="20">
        <f ca="1">IF(Table1[[#This Row],[County]]="Northamptonshire",Table1[[#This Row],[income]],0)</f>
        <v>0</v>
      </c>
      <c r="CO226" s="20">
        <f ca="1">IF(Table1[[#This Row],[County]]="Northumberland",Table1[[#This Row],[income]],0)</f>
        <v>0</v>
      </c>
      <c r="CP226" s="20">
        <f ca="1">IF(Table1[[#This Row],[County]]="Wiltshire",Table1[[#This Row],[income]],0)</f>
        <v>0</v>
      </c>
      <c r="CQ226" s="20">
        <f ca="1">IF(Table1[[#This Row],[County]]="West Midlands",Table1[[#This Row],[income]],0)</f>
        <v>0</v>
      </c>
      <c r="CR226" s="20">
        <f ca="1">IF(Table1[[#This Row],[County]]="Warwickshire",Table1[[#This Row],[income]],0)</f>
        <v>0</v>
      </c>
      <c r="CS226" s="20">
        <f ca="1">IF(Table1[[#This Row],[County]]="Tyne and Wear",Table1[[#This Row],[income]],0)</f>
        <v>0</v>
      </c>
      <c r="CT226" s="20">
        <f ca="1">IF(Table1[[#This Row],[County]]="Worcestershire",Table1[[#This Row],[income]],0)</f>
        <v>68862</v>
      </c>
      <c r="CU226" s="20">
        <f ca="1">IF(Table1[[#This Row],[County]]="Rutland",Table1[[#This Row],[income]],0)</f>
        <v>0</v>
      </c>
      <c r="CV226" s="20">
        <f ca="1">IF(Table1[[#This Row],[County]]="Shropshire",Table1[[#This Row],[income]],0)</f>
        <v>0</v>
      </c>
      <c r="CW226" s="20">
        <f ca="1">IF(Table1[[#This Row],[County]]="Dorset",Table1[[#This Row],[income]],0)</f>
        <v>0</v>
      </c>
      <c r="CX226" s="20">
        <f ca="1">IF(Table1[[#This Row],[County]]="Buckinghamshire",Table1[[#This Row],[income]],0)</f>
        <v>0</v>
      </c>
      <c r="CY226" s="20">
        <f ca="1">IF(Table1[[#This Row],[County]]="Suffolk",Table1[[#This Row],[income]],0)</f>
        <v>0</v>
      </c>
      <c r="CZ226" s="20">
        <f ca="1">IF(Table1[[#This Row],[County]]="North Yorkshire",Table1[[#This Row],[income]],0)</f>
        <v>0</v>
      </c>
      <c r="DA226" s="20">
        <f ca="1">IF(Table1[[#This Row],[County]]="Kent",Table1[[#This Row],[income]],0)</f>
        <v>0</v>
      </c>
      <c r="DB226" s="5">
        <f ca="1">IF(Table1[[#This Row],[County]]="Derbyshire",Table1[[#This Row],[income]],0)</f>
        <v>0</v>
      </c>
      <c r="DD226" s="6">
        <f ca="1">IF(Table1[[#This Row],[Column1]]="Health",Table1[[#This Row],[income]],0)</f>
        <v>68862</v>
      </c>
      <c r="DE226" s="20">
        <f ca="1">IF(Table1[[#This Row],[Column1]]="Agriculture",Table1[[#This Row],[income]],0)</f>
        <v>0</v>
      </c>
      <c r="DF226" s="20">
        <f ca="1">IF(Table1[[#This Row],[Column1]]="Technology",Table1[[#This Row],[income]],0)</f>
        <v>0</v>
      </c>
      <c r="DG226" s="20">
        <f ca="1">IF(Table1[[#This Row],[Column1]]="Social Service",Table1[[#This Row],[income]],0)</f>
        <v>0</v>
      </c>
      <c r="DH226" s="20">
        <f ca="1">IF(Table1[[#This Row],[Column1]]="Education",Table1[[#This Row],[income]],0)</f>
        <v>0</v>
      </c>
      <c r="DI226" s="5">
        <f ca="1">IF(Table1[[#This Row],[Column1]]="Construction",Table1[[#This Row],[income]],0)</f>
        <v>0</v>
      </c>
      <c r="DK226" s="6">
        <f ca="1">IF(Table1[[#This Row],[Value of Debts]]&gt;Table1[[#This Row],[income]],1,0)</f>
        <v>1</v>
      </c>
      <c r="DL226" s="20"/>
      <c r="DM226" s="20"/>
      <c r="DN226" s="5"/>
      <c r="DP226" s="6">
        <f ca="1">IF(Table1[[#This Row],[Net Worth (£)]]&gt;$DS$5,C226,0)</f>
        <v>0</v>
      </c>
      <c r="DQ226" s="20"/>
      <c r="DR226" s="20"/>
      <c r="DS226" s="5"/>
    </row>
    <row r="227" spans="1:123" x14ac:dyDescent="0.2">
      <c r="A227">
        <f t="shared" ca="1" si="10"/>
        <v>1</v>
      </c>
      <c r="B227" s="1" t="str">
        <f ca="1">IF(A227=1, "men", "women")</f>
        <v>men</v>
      </c>
      <c r="C227" s="1">
        <f ca="1">RANDBETWEEN(25,50)</f>
        <v>40</v>
      </c>
      <c r="D227">
        <f ca="1">RANDBETWEEN(1,6)</f>
        <v>5</v>
      </c>
      <c r="E227" t="str">
        <f ca="1">VLOOKUP(D227,$W$5:$X$10,2)</f>
        <v>Social Service</v>
      </c>
      <c r="F227">
        <f ca="1">RANDBETWEEN(1,5)</f>
        <v>4</v>
      </c>
      <c r="G227" t="str">
        <f ca="1">VLOOKUP(F227,$Y$5:$Z$9,2)</f>
        <v xml:space="preserve">Technical </v>
      </c>
      <c r="H227">
        <f ca="1">RANDBETWEEN(0,4)</f>
        <v>3</v>
      </c>
      <c r="I227">
        <f ca="1">RANDBETWEEN(1,3)</f>
        <v>1</v>
      </c>
      <c r="J227">
        <f ca="1">RANDBETWEEN(30000,100000)</f>
        <v>63460</v>
      </c>
      <c r="K227">
        <f ca="1">RANDBETWEEN(1,48)</f>
        <v>32</v>
      </c>
      <c r="L227" t="str">
        <f ca="1">VLOOKUP(K227,$AA$5:$AB$52,2)</f>
        <v>Northumberland</v>
      </c>
      <c r="M227">
        <f ca="1">J227*(RANDBETWEEN(2,5))</f>
        <v>190380</v>
      </c>
      <c r="N227">
        <f ca="1">RAND()*M227</f>
        <v>144706.7964831733</v>
      </c>
      <c r="O227">
        <f ca="1">I227*RAND()*J227</f>
        <v>26964.742877025205</v>
      </c>
      <c r="P227">
        <f ca="1">RANDBETWEEN(0,O227)</f>
        <v>19010</v>
      </c>
      <c r="Q227">
        <f ca="1">RAND()*J227*2</f>
        <v>45722.006845696327</v>
      </c>
      <c r="R227">
        <f ca="1">RAND()*J227*1.5</f>
        <v>54503.820945426036</v>
      </c>
      <c r="S227">
        <f ca="1">J227+R227+O227</f>
        <v>144928.56382245125</v>
      </c>
      <c r="T227">
        <f ca="1">N227+P227+Q227</f>
        <v>209438.80332886963</v>
      </c>
      <c r="U227">
        <f ca="1">S227-T227</f>
        <v>-64510.23950641838</v>
      </c>
      <c r="AC227" s="6">
        <f ca="1">IF(Table1[[#This Row],[gender]]="men",1,0)</f>
        <v>1</v>
      </c>
      <c r="AD227">
        <f ca="1">IF(Table1[[#This Row],[gender]]="women",1,0)</f>
        <v>0</v>
      </c>
      <c r="AH227" s="5"/>
      <c r="AJ227" s="6">
        <f ca="1">IF(Table1[[#This Row],[Column1]]="Health",1,0)</f>
        <v>0</v>
      </c>
      <c r="AK227">
        <f ca="1">IF(Table1[[#This Row],[Column1]]="Construction",1,0)</f>
        <v>0</v>
      </c>
      <c r="AL227">
        <f ca="1">IF(Table1[[#This Row],[Column1]]="Technology",1,0)</f>
        <v>0</v>
      </c>
      <c r="AM227">
        <f ca="1">IF(Table1[[#This Row],[Column1]]="Education",1,0)</f>
        <v>0</v>
      </c>
      <c r="AN227">
        <f ca="1">IF(Table1[[#This Row],[Column1]]="Agriculture",1,0)</f>
        <v>0</v>
      </c>
      <c r="AO227">
        <f ca="1">IF(Table1[[#This Row],[Column1]]="Social Service", 1, 0)</f>
        <v>1</v>
      </c>
      <c r="AT227" s="5"/>
      <c r="AV227" s="17">
        <f t="shared" ca="1" si="9"/>
        <v>11996.720619724716</v>
      </c>
      <c r="AW227" s="5"/>
      <c r="AX227" s="6">
        <f ca="1">IF(Table1[[#This Row],[Value of Debts]]&gt;$AY$4,1,0)</f>
        <v>1</v>
      </c>
      <c r="AY227" s="20"/>
      <c r="AZ227" s="20"/>
      <c r="BA227" s="5"/>
      <c r="BB227" s="25">
        <f ca="1">Table1[[#This Row],[Mortage Left]]/Table1[[#This Row],[Value of House]]</f>
        <v>0.76009452927394316</v>
      </c>
      <c r="BC227" s="20">
        <f t="shared" ca="1" si="11"/>
        <v>0</v>
      </c>
      <c r="BD227" s="20"/>
      <c r="BE227" s="20"/>
      <c r="BF227" s="20"/>
      <c r="BG227" s="6">
        <f ca="1">IF(Table1[[#This Row],[County]]="Cumbria",Table1[[#This Row],[income]],0)</f>
        <v>0</v>
      </c>
      <c r="BH227" s="20">
        <f ca="1">IF(Table1[[#This Row],[County]]="Cheshire",Table1[[#This Row],[income]],0)</f>
        <v>0</v>
      </c>
      <c r="BI227" s="20">
        <f ca="1">IF(Table1[[#This Row],[County]]="Bristol",Table1[[#This Row],[income]],0)</f>
        <v>0</v>
      </c>
      <c r="BJ227" s="20">
        <f ca="1">IF(Table1[[#This Row],[County]]="Surrey",Table1[[#This Row],[income]],0)</f>
        <v>0</v>
      </c>
      <c r="BK227" s="20">
        <f ca="1">IF(Table1[[#This Row],[County]]="Norfolk",Table1[[#This Row],[income]],0)</f>
        <v>0</v>
      </c>
      <c r="BL227" s="20">
        <f ca="1">IF(Table1[[#This Row],[County]]="Lincolnshire",Table1[[#This Row],[income]],0)</f>
        <v>0</v>
      </c>
      <c r="BM227" s="20">
        <f ca="1">IF(Table1[[#This Row],[County]]="Somerset",Table1[[#This Row],[income]],0)</f>
        <v>0</v>
      </c>
      <c r="BN227" s="20">
        <f ca="1">IF(Table1[[#This Row],[County]]="Cambridgeshire",Table1[[#This Row],[income]],0)</f>
        <v>0</v>
      </c>
      <c r="BO227" s="20">
        <f ca="1">IF(Table1[[#This Row],[County]]="South Yorkshire",Table1[[#This Row],[income]],0)</f>
        <v>0</v>
      </c>
      <c r="BP227" s="20">
        <f ca="1">IF(Table1[[#This Row],[County]]="Greater London",Table1[[#This Row],[income]],0)</f>
        <v>0</v>
      </c>
      <c r="BQ227" s="20">
        <f ca="1">IF(Table1[[#This Row],[County]]="Hampshire",Table1[[#This Row],[income]],0)</f>
        <v>0</v>
      </c>
      <c r="BR227" s="20">
        <f ca="1">IF(Table1[[#This Row],[County]]="Gloucestershire",Table1[[#This Row],[income]],0)</f>
        <v>0</v>
      </c>
      <c r="BS227" s="20">
        <f ca="1">IF(Table1[[#This Row],[County]]="West Sussex",Table1[[#This Row],[income]],0)</f>
        <v>0</v>
      </c>
      <c r="BT227" s="20">
        <f ca="1">IF(Table1[[#This Row],[County]]="Devon",Table1[[#This Row],[income]],0)</f>
        <v>0</v>
      </c>
      <c r="BU227" s="20">
        <f ca="1">IF(Table1[[#This Row],[County]]="Berkshire",Table1[[#This Row],[income]],0)</f>
        <v>0</v>
      </c>
      <c r="BV227" s="20">
        <f ca="1">IF(Table1[[#This Row],[County]]="Staffordshire",Table1[[#This Row],[income]],0)</f>
        <v>0</v>
      </c>
      <c r="BW227" s="20">
        <f ca="1">IF(Table1[[#This Row],[County]]="Leicestershire",Table1[[#This Row],[income]],0)</f>
        <v>0</v>
      </c>
      <c r="BX227" s="20">
        <f ca="1">IF(Table1[[#This Row],[County]]="Cornwall",Table1[[#This Row],[income]],0)</f>
        <v>0</v>
      </c>
      <c r="BY227" s="20">
        <f ca="1">IF(Table1[[#This Row],[County]]="Isle of Wight",Table1[[#This Row],[income]],0)</f>
        <v>0</v>
      </c>
      <c r="BZ227" s="20">
        <f ca="1">IF(Table1[[#This Row],[County]]="Surrey",Table1[[#This Row],[income]],0)</f>
        <v>0</v>
      </c>
      <c r="CA227" s="20">
        <f ca="1">IF(Table1[[#This Row],[County]]="Derbyshire",Table1[[#This Row],[income]],0)</f>
        <v>0</v>
      </c>
      <c r="CB227" s="20">
        <f ca="1">IF(Table1[[#This Row],[County]]="City of London",Table1[[#This Row],[income]],0)</f>
        <v>0</v>
      </c>
      <c r="CC227" s="20">
        <f ca="1">IF(Table1[[#This Row],[County]]="Bedfordshire",Table1[[#This Row],[income]],0)</f>
        <v>0</v>
      </c>
      <c r="CD227" s="20">
        <f ca="1">IF(Table1[[#This Row],[County]]="County Durham",Table1[[#This Row],[income]],0)</f>
        <v>0</v>
      </c>
      <c r="CE227" s="20">
        <f ca="1">IF(Table1[[#This Row],[County]]="East Riding of Yorkshire",Table1[[#This Row],[income]],0)</f>
        <v>0</v>
      </c>
      <c r="CF227" s="20">
        <f ca="1">IF(Table1[[#This Row],[County]]="West Yorkshire",Table1[[#This Row],[income]],0)</f>
        <v>0</v>
      </c>
      <c r="CG227" s="20">
        <f ca="1">IF(Table1[[#This Row],[County]]="Essex",Table1[[#This Row],[income]],0)</f>
        <v>0</v>
      </c>
      <c r="CH227" s="20">
        <f ca="1">IF(Table1[[#This Row],[County]]="East Sussex",Table1[[#This Row],[income]],0)</f>
        <v>0</v>
      </c>
      <c r="CI227" s="20">
        <f ca="1">IF(Table1[[#This Row],[County]]="Greater Manchester",Table1[[#This Row],[income]],0)</f>
        <v>0</v>
      </c>
      <c r="CJ227" s="20">
        <f ca="1">IF(Table1[[#This Row],[County]]="Hertfordshire",Table1[[#This Row],[income]],0)</f>
        <v>0</v>
      </c>
      <c r="CK227" s="20">
        <f ca="1">IF(Table1[[#This Row],[County]]="Herefordshire",Table1[[#This Row],[income]],0)</f>
        <v>0</v>
      </c>
      <c r="CL227" s="20">
        <f ca="1">IF(Table1[[#This Row],[County]]="Lancashire",Table1[[#This Row],[income]],0)</f>
        <v>0</v>
      </c>
      <c r="CM227" s="20">
        <f ca="1">IF(Table1[[#This Row],[County]]="Merseyside",Table1[[#This Row],[income]],0)</f>
        <v>0</v>
      </c>
      <c r="CN227" s="20">
        <f ca="1">IF(Table1[[#This Row],[County]]="Northamptonshire",Table1[[#This Row],[income]],0)</f>
        <v>0</v>
      </c>
      <c r="CO227" s="20">
        <f ca="1">IF(Table1[[#This Row],[County]]="Northumberland",Table1[[#This Row],[income]],0)</f>
        <v>63460</v>
      </c>
      <c r="CP227" s="20">
        <f ca="1">IF(Table1[[#This Row],[County]]="Wiltshire",Table1[[#This Row],[income]],0)</f>
        <v>0</v>
      </c>
      <c r="CQ227" s="20">
        <f ca="1">IF(Table1[[#This Row],[County]]="West Midlands",Table1[[#This Row],[income]],0)</f>
        <v>0</v>
      </c>
      <c r="CR227" s="20">
        <f ca="1">IF(Table1[[#This Row],[County]]="Warwickshire",Table1[[#This Row],[income]],0)</f>
        <v>0</v>
      </c>
      <c r="CS227" s="20">
        <f ca="1">IF(Table1[[#This Row],[County]]="Tyne and Wear",Table1[[#This Row],[income]],0)</f>
        <v>0</v>
      </c>
      <c r="CT227" s="20">
        <f ca="1">IF(Table1[[#This Row],[County]]="Worcestershire",Table1[[#This Row],[income]],0)</f>
        <v>0</v>
      </c>
      <c r="CU227" s="20">
        <f ca="1">IF(Table1[[#This Row],[County]]="Rutland",Table1[[#This Row],[income]],0)</f>
        <v>0</v>
      </c>
      <c r="CV227" s="20">
        <f ca="1">IF(Table1[[#This Row],[County]]="Shropshire",Table1[[#This Row],[income]],0)</f>
        <v>0</v>
      </c>
      <c r="CW227" s="20">
        <f ca="1">IF(Table1[[#This Row],[County]]="Dorset",Table1[[#This Row],[income]],0)</f>
        <v>0</v>
      </c>
      <c r="CX227" s="20">
        <f ca="1">IF(Table1[[#This Row],[County]]="Buckinghamshire",Table1[[#This Row],[income]],0)</f>
        <v>0</v>
      </c>
      <c r="CY227" s="20">
        <f ca="1">IF(Table1[[#This Row],[County]]="Suffolk",Table1[[#This Row],[income]],0)</f>
        <v>0</v>
      </c>
      <c r="CZ227" s="20">
        <f ca="1">IF(Table1[[#This Row],[County]]="North Yorkshire",Table1[[#This Row],[income]],0)</f>
        <v>0</v>
      </c>
      <c r="DA227" s="20">
        <f ca="1">IF(Table1[[#This Row],[County]]="Kent",Table1[[#This Row],[income]],0)</f>
        <v>0</v>
      </c>
      <c r="DB227" s="5">
        <f ca="1">IF(Table1[[#This Row],[County]]="Derbyshire",Table1[[#This Row],[income]],0)</f>
        <v>0</v>
      </c>
      <c r="DD227" s="6">
        <f ca="1">IF(Table1[[#This Row],[Column1]]="Health",Table1[[#This Row],[income]],0)</f>
        <v>0</v>
      </c>
      <c r="DE227" s="20">
        <f ca="1">IF(Table1[[#This Row],[Column1]]="Agriculture",Table1[[#This Row],[income]],0)</f>
        <v>0</v>
      </c>
      <c r="DF227" s="20">
        <f ca="1">IF(Table1[[#This Row],[Column1]]="Technology",Table1[[#This Row],[income]],0)</f>
        <v>0</v>
      </c>
      <c r="DG227" s="20">
        <f ca="1">IF(Table1[[#This Row],[Column1]]="Social Service",Table1[[#This Row],[income]],0)</f>
        <v>63460</v>
      </c>
      <c r="DH227" s="20">
        <f ca="1">IF(Table1[[#This Row],[Column1]]="Education",Table1[[#This Row],[income]],0)</f>
        <v>0</v>
      </c>
      <c r="DI227" s="5">
        <f ca="1">IF(Table1[[#This Row],[Column1]]="Construction",Table1[[#This Row],[income]],0)</f>
        <v>0</v>
      </c>
      <c r="DK227" s="6">
        <f ca="1">IF(Table1[[#This Row],[Value of Debts]]&gt;Table1[[#This Row],[income]],1,0)</f>
        <v>1</v>
      </c>
      <c r="DL227" s="20"/>
      <c r="DM227" s="20"/>
      <c r="DN227" s="5"/>
      <c r="DP227" s="6">
        <f ca="1">IF(Table1[[#This Row],[Net Worth (£)]]&gt;$DS$5,C227,0)</f>
        <v>0</v>
      </c>
      <c r="DQ227" s="20"/>
      <c r="DR227" s="20"/>
      <c r="DS227" s="5"/>
    </row>
    <row r="228" spans="1:123" x14ac:dyDescent="0.2">
      <c r="A228">
        <f t="shared" ca="1" si="10"/>
        <v>1</v>
      </c>
      <c r="B228" s="1" t="str">
        <f ca="1">IF(A228=1, "men", "women")</f>
        <v>men</v>
      </c>
      <c r="C228" s="1">
        <f ca="1">RANDBETWEEN(25,50)</f>
        <v>26</v>
      </c>
      <c r="D228">
        <f ca="1">RANDBETWEEN(1,6)</f>
        <v>4</v>
      </c>
      <c r="E228" t="str">
        <f ca="1">VLOOKUP(D228,$W$5:$X$10,2)</f>
        <v>Technology</v>
      </c>
      <c r="F228">
        <f ca="1">RANDBETWEEN(1,5)</f>
        <v>4</v>
      </c>
      <c r="G228" t="str">
        <f ca="1">VLOOKUP(F228,$Y$5:$Z$9,2)</f>
        <v xml:space="preserve">Technical </v>
      </c>
      <c r="H228">
        <f ca="1">RANDBETWEEN(0,4)</f>
        <v>3</v>
      </c>
      <c r="I228">
        <f ca="1">RANDBETWEEN(1,3)</f>
        <v>3</v>
      </c>
      <c r="J228">
        <f ca="1">RANDBETWEEN(30000,100000)</f>
        <v>48914</v>
      </c>
      <c r="K228">
        <f ca="1">RANDBETWEEN(1,48)</f>
        <v>26</v>
      </c>
      <c r="L228" t="str">
        <f ca="1">VLOOKUP(K228,$AA$5:$AB$52,2)</f>
        <v>Leicestershire</v>
      </c>
      <c r="M228">
        <f ca="1">J228*(RANDBETWEEN(2,5))</f>
        <v>244570</v>
      </c>
      <c r="N228">
        <f ca="1">RAND()*M228</f>
        <v>212218.28698284167</v>
      </c>
      <c r="O228">
        <f ca="1">I228*RAND()*J228</f>
        <v>35990.16185917415</v>
      </c>
      <c r="P228">
        <f ca="1">RANDBETWEEN(0,O228)</f>
        <v>18624</v>
      </c>
      <c r="Q228">
        <f ca="1">RAND()*J228*2</f>
        <v>83129.776782604895</v>
      </c>
      <c r="R228">
        <f ca="1">RAND()*J228*1.5</f>
        <v>65389.527917882544</v>
      </c>
      <c r="S228">
        <f ca="1">J228+R228+O228</f>
        <v>150293.68977705669</v>
      </c>
      <c r="T228">
        <f ca="1">N228+P228+Q228</f>
        <v>313972.06376544654</v>
      </c>
      <c r="U228">
        <f ca="1">S228-T228</f>
        <v>-163678.37398838985</v>
      </c>
      <c r="AC228" s="6">
        <f ca="1">IF(Table1[[#This Row],[gender]]="men",1,0)</f>
        <v>1</v>
      </c>
      <c r="AD228">
        <f ca="1">IF(Table1[[#This Row],[gender]]="women",1,0)</f>
        <v>0</v>
      </c>
      <c r="AH228" s="5"/>
      <c r="AJ228" s="6">
        <f ca="1">IF(Table1[[#This Row],[Column1]]="Health",1,0)</f>
        <v>0</v>
      </c>
      <c r="AK228">
        <f ca="1">IF(Table1[[#This Row],[Column1]]="Construction",1,0)</f>
        <v>0</v>
      </c>
      <c r="AL228">
        <f ca="1">IF(Table1[[#This Row],[Column1]]="Technology",1,0)</f>
        <v>1</v>
      </c>
      <c r="AM228">
        <f ca="1">IF(Table1[[#This Row],[Column1]]="Education",1,0)</f>
        <v>0</v>
      </c>
      <c r="AN228">
        <f ca="1">IF(Table1[[#This Row],[Column1]]="Agriculture",1,0)</f>
        <v>0</v>
      </c>
      <c r="AO228">
        <f ca="1">IF(Table1[[#This Row],[Column1]]="Social Service", 1, 0)</f>
        <v>0</v>
      </c>
      <c r="AT228" s="5"/>
      <c r="AV228" s="17">
        <f t="shared" ca="1" si="9"/>
        <v>7692.4552545220477</v>
      </c>
      <c r="AW228" s="5"/>
      <c r="AX228" s="6">
        <f ca="1">IF(Table1[[#This Row],[Value of Debts]]&gt;$AY$4,1,0)</f>
        <v>1</v>
      </c>
      <c r="AY228" s="20"/>
      <c r="AZ228" s="20"/>
      <c r="BA228" s="5"/>
      <c r="BB228" s="25">
        <f ca="1">Table1[[#This Row],[Mortage Left]]/Table1[[#This Row],[Value of House]]</f>
        <v>0.86772002691598182</v>
      </c>
      <c r="BC228" s="20">
        <f t="shared" ca="1" si="11"/>
        <v>0</v>
      </c>
      <c r="BD228" s="20"/>
      <c r="BE228" s="20"/>
      <c r="BF228" s="20"/>
      <c r="BG228" s="6">
        <f ca="1">IF(Table1[[#This Row],[County]]="Cumbria",Table1[[#This Row],[income]],0)</f>
        <v>0</v>
      </c>
      <c r="BH228" s="20">
        <f ca="1">IF(Table1[[#This Row],[County]]="Cheshire",Table1[[#This Row],[income]],0)</f>
        <v>0</v>
      </c>
      <c r="BI228" s="20">
        <f ca="1">IF(Table1[[#This Row],[County]]="Bristol",Table1[[#This Row],[income]],0)</f>
        <v>0</v>
      </c>
      <c r="BJ228" s="20">
        <f ca="1">IF(Table1[[#This Row],[County]]="Surrey",Table1[[#This Row],[income]],0)</f>
        <v>0</v>
      </c>
      <c r="BK228" s="20">
        <f ca="1">IF(Table1[[#This Row],[County]]="Norfolk",Table1[[#This Row],[income]],0)</f>
        <v>0</v>
      </c>
      <c r="BL228" s="20">
        <f ca="1">IF(Table1[[#This Row],[County]]="Lincolnshire",Table1[[#This Row],[income]],0)</f>
        <v>0</v>
      </c>
      <c r="BM228" s="20">
        <f ca="1">IF(Table1[[#This Row],[County]]="Somerset",Table1[[#This Row],[income]],0)</f>
        <v>0</v>
      </c>
      <c r="BN228" s="20">
        <f ca="1">IF(Table1[[#This Row],[County]]="Cambridgeshire",Table1[[#This Row],[income]],0)</f>
        <v>0</v>
      </c>
      <c r="BO228" s="20">
        <f ca="1">IF(Table1[[#This Row],[County]]="South Yorkshire",Table1[[#This Row],[income]],0)</f>
        <v>0</v>
      </c>
      <c r="BP228" s="20">
        <f ca="1">IF(Table1[[#This Row],[County]]="Greater London",Table1[[#This Row],[income]],0)</f>
        <v>0</v>
      </c>
      <c r="BQ228" s="20">
        <f ca="1">IF(Table1[[#This Row],[County]]="Hampshire",Table1[[#This Row],[income]],0)</f>
        <v>0</v>
      </c>
      <c r="BR228" s="20">
        <f ca="1">IF(Table1[[#This Row],[County]]="Gloucestershire",Table1[[#This Row],[income]],0)</f>
        <v>0</v>
      </c>
      <c r="BS228" s="20">
        <f ca="1">IF(Table1[[#This Row],[County]]="West Sussex",Table1[[#This Row],[income]],0)</f>
        <v>0</v>
      </c>
      <c r="BT228" s="20">
        <f ca="1">IF(Table1[[#This Row],[County]]="Devon",Table1[[#This Row],[income]],0)</f>
        <v>0</v>
      </c>
      <c r="BU228" s="20">
        <f ca="1">IF(Table1[[#This Row],[County]]="Berkshire",Table1[[#This Row],[income]],0)</f>
        <v>0</v>
      </c>
      <c r="BV228" s="20">
        <f ca="1">IF(Table1[[#This Row],[County]]="Staffordshire",Table1[[#This Row],[income]],0)</f>
        <v>0</v>
      </c>
      <c r="BW228" s="20">
        <f ca="1">IF(Table1[[#This Row],[County]]="Leicestershire",Table1[[#This Row],[income]],0)</f>
        <v>48914</v>
      </c>
      <c r="BX228" s="20">
        <f ca="1">IF(Table1[[#This Row],[County]]="Cornwall",Table1[[#This Row],[income]],0)</f>
        <v>0</v>
      </c>
      <c r="BY228" s="20">
        <f ca="1">IF(Table1[[#This Row],[County]]="Isle of Wight",Table1[[#This Row],[income]],0)</f>
        <v>0</v>
      </c>
      <c r="BZ228" s="20">
        <f ca="1">IF(Table1[[#This Row],[County]]="Surrey",Table1[[#This Row],[income]],0)</f>
        <v>0</v>
      </c>
      <c r="CA228" s="20">
        <f ca="1">IF(Table1[[#This Row],[County]]="Derbyshire",Table1[[#This Row],[income]],0)</f>
        <v>0</v>
      </c>
      <c r="CB228" s="20">
        <f ca="1">IF(Table1[[#This Row],[County]]="City of London",Table1[[#This Row],[income]],0)</f>
        <v>0</v>
      </c>
      <c r="CC228" s="20">
        <f ca="1">IF(Table1[[#This Row],[County]]="Bedfordshire",Table1[[#This Row],[income]],0)</f>
        <v>0</v>
      </c>
      <c r="CD228" s="20">
        <f ca="1">IF(Table1[[#This Row],[County]]="County Durham",Table1[[#This Row],[income]],0)</f>
        <v>0</v>
      </c>
      <c r="CE228" s="20">
        <f ca="1">IF(Table1[[#This Row],[County]]="East Riding of Yorkshire",Table1[[#This Row],[income]],0)</f>
        <v>0</v>
      </c>
      <c r="CF228" s="20">
        <f ca="1">IF(Table1[[#This Row],[County]]="West Yorkshire",Table1[[#This Row],[income]],0)</f>
        <v>0</v>
      </c>
      <c r="CG228" s="20">
        <f ca="1">IF(Table1[[#This Row],[County]]="Essex",Table1[[#This Row],[income]],0)</f>
        <v>0</v>
      </c>
      <c r="CH228" s="20">
        <f ca="1">IF(Table1[[#This Row],[County]]="East Sussex",Table1[[#This Row],[income]],0)</f>
        <v>0</v>
      </c>
      <c r="CI228" s="20">
        <f ca="1">IF(Table1[[#This Row],[County]]="Greater Manchester",Table1[[#This Row],[income]],0)</f>
        <v>0</v>
      </c>
      <c r="CJ228" s="20">
        <f ca="1">IF(Table1[[#This Row],[County]]="Hertfordshire",Table1[[#This Row],[income]],0)</f>
        <v>0</v>
      </c>
      <c r="CK228" s="20">
        <f ca="1">IF(Table1[[#This Row],[County]]="Herefordshire",Table1[[#This Row],[income]],0)</f>
        <v>0</v>
      </c>
      <c r="CL228" s="20">
        <f ca="1">IF(Table1[[#This Row],[County]]="Lancashire",Table1[[#This Row],[income]],0)</f>
        <v>0</v>
      </c>
      <c r="CM228" s="20">
        <f ca="1">IF(Table1[[#This Row],[County]]="Merseyside",Table1[[#This Row],[income]],0)</f>
        <v>0</v>
      </c>
      <c r="CN228" s="20">
        <f ca="1">IF(Table1[[#This Row],[County]]="Northamptonshire",Table1[[#This Row],[income]],0)</f>
        <v>0</v>
      </c>
      <c r="CO228" s="20">
        <f ca="1">IF(Table1[[#This Row],[County]]="Northumberland",Table1[[#This Row],[income]],0)</f>
        <v>0</v>
      </c>
      <c r="CP228" s="20">
        <f ca="1">IF(Table1[[#This Row],[County]]="Wiltshire",Table1[[#This Row],[income]],0)</f>
        <v>0</v>
      </c>
      <c r="CQ228" s="20">
        <f ca="1">IF(Table1[[#This Row],[County]]="West Midlands",Table1[[#This Row],[income]],0)</f>
        <v>0</v>
      </c>
      <c r="CR228" s="20">
        <f ca="1">IF(Table1[[#This Row],[County]]="Warwickshire",Table1[[#This Row],[income]],0)</f>
        <v>0</v>
      </c>
      <c r="CS228" s="20">
        <f ca="1">IF(Table1[[#This Row],[County]]="Tyne and Wear",Table1[[#This Row],[income]],0)</f>
        <v>0</v>
      </c>
      <c r="CT228" s="20">
        <f ca="1">IF(Table1[[#This Row],[County]]="Worcestershire",Table1[[#This Row],[income]],0)</f>
        <v>0</v>
      </c>
      <c r="CU228" s="20">
        <f ca="1">IF(Table1[[#This Row],[County]]="Rutland",Table1[[#This Row],[income]],0)</f>
        <v>0</v>
      </c>
      <c r="CV228" s="20">
        <f ca="1">IF(Table1[[#This Row],[County]]="Shropshire",Table1[[#This Row],[income]],0)</f>
        <v>0</v>
      </c>
      <c r="CW228" s="20">
        <f ca="1">IF(Table1[[#This Row],[County]]="Dorset",Table1[[#This Row],[income]],0)</f>
        <v>0</v>
      </c>
      <c r="CX228" s="20">
        <f ca="1">IF(Table1[[#This Row],[County]]="Buckinghamshire",Table1[[#This Row],[income]],0)</f>
        <v>0</v>
      </c>
      <c r="CY228" s="20">
        <f ca="1">IF(Table1[[#This Row],[County]]="Suffolk",Table1[[#This Row],[income]],0)</f>
        <v>0</v>
      </c>
      <c r="CZ228" s="20">
        <f ca="1">IF(Table1[[#This Row],[County]]="North Yorkshire",Table1[[#This Row],[income]],0)</f>
        <v>0</v>
      </c>
      <c r="DA228" s="20">
        <f ca="1">IF(Table1[[#This Row],[County]]="Kent",Table1[[#This Row],[income]],0)</f>
        <v>0</v>
      </c>
      <c r="DB228" s="5">
        <f ca="1">IF(Table1[[#This Row],[County]]="Derbyshire",Table1[[#This Row],[income]],0)</f>
        <v>0</v>
      </c>
      <c r="DD228" s="6">
        <f ca="1">IF(Table1[[#This Row],[Column1]]="Health",Table1[[#This Row],[income]],0)</f>
        <v>0</v>
      </c>
      <c r="DE228" s="20">
        <f ca="1">IF(Table1[[#This Row],[Column1]]="Agriculture",Table1[[#This Row],[income]],0)</f>
        <v>0</v>
      </c>
      <c r="DF228" s="20">
        <f ca="1">IF(Table1[[#This Row],[Column1]]="Technology",Table1[[#This Row],[income]],0)</f>
        <v>48914</v>
      </c>
      <c r="DG228" s="20">
        <f ca="1">IF(Table1[[#This Row],[Column1]]="Social Service",Table1[[#This Row],[income]],0)</f>
        <v>0</v>
      </c>
      <c r="DH228" s="20">
        <f ca="1">IF(Table1[[#This Row],[Column1]]="Education",Table1[[#This Row],[income]],0)</f>
        <v>0</v>
      </c>
      <c r="DI228" s="5">
        <f ca="1">IF(Table1[[#This Row],[Column1]]="Construction",Table1[[#This Row],[income]],0)</f>
        <v>0</v>
      </c>
      <c r="DK228" s="6">
        <f ca="1">IF(Table1[[#This Row],[Value of Debts]]&gt;Table1[[#This Row],[income]],1,0)</f>
        <v>1</v>
      </c>
      <c r="DL228" s="20"/>
      <c r="DM228" s="20"/>
      <c r="DN228" s="5"/>
      <c r="DP228" s="6">
        <f ca="1">IF(Table1[[#This Row],[Net Worth (£)]]&gt;$DS$5,C228,0)</f>
        <v>0</v>
      </c>
      <c r="DQ228" s="20"/>
      <c r="DR228" s="20"/>
      <c r="DS228" s="5"/>
    </row>
    <row r="229" spans="1:123" x14ac:dyDescent="0.2">
      <c r="A229">
        <f t="shared" ca="1" si="10"/>
        <v>2</v>
      </c>
      <c r="B229" s="1" t="str">
        <f ca="1">IF(A229=1, "men", "women")</f>
        <v>women</v>
      </c>
      <c r="C229" s="1">
        <f ca="1">RANDBETWEEN(25,50)</f>
        <v>39</v>
      </c>
      <c r="D229">
        <f ca="1">RANDBETWEEN(1,6)</f>
        <v>6</v>
      </c>
      <c r="E229" t="str">
        <f ca="1">VLOOKUP(D229,$W$5:$X$10,2)</f>
        <v>Agriculture</v>
      </c>
      <c r="F229">
        <f ca="1">RANDBETWEEN(1,5)</f>
        <v>4</v>
      </c>
      <c r="G229" t="str">
        <f ca="1">VLOOKUP(F229,$Y$5:$Z$9,2)</f>
        <v xml:space="preserve">Technical </v>
      </c>
      <c r="H229">
        <f ca="1">RANDBETWEEN(0,4)</f>
        <v>2</v>
      </c>
      <c r="I229">
        <f ca="1">RANDBETWEEN(1,3)</f>
        <v>3</v>
      </c>
      <c r="J229">
        <f ca="1">RANDBETWEEN(30000,100000)</f>
        <v>32320</v>
      </c>
      <c r="K229">
        <f ca="1">RANDBETWEEN(1,48)</f>
        <v>5</v>
      </c>
      <c r="L229" t="str">
        <f ca="1">VLOOKUP(K229,$AA$5:$AB$52,2)</f>
        <v>Cambridgeshire</v>
      </c>
      <c r="M229">
        <f ca="1">J229*(RANDBETWEEN(2,5))</f>
        <v>96960</v>
      </c>
      <c r="N229">
        <f ca="1">RAND()*M229</f>
        <v>58416.851362198744</v>
      </c>
      <c r="O229">
        <f ca="1">I229*RAND()*J229</f>
        <v>23077.365763566144</v>
      </c>
      <c r="P229">
        <f ca="1">RANDBETWEEN(0,O229)</f>
        <v>978</v>
      </c>
      <c r="Q229">
        <f ca="1">RAND()*J229*2</f>
        <v>46830.757169631783</v>
      </c>
      <c r="R229">
        <f ca="1">RAND()*J229*1.5</f>
        <v>15518.570254739305</v>
      </c>
      <c r="S229">
        <f ca="1">J229+R229+O229</f>
        <v>70915.936018305452</v>
      </c>
      <c r="T229">
        <f ca="1">N229+P229+Q229</f>
        <v>106225.60853183053</v>
      </c>
      <c r="U229">
        <f ca="1">S229-T229</f>
        <v>-35309.672513525074</v>
      </c>
      <c r="AC229" s="6">
        <f ca="1">IF(Table1[[#This Row],[gender]]="men",1,0)</f>
        <v>0</v>
      </c>
      <c r="AD229">
        <f ca="1">IF(Table1[[#This Row],[gender]]="women",1,0)</f>
        <v>1</v>
      </c>
      <c r="AH229" s="5"/>
      <c r="AJ229" s="6">
        <f ca="1">IF(Table1[[#This Row],[Column1]]="Health",1,0)</f>
        <v>0</v>
      </c>
      <c r="AK229">
        <f ca="1">IF(Table1[[#This Row],[Column1]]="Construction",1,0)</f>
        <v>0</v>
      </c>
      <c r="AL229">
        <f ca="1">IF(Table1[[#This Row],[Column1]]="Technology",1,0)</f>
        <v>0</v>
      </c>
      <c r="AM229">
        <f ca="1">IF(Table1[[#This Row],[Column1]]="Education",1,0)</f>
        <v>0</v>
      </c>
      <c r="AN229">
        <f ca="1">IF(Table1[[#This Row],[Column1]]="Agriculture",1,0)</f>
        <v>1</v>
      </c>
      <c r="AO229">
        <f ca="1">IF(Table1[[#This Row],[Column1]]="Social Service", 1, 0)</f>
        <v>0</v>
      </c>
      <c r="AT229" s="5"/>
      <c r="AV229" s="17">
        <f t="shared" ca="1" si="9"/>
        <v>5478.3652448383573</v>
      </c>
      <c r="AW229" s="5"/>
      <c r="AX229" s="6">
        <f ca="1">IF(Table1[[#This Row],[Value of Debts]]&gt;$AY$4,1,0)</f>
        <v>1</v>
      </c>
      <c r="AY229" s="20"/>
      <c r="AZ229" s="20"/>
      <c r="BA229" s="5"/>
      <c r="BB229" s="25">
        <f ca="1">Table1[[#This Row],[Mortage Left]]/Table1[[#This Row],[Value of House]]</f>
        <v>0.60248402807548207</v>
      </c>
      <c r="BC229" s="20">
        <f t="shared" ca="1" si="11"/>
        <v>0</v>
      </c>
      <c r="BD229" s="20"/>
      <c r="BE229" s="20"/>
      <c r="BF229" s="20"/>
      <c r="BG229" s="6">
        <f ca="1">IF(Table1[[#This Row],[County]]="Cumbria",Table1[[#This Row],[income]],0)</f>
        <v>0</v>
      </c>
      <c r="BH229" s="20">
        <f ca="1">IF(Table1[[#This Row],[County]]="Cheshire",Table1[[#This Row],[income]],0)</f>
        <v>0</v>
      </c>
      <c r="BI229" s="20">
        <f ca="1">IF(Table1[[#This Row],[County]]="Bristol",Table1[[#This Row],[income]],0)</f>
        <v>0</v>
      </c>
      <c r="BJ229" s="20">
        <f ca="1">IF(Table1[[#This Row],[County]]="Surrey",Table1[[#This Row],[income]],0)</f>
        <v>0</v>
      </c>
      <c r="BK229" s="20">
        <f ca="1">IF(Table1[[#This Row],[County]]="Norfolk",Table1[[#This Row],[income]],0)</f>
        <v>0</v>
      </c>
      <c r="BL229" s="20">
        <f ca="1">IF(Table1[[#This Row],[County]]="Lincolnshire",Table1[[#This Row],[income]],0)</f>
        <v>0</v>
      </c>
      <c r="BM229" s="20">
        <f ca="1">IF(Table1[[#This Row],[County]]="Somerset",Table1[[#This Row],[income]],0)</f>
        <v>0</v>
      </c>
      <c r="BN229" s="20">
        <f ca="1">IF(Table1[[#This Row],[County]]="Cambridgeshire",Table1[[#This Row],[income]],0)</f>
        <v>32320</v>
      </c>
      <c r="BO229" s="20">
        <f ca="1">IF(Table1[[#This Row],[County]]="South Yorkshire",Table1[[#This Row],[income]],0)</f>
        <v>0</v>
      </c>
      <c r="BP229" s="20">
        <f ca="1">IF(Table1[[#This Row],[County]]="Greater London",Table1[[#This Row],[income]],0)</f>
        <v>0</v>
      </c>
      <c r="BQ229" s="20">
        <f ca="1">IF(Table1[[#This Row],[County]]="Hampshire",Table1[[#This Row],[income]],0)</f>
        <v>0</v>
      </c>
      <c r="BR229" s="20">
        <f ca="1">IF(Table1[[#This Row],[County]]="Gloucestershire",Table1[[#This Row],[income]],0)</f>
        <v>0</v>
      </c>
      <c r="BS229" s="20">
        <f ca="1">IF(Table1[[#This Row],[County]]="West Sussex",Table1[[#This Row],[income]],0)</f>
        <v>0</v>
      </c>
      <c r="BT229" s="20">
        <f ca="1">IF(Table1[[#This Row],[County]]="Devon",Table1[[#This Row],[income]],0)</f>
        <v>0</v>
      </c>
      <c r="BU229" s="20">
        <f ca="1">IF(Table1[[#This Row],[County]]="Berkshire",Table1[[#This Row],[income]],0)</f>
        <v>0</v>
      </c>
      <c r="BV229" s="20">
        <f ca="1">IF(Table1[[#This Row],[County]]="Staffordshire",Table1[[#This Row],[income]],0)</f>
        <v>0</v>
      </c>
      <c r="BW229" s="20">
        <f ca="1">IF(Table1[[#This Row],[County]]="Leicestershire",Table1[[#This Row],[income]],0)</f>
        <v>0</v>
      </c>
      <c r="BX229" s="20">
        <f ca="1">IF(Table1[[#This Row],[County]]="Cornwall",Table1[[#This Row],[income]],0)</f>
        <v>0</v>
      </c>
      <c r="BY229" s="20">
        <f ca="1">IF(Table1[[#This Row],[County]]="Isle of Wight",Table1[[#This Row],[income]],0)</f>
        <v>0</v>
      </c>
      <c r="BZ229" s="20">
        <f ca="1">IF(Table1[[#This Row],[County]]="Surrey",Table1[[#This Row],[income]],0)</f>
        <v>0</v>
      </c>
      <c r="CA229" s="20">
        <f ca="1">IF(Table1[[#This Row],[County]]="Derbyshire",Table1[[#This Row],[income]],0)</f>
        <v>0</v>
      </c>
      <c r="CB229" s="20">
        <f ca="1">IF(Table1[[#This Row],[County]]="City of London",Table1[[#This Row],[income]],0)</f>
        <v>0</v>
      </c>
      <c r="CC229" s="20">
        <f ca="1">IF(Table1[[#This Row],[County]]="Bedfordshire",Table1[[#This Row],[income]],0)</f>
        <v>0</v>
      </c>
      <c r="CD229" s="20">
        <f ca="1">IF(Table1[[#This Row],[County]]="County Durham",Table1[[#This Row],[income]],0)</f>
        <v>0</v>
      </c>
      <c r="CE229" s="20">
        <f ca="1">IF(Table1[[#This Row],[County]]="East Riding of Yorkshire",Table1[[#This Row],[income]],0)</f>
        <v>0</v>
      </c>
      <c r="CF229" s="20">
        <f ca="1">IF(Table1[[#This Row],[County]]="West Yorkshire",Table1[[#This Row],[income]],0)</f>
        <v>0</v>
      </c>
      <c r="CG229" s="20">
        <f ca="1">IF(Table1[[#This Row],[County]]="Essex",Table1[[#This Row],[income]],0)</f>
        <v>0</v>
      </c>
      <c r="CH229" s="20">
        <f ca="1">IF(Table1[[#This Row],[County]]="East Sussex",Table1[[#This Row],[income]],0)</f>
        <v>0</v>
      </c>
      <c r="CI229" s="20">
        <f ca="1">IF(Table1[[#This Row],[County]]="Greater Manchester",Table1[[#This Row],[income]],0)</f>
        <v>0</v>
      </c>
      <c r="CJ229" s="20">
        <f ca="1">IF(Table1[[#This Row],[County]]="Hertfordshire",Table1[[#This Row],[income]],0)</f>
        <v>0</v>
      </c>
      <c r="CK229" s="20">
        <f ca="1">IF(Table1[[#This Row],[County]]="Herefordshire",Table1[[#This Row],[income]],0)</f>
        <v>0</v>
      </c>
      <c r="CL229" s="20">
        <f ca="1">IF(Table1[[#This Row],[County]]="Lancashire",Table1[[#This Row],[income]],0)</f>
        <v>0</v>
      </c>
      <c r="CM229" s="20">
        <f ca="1">IF(Table1[[#This Row],[County]]="Merseyside",Table1[[#This Row],[income]],0)</f>
        <v>0</v>
      </c>
      <c r="CN229" s="20">
        <f ca="1">IF(Table1[[#This Row],[County]]="Northamptonshire",Table1[[#This Row],[income]],0)</f>
        <v>0</v>
      </c>
      <c r="CO229" s="20">
        <f ca="1">IF(Table1[[#This Row],[County]]="Northumberland",Table1[[#This Row],[income]],0)</f>
        <v>0</v>
      </c>
      <c r="CP229" s="20">
        <f ca="1">IF(Table1[[#This Row],[County]]="Wiltshire",Table1[[#This Row],[income]],0)</f>
        <v>0</v>
      </c>
      <c r="CQ229" s="20">
        <f ca="1">IF(Table1[[#This Row],[County]]="West Midlands",Table1[[#This Row],[income]],0)</f>
        <v>0</v>
      </c>
      <c r="CR229" s="20">
        <f ca="1">IF(Table1[[#This Row],[County]]="Warwickshire",Table1[[#This Row],[income]],0)</f>
        <v>0</v>
      </c>
      <c r="CS229" s="20">
        <f ca="1">IF(Table1[[#This Row],[County]]="Tyne and Wear",Table1[[#This Row],[income]],0)</f>
        <v>0</v>
      </c>
      <c r="CT229" s="20">
        <f ca="1">IF(Table1[[#This Row],[County]]="Worcestershire",Table1[[#This Row],[income]],0)</f>
        <v>0</v>
      </c>
      <c r="CU229" s="20">
        <f ca="1">IF(Table1[[#This Row],[County]]="Rutland",Table1[[#This Row],[income]],0)</f>
        <v>0</v>
      </c>
      <c r="CV229" s="20">
        <f ca="1">IF(Table1[[#This Row],[County]]="Shropshire",Table1[[#This Row],[income]],0)</f>
        <v>0</v>
      </c>
      <c r="CW229" s="20">
        <f ca="1">IF(Table1[[#This Row],[County]]="Dorset",Table1[[#This Row],[income]],0)</f>
        <v>0</v>
      </c>
      <c r="CX229" s="20">
        <f ca="1">IF(Table1[[#This Row],[County]]="Buckinghamshire",Table1[[#This Row],[income]],0)</f>
        <v>0</v>
      </c>
      <c r="CY229" s="20">
        <f ca="1">IF(Table1[[#This Row],[County]]="Suffolk",Table1[[#This Row],[income]],0)</f>
        <v>0</v>
      </c>
      <c r="CZ229" s="20">
        <f ca="1">IF(Table1[[#This Row],[County]]="North Yorkshire",Table1[[#This Row],[income]],0)</f>
        <v>0</v>
      </c>
      <c r="DA229" s="20">
        <f ca="1">IF(Table1[[#This Row],[County]]="Kent",Table1[[#This Row],[income]],0)</f>
        <v>0</v>
      </c>
      <c r="DB229" s="5">
        <f ca="1">IF(Table1[[#This Row],[County]]="Derbyshire",Table1[[#This Row],[income]],0)</f>
        <v>0</v>
      </c>
      <c r="DD229" s="6">
        <f ca="1">IF(Table1[[#This Row],[Column1]]="Health",Table1[[#This Row],[income]],0)</f>
        <v>0</v>
      </c>
      <c r="DE229" s="20">
        <f ca="1">IF(Table1[[#This Row],[Column1]]="Agriculture",Table1[[#This Row],[income]],0)</f>
        <v>32320</v>
      </c>
      <c r="DF229" s="20">
        <f ca="1">IF(Table1[[#This Row],[Column1]]="Technology",Table1[[#This Row],[income]],0)</f>
        <v>0</v>
      </c>
      <c r="DG229" s="20">
        <f ca="1">IF(Table1[[#This Row],[Column1]]="Social Service",Table1[[#This Row],[income]],0)</f>
        <v>0</v>
      </c>
      <c r="DH229" s="20">
        <f ca="1">IF(Table1[[#This Row],[Column1]]="Education",Table1[[#This Row],[income]],0)</f>
        <v>0</v>
      </c>
      <c r="DI229" s="5">
        <f ca="1">IF(Table1[[#This Row],[Column1]]="Construction",Table1[[#This Row],[income]],0)</f>
        <v>0</v>
      </c>
      <c r="DK229" s="6">
        <f ca="1">IF(Table1[[#This Row],[Value of Debts]]&gt;Table1[[#This Row],[income]],1,0)</f>
        <v>1</v>
      </c>
      <c r="DL229" s="20"/>
      <c r="DM229" s="20"/>
      <c r="DN229" s="5"/>
      <c r="DP229" s="6">
        <f ca="1">IF(Table1[[#This Row],[Net Worth (£)]]&gt;$DS$5,C229,0)</f>
        <v>0</v>
      </c>
      <c r="DQ229" s="20"/>
      <c r="DR229" s="20"/>
      <c r="DS229" s="5"/>
    </row>
    <row r="230" spans="1:123" x14ac:dyDescent="0.2">
      <c r="A230">
        <f t="shared" ca="1" si="10"/>
        <v>2</v>
      </c>
      <c r="B230" s="1" t="str">
        <f ca="1">IF(A230=1, "men", "women")</f>
        <v>women</v>
      </c>
      <c r="C230" s="1">
        <f ca="1">RANDBETWEEN(25,50)</f>
        <v>36</v>
      </c>
      <c r="D230">
        <f ca="1">RANDBETWEEN(1,6)</f>
        <v>5</v>
      </c>
      <c r="E230" t="str">
        <f ca="1">VLOOKUP(D230,$W$5:$X$10,2)</f>
        <v>Social Service</v>
      </c>
      <c r="F230">
        <f ca="1">RANDBETWEEN(1,5)</f>
        <v>1</v>
      </c>
      <c r="G230" t="str">
        <f ca="1">VLOOKUP(F230,$Y$5:$Z$9,2)</f>
        <v>High School</v>
      </c>
      <c r="H230">
        <f ca="1">RANDBETWEEN(0,4)</f>
        <v>1</v>
      </c>
      <c r="I230">
        <f ca="1">RANDBETWEEN(1,3)</f>
        <v>1</v>
      </c>
      <c r="J230">
        <f ca="1">RANDBETWEEN(30000,100000)</f>
        <v>37154</v>
      </c>
      <c r="K230">
        <f ca="1">RANDBETWEEN(1,48)</f>
        <v>2</v>
      </c>
      <c r="L230" t="str">
        <f ca="1">VLOOKUP(K230,$AA$5:$AB$52,2)</f>
        <v>Berkshire</v>
      </c>
      <c r="M230">
        <f ca="1">J230*(RANDBETWEEN(2,5))</f>
        <v>148616</v>
      </c>
      <c r="N230">
        <f ca="1">RAND()*M230</f>
        <v>96056.418636291972</v>
      </c>
      <c r="O230">
        <f ca="1">I230*RAND()*J230</f>
        <v>5478.3652448383573</v>
      </c>
      <c r="P230">
        <f ca="1">RANDBETWEEN(0,O230)</f>
        <v>3628</v>
      </c>
      <c r="Q230">
        <f ca="1">RAND()*J230*2</f>
        <v>14682.895962948816</v>
      </c>
      <c r="R230">
        <f ca="1">RAND()*J230*1.5</f>
        <v>19489.893200167557</v>
      </c>
      <c r="S230">
        <f ca="1">J230+R230+O230</f>
        <v>62122.258445005915</v>
      </c>
      <c r="T230">
        <f ca="1">N230+P230+Q230</f>
        <v>114367.31459924078</v>
      </c>
      <c r="U230">
        <f ca="1">S230-T230</f>
        <v>-52245.056154234866</v>
      </c>
      <c r="AC230" s="6">
        <f ca="1">IF(Table1[[#This Row],[gender]]="men",1,0)</f>
        <v>0</v>
      </c>
      <c r="AD230">
        <f ca="1">IF(Table1[[#This Row],[gender]]="women",1,0)</f>
        <v>1</v>
      </c>
      <c r="AH230" s="5"/>
      <c r="AJ230" s="6">
        <f ca="1">IF(Table1[[#This Row],[Column1]]="Health",1,0)</f>
        <v>0</v>
      </c>
      <c r="AK230">
        <f ca="1">IF(Table1[[#This Row],[Column1]]="Construction",1,0)</f>
        <v>0</v>
      </c>
      <c r="AL230">
        <f ca="1">IF(Table1[[#This Row],[Column1]]="Technology",1,0)</f>
        <v>0</v>
      </c>
      <c r="AM230">
        <f ca="1">IF(Table1[[#This Row],[Column1]]="Education",1,0)</f>
        <v>0</v>
      </c>
      <c r="AN230">
        <f ca="1">IF(Table1[[#This Row],[Column1]]="Agriculture",1,0)</f>
        <v>0</v>
      </c>
      <c r="AO230">
        <f ca="1">IF(Table1[[#This Row],[Column1]]="Social Service", 1, 0)</f>
        <v>1</v>
      </c>
      <c r="AT230" s="5"/>
      <c r="AV230" s="17">
        <f t="shared" ca="1" si="9"/>
        <v>783.02416416292237</v>
      </c>
      <c r="AW230" s="5"/>
      <c r="AX230" s="6">
        <f ca="1">IF(Table1[[#This Row],[Value of Debts]]&gt;$AY$4,1,0)</f>
        <v>1</v>
      </c>
      <c r="AY230" s="20"/>
      <c r="AZ230" s="20"/>
      <c r="BA230" s="5"/>
      <c r="BB230" s="25">
        <f ca="1">Table1[[#This Row],[Mortage Left]]/Table1[[#This Row],[Value of House]]</f>
        <v>0.64633968506952122</v>
      </c>
      <c r="BC230" s="20">
        <f t="shared" ca="1" si="11"/>
        <v>0</v>
      </c>
      <c r="BD230" s="20"/>
      <c r="BE230" s="20"/>
      <c r="BF230" s="20"/>
      <c r="BG230" s="6">
        <f ca="1">IF(Table1[[#This Row],[County]]="Cumbria",Table1[[#This Row],[income]],0)</f>
        <v>0</v>
      </c>
      <c r="BH230" s="20">
        <f ca="1">IF(Table1[[#This Row],[County]]="Cheshire",Table1[[#This Row],[income]],0)</f>
        <v>0</v>
      </c>
      <c r="BI230" s="20">
        <f ca="1">IF(Table1[[#This Row],[County]]="Bristol",Table1[[#This Row],[income]],0)</f>
        <v>0</v>
      </c>
      <c r="BJ230" s="20">
        <f ca="1">IF(Table1[[#This Row],[County]]="Surrey",Table1[[#This Row],[income]],0)</f>
        <v>0</v>
      </c>
      <c r="BK230" s="20">
        <f ca="1">IF(Table1[[#This Row],[County]]="Norfolk",Table1[[#This Row],[income]],0)</f>
        <v>0</v>
      </c>
      <c r="BL230" s="20">
        <f ca="1">IF(Table1[[#This Row],[County]]="Lincolnshire",Table1[[#This Row],[income]],0)</f>
        <v>0</v>
      </c>
      <c r="BM230" s="20">
        <f ca="1">IF(Table1[[#This Row],[County]]="Somerset",Table1[[#This Row],[income]],0)</f>
        <v>0</v>
      </c>
      <c r="BN230" s="20">
        <f ca="1">IF(Table1[[#This Row],[County]]="Cambridgeshire",Table1[[#This Row],[income]],0)</f>
        <v>0</v>
      </c>
      <c r="BO230" s="20">
        <f ca="1">IF(Table1[[#This Row],[County]]="South Yorkshire",Table1[[#This Row],[income]],0)</f>
        <v>0</v>
      </c>
      <c r="BP230" s="20">
        <f ca="1">IF(Table1[[#This Row],[County]]="Greater London",Table1[[#This Row],[income]],0)</f>
        <v>0</v>
      </c>
      <c r="BQ230" s="20">
        <f ca="1">IF(Table1[[#This Row],[County]]="Hampshire",Table1[[#This Row],[income]],0)</f>
        <v>0</v>
      </c>
      <c r="BR230" s="20">
        <f ca="1">IF(Table1[[#This Row],[County]]="Gloucestershire",Table1[[#This Row],[income]],0)</f>
        <v>0</v>
      </c>
      <c r="BS230" s="20">
        <f ca="1">IF(Table1[[#This Row],[County]]="West Sussex",Table1[[#This Row],[income]],0)</f>
        <v>0</v>
      </c>
      <c r="BT230" s="20">
        <f ca="1">IF(Table1[[#This Row],[County]]="Devon",Table1[[#This Row],[income]],0)</f>
        <v>0</v>
      </c>
      <c r="BU230" s="20">
        <f ca="1">IF(Table1[[#This Row],[County]]="Berkshire",Table1[[#This Row],[income]],0)</f>
        <v>37154</v>
      </c>
      <c r="BV230" s="20">
        <f ca="1">IF(Table1[[#This Row],[County]]="Staffordshire",Table1[[#This Row],[income]],0)</f>
        <v>0</v>
      </c>
      <c r="BW230" s="20">
        <f ca="1">IF(Table1[[#This Row],[County]]="Leicestershire",Table1[[#This Row],[income]],0)</f>
        <v>0</v>
      </c>
      <c r="BX230" s="20">
        <f ca="1">IF(Table1[[#This Row],[County]]="Cornwall",Table1[[#This Row],[income]],0)</f>
        <v>0</v>
      </c>
      <c r="BY230" s="20">
        <f ca="1">IF(Table1[[#This Row],[County]]="Isle of Wight",Table1[[#This Row],[income]],0)</f>
        <v>0</v>
      </c>
      <c r="BZ230" s="20">
        <f ca="1">IF(Table1[[#This Row],[County]]="Surrey",Table1[[#This Row],[income]],0)</f>
        <v>0</v>
      </c>
      <c r="CA230" s="20">
        <f ca="1">IF(Table1[[#This Row],[County]]="Derbyshire",Table1[[#This Row],[income]],0)</f>
        <v>0</v>
      </c>
      <c r="CB230" s="20">
        <f ca="1">IF(Table1[[#This Row],[County]]="City of London",Table1[[#This Row],[income]],0)</f>
        <v>0</v>
      </c>
      <c r="CC230" s="20">
        <f ca="1">IF(Table1[[#This Row],[County]]="Bedfordshire",Table1[[#This Row],[income]],0)</f>
        <v>0</v>
      </c>
      <c r="CD230" s="20">
        <f ca="1">IF(Table1[[#This Row],[County]]="County Durham",Table1[[#This Row],[income]],0)</f>
        <v>0</v>
      </c>
      <c r="CE230" s="20">
        <f ca="1">IF(Table1[[#This Row],[County]]="East Riding of Yorkshire",Table1[[#This Row],[income]],0)</f>
        <v>0</v>
      </c>
      <c r="CF230" s="20">
        <f ca="1">IF(Table1[[#This Row],[County]]="West Yorkshire",Table1[[#This Row],[income]],0)</f>
        <v>0</v>
      </c>
      <c r="CG230" s="20">
        <f ca="1">IF(Table1[[#This Row],[County]]="Essex",Table1[[#This Row],[income]],0)</f>
        <v>0</v>
      </c>
      <c r="CH230" s="20">
        <f ca="1">IF(Table1[[#This Row],[County]]="East Sussex",Table1[[#This Row],[income]],0)</f>
        <v>0</v>
      </c>
      <c r="CI230" s="20">
        <f ca="1">IF(Table1[[#This Row],[County]]="Greater Manchester",Table1[[#This Row],[income]],0)</f>
        <v>0</v>
      </c>
      <c r="CJ230" s="20">
        <f ca="1">IF(Table1[[#This Row],[County]]="Hertfordshire",Table1[[#This Row],[income]],0)</f>
        <v>0</v>
      </c>
      <c r="CK230" s="20">
        <f ca="1">IF(Table1[[#This Row],[County]]="Herefordshire",Table1[[#This Row],[income]],0)</f>
        <v>0</v>
      </c>
      <c r="CL230" s="20">
        <f ca="1">IF(Table1[[#This Row],[County]]="Lancashire",Table1[[#This Row],[income]],0)</f>
        <v>0</v>
      </c>
      <c r="CM230" s="20">
        <f ca="1">IF(Table1[[#This Row],[County]]="Merseyside",Table1[[#This Row],[income]],0)</f>
        <v>0</v>
      </c>
      <c r="CN230" s="20">
        <f ca="1">IF(Table1[[#This Row],[County]]="Northamptonshire",Table1[[#This Row],[income]],0)</f>
        <v>0</v>
      </c>
      <c r="CO230" s="20">
        <f ca="1">IF(Table1[[#This Row],[County]]="Northumberland",Table1[[#This Row],[income]],0)</f>
        <v>0</v>
      </c>
      <c r="CP230" s="20">
        <f ca="1">IF(Table1[[#This Row],[County]]="Wiltshire",Table1[[#This Row],[income]],0)</f>
        <v>0</v>
      </c>
      <c r="CQ230" s="20">
        <f ca="1">IF(Table1[[#This Row],[County]]="West Midlands",Table1[[#This Row],[income]],0)</f>
        <v>0</v>
      </c>
      <c r="CR230" s="20">
        <f ca="1">IF(Table1[[#This Row],[County]]="Warwickshire",Table1[[#This Row],[income]],0)</f>
        <v>0</v>
      </c>
      <c r="CS230" s="20">
        <f ca="1">IF(Table1[[#This Row],[County]]="Tyne and Wear",Table1[[#This Row],[income]],0)</f>
        <v>0</v>
      </c>
      <c r="CT230" s="20">
        <f ca="1">IF(Table1[[#This Row],[County]]="Worcestershire",Table1[[#This Row],[income]],0)</f>
        <v>0</v>
      </c>
      <c r="CU230" s="20">
        <f ca="1">IF(Table1[[#This Row],[County]]="Rutland",Table1[[#This Row],[income]],0)</f>
        <v>0</v>
      </c>
      <c r="CV230" s="20">
        <f ca="1">IF(Table1[[#This Row],[County]]="Shropshire",Table1[[#This Row],[income]],0)</f>
        <v>0</v>
      </c>
      <c r="CW230" s="20">
        <f ca="1">IF(Table1[[#This Row],[County]]="Dorset",Table1[[#This Row],[income]],0)</f>
        <v>0</v>
      </c>
      <c r="CX230" s="20">
        <f ca="1">IF(Table1[[#This Row],[County]]="Buckinghamshire",Table1[[#This Row],[income]],0)</f>
        <v>0</v>
      </c>
      <c r="CY230" s="20">
        <f ca="1">IF(Table1[[#This Row],[County]]="Suffolk",Table1[[#This Row],[income]],0)</f>
        <v>0</v>
      </c>
      <c r="CZ230" s="20">
        <f ca="1">IF(Table1[[#This Row],[County]]="North Yorkshire",Table1[[#This Row],[income]],0)</f>
        <v>0</v>
      </c>
      <c r="DA230" s="20">
        <f ca="1">IF(Table1[[#This Row],[County]]="Kent",Table1[[#This Row],[income]],0)</f>
        <v>0</v>
      </c>
      <c r="DB230" s="5">
        <f ca="1">IF(Table1[[#This Row],[County]]="Derbyshire",Table1[[#This Row],[income]],0)</f>
        <v>0</v>
      </c>
      <c r="DD230" s="6">
        <f ca="1">IF(Table1[[#This Row],[Column1]]="Health",Table1[[#This Row],[income]],0)</f>
        <v>0</v>
      </c>
      <c r="DE230" s="20">
        <f ca="1">IF(Table1[[#This Row],[Column1]]="Agriculture",Table1[[#This Row],[income]],0)</f>
        <v>0</v>
      </c>
      <c r="DF230" s="20">
        <f ca="1">IF(Table1[[#This Row],[Column1]]="Technology",Table1[[#This Row],[income]],0)</f>
        <v>0</v>
      </c>
      <c r="DG230" s="20">
        <f ca="1">IF(Table1[[#This Row],[Column1]]="Social Service",Table1[[#This Row],[income]],0)</f>
        <v>37154</v>
      </c>
      <c r="DH230" s="20">
        <f ca="1">IF(Table1[[#This Row],[Column1]]="Education",Table1[[#This Row],[income]],0)</f>
        <v>0</v>
      </c>
      <c r="DI230" s="5">
        <f ca="1">IF(Table1[[#This Row],[Column1]]="Construction",Table1[[#This Row],[income]],0)</f>
        <v>0</v>
      </c>
      <c r="DK230" s="6">
        <f ca="1">IF(Table1[[#This Row],[Value of Debts]]&gt;Table1[[#This Row],[income]],1,0)</f>
        <v>1</v>
      </c>
      <c r="DL230" s="20"/>
      <c r="DM230" s="20"/>
      <c r="DN230" s="5"/>
      <c r="DP230" s="6">
        <f ca="1">IF(Table1[[#This Row],[Net Worth (£)]]&gt;$DS$5,C230,0)</f>
        <v>0</v>
      </c>
      <c r="DQ230" s="20"/>
      <c r="DR230" s="20"/>
      <c r="DS230" s="5"/>
    </row>
    <row r="231" spans="1:123" x14ac:dyDescent="0.2">
      <c r="A231">
        <f t="shared" ca="1" si="10"/>
        <v>1</v>
      </c>
      <c r="B231" s="1" t="str">
        <f ca="1">IF(A231=1, "men", "women")</f>
        <v>men</v>
      </c>
      <c r="C231" s="1">
        <f ca="1">RANDBETWEEN(25,50)</f>
        <v>32</v>
      </c>
      <c r="D231">
        <f ca="1">RANDBETWEEN(1,6)</f>
        <v>3</v>
      </c>
      <c r="E231" t="str">
        <f ca="1">VLOOKUP(D231,$W$5:$X$10,2)</f>
        <v>Education</v>
      </c>
      <c r="F231">
        <f ca="1">RANDBETWEEN(1,5)</f>
        <v>3</v>
      </c>
      <c r="G231" t="str">
        <f ca="1">VLOOKUP(F231,$Y$5:$Z$9,2)</f>
        <v>University</v>
      </c>
      <c r="H231">
        <f ca="1">RANDBETWEEN(0,4)</f>
        <v>0</v>
      </c>
      <c r="I231">
        <f ca="1">RANDBETWEEN(1,3)</f>
        <v>1</v>
      </c>
      <c r="J231">
        <f ca="1">RANDBETWEEN(30000,100000)</f>
        <v>47279</v>
      </c>
      <c r="K231">
        <f ca="1">RANDBETWEEN(1,48)</f>
        <v>19</v>
      </c>
      <c r="L231" t="str">
        <f ca="1">VLOOKUP(K231,$AA$5:$AB$52,2)</f>
        <v>Greater Manchester</v>
      </c>
      <c r="M231">
        <f ca="1">J231*(RANDBETWEEN(2,5))</f>
        <v>236395</v>
      </c>
      <c r="N231">
        <f ca="1">RAND()*M231</f>
        <v>174560.4590142477</v>
      </c>
      <c r="O231">
        <f ca="1">I231*RAND()*J231</f>
        <v>783.02416416292237</v>
      </c>
      <c r="P231">
        <f ca="1">RANDBETWEEN(0,O231)</f>
        <v>361</v>
      </c>
      <c r="Q231">
        <f ca="1">RAND()*J231*2</f>
        <v>25999.876052323594</v>
      </c>
      <c r="R231">
        <f ca="1">RAND()*J231*1.5</f>
        <v>59762.452450773359</v>
      </c>
      <c r="S231">
        <f ca="1">J231+R231+O231</f>
        <v>107824.47661493628</v>
      </c>
      <c r="T231">
        <f ca="1">N231+P231+Q231</f>
        <v>200921.33506657128</v>
      </c>
      <c r="U231">
        <f ca="1">S231-T231</f>
        <v>-93096.858451634995</v>
      </c>
      <c r="AC231" s="6">
        <f ca="1">IF(Table1[[#This Row],[gender]]="men",1,0)</f>
        <v>1</v>
      </c>
      <c r="AD231">
        <f ca="1">IF(Table1[[#This Row],[gender]]="women",1,0)</f>
        <v>0</v>
      </c>
      <c r="AH231" s="5"/>
      <c r="AJ231" s="6">
        <f ca="1">IF(Table1[[#This Row],[Column1]]="Health",1,0)</f>
        <v>0</v>
      </c>
      <c r="AK231">
        <f ca="1">IF(Table1[[#This Row],[Column1]]="Construction",1,0)</f>
        <v>0</v>
      </c>
      <c r="AL231">
        <f ca="1">IF(Table1[[#This Row],[Column1]]="Technology",1,0)</f>
        <v>0</v>
      </c>
      <c r="AM231">
        <f ca="1">IF(Table1[[#This Row],[Column1]]="Education",1,0)</f>
        <v>1</v>
      </c>
      <c r="AN231">
        <f ca="1">IF(Table1[[#This Row],[Column1]]="Agriculture",1,0)</f>
        <v>0</v>
      </c>
      <c r="AO231">
        <f ca="1">IF(Table1[[#This Row],[Column1]]="Social Service", 1, 0)</f>
        <v>0</v>
      </c>
      <c r="AT231" s="5"/>
      <c r="AV231" s="17">
        <f t="shared" ca="1" si="9"/>
        <v>47441.76202188943</v>
      </c>
      <c r="AW231" s="5"/>
      <c r="AX231" s="6">
        <f ca="1">IF(Table1[[#This Row],[Value of Debts]]&gt;$AY$4,1,0)</f>
        <v>1</v>
      </c>
      <c r="AY231" s="20"/>
      <c r="AZ231" s="20"/>
      <c r="BA231" s="5"/>
      <c r="BB231" s="25">
        <f ca="1">Table1[[#This Row],[Mortage Left]]/Table1[[#This Row],[Value of House]]</f>
        <v>0.73842703531905374</v>
      </c>
      <c r="BC231" s="20">
        <f t="shared" ca="1" si="11"/>
        <v>0</v>
      </c>
      <c r="BD231" s="20"/>
      <c r="BE231" s="20"/>
      <c r="BF231" s="20"/>
      <c r="BG231" s="6">
        <f ca="1">IF(Table1[[#This Row],[County]]="Cumbria",Table1[[#This Row],[income]],0)</f>
        <v>0</v>
      </c>
      <c r="BH231" s="20">
        <f ca="1">IF(Table1[[#This Row],[County]]="Cheshire",Table1[[#This Row],[income]],0)</f>
        <v>0</v>
      </c>
      <c r="BI231" s="20">
        <f ca="1">IF(Table1[[#This Row],[County]]="Bristol",Table1[[#This Row],[income]],0)</f>
        <v>0</v>
      </c>
      <c r="BJ231" s="20">
        <f ca="1">IF(Table1[[#This Row],[County]]="Surrey",Table1[[#This Row],[income]],0)</f>
        <v>0</v>
      </c>
      <c r="BK231" s="20">
        <f ca="1">IF(Table1[[#This Row],[County]]="Norfolk",Table1[[#This Row],[income]],0)</f>
        <v>0</v>
      </c>
      <c r="BL231" s="20">
        <f ca="1">IF(Table1[[#This Row],[County]]="Lincolnshire",Table1[[#This Row],[income]],0)</f>
        <v>0</v>
      </c>
      <c r="BM231" s="20">
        <f ca="1">IF(Table1[[#This Row],[County]]="Somerset",Table1[[#This Row],[income]],0)</f>
        <v>0</v>
      </c>
      <c r="BN231" s="20">
        <f ca="1">IF(Table1[[#This Row],[County]]="Cambridgeshire",Table1[[#This Row],[income]],0)</f>
        <v>0</v>
      </c>
      <c r="BO231" s="20">
        <f ca="1">IF(Table1[[#This Row],[County]]="South Yorkshire",Table1[[#This Row],[income]],0)</f>
        <v>0</v>
      </c>
      <c r="BP231" s="20">
        <f ca="1">IF(Table1[[#This Row],[County]]="Greater London",Table1[[#This Row],[income]],0)</f>
        <v>0</v>
      </c>
      <c r="BQ231" s="20">
        <f ca="1">IF(Table1[[#This Row],[County]]="Hampshire",Table1[[#This Row],[income]],0)</f>
        <v>0</v>
      </c>
      <c r="BR231" s="20">
        <f ca="1">IF(Table1[[#This Row],[County]]="Gloucestershire",Table1[[#This Row],[income]],0)</f>
        <v>0</v>
      </c>
      <c r="BS231" s="20">
        <f ca="1">IF(Table1[[#This Row],[County]]="West Sussex",Table1[[#This Row],[income]],0)</f>
        <v>0</v>
      </c>
      <c r="BT231" s="20">
        <f ca="1">IF(Table1[[#This Row],[County]]="Devon",Table1[[#This Row],[income]],0)</f>
        <v>0</v>
      </c>
      <c r="BU231" s="20">
        <f ca="1">IF(Table1[[#This Row],[County]]="Berkshire",Table1[[#This Row],[income]],0)</f>
        <v>0</v>
      </c>
      <c r="BV231" s="20">
        <f ca="1">IF(Table1[[#This Row],[County]]="Staffordshire",Table1[[#This Row],[income]],0)</f>
        <v>0</v>
      </c>
      <c r="BW231" s="20">
        <f ca="1">IF(Table1[[#This Row],[County]]="Leicestershire",Table1[[#This Row],[income]],0)</f>
        <v>0</v>
      </c>
      <c r="BX231" s="20">
        <f ca="1">IF(Table1[[#This Row],[County]]="Cornwall",Table1[[#This Row],[income]],0)</f>
        <v>0</v>
      </c>
      <c r="BY231" s="20">
        <f ca="1">IF(Table1[[#This Row],[County]]="Isle of Wight",Table1[[#This Row],[income]],0)</f>
        <v>0</v>
      </c>
      <c r="BZ231" s="20">
        <f ca="1">IF(Table1[[#This Row],[County]]="Surrey",Table1[[#This Row],[income]],0)</f>
        <v>0</v>
      </c>
      <c r="CA231" s="20">
        <f ca="1">IF(Table1[[#This Row],[County]]="Derbyshire",Table1[[#This Row],[income]],0)</f>
        <v>0</v>
      </c>
      <c r="CB231" s="20">
        <f ca="1">IF(Table1[[#This Row],[County]]="City of London",Table1[[#This Row],[income]],0)</f>
        <v>0</v>
      </c>
      <c r="CC231" s="20">
        <f ca="1">IF(Table1[[#This Row],[County]]="Bedfordshire",Table1[[#This Row],[income]],0)</f>
        <v>0</v>
      </c>
      <c r="CD231" s="20">
        <f ca="1">IF(Table1[[#This Row],[County]]="County Durham",Table1[[#This Row],[income]],0)</f>
        <v>0</v>
      </c>
      <c r="CE231" s="20">
        <f ca="1">IF(Table1[[#This Row],[County]]="East Riding of Yorkshire",Table1[[#This Row],[income]],0)</f>
        <v>0</v>
      </c>
      <c r="CF231" s="20">
        <f ca="1">IF(Table1[[#This Row],[County]]="West Yorkshire",Table1[[#This Row],[income]],0)</f>
        <v>0</v>
      </c>
      <c r="CG231" s="20">
        <f ca="1">IF(Table1[[#This Row],[County]]="Essex",Table1[[#This Row],[income]],0)</f>
        <v>0</v>
      </c>
      <c r="CH231" s="20">
        <f ca="1">IF(Table1[[#This Row],[County]]="East Sussex",Table1[[#This Row],[income]],0)</f>
        <v>0</v>
      </c>
      <c r="CI231" s="20">
        <f ca="1">IF(Table1[[#This Row],[County]]="Greater Manchester",Table1[[#This Row],[income]],0)</f>
        <v>47279</v>
      </c>
      <c r="CJ231" s="20">
        <f ca="1">IF(Table1[[#This Row],[County]]="Hertfordshire",Table1[[#This Row],[income]],0)</f>
        <v>0</v>
      </c>
      <c r="CK231" s="20">
        <f ca="1">IF(Table1[[#This Row],[County]]="Herefordshire",Table1[[#This Row],[income]],0)</f>
        <v>0</v>
      </c>
      <c r="CL231" s="20">
        <f ca="1">IF(Table1[[#This Row],[County]]="Lancashire",Table1[[#This Row],[income]],0)</f>
        <v>0</v>
      </c>
      <c r="CM231" s="20">
        <f ca="1">IF(Table1[[#This Row],[County]]="Merseyside",Table1[[#This Row],[income]],0)</f>
        <v>0</v>
      </c>
      <c r="CN231" s="20">
        <f ca="1">IF(Table1[[#This Row],[County]]="Northamptonshire",Table1[[#This Row],[income]],0)</f>
        <v>0</v>
      </c>
      <c r="CO231" s="20">
        <f ca="1">IF(Table1[[#This Row],[County]]="Northumberland",Table1[[#This Row],[income]],0)</f>
        <v>0</v>
      </c>
      <c r="CP231" s="20">
        <f ca="1">IF(Table1[[#This Row],[County]]="Wiltshire",Table1[[#This Row],[income]],0)</f>
        <v>0</v>
      </c>
      <c r="CQ231" s="20">
        <f ca="1">IF(Table1[[#This Row],[County]]="West Midlands",Table1[[#This Row],[income]],0)</f>
        <v>0</v>
      </c>
      <c r="CR231" s="20">
        <f ca="1">IF(Table1[[#This Row],[County]]="Warwickshire",Table1[[#This Row],[income]],0)</f>
        <v>0</v>
      </c>
      <c r="CS231" s="20">
        <f ca="1">IF(Table1[[#This Row],[County]]="Tyne and Wear",Table1[[#This Row],[income]],0)</f>
        <v>0</v>
      </c>
      <c r="CT231" s="20">
        <f ca="1">IF(Table1[[#This Row],[County]]="Worcestershire",Table1[[#This Row],[income]],0)</f>
        <v>0</v>
      </c>
      <c r="CU231" s="20">
        <f ca="1">IF(Table1[[#This Row],[County]]="Rutland",Table1[[#This Row],[income]],0)</f>
        <v>0</v>
      </c>
      <c r="CV231" s="20">
        <f ca="1">IF(Table1[[#This Row],[County]]="Shropshire",Table1[[#This Row],[income]],0)</f>
        <v>0</v>
      </c>
      <c r="CW231" s="20">
        <f ca="1">IF(Table1[[#This Row],[County]]="Dorset",Table1[[#This Row],[income]],0)</f>
        <v>0</v>
      </c>
      <c r="CX231" s="20">
        <f ca="1">IF(Table1[[#This Row],[County]]="Buckinghamshire",Table1[[#This Row],[income]],0)</f>
        <v>0</v>
      </c>
      <c r="CY231" s="20">
        <f ca="1">IF(Table1[[#This Row],[County]]="Suffolk",Table1[[#This Row],[income]],0)</f>
        <v>0</v>
      </c>
      <c r="CZ231" s="20">
        <f ca="1">IF(Table1[[#This Row],[County]]="North Yorkshire",Table1[[#This Row],[income]],0)</f>
        <v>0</v>
      </c>
      <c r="DA231" s="20">
        <f ca="1">IF(Table1[[#This Row],[County]]="Kent",Table1[[#This Row],[income]],0)</f>
        <v>0</v>
      </c>
      <c r="DB231" s="5">
        <f ca="1">IF(Table1[[#This Row],[County]]="Derbyshire",Table1[[#This Row],[income]],0)</f>
        <v>0</v>
      </c>
      <c r="DD231" s="6">
        <f ca="1">IF(Table1[[#This Row],[Column1]]="Health",Table1[[#This Row],[income]],0)</f>
        <v>0</v>
      </c>
      <c r="DE231" s="20">
        <f ca="1">IF(Table1[[#This Row],[Column1]]="Agriculture",Table1[[#This Row],[income]],0)</f>
        <v>0</v>
      </c>
      <c r="DF231" s="20">
        <f ca="1">IF(Table1[[#This Row],[Column1]]="Technology",Table1[[#This Row],[income]],0)</f>
        <v>0</v>
      </c>
      <c r="DG231" s="20">
        <f ca="1">IF(Table1[[#This Row],[Column1]]="Social Service",Table1[[#This Row],[income]],0)</f>
        <v>0</v>
      </c>
      <c r="DH231" s="20">
        <f ca="1">IF(Table1[[#This Row],[Column1]]="Education",Table1[[#This Row],[income]],0)</f>
        <v>47279</v>
      </c>
      <c r="DI231" s="5">
        <f ca="1">IF(Table1[[#This Row],[Column1]]="Construction",Table1[[#This Row],[income]],0)</f>
        <v>0</v>
      </c>
      <c r="DK231" s="6">
        <f ca="1">IF(Table1[[#This Row],[Value of Debts]]&gt;Table1[[#This Row],[income]],1,0)</f>
        <v>1</v>
      </c>
      <c r="DL231" s="20"/>
      <c r="DM231" s="20"/>
      <c r="DN231" s="5"/>
      <c r="DP231" s="6">
        <f ca="1">IF(Table1[[#This Row],[Net Worth (£)]]&gt;$DS$5,C231,0)</f>
        <v>0</v>
      </c>
      <c r="DQ231" s="20"/>
      <c r="DR231" s="20"/>
      <c r="DS231" s="5"/>
    </row>
    <row r="232" spans="1:123" x14ac:dyDescent="0.2">
      <c r="A232">
        <f t="shared" ca="1" si="10"/>
        <v>1</v>
      </c>
      <c r="B232" s="1" t="str">
        <f ca="1">IF(A232=1, "men", "women")</f>
        <v>men</v>
      </c>
      <c r="C232" s="1">
        <f ca="1">RANDBETWEEN(25,50)</f>
        <v>25</v>
      </c>
      <c r="D232">
        <f ca="1">RANDBETWEEN(1,6)</f>
        <v>6</v>
      </c>
      <c r="E232" t="str">
        <f ca="1">VLOOKUP(D232,$W$5:$X$10,2)</f>
        <v>Agriculture</v>
      </c>
      <c r="F232">
        <f ca="1">RANDBETWEEN(1,5)</f>
        <v>1</v>
      </c>
      <c r="G232" t="str">
        <f ca="1">VLOOKUP(F232,$Y$5:$Z$9,2)</f>
        <v>High School</v>
      </c>
      <c r="H232">
        <f ca="1">RANDBETWEEN(0,4)</f>
        <v>4</v>
      </c>
      <c r="I232">
        <f ca="1">RANDBETWEEN(1,3)</f>
        <v>2</v>
      </c>
      <c r="J232">
        <f ca="1">RANDBETWEEN(30000,100000)</f>
        <v>61290</v>
      </c>
      <c r="K232">
        <f ca="1">RANDBETWEEN(1,48)</f>
        <v>10</v>
      </c>
      <c r="L232" t="str">
        <f ca="1">VLOOKUP(K232,$AA$5:$AB$52,2)</f>
        <v>Derbyshire</v>
      </c>
      <c r="M232">
        <f ca="1">J232*(RANDBETWEEN(2,5))</f>
        <v>183870</v>
      </c>
      <c r="N232">
        <f ca="1">RAND()*M232</f>
        <v>123609.8094339989</v>
      </c>
      <c r="O232">
        <f ca="1">I232*RAND()*J232</f>
        <v>94883.52404377886</v>
      </c>
      <c r="P232">
        <f ca="1">RANDBETWEEN(0,O232)</f>
        <v>31820</v>
      </c>
      <c r="Q232">
        <f ca="1">RAND()*J232*2</f>
        <v>57845.068458521935</v>
      </c>
      <c r="R232">
        <f ca="1">RAND()*J232*1.5</f>
        <v>61832.696143096946</v>
      </c>
      <c r="S232">
        <f ca="1">J232+R232+O232</f>
        <v>218006.22018687581</v>
      </c>
      <c r="T232">
        <f ca="1">N232+P232+Q232</f>
        <v>213274.87789252083</v>
      </c>
      <c r="U232">
        <f ca="1">S232-T232</f>
        <v>4731.3422943549813</v>
      </c>
      <c r="AC232" s="6">
        <f ca="1">IF(Table1[[#This Row],[gender]]="men",1,0)</f>
        <v>1</v>
      </c>
      <c r="AD232">
        <f ca="1">IF(Table1[[#This Row],[gender]]="women",1,0)</f>
        <v>0</v>
      </c>
      <c r="AH232" s="5"/>
      <c r="AJ232" s="6">
        <f ca="1">IF(Table1[[#This Row],[Column1]]="Health",1,0)</f>
        <v>0</v>
      </c>
      <c r="AK232">
        <f ca="1">IF(Table1[[#This Row],[Column1]]="Construction",1,0)</f>
        <v>0</v>
      </c>
      <c r="AL232">
        <f ca="1">IF(Table1[[#This Row],[Column1]]="Technology",1,0)</f>
        <v>0</v>
      </c>
      <c r="AM232">
        <f ca="1">IF(Table1[[#This Row],[Column1]]="Education",1,0)</f>
        <v>0</v>
      </c>
      <c r="AN232">
        <f ca="1">IF(Table1[[#This Row],[Column1]]="Agriculture",1,0)</f>
        <v>1</v>
      </c>
      <c r="AO232">
        <f ca="1">IF(Table1[[#This Row],[Column1]]="Social Service", 1, 0)</f>
        <v>0</v>
      </c>
      <c r="AT232" s="5"/>
      <c r="AV232" s="17">
        <f t="shared" ca="1" si="9"/>
        <v>40189.387864372235</v>
      </c>
      <c r="AW232" s="5"/>
      <c r="AX232" s="6">
        <f ca="1">IF(Table1[[#This Row],[Value of Debts]]&gt;$AY$4,1,0)</f>
        <v>1</v>
      </c>
      <c r="AY232" s="20"/>
      <c r="AZ232" s="20"/>
      <c r="BA232" s="5"/>
      <c r="BB232" s="25">
        <f ca="1">Table1[[#This Row],[Mortage Left]]/Table1[[#This Row],[Value of House]]</f>
        <v>0.67226741411866486</v>
      </c>
      <c r="BC232" s="20">
        <f t="shared" ca="1" si="11"/>
        <v>0</v>
      </c>
      <c r="BD232" s="20"/>
      <c r="BE232" s="20"/>
      <c r="BF232" s="20"/>
      <c r="BG232" s="6">
        <f ca="1">IF(Table1[[#This Row],[County]]="Cumbria",Table1[[#This Row],[income]],0)</f>
        <v>0</v>
      </c>
      <c r="BH232" s="20">
        <f ca="1">IF(Table1[[#This Row],[County]]="Cheshire",Table1[[#This Row],[income]],0)</f>
        <v>0</v>
      </c>
      <c r="BI232" s="20">
        <f ca="1">IF(Table1[[#This Row],[County]]="Bristol",Table1[[#This Row],[income]],0)</f>
        <v>0</v>
      </c>
      <c r="BJ232" s="20">
        <f ca="1">IF(Table1[[#This Row],[County]]="Surrey",Table1[[#This Row],[income]],0)</f>
        <v>0</v>
      </c>
      <c r="BK232" s="20">
        <f ca="1">IF(Table1[[#This Row],[County]]="Norfolk",Table1[[#This Row],[income]],0)</f>
        <v>0</v>
      </c>
      <c r="BL232" s="20">
        <f ca="1">IF(Table1[[#This Row],[County]]="Lincolnshire",Table1[[#This Row],[income]],0)</f>
        <v>0</v>
      </c>
      <c r="BM232" s="20">
        <f ca="1">IF(Table1[[#This Row],[County]]="Somerset",Table1[[#This Row],[income]],0)</f>
        <v>0</v>
      </c>
      <c r="BN232" s="20">
        <f ca="1">IF(Table1[[#This Row],[County]]="Cambridgeshire",Table1[[#This Row],[income]],0)</f>
        <v>0</v>
      </c>
      <c r="BO232" s="20">
        <f ca="1">IF(Table1[[#This Row],[County]]="South Yorkshire",Table1[[#This Row],[income]],0)</f>
        <v>0</v>
      </c>
      <c r="BP232" s="20">
        <f ca="1">IF(Table1[[#This Row],[County]]="Greater London",Table1[[#This Row],[income]],0)</f>
        <v>0</v>
      </c>
      <c r="BQ232" s="20">
        <f ca="1">IF(Table1[[#This Row],[County]]="Hampshire",Table1[[#This Row],[income]],0)</f>
        <v>0</v>
      </c>
      <c r="BR232" s="20">
        <f ca="1">IF(Table1[[#This Row],[County]]="Gloucestershire",Table1[[#This Row],[income]],0)</f>
        <v>0</v>
      </c>
      <c r="BS232" s="20">
        <f ca="1">IF(Table1[[#This Row],[County]]="West Sussex",Table1[[#This Row],[income]],0)</f>
        <v>0</v>
      </c>
      <c r="BT232" s="20">
        <f ca="1">IF(Table1[[#This Row],[County]]="Devon",Table1[[#This Row],[income]],0)</f>
        <v>0</v>
      </c>
      <c r="BU232" s="20">
        <f ca="1">IF(Table1[[#This Row],[County]]="Berkshire",Table1[[#This Row],[income]],0)</f>
        <v>0</v>
      </c>
      <c r="BV232" s="20">
        <f ca="1">IF(Table1[[#This Row],[County]]="Staffordshire",Table1[[#This Row],[income]],0)</f>
        <v>0</v>
      </c>
      <c r="BW232" s="20">
        <f ca="1">IF(Table1[[#This Row],[County]]="Leicestershire",Table1[[#This Row],[income]],0)</f>
        <v>0</v>
      </c>
      <c r="BX232" s="20">
        <f ca="1">IF(Table1[[#This Row],[County]]="Cornwall",Table1[[#This Row],[income]],0)</f>
        <v>0</v>
      </c>
      <c r="BY232" s="20">
        <f ca="1">IF(Table1[[#This Row],[County]]="Isle of Wight",Table1[[#This Row],[income]],0)</f>
        <v>0</v>
      </c>
      <c r="BZ232" s="20">
        <f ca="1">IF(Table1[[#This Row],[County]]="Surrey",Table1[[#This Row],[income]],0)</f>
        <v>0</v>
      </c>
      <c r="CA232" s="20">
        <f ca="1">IF(Table1[[#This Row],[County]]="Derbyshire",Table1[[#This Row],[income]],0)</f>
        <v>61290</v>
      </c>
      <c r="CB232" s="20">
        <f ca="1">IF(Table1[[#This Row],[County]]="City of London",Table1[[#This Row],[income]],0)</f>
        <v>0</v>
      </c>
      <c r="CC232" s="20">
        <f ca="1">IF(Table1[[#This Row],[County]]="Bedfordshire",Table1[[#This Row],[income]],0)</f>
        <v>0</v>
      </c>
      <c r="CD232" s="20">
        <f ca="1">IF(Table1[[#This Row],[County]]="County Durham",Table1[[#This Row],[income]],0)</f>
        <v>0</v>
      </c>
      <c r="CE232" s="20">
        <f ca="1">IF(Table1[[#This Row],[County]]="East Riding of Yorkshire",Table1[[#This Row],[income]],0)</f>
        <v>0</v>
      </c>
      <c r="CF232" s="20">
        <f ca="1">IF(Table1[[#This Row],[County]]="West Yorkshire",Table1[[#This Row],[income]],0)</f>
        <v>0</v>
      </c>
      <c r="CG232" s="20">
        <f ca="1">IF(Table1[[#This Row],[County]]="Essex",Table1[[#This Row],[income]],0)</f>
        <v>0</v>
      </c>
      <c r="CH232" s="20">
        <f ca="1">IF(Table1[[#This Row],[County]]="East Sussex",Table1[[#This Row],[income]],0)</f>
        <v>0</v>
      </c>
      <c r="CI232" s="20">
        <f ca="1">IF(Table1[[#This Row],[County]]="Greater Manchester",Table1[[#This Row],[income]],0)</f>
        <v>0</v>
      </c>
      <c r="CJ232" s="20">
        <f ca="1">IF(Table1[[#This Row],[County]]="Hertfordshire",Table1[[#This Row],[income]],0)</f>
        <v>0</v>
      </c>
      <c r="CK232" s="20">
        <f ca="1">IF(Table1[[#This Row],[County]]="Herefordshire",Table1[[#This Row],[income]],0)</f>
        <v>0</v>
      </c>
      <c r="CL232" s="20">
        <f ca="1">IF(Table1[[#This Row],[County]]="Lancashire",Table1[[#This Row],[income]],0)</f>
        <v>0</v>
      </c>
      <c r="CM232" s="20">
        <f ca="1">IF(Table1[[#This Row],[County]]="Merseyside",Table1[[#This Row],[income]],0)</f>
        <v>0</v>
      </c>
      <c r="CN232" s="20">
        <f ca="1">IF(Table1[[#This Row],[County]]="Northamptonshire",Table1[[#This Row],[income]],0)</f>
        <v>0</v>
      </c>
      <c r="CO232" s="20">
        <f ca="1">IF(Table1[[#This Row],[County]]="Northumberland",Table1[[#This Row],[income]],0)</f>
        <v>0</v>
      </c>
      <c r="CP232" s="20">
        <f ca="1">IF(Table1[[#This Row],[County]]="Wiltshire",Table1[[#This Row],[income]],0)</f>
        <v>0</v>
      </c>
      <c r="CQ232" s="20">
        <f ca="1">IF(Table1[[#This Row],[County]]="West Midlands",Table1[[#This Row],[income]],0)</f>
        <v>0</v>
      </c>
      <c r="CR232" s="20">
        <f ca="1">IF(Table1[[#This Row],[County]]="Warwickshire",Table1[[#This Row],[income]],0)</f>
        <v>0</v>
      </c>
      <c r="CS232" s="20">
        <f ca="1">IF(Table1[[#This Row],[County]]="Tyne and Wear",Table1[[#This Row],[income]],0)</f>
        <v>0</v>
      </c>
      <c r="CT232" s="20">
        <f ca="1">IF(Table1[[#This Row],[County]]="Worcestershire",Table1[[#This Row],[income]],0)</f>
        <v>0</v>
      </c>
      <c r="CU232" s="20">
        <f ca="1">IF(Table1[[#This Row],[County]]="Rutland",Table1[[#This Row],[income]],0)</f>
        <v>0</v>
      </c>
      <c r="CV232" s="20">
        <f ca="1">IF(Table1[[#This Row],[County]]="Shropshire",Table1[[#This Row],[income]],0)</f>
        <v>0</v>
      </c>
      <c r="CW232" s="20">
        <f ca="1">IF(Table1[[#This Row],[County]]="Dorset",Table1[[#This Row],[income]],0)</f>
        <v>0</v>
      </c>
      <c r="CX232" s="20">
        <f ca="1">IF(Table1[[#This Row],[County]]="Buckinghamshire",Table1[[#This Row],[income]],0)</f>
        <v>0</v>
      </c>
      <c r="CY232" s="20">
        <f ca="1">IF(Table1[[#This Row],[County]]="Suffolk",Table1[[#This Row],[income]],0)</f>
        <v>0</v>
      </c>
      <c r="CZ232" s="20">
        <f ca="1">IF(Table1[[#This Row],[County]]="North Yorkshire",Table1[[#This Row],[income]],0)</f>
        <v>0</v>
      </c>
      <c r="DA232" s="20">
        <f ca="1">IF(Table1[[#This Row],[County]]="Kent",Table1[[#This Row],[income]],0)</f>
        <v>0</v>
      </c>
      <c r="DB232" s="5">
        <f ca="1">IF(Table1[[#This Row],[County]]="Derbyshire",Table1[[#This Row],[income]],0)</f>
        <v>61290</v>
      </c>
      <c r="DD232" s="6">
        <f ca="1">IF(Table1[[#This Row],[Column1]]="Health",Table1[[#This Row],[income]],0)</f>
        <v>0</v>
      </c>
      <c r="DE232" s="20">
        <f ca="1">IF(Table1[[#This Row],[Column1]]="Agriculture",Table1[[#This Row],[income]],0)</f>
        <v>61290</v>
      </c>
      <c r="DF232" s="20">
        <f ca="1">IF(Table1[[#This Row],[Column1]]="Technology",Table1[[#This Row],[income]],0)</f>
        <v>0</v>
      </c>
      <c r="DG232" s="20">
        <f ca="1">IF(Table1[[#This Row],[Column1]]="Social Service",Table1[[#This Row],[income]],0)</f>
        <v>0</v>
      </c>
      <c r="DH232" s="20">
        <f ca="1">IF(Table1[[#This Row],[Column1]]="Education",Table1[[#This Row],[income]],0)</f>
        <v>0</v>
      </c>
      <c r="DI232" s="5">
        <f ca="1">IF(Table1[[#This Row],[Column1]]="Construction",Table1[[#This Row],[income]],0)</f>
        <v>0</v>
      </c>
      <c r="DK232" s="6">
        <f ca="1">IF(Table1[[#This Row],[Value of Debts]]&gt;Table1[[#This Row],[income]],1,0)</f>
        <v>1</v>
      </c>
      <c r="DL232" s="20"/>
      <c r="DM232" s="20"/>
      <c r="DN232" s="5"/>
      <c r="DP232" s="6">
        <f ca="1">IF(Table1[[#This Row],[Net Worth (£)]]&gt;$DS$5,C232,0)</f>
        <v>0</v>
      </c>
      <c r="DQ232" s="20"/>
      <c r="DR232" s="20"/>
      <c r="DS232" s="5"/>
    </row>
    <row r="233" spans="1:123" x14ac:dyDescent="0.2">
      <c r="A233">
        <f t="shared" ca="1" si="10"/>
        <v>2</v>
      </c>
      <c r="B233" s="1" t="str">
        <f ca="1">IF(A233=1, "men", "women")</f>
        <v>women</v>
      </c>
      <c r="C233" s="1">
        <f ca="1">RANDBETWEEN(25,50)</f>
        <v>37</v>
      </c>
      <c r="D233">
        <f ca="1">RANDBETWEEN(1,6)</f>
        <v>4</v>
      </c>
      <c r="E233" t="str">
        <f ca="1">VLOOKUP(D233,$W$5:$X$10,2)</f>
        <v>Technology</v>
      </c>
      <c r="F233">
        <f ca="1">RANDBETWEEN(1,5)</f>
        <v>2</v>
      </c>
      <c r="G233" t="str">
        <f ca="1">VLOOKUP(F233,$Y$5:$Z$9,2)</f>
        <v>College</v>
      </c>
      <c r="H233">
        <f ca="1">RANDBETWEEN(0,4)</f>
        <v>1</v>
      </c>
      <c r="I233">
        <f ca="1">RANDBETWEEN(1,3)</f>
        <v>2</v>
      </c>
      <c r="J233">
        <f ca="1">RANDBETWEEN(30000,100000)</f>
        <v>81326</v>
      </c>
      <c r="K233">
        <f ca="1">RANDBETWEEN(1,48)</f>
        <v>38</v>
      </c>
      <c r="L233" t="str">
        <f ca="1">VLOOKUP(K233,$AA$5:$AB$52,2)</f>
        <v>South Yorkshire</v>
      </c>
      <c r="M233">
        <f ca="1">J233*(RANDBETWEEN(2,5))</f>
        <v>406630</v>
      </c>
      <c r="N233">
        <f ca="1">RAND()*M233</f>
        <v>9584.276481558667</v>
      </c>
      <c r="O233">
        <f ca="1">I233*RAND()*J233</f>
        <v>80378.775728744469</v>
      </c>
      <c r="P233">
        <f ca="1">RANDBETWEEN(0,O233)</f>
        <v>17311</v>
      </c>
      <c r="Q233">
        <f ca="1">RAND()*J233*2</f>
        <v>85597.793519054976</v>
      </c>
      <c r="R233">
        <f ca="1">RAND()*J233*1.5</f>
        <v>26377.851228258885</v>
      </c>
      <c r="S233">
        <f ca="1">J233+R233+O233</f>
        <v>188082.62695700338</v>
      </c>
      <c r="T233">
        <f ca="1">N233+P233+Q233</f>
        <v>112493.07000061365</v>
      </c>
      <c r="U233">
        <f ca="1">S233-T233</f>
        <v>75589.55695638973</v>
      </c>
      <c r="AC233" s="6">
        <f ca="1">IF(Table1[[#This Row],[gender]]="men",1,0)</f>
        <v>0</v>
      </c>
      <c r="AD233">
        <f ca="1">IF(Table1[[#This Row],[gender]]="women",1,0)</f>
        <v>1</v>
      </c>
      <c r="AH233" s="5"/>
      <c r="AJ233" s="6">
        <f ca="1">IF(Table1[[#This Row],[Column1]]="Health",1,0)</f>
        <v>0</v>
      </c>
      <c r="AK233">
        <f ca="1">IF(Table1[[#This Row],[Column1]]="Construction",1,0)</f>
        <v>0</v>
      </c>
      <c r="AL233">
        <f ca="1">IF(Table1[[#This Row],[Column1]]="Technology",1,0)</f>
        <v>1</v>
      </c>
      <c r="AM233">
        <f ca="1">IF(Table1[[#This Row],[Column1]]="Education",1,0)</f>
        <v>0</v>
      </c>
      <c r="AN233">
        <f ca="1">IF(Table1[[#This Row],[Column1]]="Agriculture",1,0)</f>
        <v>0</v>
      </c>
      <c r="AO233">
        <f ca="1">IF(Table1[[#This Row],[Column1]]="Social Service", 1, 0)</f>
        <v>0</v>
      </c>
      <c r="AT233" s="5"/>
      <c r="AV233" s="17">
        <f t="shared" ca="1" si="9"/>
        <v>31767.979491783743</v>
      </c>
      <c r="AW233" s="5"/>
      <c r="AX233" s="6">
        <f ca="1">IF(Table1[[#This Row],[Value of Debts]]&gt;$AY$4,1,0)</f>
        <v>1</v>
      </c>
      <c r="AY233" s="20"/>
      <c r="AZ233" s="20"/>
      <c r="BA233" s="5"/>
      <c r="BB233" s="25">
        <f ca="1">Table1[[#This Row],[Mortage Left]]/Table1[[#This Row],[Value of House]]</f>
        <v>2.3570018153010519E-2</v>
      </c>
      <c r="BC233" s="20">
        <f t="shared" ca="1" si="11"/>
        <v>1</v>
      </c>
      <c r="BD233" s="20"/>
      <c r="BE233" s="20"/>
      <c r="BF233" s="20"/>
      <c r="BG233" s="6">
        <f ca="1">IF(Table1[[#This Row],[County]]="Cumbria",Table1[[#This Row],[income]],0)</f>
        <v>0</v>
      </c>
      <c r="BH233" s="20">
        <f ca="1">IF(Table1[[#This Row],[County]]="Cheshire",Table1[[#This Row],[income]],0)</f>
        <v>0</v>
      </c>
      <c r="BI233" s="20">
        <f ca="1">IF(Table1[[#This Row],[County]]="Bristol",Table1[[#This Row],[income]],0)</f>
        <v>0</v>
      </c>
      <c r="BJ233" s="20">
        <f ca="1">IF(Table1[[#This Row],[County]]="Surrey",Table1[[#This Row],[income]],0)</f>
        <v>0</v>
      </c>
      <c r="BK233" s="20">
        <f ca="1">IF(Table1[[#This Row],[County]]="Norfolk",Table1[[#This Row],[income]],0)</f>
        <v>0</v>
      </c>
      <c r="BL233" s="20">
        <f ca="1">IF(Table1[[#This Row],[County]]="Lincolnshire",Table1[[#This Row],[income]],0)</f>
        <v>0</v>
      </c>
      <c r="BM233" s="20">
        <f ca="1">IF(Table1[[#This Row],[County]]="Somerset",Table1[[#This Row],[income]],0)</f>
        <v>0</v>
      </c>
      <c r="BN233" s="20">
        <f ca="1">IF(Table1[[#This Row],[County]]="Cambridgeshire",Table1[[#This Row],[income]],0)</f>
        <v>0</v>
      </c>
      <c r="BO233" s="20">
        <f ca="1">IF(Table1[[#This Row],[County]]="South Yorkshire",Table1[[#This Row],[income]],0)</f>
        <v>81326</v>
      </c>
      <c r="BP233" s="20">
        <f ca="1">IF(Table1[[#This Row],[County]]="Greater London",Table1[[#This Row],[income]],0)</f>
        <v>0</v>
      </c>
      <c r="BQ233" s="20">
        <f ca="1">IF(Table1[[#This Row],[County]]="Hampshire",Table1[[#This Row],[income]],0)</f>
        <v>0</v>
      </c>
      <c r="BR233" s="20">
        <f ca="1">IF(Table1[[#This Row],[County]]="Gloucestershire",Table1[[#This Row],[income]],0)</f>
        <v>0</v>
      </c>
      <c r="BS233" s="20">
        <f ca="1">IF(Table1[[#This Row],[County]]="West Sussex",Table1[[#This Row],[income]],0)</f>
        <v>0</v>
      </c>
      <c r="BT233" s="20">
        <f ca="1">IF(Table1[[#This Row],[County]]="Devon",Table1[[#This Row],[income]],0)</f>
        <v>0</v>
      </c>
      <c r="BU233" s="20">
        <f ca="1">IF(Table1[[#This Row],[County]]="Berkshire",Table1[[#This Row],[income]],0)</f>
        <v>0</v>
      </c>
      <c r="BV233" s="20">
        <f ca="1">IF(Table1[[#This Row],[County]]="Staffordshire",Table1[[#This Row],[income]],0)</f>
        <v>0</v>
      </c>
      <c r="BW233" s="20">
        <f ca="1">IF(Table1[[#This Row],[County]]="Leicestershire",Table1[[#This Row],[income]],0)</f>
        <v>0</v>
      </c>
      <c r="BX233" s="20">
        <f ca="1">IF(Table1[[#This Row],[County]]="Cornwall",Table1[[#This Row],[income]],0)</f>
        <v>0</v>
      </c>
      <c r="BY233" s="20">
        <f ca="1">IF(Table1[[#This Row],[County]]="Isle of Wight",Table1[[#This Row],[income]],0)</f>
        <v>0</v>
      </c>
      <c r="BZ233" s="20">
        <f ca="1">IF(Table1[[#This Row],[County]]="Surrey",Table1[[#This Row],[income]],0)</f>
        <v>0</v>
      </c>
      <c r="CA233" s="20">
        <f ca="1">IF(Table1[[#This Row],[County]]="Derbyshire",Table1[[#This Row],[income]],0)</f>
        <v>0</v>
      </c>
      <c r="CB233" s="20">
        <f ca="1">IF(Table1[[#This Row],[County]]="City of London",Table1[[#This Row],[income]],0)</f>
        <v>0</v>
      </c>
      <c r="CC233" s="20">
        <f ca="1">IF(Table1[[#This Row],[County]]="Bedfordshire",Table1[[#This Row],[income]],0)</f>
        <v>0</v>
      </c>
      <c r="CD233" s="20">
        <f ca="1">IF(Table1[[#This Row],[County]]="County Durham",Table1[[#This Row],[income]],0)</f>
        <v>0</v>
      </c>
      <c r="CE233" s="20">
        <f ca="1">IF(Table1[[#This Row],[County]]="East Riding of Yorkshire",Table1[[#This Row],[income]],0)</f>
        <v>0</v>
      </c>
      <c r="CF233" s="20">
        <f ca="1">IF(Table1[[#This Row],[County]]="West Yorkshire",Table1[[#This Row],[income]],0)</f>
        <v>0</v>
      </c>
      <c r="CG233" s="20">
        <f ca="1">IF(Table1[[#This Row],[County]]="Essex",Table1[[#This Row],[income]],0)</f>
        <v>0</v>
      </c>
      <c r="CH233" s="20">
        <f ca="1">IF(Table1[[#This Row],[County]]="East Sussex",Table1[[#This Row],[income]],0)</f>
        <v>0</v>
      </c>
      <c r="CI233" s="20">
        <f ca="1">IF(Table1[[#This Row],[County]]="Greater Manchester",Table1[[#This Row],[income]],0)</f>
        <v>0</v>
      </c>
      <c r="CJ233" s="20">
        <f ca="1">IF(Table1[[#This Row],[County]]="Hertfordshire",Table1[[#This Row],[income]],0)</f>
        <v>0</v>
      </c>
      <c r="CK233" s="20">
        <f ca="1">IF(Table1[[#This Row],[County]]="Herefordshire",Table1[[#This Row],[income]],0)</f>
        <v>0</v>
      </c>
      <c r="CL233" s="20">
        <f ca="1">IF(Table1[[#This Row],[County]]="Lancashire",Table1[[#This Row],[income]],0)</f>
        <v>0</v>
      </c>
      <c r="CM233" s="20">
        <f ca="1">IF(Table1[[#This Row],[County]]="Merseyside",Table1[[#This Row],[income]],0)</f>
        <v>0</v>
      </c>
      <c r="CN233" s="20">
        <f ca="1">IF(Table1[[#This Row],[County]]="Northamptonshire",Table1[[#This Row],[income]],0)</f>
        <v>0</v>
      </c>
      <c r="CO233" s="20">
        <f ca="1">IF(Table1[[#This Row],[County]]="Northumberland",Table1[[#This Row],[income]],0)</f>
        <v>0</v>
      </c>
      <c r="CP233" s="20">
        <f ca="1">IF(Table1[[#This Row],[County]]="Wiltshire",Table1[[#This Row],[income]],0)</f>
        <v>0</v>
      </c>
      <c r="CQ233" s="20">
        <f ca="1">IF(Table1[[#This Row],[County]]="West Midlands",Table1[[#This Row],[income]],0)</f>
        <v>0</v>
      </c>
      <c r="CR233" s="20">
        <f ca="1">IF(Table1[[#This Row],[County]]="Warwickshire",Table1[[#This Row],[income]],0)</f>
        <v>0</v>
      </c>
      <c r="CS233" s="20">
        <f ca="1">IF(Table1[[#This Row],[County]]="Tyne and Wear",Table1[[#This Row],[income]],0)</f>
        <v>0</v>
      </c>
      <c r="CT233" s="20">
        <f ca="1">IF(Table1[[#This Row],[County]]="Worcestershire",Table1[[#This Row],[income]],0)</f>
        <v>0</v>
      </c>
      <c r="CU233" s="20">
        <f ca="1">IF(Table1[[#This Row],[County]]="Rutland",Table1[[#This Row],[income]],0)</f>
        <v>0</v>
      </c>
      <c r="CV233" s="20">
        <f ca="1">IF(Table1[[#This Row],[County]]="Shropshire",Table1[[#This Row],[income]],0)</f>
        <v>0</v>
      </c>
      <c r="CW233" s="20">
        <f ca="1">IF(Table1[[#This Row],[County]]="Dorset",Table1[[#This Row],[income]],0)</f>
        <v>0</v>
      </c>
      <c r="CX233" s="20">
        <f ca="1">IF(Table1[[#This Row],[County]]="Buckinghamshire",Table1[[#This Row],[income]],0)</f>
        <v>0</v>
      </c>
      <c r="CY233" s="20">
        <f ca="1">IF(Table1[[#This Row],[County]]="Suffolk",Table1[[#This Row],[income]],0)</f>
        <v>0</v>
      </c>
      <c r="CZ233" s="20">
        <f ca="1">IF(Table1[[#This Row],[County]]="North Yorkshire",Table1[[#This Row],[income]],0)</f>
        <v>0</v>
      </c>
      <c r="DA233" s="20">
        <f ca="1">IF(Table1[[#This Row],[County]]="Kent",Table1[[#This Row],[income]],0)</f>
        <v>0</v>
      </c>
      <c r="DB233" s="5">
        <f ca="1">IF(Table1[[#This Row],[County]]="Derbyshire",Table1[[#This Row],[income]],0)</f>
        <v>0</v>
      </c>
      <c r="DD233" s="6">
        <f ca="1">IF(Table1[[#This Row],[Column1]]="Health",Table1[[#This Row],[income]],0)</f>
        <v>0</v>
      </c>
      <c r="DE233" s="20">
        <f ca="1">IF(Table1[[#This Row],[Column1]]="Agriculture",Table1[[#This Row],[income]],0)</f>
        <v>0</v>
      </c>
      <c r="DF233" s="20">
        <f ca="1">IF(Table1[[#This Row],[Column1]]="Technology",Table1[[#This Row],[income]],0)</f>
        <v>81326</v>
      </c>
      <c r="DG233" s="20">
        <f ca="1">IF(Table1[[#This Row],[Column1]]="Social Service",Table1[[#This Row],[income]],0)</f>
        <v>0</v>
      </c>
      <c r="DH233" s="20">
        <f ca="1">IF(Table1[[#This Row],[Column1]]="Education",Table1[[#This Row],[income]],0)</f>
        <v>0</v>
      </c>
      <c r="DI233" s="5">
        <f ca="1">IF(Table1[[#This Row],[Column1]]="Construction",Table1[[#This Row],[income]],0)</f>
        <v>0</v>
      </c>
      <c r="DK233" s="6">
        <f ca="1">IF(Table1[[#This Row],[Value of Debts]]&gt;Table1[[#This Row],[income]],1,0)</f>
        <v>1</v>
      </c>
      <c r="DL233" s="20"/>
      <c r="DM233" s="20"/>
      <c r="DN233" s="5"/>
      <c r="DP233" s="6">
        <f ca="1">IF(Table1[[#This Row],[Net Worth (£)]]&gt;$DS$5,C233,0)</f>
        <v>37</v>
      </c>
      <c r="DQ233" s="20"/>
      <c r="DR233" s="20"/>
      <c r="DS233" s="5"/>
    </row>
    <row r="234" spans="1:123" x14ac:dyDescent="0.2">
      <c r="A234">
        <f t="shared" ca="1" si="10"/>
        <v>2</v>
      </c>
      <c r="B234" s="1" t="str">
        <f ca="1">IF(A234=1, "men", "women")</f>
        <v>women</v>
      </c>
      <c r="C234" s="1">
        <f ca="1">RANDBETWEEN(25,50)</f>
        <v>32</v>
      </c>
      <c r="D234">
        <f ca="1">RANDBETWEEN(1,6)</f>
        <v>5</v>
      </c>
      <c r="E234" t="str">
        <f ca="1">VLOOKUP(D234,$W$5:$X$10,2)</f>
        <v>Social Service</v>
      </c>
      <c r="F234">
        <f ca="1">RANDBETWEEN(1,5)</f>
        <v>2</v>
      </c>
      <c r="G234" t="str">
        <f ca="1">VLOOKUP(F234,$Y$5:$Z$9,2)</f>
        <v>College</v>
      </c>
      <c r="H234">
        <f ca="1">RANDBETWEEN(0,4)</f>
        <v>1</v>
      </c>
      <c r="I234">
        <f ca="1">RANDBETWEEN(1,3)</f>
        <v>2</v>
      </c>
      <c r="J234">
        <f ca="1">RANDBETWEEN(30000,100000)</f>
        <v>45489</v>
      </c>
      <c r="K234">
        <f ca="1">RANDBETWEEN(1,48)</f>
        <v>33</v>
      </c>
      <c r="L234" t="str">
        <f ca="1">VLOOKUP(K234,$AA$5:$AB$52,2)</f>
        <v>Nottinghamshire</v>
      </c>
      <c r="M234">
        <f ca="1">J234*(RANDBETWEEN(2,5))</f>
        <v>227445</v>
      </c>
      <c r="N234">
        <f ca="1">RAND()*M234</f>
        <v>129505.69680849546</v>
      </c>
      <c r="O234">
        <f ca="1">I234*RAND()*J234</f>
        <v>63535.958983567485</v>
      </c>
      <c r="P234">
        <f ca="1">RANDBETWEEN(0,O234)</f>
        <v>36882</v>
      </c>
      <c r="Q234">
        <f ca="1">RAND()*J234*2</f>
        <v>49508.226769972825</v>
      </c>
      <c r="R234">
        <f ca="1">RAND()*J234*1.5</f>
        <v>13746.273630401462</v>
      </c>
      <c r="S234">
        <f ca="1">J234+R234+O234</f>
        <v>122771.23261396895</v>
      </c>
      <c r="T234">
        <f ca="1">N234+P234+Q234</f>
        <v>215895.92357846827</v>
      </c>
      <c r="U234">
        <f ca="1">S234-T234</f>
        <v>-93124.690964499314</v>
      </c>
      <c r="AC234" s="6">
        <f ca="1">IF(Table1[[#This Row],[gender]]="men",1,0)</f>
        <v>0</v>
      </c>
      <c r="AD234">
        <f ca="1">IF(Table1[[#This Row],[gender]]="women",1,0)</f>
        <v>1</v>
      </c>
      <c r="AH234" s="5"/>
      <c r="AJ234" s="6">
        <f ca="1">IF(Table1[[#This Row],[Column1]]="Health",1,0)</f>
        <v>0</v>
      </c>
      <c r="AK234">
        <f ca="1">IF(Table1[[#This Row],[Column1]]="Construction",1,0)</f>
        <v>0</v>
      </c>
      <c r="AL234">
        <f ca="1">IF(Table1[[#This Row],[Column1]]="Technology",1,0)</f>
        <v>0</v>
      </c>
      <c r="AM234">
        <f ca="1">IF(Table1[[#This Row],[Column1]]="Education",1,0)</f>
        <v>0</v>
      </c>
      <c r="AN234">
        <f ca="1">IF(Table1[[#This Row],[Column1]]="Agriculture",1,0)</f>
        <v>0</v>
      </c>
      <c r="AO234">
        <f ca="1">IF(Table1[[#This Row],[Column1]]="Social Service", 1, 0)</f>
        <v>1</v>
      </c>
      <c r="AT234" s="5"/>
      <c r="AV234" s="17">
        <f t="shared" ca="1" si="9"/>
        <v>21657.321253603484</v>
      </c>
      <c r="AW234" s="5"/>
      <c r="AX234" s="6">
        <f ca="1">IF(Table1[[#This Row],[Value of Debts]]&gt;$AY$4,1,0)</f>
        <v>1</v>
      </c>
      <c r="AY234" s="20"/>
      <c r="AZ234" s="20"/>
      <c r="BA234" s="5"/>
      <c r="BB234" s="25">
        <f ca="1">Table1[[#This Row],[Mortage Left]]/Table1[[#This Row],[Value of House]]</f>
        <v>0.56939346571037153</v>
      </c>
      <c r="BC234" s="20">
        <f t="shared" ca="1" si="11"/>
        <v>0</v>
      </c>
      <c r="BD234" s="20"/>
      <c r="BE234" s="20"/>
      <c r="BF234" s="20"/>
      <c r="BG234" s="6">
        <f ca="1">IF(Table1[[#This Row],[County]]="Cumbria",Table1[[#This Row],[income]],0)</f>
        <v>0</v>
      </c>
      <c r="BH234" s="20">
        <f ca="1">IF(Table1[[#This Row],[County]]="Cheshire",Table1[[#This Row],[income]],0)</f>
        <v>0</v>
      </c>
      <c r="BI234" s="20">
        <f ca="1">IF(Table1[[#This Row],[County]]="Bristol",Table1[[#This Row],[income]],0)</f>
        <v>0</v>
      </c>
      <c r="BJ234" s="20">
        <f ca="1">IF(Table1[[#This Row],[County]]="Surrey",Table1[[#This Row],[income]],0)</f>
        <v>0</v>
      </c>
      <c r="BK234" s="20">
        <f ca="1">IF(Table1[[#This Row],[County]]="Norfolk",Table1[[#This Row],[income]],0)</f>
        <v>0</v>
      </c>
      <c r="BL234" s="20">
        <f ca="1">IF(Table1[[#This Row],[County]]="Lincolnshire",Table1[[#This Row],[income]],0)</f>
        <v>0</v>
      </c>
      <c r="BM234" s="20">
        <f ca="1">IF(Table1[[#This Row],[County]]="Somerset",Table1[[#This Row],[income]],0)</f>
        <v>0</v>
      </c>
      <c r="BN234" s="20">
        <f ca="1">IF(Table1[[#This Row],[County]]="Cambridgeshire",Table1[[#This Row],[income]],0)</f>
        <v>0</v>
      </c>
      <c r="BO234" s="20">
        <f ca="1">IF(Table1[[#This Row],[County]]="South Yorkshire",Table1[[#This Row],[income]],0)</f>
        <v>0</v>
      </c>
      <c r="BP234" s="20">
        <f ca="1">IF(Table1[[#This Row],[County]]="Greater London",Table1[[#This Row],[income]],0)</f>
        <v>0</v>
      </c>
      <c r="BQ234" s="20">
        <f ca="1">IF(Table1[[#This Row],[County]]="Hampshire",Table1[[#This Row],[income]],0)</f>
        <v>0</v>
      </c>
      <c r="BR234" s="20">
        <f ca="1">IF(Table1[[#This Row],[County]]="Gloucestershire",Table1[[#This Row],[income]],0)</f>
        <v>0</v>
      </c>
      <c r="BS234" s="20">
        <f ca="1">IF(Table1[[#This Row],[County]]="West Sussex",Table1[[#This Row],[income]],0)</f>
        <v>0</v>
      </c>
      <c r="BT234" s="20">
        <f ca="1">IF(Table1[[#This Row],[County]]="Devon",Table1[[#This Row],[income]],0)</f>
        <v>0</v>
      </c>
      <c r="BU234" s="20">
        <f ca="1">IF(Table1[[#This Row],[County]]="Berkshire",Table1[[#This Row],[income]],0)</f>
        <v>0</v>
      </c>
      <c r="BV234" s="20">
        <f ca="1">IF(Table1[[#This Row],[County]]="Staffordshire",Table1[[#This Row],[income]],0)</f>
        <v>0</v>
      </c>
      <c r="BW234" s="20">
        <f ca="1">IF(Table1[[#This Row],[County]]="Leicestershire",Table1[[#This Row],[income]],0)</f>
        <v>0</v>
      </c>
      <c r="BX234" s="20">
        <f ca="1">IF(Table1[[#This Row],[County]]="Cornwall",Table1[[#This Row],[income]],0)</f>
        <v>0</v>
      </c>
      <c r="BY234" s="20">
        <f ca="1">IF(Table1[[#This Row],[County]]="Isle of Wight",Table1[[#This Row],[income]],0)</f>
        <v>0</v>
      </c>
      <c r="BZ234" s="20">
        <f ca="1">IF(Table1[[#This Row],[County]]="Surrey",Table1[[#This Row],[income]],0)</f>
        <v>0</v>
      </c>
      <c r="CA234" s="20">
        <f ca="1">IF(Table1[[#This Row],[County]]="Derbyshire",Table1[[#This Row],[income]],0)</f>
        <v>0</v>
      </c>
      <c r="CB234" s="20">
        <f ca="1">IF(Table1[[#This Row],[County]]="City of London",Table1[[#This Row],[income]],0)</f>
        <v>0</v>
      </c>
      <c r="CC234" s="20">
        <f ca="1">IF(Table1[[#This Row],[County]]="Bedfordshire",Table1[[#This Row],[income]],0)</f>
        <v>0</v>
      </c>
      <c r="CD234" s="20">
        <f ca="1">IF(Table1[[#This Row],[County]]="County Durham",Table1[[#This Row],[income]],0)</f>
        <v>0</v>
      </c>
      <c r="CE234" s="20">
        <f ca="1">IF(Table1[[#This Row],[County]]="East Riding of Yorkshire",Table1[[#This Row],[income]],0)</f>
        <v>0</v>
      </c>
      <c r="CF234" s="20">
        <f ca="1">IF(Table1[[#This Row],[County]]="West Yorkshire",Table1[[#This Row],[income]],0)</f>
        <v>0</v>
      </c>
      <c r="CG234" s="20">
        <f ca="1">IF(Table1[[#This Row],[County]]="Essex",Table1[[#This Row],[income]],0)</f>
        <v>0</v>
      </c>
      <c r="CH234" s="20">
        <f ca="1">IF(Table1[[#This Row],[County]]="East Sussex",Table1[[#This Row],[income]],0)</f>
        <v>0</v>
      </c>
      <c r="CI234" s="20">
        <f ca="1">IF(Table1[[#This Row],[County]]="Greater Manchester",Table1[[#This Row],[income]],0)</f>
        <v>0</v>
      </c>
      <c r="CJ234" s="20">
        <f ca="1">IF(Table1[[#This Row],[County]]="Hertfordshire",Table1[[#This Row],[income]],0)</f>
        <v>0</v>
      </c>
      <c r="CK234" s="20">
        <f ca="1">IF(Table1[[#This Row],[County]]="Herefordshire",Table1[[#This Row],[income]],0)</f>
        <v>0</v>
      </c>
      <c r="CL234" s="20">
        <f ca="1">IF(Table1[[#This Row],[County]]="Lancashire",Table1[[#This Row],[income]],0)</f>
        <v>0</v>
      </c>
      <c r="CM234" s="20">
        <f ca="1">IF(Table1[[#This Row],[County]]="Merseyside",Table1[[#This Row],[income]],0)</f>
        <v>0</v>
      </c>
      <c r="CN234" s="20">
        <f ca="1">IF(Table1[[#This Row],[County]]="Northamptonshire",Table1[[#This Row],[income]],0)</f>
        <v>0</v>
      </c>
      <c r="CO234" s="20">
        <f ca="1">IF(Table1[[#This Row],[County]]="Northumberland",Table1[[#This Row],[income]],0)</f>
        <v>0</v>
      </c>
      <c r="CP234" s="20">
        <f ca="1">IF(Table1[[#This Row],[County]]="Wiltshire",Table1[[#This Row],[income]],0)</f>
        <v>0</v>
      </c>
      <c r="CQ234" s="20">
        <f ca="1">IF(Table1[[#This Row],[County]]="West Midlands",Table1[[#This Row],[income]],0)</f>
        <v>0</v>
      </c>
      <c r="CR234" s="20">
        <f ca="1">IF(Table1[[#This Row],[County]]="Warwickshire",Table1[[#This Row],[income]],0)</f>
        <v>0</v>
      </c>
      <c r="CS234" s="20">
        <f ca="1">IF(Table1[[#This Row],[County]]="Tyne and Wear",Table1[[#This Row],[income]],0)</f>
        <v>0</v>
      </c>
      <c r="CT234" s="20">
        <f ca="1">IF(Table1[[#This Row],[County]]="Worcestershire",Table1[[#This Row],[income]],0)</f>
        <v>0</v>
      </c>
      <c r="CU234" s="20">
        <f ca="1">IF(Table1[[#This Row],[County]]="Rutland",Table1[[#This Row],[income]],0)</f>
        <v>0</v>
      </c>
      <c r="CV234" s="20">
        <f ca="1">IF(Table1[[#This Row],[County]]="Shropshire",Table1[[#This Row],[income]],0)</f>
        <v>0</v>
      </c>
      <c r="CW234" s="20">
        <f ca="1">IF(Table1[[#This Row],[County]]="Dorset",Table1[[#This Row],[income]],0)</f>
        <v>0</v>
      </c>
      <c r="CX234" s="20">
        <f ca="1">IF(Table1[[#This Row],[County]]="Buckinghamshire",Table1[[#This Row],[income]],0)</f>
        <v>0</v>
      </c>
      <c r="CY234" s="20">
        <f ca="1">IF(Table1[[#This Row],[County]]="Suffolk",Table1[[#This Row],[income]],0)</f>
        <v>0</v>
      </c>
      <c r="CZ234" s="20">
        <f ca="1">IF(Table1[[#This Row],[County]]="North Yorkshire",Table1[[#This Row],[income]],0)</f>
        <v>0</v>
      </c>
      <c r="DA234" s="20">
        <f ca="1">IF(Table1[[#This Row],[County]]="Kent",Table1[[#This Row],[income]],0)</f>
        <v>0</v>
      </c>
      <c r="DB234" s="5">
        <f ca="1">IF(Table1[[#This Row],[County]]="Derbyshire",Table1[[#This Row],[income]],0)</f>
        <v>0</v>
      </c>
      <c r="DD234" s="6">
        <f ca="1">IF(Table1[[#This Row],[Column1]]="Health",Table1[[#This Row],[income]],0)</f>
        <v>0</v>
      </c>
      <c r="DE234" s="20">
        <f ca="1">IF(Table1[[#This Row],[Column1]]="Agriculture",Table1[[#This Row],[income]],0)</f>
        <v>0</v>
      </c>
      <c r="DF234" s="20">
        <f ca="1">IF(Table1[[#This Row],[Column1]]="Technology",Table1[[#This Row],[income]],0)</f>
        <v>0</v>
      </c>
      <c r="DG234" s="20">
        <f ca="1">IF(Table1[[#This Row],[Column1]]="Social Service",Table1[[#This Row],[income]],0)</f>
        <v>45489</v>
      </c>
      <c r="DH234" s="20">
        <f ca="1">IF(Table1[[#This Row],[Column1]]="Education",Table1[[#This Row],[income]],0)</f>
        <v>0</v>
      </c>
      <c r="DI234" s="5">
        <f ca="1">IF(Table1[[#This Row],[Column1]]="Construction",Table1[[#This Row],[income]],0)</f>
        <v>0</v>
      </c>
      <c r="DK234" s="6">
        <f ca="1">IF(Table1[[#This Row],[Value of Debts]]&gt;Table1[[#This Row],[income]],1,0)</f>
        <v>1</v>
      </c>
      <c r="DL234" s="20"/>
      <c r="DM234" s="20"/>
      <c r="DN234" s="5"/>
      <c r="DP234" s="6">
        <f ca="1">IF(Table1[[#This Row],[Net Worth (£)]]&gt;$DS$5,C234,0)</f>
        <v>0</v>
      </c>
      <c r="DQ234" s="20"/>
      <c r="DR234" s="20"/>
      <c r="DS234" s="5"/>
    </row>
    <row r="235" spans="1:123" x14ac:dyDescent="0.2">
      <c r="A235">
        <f t="shared" ca="1" si="10"/>
        <v>1</v>
      </c>
      <c r="B235" s="1" t="str">
        <f ca="1">IF(A235=1, "men", "women")</f>
        <v>men</v>
      </c>
      <c r="C235" s="1">
        <f ca="1">RANDBETWEEN(25,50)</f>
        <v>27</v>
      </c>
      <c r="D235">
        <f ca="1">RANDBETWEEN(1,6)</f>
        <v>1</v>
      </c>
      <c r="E235" t="str">
        <f ca="1">VLOOKUP(D235,$W$5:$X$10,2)</f>
        <v>Health</v>
      </c>
      <c r="F235">
        <f ca="1">RANDBETWEEN(1,5)</f>
        <v>1</v>
      </c>
      <c r="G235" t="str">
        <f ca="1">VLOOKUP(F235,$Y$5:$Z$9,2)</f>
        <v>High School</v>
      </c>
      <c r="H235">
        <f ca="1">RANDBETWEEN(0,4)</f>
        <v>1</v>
      </c>
      <c r="I235">
        <f ca="1">RANDBETWEEN(1,3)</f>
        <v>1</v>
      </c>
      <c r="J235">
        <f ca="1">RANDBETWEEN(30000,100000)</f>
        <v>38413</v>
      </c>
      <c r="K235">
        <f ca="1">RANDBETWEEN(1,48)</f>
        <v>19</v>
      </c>
      <c r="L235" t="str">
        <f ca="1">VLOOKUP(K235,$AA$5:$AB$52,2)</f>
        <v>Greater Manchester</v>
      </c>
      <c r="M235">
        <f ca="1">J235*(RANDBETWEEN(2,5))</f>
        <v>192065</v>
      </c>
      <c r="N235">
        <f ca="1">RAND()*M235</f>
        <v>183021.84776824078</v>
      </c>
      <c r="O235">
        <f ca="1">I235*RAND()*J235</f>
        <v>21657.321253603484</v>
      </c>
      <c r="P235">
        <f ca="1">RANDBETWEEN(0,O235)</f>
        <v>4822</v>
      </c>
      <c r="Q235">
        <f ca="1">RAND()*J235*2</f>
        <v>47824.313593329738</v>
      </c>
      <c r="R235">
        <f ca="1">RAND()*J235*1.5</f>
        <v>9151.3578105084271</v>
      </c>
      <c r="S235">
        <f ca="1">J235+R235+O235</f>
        <v>69221.679064111915</v>
      </c>
      <c r="T235">
        <f ca="1">N235+P235+Q235</f>
        <v>235668.16136157053</v>
      </c>
      <c r="U235">
        <f ca="1">S235-T235</f>
        <v>-166446.48229745863</v>
      </c>
      <c r="AC235" s="6">
        <f ca="1">IF(Table1[[#This Row],[gender]]="men",1,0)</f>
        <v>1</v>
      </c>
      <c r="AD235">
        <f ca="1">IF(Table1[[#This Row],[gender]]="women",1,0)</f>
        <v>0</v>
      </c>
      <c r="AH235" s="5"/>
      <c r="AJ235" s="6">
        <f ca="1">IF(Table1[[#This Row],[Column1]]="Health",1,0)</f>
        <v>1</v>
      </c>
      <c r="AK235">
        <f ca="1">IF(Table1[[#This Row],[Column1]]="Construction",1,0)</f>
        <v>0</v>
      </c>
      <c r="AL235">
        <f ca="1">IF(Table1[[#This Row],[Column1]]="Technology",1,0)</f>
        <v>0</v>
      </c>
      <c r="AM235">
        <f ca="1">IF(Table1[[#This Row],[Column1]]="Education",1,0)</f>
        <v>0</v>
      </c>
      <c r="AN235">
        <f ca="1">IF(Table1[[#This Row],[Column1]]="Agriculture",1,0)</f>
        <v>0</v>
      </c>
      <c r="AO235">
        <f ca="1">IF(Table1[[#This Row],[Column1]]="Social Service", 1, 0)</f>
        <v>0</v>
      </c>
      <c r="AT235" s="5"/>
      <c r="AV235" s="17">
        <f t="shared" ca="1" si="9"/>
        <v>67081.207868921265</v>
      </c>
      <c r="AW235" s="5"/>
      <c r="AX235" s="6">
        <f ca="1">IF(Table1[[#This Row],[Value of Debts]]&gt;$AY$4,1,0)</f>
        <v>1</v>
      </c>
      <c r="AY235" s="20"/>
      <c r="AZ235" s="20"/>
      <c r="BA235" s="5"/>
      <c r="BB235" s="25">
        <f ca="1">Table1[[#This Row],[Mortage Left]]/Table1[[#This Row],[Value of House]]</f>
        <v>0.95291618862489669</v>
      </c>
      <c r="BC235" s="20">
        <f t="shared" ca="1" si="11"/>
        <v>0</v>
      </c>
      <c r="BD235" s="20"/>
      <c r="BE235" s="20"/>
      <c r="BF235" s="20"/>
      <c r="BG235" s="6">
        <f ca="1">IF(Table1[[#This Row],[County]]="Cumbria",Table1[[#This Row],[income]],0)</f>
        <v>0</v>
      </c>
      <c r="BH235" s="20">
        <f ca="1">IF(Table1[[#This Row],[County]]="Cheshire",Table1[[#This Row],[income]],0)</f>
        <v>0</v>
      </c>
      <c r="BI235" s="20">
        <f ca="1">IF(Table1[[#This Row],[County]]="Bristol",Table1[[#This Row],[income]],0)</f>
        <v>0</v>
      </c>
      <c r="BJ235" s="20">
        <f ca="1">IF(Table1[[#This Row],[County]]="Surrey",Table1[[#This Row],[income]],0)</f>
        <v>0</v>
      </c>
      <c r="BK235" s="20">
        <f ca="1">IF(Table1[[#This Row],[County]]="Norfolk",Table1[[#This Row],[income]],0)</f>
        <v>0</v>
      </c>
      <c r="BL235" s="20">
        <f ca="1">IF(Table1[[#This Row],[County]]="Lincolnshire",Table1[[#This Row],[income]],0)</f>
        <v>0</v>
      </c>
      <c r="BM235" s="20">
        <f ca="1">IF(Table1[[#This Row],[County]]="Somerset",Table1[[#This Row],[income]],0)</f>
        <v>0</v>
      </c>
      <c r="BN235" s="20">
        <f ca="1">IF(Table1[[#This Row],[County]]="Cambridgeshire",Table1[[#This Row],[income]],0)</f>
        <v>0</v>
      </c>
      <c r="BO235" s="20">
        <f ca="1">IF(Table1[[#This Row],[County]]="South Yorkshire",Table1[[#This Row],[income]],0)</f>
        <v>0</v>
      </c>
      <c r="BP235" s="20">
        <f ca="1">IF(Table1[[#This Row],[County]]="Greater London",Table1[[#This Row],[income]],0)</f>
        <v>0</v>
      </c>
      <c r="BQ235" s="20">
        <f ca="1">IF(Table1[[#This Row],[County]]="Hampshire",Table1[[#This Row],[income]],0)</f>
        <v>0</v>
      </c>
      <c r="BR235" s="20">
        <f ca="1">IF(Table1[[#This Row],[County]]="Gloucestershire",Table1[[#This Row],[income]],0)</f>
        <v>0</v>
      </c>
      <c r="BS235" s="20">
        <f ca="1">IF(Table1[[#This Row],[County]]="West Sussex",Table1[[#This Row],[income]],0)</f>
        <v>0</v>
      </c>
      <c r="BT235" s="20">
        <f ca="1">IF(Table1[[#This Row],[County]]="Devon",Table1[[#This Row],[income]],0)</f>
        <v>0</v>
      </c>
      <c r="BU235" s="20">
        <f ca="1">IF(Table1[[#This Row],[County]]="Berkshire",Table1[[#This Row],[income]],0)</f>
        <v>0</v>
      </c>
      <c r="BV235" s="20">
        <f ca="1">IF(Table1[[#This Row],[County]]="Staffordshire",Table1[[#This Row],[income]],0)</f>
        <v>0</v>
      </c>
      <c r="BW235" s="20">
        <f ca="1">IF(Table1[[#This Row],[County]]="Leicestershire",Table1[[#This Row],[income]],0)</f>
        <v>0</v>
      </c>
      <c r="BX235" s="20">
        <f ca="1">IF(Table1[[#This Row],[County]]="Cornwall",Table1[[#This Row],[income]],0)</f>
        <v>0</v>
      </c>
      <c r="BY235" s="20">
        <f ca="1">IF(Table1[[#This Row],[County]]="Isle of Wight",Table1[[#This Row],[income]],0)</f>
        <v>0</v>
      </c>
      <c r="BZ235" s="20">
        <f ca="1">IF(Table1[[#This Row],[County]]="Surrey",Table1[[#This Row],[income]],0)</f>
        <v>0</v>
      </c>
      <c r="CA235" s="20">
        <f ca="1">IF(Table1[[#This Row],[County]]="Derbyshire",Table1[[#This Row],[income]],0)</f>
        <v>0</v>
      </c>
      <c r="CB235" s="20">
        <f ca="1">IF(Table1[[#This Row],[County]]="City of London",Table1[[#This Row],[income]],0)</f>
        <v>0</v>
      </c>
      <c r="CC235" s="20">
        <f ca="1">IF(Table1[[#This Row],[County]]="Bedfordshire",Table1[[#This Row],[income]],0)</f>
        <v>0</v>
      </c>
      <c r="CD235" s="20">
        <f ca="1">IF(Table1[[#This Row],[County]]="County Durham",Table1[[#This Row],[income]],0)</f>
        <v>0</v>
      </c>
      <c r="CE235" s="20">
        <f ca="1">IF(Table1[[#This Row],[County]]="East Riding of Yorkshire",Table1[[#This Row],[income]],0)</f>
        <v>0</v>
      </c>
      <c r="CF235" s="20">
        <f ca="1">IF(Table1[[#This Row],[County]]="West Yorkshire",Table1[[#This Row],[income]],0)</f>
        <v>0</v>
      </c>
      <c r="CG235" s="20">
        <f ca="1">IF(Table1[[#This Row],[County]]="Essex",Table1[[#This Row],[income]],0)</f>
        <v>0</v>
      </c>
      <c r="CH235" s="20">
        <f ca="1">IF(Table1[[#This Row],[County]]="East Sussex",Table1[[#This Row],[income]],0)</f>
        <v>0</v>
      </c>
      <c r="CI235" s="20">
        <f ca="1">IF(Table1[[#This Row],[County]]="Greater Manchester",Table1[[#This Row],[income]],0)</f>
        <v>38413</v>
      </c>
      <c r="CJ235" s="20">
        <f ca="1">IF(Table1[[#This Row],[County]]="Hertfordshire",Table1[[#This Row],[income]],0)</f>
        <v>0</v>
      </c>
      <c r="CK235" s="20">
        <f ca="1">IF(Table1[[#This Row],[County]]="Herefordshire",Table1[[#This Row],[income]],0)</f>
        <v>0</v>
      </c>
      <c r="CL235" s="20">
        <f ca="1">IF(Table1[[#This Row],[County]]="Lancashire",Table1[[#This Row],[income]],0)</f>
        <v>0</v>
      </c>
      <c r="CM235" s="20">
        <f ca="1">IF(Table1[[#This Row],[County]]="Merseyside",Table1[[#This Row],[income]],0)</f>
        <v>0</v>
      </c>
      <c r="CN235" s="20">
        <f ca="1">IF(Table1[[#This Row],[County]]="Northamptonshire",Table1[[#This Row],[income]],0)</f>
        <v>0</v>
      </c>
      <c r="CO235" s="20">
        <f ca="1">IF(Table1[[#This Row],[County]]="Northumberland",Table1[[#This Row],[income]],0)</f>
        <v>0</v>
      </c>
      <c r="CP235" s="20">
        <f ca="1">IF(Table1[[#This Row],[County]]="Wiltshire",Table1[[#This Row],[income]],0)</f>
        <v>0</v>
      </c>
      <c r="CQ235" s="20">
        <f ca="1">IF(Table1[[#This Row],[County]]="West Midlands",Table1[[#This Row],[income]],0)</f>
        <v>0</v>
      </c>
      <c r="CR235" s="20">
        <f ca="1">IF(Table1[[#This Row],[County]]="Warwickshire",Table1[[#This Row],[income]],0)</f>
        <v>0</v>
      </c>
      <c r="CS235" s="20">
        <f ca="1">IF(Table1[[#This Row],[County]]="Tyne and Wear",Table1[[#This Row],[income]],0)</f>
        <v>0</v>
      </c>
      <c r="CT235" s="20">
        <f ca="1">IF(Table1[[#This Row],[County]]="Worcestershire",Table1[[#This Row],[income]],0)</f>
        <v>0</v>
      </c>
      <c r="CU235" s="20">
        <f ca="1">IF(Table1[[#This Row],[County]]="Rutland",Table1[[#This Row],[income]],0)</f>
        <v>0</v>
      </c>
      <c r="CV235" s="20">
        <f ca="1">IF(Table1[[#This Row],[County]]="Shropshire",Table1[[#This Row],[income]],0)</f>
        <v>0</v>
      </c>
      <c r="CW235" s="20">
        <f ca="1">IF(Table1[[#This Row],[County]]="Dorset",Table1[[#This Row],[income]],0)</f>
        <v>0</v>
      </c>
      <c r="CX235" s="20">
        <f ca="1">IF(Table1[[#This Row],[County]]="Buckinghamshire",Table1[[#This Row],[income]],0)</f>
        <v>0</v>
      </c>
      <c r="CY235" s="20">
        <f ca="1">IF(Table1[[#This Row],[County]]="Suffolk",Table1[[#This Row],[income]],0)</f>
        <v>0</v>
      </c>
      <c r="CZ235" s="20">
        <f ca="1">IF(Table1[[#This Row],[County]]="North Yorkshire",Table1[[#This Row],[income]],0)</f>
        <v>0</v>
      </c>
      <c r="DA235" s="20">
        <f ca="1">IF(Table1[[#This Row],[County]]="Kent",Table1[[#This Row],[income]],0)</f>
        <v>0</v>
      </c>
      <c r="DB235" s="5">
        <f ca="1">IF(Table1[[#This Row],[County]]="Derbyshire",Table1[[#This Row],[income]],0)</f>
        <v>0</v>
      </c>
      <c r="DD235" s="6">
        <f ca="1">IF(Table1[[#This Row],[Column1]]="Health",Table1[[#This Row],[income]],0)</f>
        <v>38413</v>
      </c>
      <c r="DE235" s="20">
        <f ca="1">IF(Table1[[#This Row],[Column1]]="Agriculture",Table1[[#This Row],[income]],0)</f>
        <v>0</v>
      </c>
      <c r="DF235" s="20">
        <f ca="1">IF(Table1[[#This Row],[Column1]]="Technology",Table1[[#This Row],[income]],0)</f>
        <v>0</v>
      </c>
      <c r="DG235" s="20">
        <f ca="1">IF(Table1[[#This Row],[Column1]]="Social Service",Table1[[#This Row],[income]],0)</f>
        <v>0</v>
      </c>
      <c r="DH235" s="20">
        <f ca="1">IF(Table1[[#This Row],[Column1]]="Education",Table1[[#This Row],[income]],0)</f>
        <v>0</v>
      </c>
      <c r="DI235" s="5">
        <f ca="1">IF(Table1[[#This Row],[Column1]]="Construction",Table1[[#This Row],[income]],0)</f>
        <v>0</v>
      </c>
      <c r="DK235" s="6">
        <f ca="1">IF(Table1[[#This Row],[Value of Debts]]&gt;Table1[[#This Row],[income]],1,0)</f>
        <v>1</v>
      </c>
      <c r="DL235" s="20"/>
      <c r="DM235" s="20"/>
      <c r="DN235" s="5"/>
      <c r="DP235" s="6">
        <f ca="1">IF(Table1[[#This Row],[Net Worth (£)]]&gt;$DS$5,C235,0)</f>
        <v>0</v>
      </c>
      <c r="DQ235" s="20"/>
      <c r="DR235" s="20"/>
      <c r="DS235" s="5"/>
    </row>
    <row r="236" spans="1:123" x14ac:dyDescent="0.2">
      <c r="A236">
        <f t="shared" ca="1" si="10"/>
        <v>1</v>
      </c>
      <c r="B236" s="1" t="str">
        <f ca="1">IF(A236=1, "men", "women")</f>
        <v>men</v>
      </c>
      <c r="C236" s="1">
        <f ca="1">RANDBETWEEN(25,50)</f>
        <v>46</v>
      </c>
      <c r="D236">
        <f ca="1">RANDBETWEEN(1,6)</f>
        <v>4</v>
      </c>
      <c r="E236" t="str">
        <f ca="1">VLOOKUP(D236,$W$5:$X$10,2)</f>
        <v>Technology</v>
      </c>
      <c r="F236">
        <f ca="1">RANDBETWEEN(1,5)</f>
        <v>2</v>
      </c>
      <c r="G236" t="str">
        <f ca="1">VLOOKUP(F236,$Y$5:$Z$9,2)</f>
        <v>College</v>
      </c>
      <c r="H236">
        <f ca="1">RANDBETWEEN(0,4)</f>
        <v>4</v>
      </c>
      <c r="I236">
        <f ca="1">RANDBETWEEN(1,3)</f>
        <v>3</v>
      </c>
      <c r="J236">
        <f ca="1">RANDBETWEEN(30000,100000)</f>
        <v>96266</v>
      </c>
      <c r="K236">
        <f ca="1">RANDBETWEEN(1,48)</f>
        <v>31</v>
      </c>
      <c r="L236" t="str">
        <f ca="1">VLOOKUP(K236,$AA$5:$AB$52,2)</f>
        <v>Northamptonshire</v>
      </c>
      <c r="M236">
        <f ca="1">J236*(RANDBETWEEN(2,5))</f>
        <v>385064</v>
      </c>
      <c r="N236">
        <f ca="1">RAND()*M236</f>
        <v>109728.32511973678</v>
      </c>
      <c r="O236">
        <f ca="1">I236*RAND()*J236</f>
        <v>201243.62360676378</v>
      </c>
      <c r="P236">
        <f ca="1">RANDBETWEEN(0,O236)</f>
        <v>91804</v>
      </c>
      <c r="Q236">
        <f ca="1">RAND()*J236*2</f>
        <v>189727.52767024486</v>
      </c>
      <c r="R236">
        <f ca="1">RAND()*J236*1.5</f>
        <v>102627.79284044454</v>
      </c>
      <c r="S236">
        <f ca="1">J236+R236+O236</f>
        <v>400137.41644720832</v>
      </c>
      <c r="T236">
        <f ca="1">N236+P236+Q236</f>
        <v>391259.85278998164</v>
      </c>
      <c r="U236">
        <f ca="1">S236-T236</f>
        <v>8877.5636572266812</v>
      </c>
      <c r="AC236" s="6">
        <f ca="1">IF(Table1[[#This Row],[gender]]="men",1,0)</f>
        <v>1</v>
      </c>
      <c r="AD236">
        <f ca="1">IF(Table1[[#This Row],[gender]]="women",1,0)</f>
        <v>0</v>
      </c>
      <c r="AH236" s="5"/>
      <c r="AJ236" s="6">
        <f ca="1">IF(Table1[[#This Row],[Column1]]="Health",1,0)</f>
        <v>0</v>
      </c>
      <c r="AK236">
        <f ca="1">IF(Table1[[#This Row],[Column1]]="Construction",1,0)</f>
        <v>0</v>
      </c>
      <c r="AL236">
        <f ca="1">IF(Table1[[#This Row],[Column1]]="Technology",1,0)</f>
        <v>1</v>
      </c>
      <c r="AM236">
        <f ca="1">IF(Table1[[#This Row],[Column1]]="Education",1,0)</f>
        <v>0</v>
      </c>
      <c r="AN236">
        <f ca="1">IF(Table1[[#This Row],[Column1]]="Agriculture",1,0)</f>
        <v>0</v>
      </c>
      <c r="AO236">
        <f ca="1">IF(Table1[[#This Row],[Column1]]="Social Service", 1, 0)</f>
        <v>0</v>
      </c>
      <c r="AT236" s="5"/>
      <c r="AV236" s="17">
        <f t="shared" ca="1" si="9"/>
        <v>20830.285276774146</v>
      </c>
      <c r="AW236" s="5"/>
      <c r="AX236" s="6">
        <f ca="1">IF(Table1[[#This Row],[Value of Debts]]&gt;$AY$4,1,0)</f>
        <v>1</v>
      </c>
      <c r="AY236" s="20"/>
      <c r="AZ236" s="20"/>
      <c r="BA236" s="5"/>
      <c r="BB236" s="25">
        <f ca="1">Table1[[#This Row],[Mortage Left]]/Table1[[#This Row],[Value of House]]</f>
        <v>0.28496126649008158</v>
      </c>
      <c r="BC236" s="20">
        <f t="shared" ca="1" si="11"/>
        <v>1</v>
      </c>
      <c r="BD236" s="20"/>
      <c r="BE236" s="20"/>
      <c r="BF236" s="20"/>
      <c r="BG236" s="6">
        <f ca="1">IF(Table1[[#This Row],[County]]="Cumbria",Table1[[#This Row],[income]],0)</f>
        <v>0</v>
      </c>
      <c r="BH236" s="20">
        <f ca="1">IF(Table1[[#This Row],[County]]="Cheshire",Table1[[#This Row],[income]],0)</f>
        <v>0</v>
      </c>
      <c r="BI236" s="20">
        <f ca="1">IF(Table1[[#This Row],[County]]="Bristol",Table1[[#This Row],[income]],0)</f>
        <v>0</v>
      </c>
      <c r="BJ236" s="20">
        <f ca="1">IF(Table1[[#This Row],[County]]="Surrey",Table1[[#This Row],[income]],0)</f>
        <v>0</v>
      </c>
      <c r="BK236" s="20">
        <f ca="1">IF(Table1[[#This Row],[County]]="Norfolk",Table1[[#This Row],[income]],0)</f>
        <v>0</v>
      </c>
      <c r="BL236" s="20">
        <f ca="1">IF(Table1[[#This Row],[County]]="Lincolnshire",Table1[[#This Row],[income]],0)</f>
        <v>0</v>
      </c>
      <c r="BM236" s="20">
        <f ca="1">IF(Table1[[#This Row],[County]]="Somerset",Table1[[#This Row],[income]],0)</f>
        <v>0</v>
      </c>
      <c r="BN236" s="20">
        <f ca="1">IF(Table1[[#This Row],[County]]="Cambridgeshire",Table1[[#This Row],[income]],0)</f>
        <v>0</v>
      </c>
      <c r="BO236" s="20">
        <f ca="1">IF(Table1[[#This Row],[County]]="South Yorkshire",Table1[[#This Row],[income]],0)</f>
        <v>0</v>
      </c>
      <c r="BP236" s="20">
        <f ca="1">IF(Table1[[#This Row],[County]]="Greater London",Table1[[#This Row],[income]],0)</f>
        <v>0</v>
      </c>
      <c r="BQ236" s="20">
        <f ca="1">IF(Table1[[#This Row],[County]]="Hampshire",Table1[[#This Row],[income]],0)</f>
        <v>0</v>
      </c>
      <c r="BR236" s="20">
        <f ca="1">IF(Table1[[#This Row],[County]]="Gloucestershire",Table1[[#This Row],[income]],0)</f>
        <v>0</v>
      </c>
      <c r="BS236" s="20">
        <f ca="1">IF(Table1[[#This Row],[County]]="West Sussex",Table1[[#This Row],[income]],0)</f>
        <v>0</v>
      </c>
      <c r="BT236" s="20">
        <f ca="1">IF(Table1[[#This Row],[County]]="Devon",Table1[[#This Row],[income]],0)</f>
        <v>0</v>
      </c>
      <c r="BU236" s="20">
        <f ca="1">IF(Table1[[#This Row],[County]]="Berkshire",Table1[[#This Row],[income]],0)</f>
        <v>0</v>
      </c>
      <c r="BV236" s="20">
        <f ca="1">IF(Table1[[#This Row],[County]]="Staffordshire",Table1[[#This Row],[income]],0)</f>
        <v>0</v>
      </c>
      <c r="BW236" s="20">
        <f ca="1">IF(Table1[[#This Row],[County]]="Leicestershire",Table1[[#This Row],[income]],0)</f>
        <v>0</v>
      </c>
      <c r="BX236" s="20">
        <f ca="1">IF(Table1[[#This Row],[County]]="Cornwall",Table1[[#This Row],[income]],0)</f>
        <v>0</v>
      </c>
      <c r="BY236" s="20">
        <f ca="1">IF(Table1[[#This Row],[County]]="Isle of Wight",Table1[[#This Row],[income]],0)</f>
        <v>0</v>
      </c>
      <c r="BZ236" s="20">
        <f ca="1">IF(Table1[[#This Row],[County]]="Surrey",Table1[[#This Row],[income]],0)</f>
        <v>0</v>
      </c>
      <c r="CA236" s="20">
        <f ca="1">IF(Table1[[#This Row],[County]]="Derbyshire",Table1[[#This Row],[income]],0)</f>
        <v>0</v>
      </c>
      <c r="CB236" s="20">
        <f ca="1">IF(Table1[[#This Row],[County]]="City of London",Table1[[#This Row],[income]],0)</f>
        <v>0</v>
      </c>
      <c r="CC236" s="20">
        <f ca="1">IF(Table1[[#This Row],[County]]="Bedfordshire",Table1[[#This Row],[income]],0)</f>
        <v>0</v>
      </c>
      <c r="CD236" s="20">
        <f ca="1">IF(Table1[[#This Row],[County]]="County Durham",Table1[[#This Row],[income]],0)</f>
        <v>0</v>
      </c>
      <c r="CE236" s="20">
        <f ca="1">IF(Table1[[#This Row],[County]]="East Riding of Yorkshire",Table1[[#This Row],[income]],0)</f>
        <v>0</v>
      </c>
      <c r="CF236" s="20">
        <f ca="1">IF(Table1[[#This Row],[County]]="West Yorkshire",Table1[[#This Row],[income]],0)</f>
        <v>0</v>
      </c>
      <c r="CG236" s="20">
        <f ca="1">IF(Table1[[#This Row],[County]]="Essex",Table1[[#This Row],[income]],0)</f>
        <v>0</v>
      </c>
      <c r="CH236" s="20">
        <f ca="1">IF(Table1[[#This Row],[County]]="East Sussex",Table1[[#This Row],[income]],0)</f>
        <v>0</v>
      </c>
      <c r="CI236" s="20">
        <f ca="1">IF(Table1[[#This Row],[County]]="Greater Manchester",Table1[[#This Row],[income]],0)</f>
        <v>0</v>
      </c>
      <c r="CJ236" s="20">
        <f ca="1">IF(Table1[[#This Row],[County]]="Hertfordshire",Table1[[#This Row],[income]],0)</f>
        <v>0</v>
      </c>
      <c r="CK236" s="20">
        <f ca="1">IF(Table1[[#This Row],[County]]="Herefordshire",Table1[[#This Row],[income]],0)</f>
        <v>0</v>
      </c>
      <c r="CL236" s="20">
        <f ca="1">IF(Table1[[#This Row],[County]]="Lancashire",Table1[[#This Row],[income]],0)</f>
        <v>0</v>
      </c>
      <c r="CM236" s="20">
        <f ca="1">IF(Table1[[#This Row],[County]]="Merseyside",Table1[[#This Row],[income]],0)</f>
        <v>0</v>
      </c>
      <c r="CN236" s="20">
        <f ca="1">IF(Table1[[#This Row],[County]]="Northamptonshire",Table1[[#This Row],[income]],0)</f>
        <v>96266</v>
      </c>
      <c r="CO236" s="20">
        <f ca="1">IF(Table1[[#This Row],[County]]="Northumberland",Table1[[#This Row],[income]],0)</f>
        <v>0</v>
      </c>
      <c r="CP236" s="20">
        <f ca="1">IF(Table1[[#This Row],[County]]="Wiltshire",Table1[[#This Row],[income]],0)</f>
        <v>0</v>
      </c>
      <c r="CQ236" s="20">
        <f ca="1">IF(Table1[[#This Row],[County]]="West Midlands",Table1[[#This Row],[income]],0)</f>
        <v>0</v>
      </c>
      <c r="CR236" s="20">
        <f ca="1">IF(Table1[[#This Row],[County]]="Warwickshire",Table1[[#This Row],[income]],0)</f>
        <v>0</v>
      </c>
      <c r="CS236" s="20">
        <f ca="1">IF(Table1[[#This Row],[County]]="Tyne and Wear",Table1[[#This Row],[income]],0)</f>
        <v>0</v>
      </c>
      <c r="CT236" s="20">
        <f ca="1">IF(Table1[[#This Row],[County]]="Worcestershire",Table1[[#This Row],[income]],0)</f>
        <v>0</v>
      </c>
      <c r="CU236" s="20">
        <f ca="1">IF(Table1[[#This Row],[County]]="Rutland",Table1[[#This Row],[income]],0)</f>
        <v>0</v>
      </c>
      <c r="CV236" s="20">
        <f ca="1">IF(Table1[[#This Row],[County]]="Shropshire",Table1[[#This Row],[income]],0)</f>
        <v>0</v>
      </c>
      <c r="CW236" s="20">
        <f ca="1">IF(Table1[[#This Row],[County]]="Dorset",Table1[[#This Row],[income]],0)</f>
        <v>0</v>
      </c>
      <c r="CX236" s="20">
        <f ca="1">IF(Table1[[#This Row],[County]]="Buckinghamshire",Table1[[#This Row],[income]],0)</f>
        <v>0</v>
      </c>
      <c r="CY236" s="20">
        <f ca="1">IF(Table1[[#This Row],[County]]="Suffolk",Table1[[#This Row],[income]],0)</f>
        <v>0</v>
      </c>
      <c r="CZ236" s="20">
        <f ca="1">IF(Table1[[#This Row],[County]]="North Yorkshire",Table1[[#This Row],[income]],0)</f>
        <v>0</v>
      </c>
      <c r="DA236" s="20">
        <f ca="1">IF(Table1[[#This Row],[County]]="Kent",Table1[[#This Row],[income]],0)</f>
        <v>0</v>
      </c>
      <c r="DB236" s="5">
        <f ca="1">IF(Table1[[#This Row],[County]]="Derbyshire",Table1[[#This Row],[income]],0)</f>
        <v>0</v>
      </c>
      <c r="DD236" s="6">
        <f ca="1">IF(Table1[[#This Row],[Column1]]="Health",Table1[[#This Row],[income]],0)</f>
        <v>0</v>
      </c>
      <c r="DE236" s="20">
        <f ca="1">IF(Table1[[#This Row],[Column1]]="Agriculture",Table1[[#This Row],[income]],0)</f>
        <v>0</v>
      </c>
      <c r="DF236" s="20">
        <f ca="1">IF(Table1[[#This Row],[Column1]]="Technology",Table1[[#This Row],[income]],0)</f>
        <v>96266</v>
      </c>
      <c r="DG236" s="20">
        <f ca="1">IF(Table1[[#This Row],[Column1]]="Social Service",Table1[[#This Row],[income]],0)</f>
        <v>0</v>
      </c>
      <c r="DH236" s="20">
        <f ca="1">IF(Table1[[#This Row],[Column1]]="Education",Table1[[#This Row],[income]],0)</f>
        <v>0</v>
      </c>
      <c r="DI236" s="5">
        <f ca="1">IF(Table1[[#This Row],[Column1]]="Construction",Table1[[#This Row],[income]],0)</f>
        <v>0</v>
      </c>
      <c r="DK236" s="6">
        <f ca="1">IF(Table1[[#This Row],[Value of Debts]]&gt;Table1[[#This Row],[income]],1,0)</f>
        <v>1</v>
      </c>
      <c r="DL236" s="20"/>
      <c r="DM236" s="20"/>
      <c r="DN236" s="5"/>
      <c r="DP236" s="6">
        <f ca="1">IF(Table1[[#This Row],[Net Worth (£)]]&gt;$DS$5,C236,0)</f>
        <v>0</v>
      </c>
      <c r="DQ236" s="20"/>
      <c r="DR236" s="20"/>
      <c r="DS236" s="5"/>
    </row>
    <row r="237" spans="1:123" x14ac:dyDescent="0.2">
      <c r="A237">
        <f t="shared" ca="1" si="10"/>
        <v>2</v>
      </c>
      <c r="B237" s="1" t="str">
        <f ca="1">IF(A237=1, "men", "women")</f>
        <v>women</v>
      </c>
      <c r="C237" s="1">
        <f ca="1">RANDBETWEEN(25,50)</f>
        <v>29</v>
      </c>
      <c r="D237">
        <f ca="1">RANDBETWEEN(1,6)</f>
        <v>3</v>
      </c>
      <c r="E237" t="str">
        <f ca="1">VLOOKUP(D237,$W$5:$X$10,2)</f>
        <v>Education</v>
      </c>
      <c r="F237">
        <f ca="1">RANDBETWEEN(1,5)</f>
        <v>5</v>
      </c>
      <c r="G237" t="str">
        <f ca="1">VLOOKUP(F237,$Y$5:$Z$9,2)</f>
        <v>Other</v>
      </c>
      <c r="H237">
        <f ca="1">RANDBETWEEN(0,4)</f>
        <v>4</v>
      </c>
      <c r="I237">
        <f ca="1">RANDBETWEEN(1,3)</f>
        <v>3</v>
      </c>
      <c r="J237">
        <f ca="1">RANDBETWEEN(30000,100000)</f>
        <v>35964</v>
      </c>
      <c r="K237">
        <f ca="1">RANDBETWEEN(1,48)</f>
        <v>44</v>
      </c>
      <c r="L237" t="str">
        <f ca="1">VLOOKUP(K237,$AA$5:$AB$52,2)</f>
        <v>West Midlands</v>
      </c>
      <c r="M237">
        <f ca="1">J237*(RANDBETWEEN(2,5))</f>
        <v>143856</v>
      </c>
      <c r="N237">
        <f ca="1">RAND()*M237</f>
        <v>33380.59920385787</v>
      </c>
      <c r="O237">
        <f ca="1">I237*RAND()*J237</f>
        <v>62490.855830322434</v>
      </c>
      <c r="P237">
        <f ca="1">RANDBETWEEN(0,O237)</f>
        <v>21437</v>
      </c>
      <c r="Q237">
        <f ca="1">RAND()*J237*2</f>
        <v>61719.149111327453</v>
      </c>
      <c r="R237">
        <f ca="1">RAND()*J237*1.5</f>
        <v>307.10752632523895</v>
      </c>
      <c r="S237">
        <f ca="1">J237+R237+O237</f>
        <v>98761.96335664767</v>
      </c>
      <c r="T237">
        <f ca="1">N237+P237+Q237</f>
        <v>116536.74831518532</v>
      </c>
      <c r="U237">
        <f ca="1">S237-T237</f>
        <v>-17774.784958537653</v>
      </c>
      <c r="AC237" s="6">
        <f ca="1">IF(Table1[[#This Row],[gender]]="men",1,0)</f>
        <v>0</v>
      </c>
      <c r="AD237">
        <f ca="1">IF(Table1[[#This Row],[gender]]="women",1,0)</f>
        <v>1</v>
      </c>
      <c r="AH237" s="5"/>
      <c r="AJ237" s="6">
        <f ca="1">IF(Table1[[#This Row],[Column1]]="Health",1,0)</f>
        <v>0</v>
      </c>
      <c r="AK237">
        <f ca="1">IF(Table1[[#This Row],[Column1]]="Construction",1,0)</f>
        <v>0</v>
      </c>
      <c r="AL237">
        <f ca="1">IF(Table1[[#This Row],[Column1]]="Technology",1,0)</f>
        <v>0</v>
      </c>
      <c r="AM237">
        <f ca="1">IF(Table1[[#This Row],[Column1]]="Education",1,0)</f>
        <v>1</v>
      </c>
      <c r="AN237">
        <f ca="1">IF(Table1[[#This Row],[Column1]]="Agriculture",1,0)</f>
        <v>0</v>
      </c>
      <c r="AO237">
        <f ca="1">IF(Table1[[#This Row],[Column1]]="Social Service", 1, 0)</f>
        <v>0</v>
      </c>
      <c r="AT237" s="5"/>
      <c r="AV237" s="17">
        <f t="shared" ca="1" si="9"/>
        <v>10375.03631838687</v>
      </c>
      <c r="AW237" s="5"/>
      <c r="AX237" s="6">
        <f ca="1">IF(Table1[[#This Row],[Value of Debts]]&gt;$AY$4,1,0)</f>
        <v>1</v>
      </c>
      <c r="AY237" s="20"/>
      <c r="AZ237" s="20"/>
      <c r="BA237" s="5"/>
      <c r="BB237" s="25">
        <f ca="1">Table1[[#This Row],[Mortage Left]]/Table1[[#This Row],[Value of House]]</f>
        <v>0.23204175845190933</v>
      </c>
      <c r="BC237" s="20">
        <f t="shared" ca="1" si="11"/>
        <v>1</v>
      </c>
      <c r="BD237" s="20"/>
      <c r="BE237" s="20"/>
      <c r="BF237" s="20"/>
      <c r="BG237" s="6">
        <f ca="1">IF(Table1[[#This Row],[County]]="Cumbria",Table1[[#This Row],[income]],0)</f>
        <v>0</v>
      </c>
      <c r="BH237" s="20">
        <f ca="1">IF(Table1[[#This Row],[County]]="Cheshire",Table1[[#This Row],[income]],0)</f>
        <v>0</v>
      </c>
      <c r="BI237" s="20">
        <f ca="1">IF(Table1[[#This Row],[County]]="Bristol",Table1[[#This Row],[income]],0)</f>
        <v>0</v>
      </c>
      <c r="BJ237" s="20">
        <f ca="1">IF(Table1[[#This Row],[County]]="Surrey",Table1[[#This Row],[income]],0)</f>
        <v>0</v>
      </c>
      <c r="BK237" s="20">
        <f ca="1">IF(Table1[[#This Row],[County]]="Norfolk",Table1[[#This Row],[income]],0)</f>
        <v>0</v>
      </c>
      <c r="BL237" s="20">
        <f ca="1">IF(Table1[[#This Row],[County]]="Lincolnshire",Table1[[#This Row],[income]],0)</f>
        <v>0</v>
      </c>
      <c r="BM237" s="20">
        <f ca="1">IF(Table1[[#This Row],[County]]="Somerset",Table1[[#This Row],[income]],0)</f>
        <v>0</v>
      </c>
      <c r="BN237" s="20">
        <f ca="1">IF(Table1[[#This Row],[County]]="Cambridgeshire",Table1[[#This Row],[income]],0)</f>
        <v>0</v>
      </c>
      <c r="BO237" s="20">
        <f ca="1">IF(Table1[[#This Row],[County]]="South Yorkshire",Table1[[#This Row],[income]],0)</f>
        <v>0</v>
      </c>
      <c r="BP237" s="20">
        <f ca="1">IF(Table1[[#This Row],[County]]="Greater London",Table1[[#This Row],[income]],0)</f>
        <v>0</v>
      </c>
      <c r="BQ237" s="20">
        <f ca="1">IF(Table1[[#This Row],[County]]="Hampshire",Table1[[#This Row],[income]],0)</f>
        <v>0</v>
      </c>
      <c r="BR237" s="20">
        <f ca="1">IF(Table1[[#This Row],[County]]="Gloucestershire",Table1[[#This Row],[income]],0)</f>
        <v>0</v>
      </c>
      <c r="BS237" s="20">
        <f ca="1">IF(Table1[[#This Row],[County]]="West Sussex",Table1[[#This Row],[income]],0)</f>
        <v>0</v>
      </c>
      <c r="BT237" s="20">
        <f ca="1">IF(Table1[[#This Row],[County]]="Devon",Table1[[#This Row],[income]],0)</f>
        <v>0</v>
      </c>
      <c r="BU237" s="20">
        <f ca="1">IF(Table1[[#This Row],[County]]="Berkshire",Table1[[#This Row],[income]],0)</f>
        <v>0</v>
      </c>
      <c r="BV237" s="20">
        <f ca="1">IF(Table1[[#This Row],[County]]="Staffordshire",Table1[[#This Row],[income]],0)</f>
        <v>0</v>
      </c>
      <c r="BW237" s="20">
        <f ca="1">IF(Table1[[#This Row],[County]]="Leicestershire",Table1[[#This Row],[income]],0)</f>
        <v>0</v>
      </c>
      <c r="BX237" s="20">
        <f ca="1">IF(Table1[[#This Row],[County]]="Cornwall",Table1[[#This Row],[income]],0)</f>
        <v>0</v>
      </c>
      <c r="BY237" s="20">
        <f ca="1">IF(Table1[[#This Row],[County]]="Isle of Wight",Table1[[#This Row],[income]],0)</f>
        <v>0</v>
      </c>
      <c r="BZ237" s="20">
        <f ca="1">IF(Table1[[#This Row],[County]]="Surrey",Table1[[#This Row],[income]],0)</f>
        <v>0</v>
      </c>
      <c r="CA237" s="20">
        <f ca="1">IF(Table1[[#This Row],[County]]="Derbyshire",Table1[[#This Row],[income]],0)</f>
        <v>0</v>
      </c>
      <c r="CB237" s="20">
        <f ca="1">IF(Table1[[#This Row],[County]]="City of London",Table1[[#This Row],[income]],0)</f>
        <v>0</v>
      </c>
      <c r="CC237" s="20">
        <f ca="1">IF(Table1[[#This Row],[County]]="Bedfordshire",Table1[[#This Row],[income]],0)</f>
        <v>0</v>
      </c>
      <c r="CD237" s="20">
        <f ca="1">IF(Table1[[#This Row],[County]]="County Durham",Table1[[#This Row],[income]],0)</f>
        <v>0</v>
      </c>
      <c r="CE237" s="20">
        <f ca="1">IF(Table1[[#This Row],[County]]="East Riding of Yorkshire",Table1[[#This Row],[income]],0)</f>
        <v>0</v>
      </c>
      <c r="CF237" s="20">
        <f ca="1">IF(Table1[[#This Row],[County]]="West Yorkshire",Table1[[#This Row],[income]],0)</f>
        <v>0</v>
      </c>
      <c r="CG237" s="20">
        <f ca="1">IF(Table1[[#This Row],[County]]="Essex",Table1[[#This Row],[income]],0)</f>
        <v>0</v>
      </c>
      <c r="CH237" s="20">
        <f ca="1">IF(Table1[[#This Row],[County]]="East Sussex",Table1[[#This Row],[income]],0)</f>
        <v>0</v>
      </c>
      <c r="CI237" s="20">
        <f ca="1">IF(Table1[[#This Row],[County]]="Greater Manchester",Table1[[#This Row],[income]],0)</f>
        <v>0</v>
      </c>
      <c r="CJ237" s="20">
        <f ca="1">IF(Table1[[#This Row],[County]]="Hertfordshire",Table1[[#This Row],[income]],0)</f>
        <v>0</v>
      </c>
      <c r="CK237" s="20">
        <f ca="1">IF(Table1[[#This Row],[County]]="Herefordshire",Table1[[#This Row],[income]],0)</f>
        <v>0</v>
      </c>
      <c r="CL237" s="20">
        <f ca="1">IF(Table1[[#This Row],[County]]="Lancashire",Table1[[#This Row],[income]],0)</f>
        <v>0</v>
      </c>
      <c r="CM237" s="20">
        <f ca="1">IF(Table1[[#This Row],[County]]="Merseyside",Table1[[#This Row],[income]],0)</f>
        <v>0</v>
      </c>
      <c r="CN237" s="20">
        <f ca="1">IF(Table1[[#This Row],[County]]="Northamptonshire",Table1[[#This Row],[income]],0)</f>
        <v>0</v>
      </c>
      <c r="CO237" s="20">
        <f ca="1">IF(Table1[[#This Row],[County]]="Northumberland",Table1[[#This Row],[income]],0)</f>
        <v>0</v>
      </c>
      <c r="CP237" s="20">
        <f ca="1">IF(Table1[[#This Row],[County]]="Wiltshire",Table1[[#This Row],[income]],0)</f>
        <v>0</v>
      </c>
      <c r="CQ237" s="20">
        <f ca="1">IF(Table1[[#This Row],[County]]="West Midlands",Table1[[#This Row],[income]],0)</f>
        <v>35964</v>
      </c>
      <c r="CR237" s="20">
        <f ca="1">IF(Table1[[#This Row],[County]]="Warwickshire",Table1[[#This Row],[income]],0)</f>
        <v>0</v>
      </c>
      <c r="CS237" s="20">
        <f ca="1">IF(Table1[[#This Row],[County]]="Tyne and Wear",Table1[[#This Row],[income]],0)</f>
        <v>0</v>
      </c>
      <c r="CT237" s="20">
        <f ca="1">IF(Table1[[#This Row],[County]]="Worcestershire",Table1[[#This Row],[income]],0)</f>
        <v>0</v>
      </c>
      <c r="CU237" s="20">
        <f ca="1">IF(Table1[[#This Row],[County]]="Rutland",Table1[[#This Row],[income]],0)</f>
        <v>0</v>
      </c>
      <c r="CV237" s="20">
        <f ca="1">IF(Table1[[#This Row],[County]]="Shropshire",Table1[[#This Row],[income]],0)</f>
        <v>0</v>
      </c>
      <c r="CW237" s="20">
        <f ca="1">IF(Table1[[#This Row],[County]]="Dorset",Table1[[#This Row],[income]],0)</f>
        <v>0</v>
      </c>
      <c r="CX237" s="20">
        <f ca="1">IF(Table1[[#This Row],[County]]="Buckinghamshire",Table1[[#This Row],[income]],0)</f>
        <v>0</v>
      </c>
      <c r="CY237" s="20">
        <f ca="1">IF(Table1[[#This Row],[County]]="Suffolk",Table1[[#This Row],[income]],0)</f>
        <v>0</v>
      </c>
      <c r="CZ237" s="20">
        <f ca="1">IF(Table1[[#This Row],[County]]="North Yorkshire",Table1[[#This Row],[income]],0)</f>
        <v>0</v>
      </c>
      <c r="DA237" s="20">
        <f ca="1">IF(Table1[[#This Row],[County]]="Kent",Table1[[#This Row],[income]],0)</f>
        <v>0</v>
      </c>
      <c r="DB237" s="5">
        <f ca="1">IF(Table1[[#This Row],[County]]="Derbyshire",Table1[[#This Row],[income]],0)</f>
        <v>0</v>
      </c>
      <c r="DD237" s="6">
        <f ca="1">IF(Table1[[#This Row],[Column1]]="Health",Table1[[#This Row],[income]],0)</f>
        <v>0</v>
      </c>
      <c r="DE237" s="20">
        <f ca="1">IF(Table1[[#This Row],[Column1]]="Agriculture",Table1[[#This Row],[income]],0)</f>
        <v>0</v>
      </c>
      <c r="DF237" s="20">
        <f ca="1">IF(Table1[[#This Row],[Column1]]="Technology",Table1[[#This Row],[income]],0)</f>
        <v>0</v>
      </c>
      <c r="DG237" s="20">
        <f ca="1">IF(Table1[[#This Row],[Column1]]="Social Service",Table1[[#This Row],[income]],0)</f>
        <v>0</v>
      </c>
      <c r="DH237" s="20">
        <f ca="1">IF(Table1[[#This Row],[Column1]]="Education",Table1[[#This Row],[income]],0)</f>
        <v>35964</v>
      </c>
      <c r="DI237" s="5">
        <f ca="1">IF(Table1[[#This Row],[Column1]]="Construction",Table1[[#This Row],[income]],0)</f>
        <v>0</v>
      </c>
      <c r="DK237" s="6">
        <f ca="1">IF(Table1[[#This Row],[Value of Debts]]&gt;Table1[[#This Row],[income]],1,0)</f>
        <v>1</v>
      </c>
      <c r="DL237" s="20"/>
      <c r="DM237" s="20"/>
      <c r="DN237" s="5"/>
      <c r="DP237" s="6">
        <f ca="1">IF(Table1[[#This Row],[Net Worth (£)]]&gt;$DS$5,C237,0)</f>
        <v>0</v>
      </c>
      <c r="DQ237" s="20"/>
      <c r="DR237" s="20"/>
      <c r="DS237" s="5"/>
    </row>
    <row r="238" spans="1:123" x14ac:dyDescent="0.2">
      <c r="A238">
        <f t="shared" ca="1" si="10"/>
        <v>2</v>
      </c>
      <c r="B238" s="1" t="str">
        <f ca="1">IF(A238=1, "men", "women")</f>
        <v>women</v>
      </c>
      <c r="C238" s="1">
        <f ca="1">RANDBETWEEN(25,50)</f>
        <v>37</v>
      </c>
      <c r="D238">
        <f ca="1">RANDBETWEEN(1,6)</f>
        <v>5</v>
      </c>
      <c r="E238" t="str">
        <f ca="1">VLOOKUP(D238,$W$5:$X$10,2)</f>
        <v>Social Service</v>
      </c>
      <c r="F238">
        <f ca="1">RANDBETWEEN(1,5)</f>
        <v>3</v>
      </c>
      <c r="G238" t="str">
        <f ca="1">VLOOKUP(F238,$Y$5:$Z$9,2)</f>
        <v>University</v>
      </c>
      <c r="H238">
        <f ca="1">RANDBETWEEN(0,4)</f>
        <v>0</v>
      </c>
      <c r="I238">
        <f ca="1">RANDBETWEEN(1,3)</f>
        <v>3</v>
      </c>
      <c r="J238">
        <f ca="1">RANDBETWEEN(30000,100000)</f>
        <v>57036</v>
      </c>
      <c r="K238">
        <f ca="1">RANDBETWEEN(1,48)</f>
        <v>4</v>
      </c>
      <c r="L238" t="str">
        <f ca="1">VLOOKUP(K238,$AA$5:$AB$52,2)</f>
        <v>Buckinghamshire</v>
      </c>
      <c r="M238">
        <f ca="1">J238*(RANDBETWEEN(2,5))</f>
        <v>171108</v>
      </c>
      <c r="N238">
        <f ca="1">RAND()*M238</f>
        <v>105714.14694193659</v>
      </c>
      <c r="O238">
        <f ca="1">I238*RAND()*J238</f>
        <v>31125.108955160609</v>
      </c>
      <c r="P238">
        <f ca="1">RANDBETWEEN(0,O238)</f>
        <v>18422</v>
      </c>
      <c r="Q238">
        <f ca="1">RAND()*J238*2</f>
        <v>22451.853572070537</v>
      </c>
      <c r="R238">
        <f ca="1">RAND()*J238*1.5</f>
        <v>8108.7043453742226</v>
      </c>
      <c r="S238">
        <f ca="1">J238+R238+O238</f>
        <v>96269.813300534835</v>
      </c>
      <c r="T238">
        <f ca="1">N238+P238+Q238</f>
        <v>146588.00051400712</v>
      </c>
      <c r="U238">
        <f ca="1">S238-T238</f>
        <v>-50318.18721347228</v>
      </c>
      <c r="AC238" s="6">
        <f ca="1">IF(Table1[[#This Row],[gender]]="men",1,0)</f>
        <v>0</v>
      </c>
      <c r="AD238">
        <f ca="1">IF(Table1[[#This Row],[gender]]="women",1,0)</f>
        <v>1</v>
      </c>
      <c r="AH238" s="5"/>
      <c r="AJ238" s="6">
        <f ca="1">IF(Table1[[#This Row],[Column1]]="Health",1,0)</f>
        <v>0</v>
      </c>
      <c r="AK238">
        <f ca="1">IF(Table1[[#This Row],[Column1]]="Construction",1,0)</f>
        <v>0</v>
      </c>
      <c r="AL238">
        <f ca="1">IF(Table1[[#This Row],[Column1]]="Technology",1,0)</f>
        <v>0</v>
      </c>
      <c r="AM238">
        <f ca="1">IF(Table1[[#This Row],[Column1]]="Education",1,0)</f>
        <v>0</v>
      </c>
      <c r="AN238">
        <f ca="1">IF(Table1[[#This Row],[Column1]]="Agriculture",1,0)</f>
        <v>0</v>
      </c>
      <c r="AO238">
        <f ca="1">IF(Table1[[#This Row],[Column1]]="Social Service", 1, 0)</f>
        <v>1</v>
      </c>
      <c r="AT238" s="5"/>
      <c r="AV238" s="17">
        <f t="shared" ca="1" si="9"/>
        <v>23171.734147857638</v>
      </c>
      <c r="AW238" s="5"/>
      <c r="AX238" s="6">
        <f ca="1">IF(Table1[[#This Row],[Value of Debts]]&gt;$AY$4,1,0)</f>
        <v>1</v>
      </c>
      <c r="AY238" s="20"/>
      <c r="AZ238" s="20"/>
      <c r="BA238" s="5"/>
      <c r="BB238" s="25">
        <f ca="1">Table1[[#This Row],[Mortage Left]]/Table1[[#This Row],[Value of House]]</f>
        <v>0.6178211827730824</v>
      </c>
      <c r="BC238" s="20">
        <f t="shared" ca="1" si="11"/>
        <v>0</v>
      </c>
      <c r="BD238" s="20"/>
      <c r="BE238" s="20"/>
      <c r="BF238" s="20"/>
      <c r="BG238" s="6">
        <f ca="1">IF(Table1[[#This Row],[County]]="Cumbria",Table1[[#This Row],[income]],0)</f>
        <v>0</v>
      </c>
      <c r="BH238" s="20">
        <f ca="1">IF(Table1[[#This Row],[County]]="Cheshire",Table1[[#This Row],[income]],0)</f>
        <v>0</v>
      </c>
      <c r="BI238" s="20">
        <f ca="1">IF(Table1[[#This Row],[County]]="Bristol",Table1[[#This Row],[income]],0)</f>
        <v>0</v>
      </c>
      <c r="BJ238" s="20">
        <f ca="1">IF(Table1[[#This Row],[County]]="Surrey",Table1[[#This Row],[income]],0)</f>
        <v>0</v>
      </c>
      <c r="BK238" s="20">
        <f ca="1">IF(Table1[[#This Row],[County]]="Norfolk",Table1[[#This Row],[income]],0)</f>
        <v>0</v>
      </c>
      <c r="BL238" s="20">
        <f ca="1">IF(Table1[[#This Row],[County]]="Lincolnshire",Table1[[#This Row],[income]],0)</f>
        <v>0</v>
      </c>
      <c r="BM238" s="20">
        <f ca="1">IF(Table1[[#This Row],[County]]="Somerset",Table1[[#This Row],[income]],0)</f>
        <v>0</v>
      </c>
      <c r="BN238" s="20">
        <f ca="1">IF(Table1[[#This Row],[County]]="Cambridgeshire",Table1[[#This Row],[income]],0)</f>
        <v>0</v>
      </c>
      <c r="BO238" s="20">
        <f ca="1">IF(Table1[[#This Row],[County]]="South Yorkshire",Table1[[#This Row],[income]],0)</f>
        <v>0</v>
      </c>
      <c r="BP238" s="20">
        <f ca="1">IF(Table1[[#This Row],[County]]="Greater London",Table1[[#This Row],[income]],0)</f>
        <v>0</v>
      </c>
      <c r="BQ238" s="20">
        <f ca="1">IF(Table1[[#This Row],[County]]="Hampshire",Table1[[#This Row],[income]],0)</f>
        <v>0</v>
      </c>
      <c r="BR238" s="20">
        <f ca="1">IF(Table1[[#This Row],[County]]="Gloucestershire",Table1[[#This Row],[income]],0)</f>
        <v>0</v>
      </c>
      <c r="BS238" s="20">
        <f ca="1">IF(Table1[[#This Row],[County]]="West Sussex",Table1[[#This Row],[income]],0)</f>
        <v>0</v>
      </c>
      <c r="BT238" s="20">
        <f ca="1">IF(Table1[[#This Row],[County]]="Devon",Table1[[#This Row],[income]],0)</f>
        <v>0</v>
      </c>
      <c r="BU238" s="20">
        <f ca="1">IF(Table1[[#This Row],[County]]="Berkshire",Table1[[#This Row],[income]],0)</f>
        <v>0</v>
      </c>
      <c r="BV238" s="20">
        <f ca="1">IF(Table1[[#This Row],[County]]="Staffordshire",Table1[[#This Row],[income]],0)</f>
        <v>0</v>
      </c>
      <c r="BW238" s="20">
        <f ca="1">IF(Table1[[#This Row],[County]]="Leicestershire",Table1[[#This Row],[income]],0)</f>
        <v>0</v>
      </c>
      <c r="BX238" s="20">
        <f ca="1">IF(Table1[[#This Row],[County]]="Cornwall",Table1[[#This Row],[income]],0)</f>
        <v>0</v>
      </c>
      <c r="BY238" s="20">
        <f ca="1">IF(Table1[[#This Row],[County]]="Isle of Wight",Table1[[#This Row],[income]],0)</f>
        <v>0</v>
      </c>
      <c r="BZ238" s="20">
        <f ca="1">IF(Table1[[#This Row],[County]]="Surrey",Table1[[#This Row],[income]],0)</f>
        <v>0</v>
      </c>
      <c r="CA238" s="20">
        <f ca="1">IF(Table1[[#This Row],[County]]="Derbyshire",Table1[[#This Row],[income]],0)</f>
        <v>0</v>
      </c>
      <c r="CB238" s="20">
        <f ca="1">IF(Table1[[#This Row],[County]]="City of London",Table1[[#This Row],[income]],0)</f>
        <v>0</v>
      </c>
      <c r="CC238" s="20">
        <f ca="1">IF(Table1[[#This Row],[County]]="Bedfordshire",Table1[[#This Row],[income]],0)</f>
        <v>0</v>
      </c>
      <c r="CD238" s="20">
        <f ca="1">IF(Table1[[#This Row],[County]]="County Durham",Table1[[#This Row],[income]],0)</f>
        <v>0</v>
      </c>
      <c r="CE238" s="20">
        <f ca="1">IF(Table1[[#This Row],[County]]="East Riding of Yorkshire",Table1[[#This Row],[income]],0)</f>
        <v>0</v>
      </c>
      <c r="CF238" s="20">
        <f ca="1">IF(Table1[[#This Row],[County]]="West Yorkshire",Table1[[#This Row],[income]],0)</f>
        <v>0</v>
      </c>
      <c r="CG238" s="20">
        <f ca="1">IF(Table1[[#This Row],[County]]="Essex",Table1[[#This Row],[income]],0)</f>
        <v>0</v>
      </c>
      <c r="CH238" s="20">
        <f ca="1">IF(Table1[[#This Row],[County]]="East Sussex",Table1[[#This Row],[income]],0)</f>
        <v>0</v>
      </c>
      <c r="CI238" s="20">
        <f ca="1">IF(Table1[[#This Row],[County]]="Greater Manchester",Table1[[#This Row],[income]],0)</f>
        <v>0</v>
      </c>
      <c r="CJ238" s="20">
        <f ca="1">IF(Table1[[#This Row],[County]]="Hertfordshire",Table1[[#This Row],[income]],0)</f>
        <v>0</v>
      </c>
      <c r="CK238" s="20">
        <f ca="1">IF(Table1[[#This Row],[County]]="Herefordshire",Table1[[#This Row],[income]],0)</f>
        <v>0</v>
      </c>
      <c r="CL238" s="20">
        <f ca="1">IF(Table1[[#This Row],[County]]="Lancashire",Table1[[#This Row],[income]],0)</f>
        <v>0</v>
      </c>
      <c r="CM238" s="20">
        <f ca="1">IF(Table1[[#This Row],[County]]="Merseyside",Table1[[#This Row],[income]],0)</f>
        <v>0</v>
      </c>
      <c r="CN238" s="20">
        <f ca="1">IF(Table1[[#This Row],[County]]="Northamptonshire",Table1[[#This Row],[income]],0)</f>
        <v>0</v>
      </c>
      <c r="CO238" s="20">
        <f ca="1">IF(Table1[[#This Row],[County]]="Northumberland",Table1[[#This Row],[income]],0)</f>
        <v>0</v>
      </c>
      <c r="CP238" s="20">
        <f ca="1">IF(Table1[[#This Row],[County]]="Wiltshire",Table1[[#This Row],[income]],0)</f>
        <v>0</v>
      </c>
      <c r="CQ238" s="20">
        <f ca="1">IF(Table1[[#This Row],[County]]="West Midlands",Table1[[#This Row],[income]],0)</f>
        <v>0</v>
      </c>
      <c r="CR238" s="20">
        <f ca="1">IF(Table1[[#This Row],[County]]="Warwickshire",Table1[[#This Row],[income]],0)</f>
        <v>0</v>
      </c>
      <c r="CS238" s="20">
        <f ca="1">IF(Table1[[#This Row],[County]]="Tyne and Wear",Table1[[#This Row],[income]],0)</f>
        <v>0</v>
      </c>
      <c r="CT238" s="20">
        <f ca="1">IF(Table1[[#This Row],[County]]="Worcestershire",Table1[[#This Row],[income]],0)</f>
        <v>0</v>
      </c>
      <c r="CU238" s="20">
        <f ca="1">IF(Table1[[#This Row],[County]]="Rutland",Table1[[#This Row],[income]],0)</f>
        <v>0</v>
      </c>
      <c r="CV238" s="20">
        <f ca="1">IF(Table1[[#This Row],[County]]="Shropshire",Table1[[#This Row],[income]],0)</f>
        <v>0</v>
      </c>
      <c r="CW238" s="20">
        <f ca="1">IF(Table1[[#This Row],[County]]="Dorset",Table1[[#This Row],[income]],0)</f>
        <v>0</v>
      </c>
      <c r="CX238" s="20">
        <f ca="1">IF(Table1[[#This Row],[County]]="Buckinghamshire",Table1[[#This Row],[income]],0)</f>
        <v>57036</v>
      </c>
      <c r="CY238" s="20">
        <f ca="1">IF(Table1[[#This Row],[County]]="Suffolk",Table1[[#This Row],[income]],0)</f>
        <v>0</v>
      </c>
      <c r="CZ238" s="20">
        <f ca="1">IF(Table1[[#This Row],[County]]="North Yorkshire",Table1[[#This Row],[income]],0)</f>
        <v>0</v>
      </c>
      <c r="DA238" s="20">
        <f ca="1">IF(Table1[[#This Row],[County]]="Kent",Table1[[#This Row],[income]],0)</f>
        <v>0</v>
      </c>
      <c r="DB238" s="5">
        <f ca="1">IF(Table1[[#This Row],[County]]="Derbyshire",Table1[[#This Row],[income]],0)</f>
        <v>0</v>
      </c>
      <c r="DD238" s="6">
        <f ca="1">IF(Table1[[#This Row],[Column1]]="Health",Table1[[#This Row],[income]],0)</f>
        <v>0</v>
      </c>
      <c r="DE238" s="20">
        <f ca="1">IF(Table1[[#This Row],[Column1]]="Agriculture",Table1[[#This Row],[income]],0)</f>
        <v>0</v>
      </c>
      <c r="DF238" s="20">
        <f ca="1">IF(Table1[[#This Row],[Column1]]="Technology",Table1[[#This Row],[income]],0)</f>
        <v>0</v>
      </c>
      <c r="DG238" s="20">
        <f ca="1">IF(Table1[[#This Row],[Column1]]="Social Service",Table1[[#This Row],[income]],0)</f>
        <v>57036</v>
      </c>
      <c r="DH238" s="20">
        <f ca="1">IF(Table1[[#This Row],[Column1]]="Education",Table1[[#This Row],[income]],0)</f>
        <v>0</v>
      </c>
      <c r="DI238" s="5">
        <f ca="1">IF(Table1[[#This Row],[Column1]]="Construction",Table1[[#This Row],[income]],0)</f>
        <v>0</v>
      </c>
      <c r="DK238" s="6">
        <f ca="1">IF(Table1[[#This Row],[Value of Debts]]&gt;Table1[[#This Row],[income]],1,0)</f>
        <v>1</v>
      </c>
      <c r="DL238" s="20"/>
      <c r="DM238" s="20"/>
      <c r="DN238" s="5"/>
      <c r="DP238" s="6">
        <f ca="1">IF(Table1[[#This Row],[Net Worth (£)]]&gt;$DS$5,C238,0)</f>
        <v>0</v>
      </c>
      <c r="DQ238" s="20"/>
      <c r="DR238" s="20"/>
      <c r="DS238" s="5"/>
    </row>
    <row r="239" spans="1:123" x14ac:dyDescent="0.2">
      <c r="A239">
        <f t="shared" ca="1" si="10"/>
        <v>1</v>
      </c>
      <c r="B239" s="1" t="str">
        <f ca="1">IF(A239=1, "men", "women")</f>
        <v>men</v>
      </c>
      <c r="C239" s="1">
        <f ca="1">RANDBETWEEN(25,50)</f>
        <v>25</v>
      </c>
      <c r="D239">
        <f ca="1">RANDBETWEEN(1,6)</f>
        <v>6</v>
      </c>
      <c r="E239" t="str">
        <f ca="1">VLOOKUP(D239,$W$5:$X$10,2)</f>
        <v>Agriculture</v>
      </c>
      <c r="F239">
        <f ca="1">RANDBETWEEN(1,5)</f>
        <v>1</v>
      </c>
      <c r="G239" t="str">
        <f ca="1">VLOOKUP(F239,$Y$5:$Z$9,2)</f>
        <v>High School</v>
      </c>
      <c r="H239">
        <f ca="1">RANDBETWEEN(0,4)</f>
        <v>4</v>
      </c>
      <c r="I239">
        <f ca="1">RANDBETWEEN(1,3)</f>
        <v>2</v>
      </c>
      <c r="J239">
        <f ca="1">RANDBETWEEN(30000,100000)</f>
        <v>59572</v>
      </c>
      <c r="K239">
        <f ca="1">RANDBETWEEN(1,48)</f>
        <v>42</v>
      </c>
      <c r="L239" t="str">
        <f ca="1">VLOOKUP(K239,$AA$5:$AB$52,2)</f>
        <v>Tyne and Wear</v>
      </c>
      <c r="M239">
        <f ca="1">J239*(RANDBETWEEN(2,5))</f>
        <v>178716</v>
      </c>
      <c r="N239">
        <f ca="1">RAND()*M239</f>
        <v>43115.026948352694</v>
      </c>
      <c r="O239">
        <f ca="1">I239*RAND()*J239</f>
        <v>46343.468295715276</v>
      </c>
      <c r="P239">
        <f ca="1">RANDBETWEEN(0,O239)</f>
        <v>7892</v>
      </c>
      <c r="Q239">
        <f ca="1">RAND()*J239*2</f>
        <v>8930.4324361104227</v>
      </c>
      <c r="R239">
        <f ca="1">RAND()*J239*1.5</f>
        <v>87895.912487970447</v>
      </c>
      <c r="S239">
        <f ca="1">J239+R239+O239</f>
        <v>193811.38078368572</v>
      </c>
      <c r="T239">
        <f ca="1">N239+P239+Q239</f>
        <v>59937.459384463116</v>
      </c>
      <c r="U239">
        <f ca="1">S239-T239</f>
        <v>133873.9213992226</v>
      </c>
      <c r="AC239" s="6">
        <f ca="1">IF(Table1[[#This Row],[gender]]="men",1,0)</f>
        <v>1</v>
      </c>
      <c r="AD239">
        <f ca="1">IF(Table1[[#This Row],[gender]]="women",1,0)</f>
        <v>0</v>
      </c>
      <c r="AH239" s="5"/>
      <c r="AJ239" s="6">
        <f ca="1">IF(Table1[[#This Row],[Column1]]="Health",1,0)</f>
        <v>0</v>
      </c>
      <c r="AK239">
        <f ca="1">IF(Table1[[#This Row],[Column1]]="Construction",1,0)</f>
        <v>0</v>
      </c>
      <c r="AL239">
        <f ca="1">IF(Table1[[#This Row],[Column1]]="Technology",1,0)</f>
        <v>0</v>
      </c>
      <c r="AM239">
        <f ca="1">IF(Table1[[#This Row],[Column1]]="Education",1,0)</f>
        <v>0</v>
      </c>
      <c r="AN239">
        <f ca="1">IF(Table1[[#This Row],[Column1]]="Agriculture",1,0)</f>
        <v>1</v>
      </c>
      <c r="AO239">
        <f ca="1">IF(Table1[[#This Row],[Column1]]="Social Service", 1, 0)</f>
        <v>0</v>
      </c>
      <c r="AT239" s="5"/>
      <c r="AV239" s="17">
        <f t="shared" ca="1" si="9"/>
        <v>5712.2995967278966</v>
      </c>
      <c r="AW239" s="5"/>
      <c r="AX239" s="6">
        <f ca="1">IF(Table1[[#This Row],[Value of Debts]]&gt;$AY$4,1,0)</f>
        <v>0</v>
      </c>
      <c r="AY239" s="20"/>
      <c r="AZ239" s="20"/>
      <c r="BA239" s="5"/>
      <c r="BB239" s="25">
        <f ca="1">Table1[[#This Row],[Mortage Left]]/Table1[[#This Row],[Value of House]]</f>
        <v>0.24124883585326828</v>
      </c>
      <c r="BC239" s="20">
        <f t="shared" ca="1" si="11"/>
        <v>1</v>
      </c>
      <c r="BD239" s="20"/>
      <c r="BE239" s="20"/>
      <c r="BF239" s="20"/>
      <c r="BG239" s="6">
        <f ca="1">IF(Table1[[#This Row],[County]]="Cumbria",Table1[[#This Row],[income]],0)</f>
        <v>0</v>
      </c>
      <c r="BH239" s="20">
        <f ca="1">IF(Table1[[#This Row],[County]]="Cheshire",Table1[[#This Row],[income]],0)</f>
        <v>0</v>
      </c>
      <c r="BI239" s="20">
        <f ca="1">IF(Table1[[#This Row],[County]]="Bristol",Table1[[#This Row],[income]],0)</f>
        <v>0</v>
      </c>
      <c r="BJ239" s="20">
        <f ca="1">IF(Table1[[#This Row],[County]]="Surrey",Table1[[#This Row],[income]],0)</f>
        <v>0</v>
      </c>
      <c r="BK239" s="20">
        <f ca="1">IF(Table1[[#This Row],[County]]="Norfolk",Table1[[#This Row],[income]],0)</f>
        <v>0</v>
      </c>
      <c r="BL239" s="20">
        <f ca="1">IF(Table1[[#This Row],[County]]="Lincolnshire",Table1[[#This Row],[income]],0)</f>
        <v>0</v>
      </c>
      <c r="BM239" s="20">
        <f ca="1">IF(Table1[[#This Row],[County]]="Somerset",Table1[[#This Row],[income]],0)</f>
        <v>0</v>
      </c>
      <c r="BN239" s="20">
        <f ca="1">IF(Table1[[#This Row],[County]]="Cambridgeshire",Table1[[#This Row],[income]],0)</f>
        <v>0</v>
      </c>
      <c r="BO239" s="20">
        <f ca="1">IF(Table1[[#This Row],[County]]="South Yorkshire",Table1[[#This Row],[income]],0)</f>
        <v>0</v>
      </c>
      <c r="BP239" s="20">
        <f ca="1">IF(Table1[[#This Row],[County]]="Greater London",Table1[[#This Row],[income]],0)</f>
        <v>0</v>
      </c>
      <c r="BQ239" s="20">
        <f ca="1">IF(Table1[[#This Row],[County]]="Hampshire",Table1[[#This Row],[income]],0)</f>
        <v>0</v>
      </c>
      <c r="BR239" s="20">
        <f ca="1">IF(Table1[[#This Row],[County]]="Gloucestershire",Table1[[#This Row],[income]],0)</f>
        <v>0</v>
      </c>
      <c r="BS239" s="20">
        <f ca="1">IF(Table1[[#This Row],[County]]="West Sussex",Table1[[#This Row],[income]],0)</f>
        <v>0</v>
      </c>
      <c r="BT239" s="20">
        <f ca="1">IF(Table1[[#This Row],[County]]="Devon",Table1[[#This Row],[income]],0)</f>
        <v>0</v>
      </c>
      <c r="BU239" s="20">
        <f ca="1">IF(Table1[[#This Row],[County]]="Berkshire",Table1[[#This Row],[income]],0)</f>
        <v>0</v>
      </c>
      <c r="BV239" s="20">
        <f ca="1">IF(Table1[[#This Row],[County]]="Staffordshire",Table1[[#This Row],[income]],0)</f>
        <v>0</v>
      </c>
      <c r="BW239" s="20">
        <f ca="1">IF(Table1[[#This Row],[County]]="Leicestershire",Table1[[#This Row],[income]],0)</f>
        <v>0</v>
      </c>
      <c r="BX239" s="20">
        <f ca="1">IF(Table1[[#This Row],[County]]="Cornwall",Table1[[#This Row],[income]],0)</f>
        <v>0</v>
      </c>
      <c r="BY239" s="20">
        <f ca="1">IF(Table1[[#This Row],[County]]="Isle of Wight",Table1[[#This Row],[income]],0)</f>
        <v>0</v>
      </c>
      <c r="BZ239" s="20">
        <f ca="1">IF(Table1[[#This Row],[County]]="Surrey",Table1[[#This Row],[income]],0)</f>
        <v>0</v>
      </c>
      <c r="CA239" s="20">
        <f ca="1">IF(Table1[[#This Row],[County]]="Derbyshire",Table1[[#This Row],[income]],0)</f>
        <v>0</v>
      </c>
      <c r="CB239" s="20">
        <f ca="1">IF(Table1[[#This Row],[County]]="City of London",Table1[[#This Row],[income]],0)</f>
        <v>0</v>
      </c>
      <c r="CC239" s="20">
        <f ca="1">IF(Table1[[#This Row],[County]]="Bedfordshire",Table1[[#This Row],[income]],0)</f>
        <v>0</v>
      </c>
      <c r="CD239" s="20">
        <f ca="1">IF(Table1[[#This Row],[County]]="County Durham",Table1[[#This Row],[income]],0)</f>
        <v>0</v>
      </c>
      <c r="CE239" s="20">
        <f ca="1">IF(Table1[[#This Row],[County]]="East Riding of Yorkshire",Table1[[#This Row],[income]],0)</f>
        <v>0</v>
      </c>
      <c r="CF239" s="20">
        <f ca="1">IF(Table1[[#This Row],[County]]="West Yorkshire",Table1[[#This Row],[income]],0)</f>
        <v>0</v>
      </c>
      <c r="CG239" s="20">
        <f ca="1">IF(Table1[[#This Row],[County]]="Essex",Table1[[#This Row],[income]],0)</f>
        <v>0</v>
      </c>
      <c r="CH239" s="20">
        <f ca="1">IF(Table1[[#This Row],[County]]="East Sussex",Table1[[#This Row],[income]],0)</f>
        <v>0</v>
      </c>
      <c r="CI239" s="20">
        <f ca="1">IF(Table1[[#This Row],[County]]="Greater Manchester",Table1[[#This Row],[income]],0)</f>
        <v>0</v>
      </c>
      <c r="CJ239" s="20">
        <f ca="1">IF(Table1[[#This Row],[County]]="Hertfordshire",Table1[[#This Row],[income]],0)</f>
        <v>0</v>
      </c>
      <c r="CK239" s="20">
        <f ca="1">IF(Table1[[#This Row],[County]]="Herefordshire",Table1[[#This Row],[income]],0)</f>
        <v>0</v>
      </c>
      <c r="CL239" s="20">
        <f ca="1">IF(Table1[[#This Row],[County]]="Lancashire",Table1[[#This Row],[income]],0)</f>
        <v>0</v>
      </c>
      <c r="CM239" s="20">
        <f ca="1">IF(Table1[[#This Row],[County]]="Merseyside",Table1[[#This Row],[income]],0)</f>
        <v>0</v>
      </c>
      <c r="CN239" s="20">
        <f ca="1">IF(Table1[[#This Row],[County]]="Northamptonshire",Table1[[#This Row],[income]],0)</f>
        <v>0</v>
      </c>
      <c r="CO239" s="20">
        <f ca="1">IF(Table1[[#This Row],[County]]="Northumberland",Table1[[#This Row],[income]],0)</f>
        <v>0</v>
      </c>
      <c r="CP239" s="20">
        <f ca="1">IF(Table1[[#This Row],[County]]="Wiltshire",Table1[[#This Row],[income]],0)</f>
        <v>0</v>
      </c>
      <c r="CQ239" s="20">
        <f ca="1">IF(Table1[[#This Row],[County]]="West Midlands",Table1[[#This Row],[income]],0)</f>
        <v>0</v>
      </c>
      <c r="CR239" s="20">
        <f ca="1">IF(Table1[[#This Row],[County]]="Warwickshire",Table1[[#This Row],[income]],0)</f>
        <v>0</v>
      </c>
      <c r="CS239" s="20">
        <f ca="1">IF(Table1[[#This Row],[County]]="Tyne and Wear",Table1[[#This Row],[income]],0)</f>
        <v>59572</v>
      </c>
      <c r="CT239" s="20">
        <f ca="1">IF(Table1[[#This Row],[County]]="Worcestershire",Table1[[#This Row],[income]],0)</f>
        <v>0</v>
      </c>
      <c r="CU239" s="20">
        <f ca="1">IF(Table1[[#This Row],[County]]="Rutland",Table1[[#This Row],[income]],0)</f>
        <v>0</v>
      </c>
      <c r="CV239" s="20">
        <f ca="1">IF(Table1[[#This Row],[County]]="Shropshire",Table1[[#This Row],[income]],0)</f>
        <v>0</v>
      </c>
      <c r="CW239" s="20">
        <f ca="1">IF(Table1[[#This Row],[County]]="Dorset",Table1[[#This Row],[income]],0)</f>
        <v>0</v>
      </c>
      <c r="CX239" s="20">
        <f ca="1">IF(Table1[[#This Row],[County]]="Buckinghamshire",Table1[[#This Row],[income]],0)</f>
        <v>0</v>
      </c>
      <c r="CY239" s="20">
        <f ca="1">IF(Table1[[#This Row],[County]]="Suffolk",Table1[[#This Row],[income]],0)</f>
        <v>0</v>
      </c>
      <c r="CZ239" s="20">
        <f ca="1">IF(Table1[[#This Row],[County]]="North Yorkshire",Table1[[#This Row],[income]],0)</f>
        <v>0</v>
      </c>
      <c r="DA239" s="20">
        <f ca="1">IF(Table1[[#This Row],[County]]="Kent",Table1[[#This Row],[income]],0)</f>
        <v>0</v>
      </c>
      <c r="DB239" s="5">
        <f ca="1">IF(Table1[[#This Row],[County]]="Derbyshire",Table1[[#This Row],[income]],0)</f>
        <v>0</v>
      </c>
      <c r="DD239" s="6">
        <f ca="1">IF(Table1[[#This Row],[Column1]]="Health",Table1[[#This Row],[income]],0)</f>
        <v>0</v>
      </c>
      <c r="DE239" s="20">
        <f ca="1">IF(Table1[[#This Row],[Column1]]="Agriculture",Table1[[#This Row],[income]],0)</f>
        <v>59572</v>
      </c>
      <c r="DF239" s="20">
        <f ca="1">IF(Table1[[#This Row],[Column1]]="Technology",Table1[[#This Row],[income]],0)</f>
        <v>0</v>
      </c>
      <c r="DG239" s="20">
        <f ca="1">IF(Table1[[#This Row],[Column1]]="Social Service",Table1[[#This Row],[income]],0)</f>
        <v>0</v>
      </c>
      <c r="DH239" s="20">
        <f ca="1">IF(Table1[[#This Row],[Column1]]="Education",Table1[[#This Row],[income]],0)</f>
        <v>0</v>
      </c>
      <c r="DI239" s="5">
        <f ca="1">IF(Table1[[#This Row],[Column1]]="Construction",Table1[[#This Row],[income]],0)</f>
        <v>0</v>
      </c>
      <c r="DK239" s="6">
        <f ca="1">IF(Table1[[#This Row],[Value of Debts]]&gt;Table1[[#This Row],[income]],1,0)</f>
        <v>1</v>
      </c>
      <c r="DL239" s="20"/>
      <c r="DM239" s="20"/>
      <c r="DN239" s="5"/>
      <c r="DP239" s="6">
        <f ca="1">IF(Table1[[#This Row],[Net Worth (£)]]&gt;$DS$5,C239,0)</f>
        <v>25</v>
      </c>
      <c r="DQ239" s="20"/>
      <c r="DR239" s="20"/>
      <c r="DS239" s="5"/>
    </row>
    <row r="240" spans="1:123" x14ac:dyDescent="0.2">
      <c r="A240">
        <f t="shared" ca="1" si="10"/>
        <v>1</v>
      </c>
      <c r="B240" s="1" t="str">
        <f ca="1">IF(A240=1, "men", "women")</f>
        <v>men</v>
      </c>
      <c r="C240" s="1">
        <f ca="1">RANDBETWEEN(25,50)</f>
        <v>39</v>
      </c>
      <c r="D240">
        <f ca="1">RANDBETWEEN(1,6)</f>
        <v>2</v>
      </c>
      <c r="E240" t="str">
        <f ca="1">VLOOKUP(D240,$W$5:$X$10,2)</f>
        <v>Construction</v>
      </c>
      <c r="F240">
        <f ca="1">RANDBETWEEN(1,5)</f>
        <v>2</v>
      </c>
      <c r="G240" t="str">
        <f ca="1">VLOOKUP(F240,$Y$5:$Z$9,2)</f>
        <v>College</v>
      </c>
      <c r="H240">
        <f ca="1">RANDBETWEEN(0,4)</f>
        <v>4</v>
      </c>
      <c r="I240">
        <f ca="1">RANDBETWEEN(1,3)</f>
        <v>1</v>
      </c>
      <c r="J240">
        <f ca="1">RANDBETWEEN(30000,100000)</f>
        <v>71239</v>
      </c>
      <c r="K240">
        <f ca="1">RANDBETWEEN(1,48)</f>
        <v>19</v>
      </c>
      <c r="L240" t="str">
        <f ca="1">VLOOKUP(K240,$AA$5:$AB$52,2)</f>
        <v>Greater Manchester</v>
      </c>
      <c r="M240">
        <f ca="1">J240*(RANDBETWEEN(2,5))</f>
        <v>142478</v>
      </c>
      <c r="N240">
        <f ca="1">RAND()*M240</f>
        <v>54641.620160800645</v>
      </c>
      <c r="O240">
        <f ca="1">I240*RAND()*J240</f>
        <v>5712.2995967278966</v>
      </c>
      <c r="P240">
        <f ca="1">RANDBETWEEN(0,O240)</f>
        <v>4136</v>
      </c>
      <c r="Q240">
        <f ca="1">RAND()*J240*2</f>
        <v>111448.81489057481</v>
      </c>
      <c r="R240">
        <f ca="1">RAND()*J240*1.5</f>
        <v>43400.73086509206</v>
      </c>
      <c r="S240">
        <f ca="1">J240+R240+O240</f>
        <v>120352.03046181996</v>
      </c>
      <c r="T240">
        <f ca="1">N240+P240+Q240</f>
        <v>170226.43505137545</v>
      </c>
      <c r="U240">
        <f ca="1">S240-T240</f>
        <v>-49874.404589555488</v>
      </c>
      <c r="AC240" s="6">
        <f ca="1">IF(Table1[[#This Row],[gender]]="men",1,0)</f>
        <v>1</v>
      </c>
      <c r="AD240">
        <f ca="1">IF(Table1[[#This Row],[gender]]="women",1,0)</f>
        <v>0</v>
      </c>
      <c r="AH240" s="5"/>
      <c r="AJ240" s="6">
        <f ca="1">IF(Table1[[#This Row],[Column1]]="Health",1,0)</f>
        <v>0</v>
      </c>
      <c r="AK240">
        <f ca="1">IF(Table1[[#This Row],[Column1]]="Construction",1,0)</f>
        <v>1</v>
      </c>
      <c r="AL240">
        <f ca="1">IF(Table1[[#This Row],[Column1]]="Technology",1,0)</f>
        <v>0</v>
      </c>
      <c r="AM240">
        <f ca="1">IF(Table1[[#This Row],[Column1]]="Education",1,0)</f>
        <v>0</v>
      </c>
      <c r="AN240">
        <f ca="1">IF(Table1[[#This Row],[Column1]]="Agriculture",1,0)</f>
        <v>0</v>
      </c>
      <c r="AO240">
        <f ca="1">IF(Table1[[#This Row],[Column1]]="Social Service", 1, 0)</f>
        <v>0</v>
      </c>
      <c r="AT240" s="5"/>
      <c r="AV240" s="17">
        <f t="shared" ca="1" si="9"/>
        <v>13943.573585187287</v>
      </c>
      <c r="AW240" s="5"/>
      <c r="AX240" s="6">
        <f ca="1">IF(Table1[[#This Row],[Value of Debts]]&gt;$AY$4,1,0)</f>
        <v>1</v>
      </c>
      <c r="AY240" s="20"/>
      <c r="AZ240" s="20"/>
      <c r="BA240" s="5"/>
      <c r="BB240" s="25">
        <f ca="1">Table1[[#This Row],[Mortage Left]]/Table1[[#This Row],[Value of House]]</f>
        <v>0.38350917447466026</v>
      </c>
      <c r="BC240" s="20">
        <f t="shared" ca="1" si="11"/>
        <v>0</v>
      </c>
      <c r="BD240" s="20"/>
      <c r="BE240" s="20"/>
      <c r="BF240" s="20"/>
      <c r="BG240" s="6">
        <f ca="1">IF(Table1[[#This Row],[County]]="Cumbria",Table1[[#This Row],[income]],0)</f>
        <v>0</v>
      </c>
      <c r="BH240" s="20">
        <f ca="1">IF(Table1[[#This Row],[County]]="Cheshire",Table1[[#This Row],[income]],0)</f>
        <v>0</v>
      </c>
      <c r="BI240" s="20">
        <f ca="1">IF(Table1[[#This Row],[County]]="Bristol",Table1[[#This Row],[income]],0)</f>
        <v>0</v>
      </c>
      <c r="BJ240" s="20">
        <f ca="1">IF(Table1[[#This Row],[County]]="Surrey",Table1[[#This Row],[income]],0)</f>
        <v>0</v>
      </c>
      <c r="BK240" s="20">
        <f ca="1">IF(Table1[[#This Row],[County]]="Norfolk",Table1[[#This Row],[income]],0)</f>
        <v>0</v>
      </c>
      <c r="BL240" s="20">
        <f ca="1">IF(Table1[[#This Row],[County]]="Lincolnshire",Table1[[#This Row],[income]],0)</f>
        <v>0</v>
      </c>
      <c r="BM240" s="20">
        <f ca="1">IF(Table1[[#This Row],[County]]="Somerset",Table1[[#This Row],[income]],0)</f>
        <v>0</v>
      </c>
      <c r="BN240" s="20">
        <f ca="1">IF(Table1[[#This Row],[County]]="Cambridgeshire",Table1[[#This Row],[income]],0)</f>
        <v>0</v>
      </c>
      <c r="BO240" s="20">
        <f ca="1">IF(Table1[[#This Row],[County]]="South Yorkshire",Table1[[#This Row],[income]],0)</f>
        <v>0</v>
      </c>
      <c r="BP240" s="20">
        <f ca="1">IF(Table1[[#This Row],[County]]="Greater London",Table1[[#This Row],[income]],0)</f>
        <v>0</v>
      </c>
      <c r="BQ240" s="20">
        <f ca="1">IF(Table1[[#This Row],[County]]="Hampshire",Table1[[#This Row],[income]],0)</f>
        <v>0</v>
      </c>
      <c r="BR240" s="20">
        <f ca="1">IF(Table1[[#This Row],[County]]="Gloucestershire",Table1[[#This Row],[income]],0)</f>
        <v>0</v>
      </c>
      <c r="BS240" s="20">
        <f ca="1">IF(Table1[[#This Row],[County]]="West Sussex",Table1[[#This Row],[income]],0)</f>
        <v>0</v>
      </c>
      <c r="BT240" s="20">
        <f ca="1">IF(Table1[[#This Row],[County]]="Devon",Table1[[#This Row],[income]],0)</f>
        <v>0</v>
      </c>
      <c r="BU240" s="20">
        <f ca="1">IF(Table1[[#This Row],[County]]="Berkshire",Table1[[#This Row],[income]],0)</f>
        <v>0</v>
      </c>
      <c r="BV240" s="20">
        <f ca="1">IF(Table1[[#This Row],[County]]="Staffordshire",Table1[[#This Row],[income]],0)</f>
        <v>0</v>
      </c>
      <c r="BW240" s="20">
        <f ca="1">IF(Table1[[#This Row],[County]]="Leicestershire",Table1[[#This Row],[income]],0)</f>
        <v>0</v>
      </c>
      <c r="BX240" s="20">
        <f ca="1">IF(Table1[[#This Row],[County]]="Cornwall",Table1[[#This Row],[income]],0)</f>
        <v>0</v>
      </c>
      <c r="BY240" s="20">
        <f ca="1">IF(Table1[[#This Row],[County]]="Isle of Wight",Table1[[#This Row],[income]],0)</f>
        <v>0</v>
      </c>
      <c r="BZ240" s="20">
        <f ca="1">IF(Table1[[#This Row],[County]]="Surrey",Table1[[#This Row],[income]],0)</f>
        <v>0</v>
      </c>
      <c r="CA240" s="20">
        <f ca="1">IF(Table1[[#This Row],[County]]="Derbyshire",Table1[[#This Row],[income]],0)</f>
        <v>0</v>
      </c>
      <c r="CB240" s="20">
        <f ca="1">IF(Table1[[#This Row],[County]]="City of London",Table1[[#This Row],[income]],0)</f>
        <v>0</v>
      </c>
      <c r="CC240" s="20">
        <f ca="1">IF(Table1[[#This Row],[County]]="Bedfordshire",Table1[[#This Row],[income]],0)</f>
        <v>0</v>
      </c>
      <c r="CD240" s="20">
        <f ca="1">IF(Table1[[#This Row],[County]]="County Durham",Table1[[#This Row],[income]],0)</f>
        <v>0</v>
      </c>
      <c r="CE240" s="20">
        <f ca="1">IF(Table1[[#This Row],[County]]="East Riding of Yorkshire",Table1[[#This Row],[income]],0)</f>
        <v>0</v>
      </c>
      <c r="CF240" s="20">
        <f ca="1">IF(Table1[[#This Row],[County]]="West Yorkshire",Table1[[#This Row],[income]],0)</f>
        <v>0</v>
      </c>
      <c r="CG240" s="20">
        <f ca="1">IF(Table1[[#This Row],[County]]="Essex",Table1[[#This Row],[income]],0)</f>
        <v>0</v>
      </c>
      <c r="CH240" s="20">
        <f ca="1">IF(Table1[[#This Row],[County]]="East Sussex",Table1[[#This Row],[income]],0)</f>
        <v>0</v>
      </c>
      <c r="CI240" s="20">
        <f ca="1">IF(Table1[[#This Row],[County]]="Greater Manchester",Table1[[#This Row],[income]],0)</f>
        <v>71239</v>
      </c>
      <c r="CJ240" s="20">
        <f ca="1">IF(Table1[[#This Row],[County]]="Hertfordshire",Table1[[#This Row],[income]],0)</f>
        <v>0</v>
      </c>
      <c r="CK240" s="20">
        <f ca="1">IF(Table1[[#This Row],[County]]="Herefordshire",Table1[[#This Row],[income]],0)</f>
        <v>0</v>
      </c>
      <c r="CL240" s="20">
        <f ca="1">IF(Table1[[#This Row],[County]]="Lancashire",Table1[[#This Row],[income]],0)</f>
        <v>0</v>
      </c>
      <c r="CM240" s="20">
        <f ca="1">IF(Table1[[#This Row],[County]]="Merseyside",Table1[[#This Row],[income]],0)</f>
        <v>0</v>
      </c>
      <c r="CN240" s="20">
        <f ca="1">IF(Table1[[#This Row],[County]]="Northamptonshire",Table1[[#This Row],[income]],0)</f>
        <v>0</v>
      </c>
      <c r="CO240" s="20">
        <f ca="1">IF(Table1[[#This Row],[County]]="Northumberland",Table1[[#This Row],[income]],0)</f>
        <v>0</v>
      </c>
      <c r="CP240" s="20">
        <f ca="1">IF(Table1[[#This Row],[County]]="Wiltshire",Table1[[#This Row],[income]],0)</f>
        <v>0</v>
      </c>
      <c r="CQ240" s="20">
        <f ca="1">IF(Table1[[#This Row],[County]]="West Midlands",Table1[[#This Row],[income]],0)</f>
        <v>0</v>
      </c>
      <c r="CR240" s="20">
        <f ca="1">IF(Table1[[#This Row],[County]]="Warwickshire",Table1[[#This Row],[income]],0)</f>
        <v>0</v>
      </c>
      <c r="CS240" s="20">
        <f ca="1">IF(Table1[[#This Row],[County]]="Tyne and Wear",Table1[[#This Row],[income]],0)</f>
        <v>0</v>
      </c>
      <c r="CT240" s="20">
        <f ca="1">IF(Table1[[#This Row],[County]]="Worcestershire",Table1[[#This Row],[income]],0)</f>
        <v>0</v>
      </c>
      <c r="CU240" s="20">
        <f ca="1">IF(Table1[[#This Row],[County]]="Rutland",Table1[[#This Row],[income]],0)</f>
        <v>0</v>
      </c>
      <c r="CV240" s="20">
        <f ca="1">IF(Table1[[#This Row],[County]]="Shropshire",Table1[[#This Row],[income]],0)</f>
        <v>0</v>
      </c>
      <c r="CW240" s="20">
        <f ca="1">IF(Table1[[#This Row],[County]]="Dorset",Table1[[#This Row],[income]],0)</f>
        <v>0</v>
      </c>
      <c r="CX240" s="20">
        <f ca="1">IF(Table1[[#This Row],[County]]="Buckinghamshire",Table1[[#This Row],[income]],0)</f>
        <v>0</v>
      </c>
      <c r="CY240" s="20">
        <f ca="1">IF(Table1[[#This Row],[County]]="Suffolk",Table1[[#This Row],[income]],0)</f>
        <v>0</v>
      </c>
      <c r="CZ240" s="20">
        <f ca="1">IF(Table1[[#This Row],[County]]="North Yorkshire",Table1[[#This Row],[income]],0)</f>
        <v>0</v>
      </c>
      <c r="DA240" s="20">
        <f ca="1">IF(Table1[[#This Row],[County]]="Kent",Table1[[#This Row],[income]],0)</f>
        <v>0</v>
      </c>
      <c r="DB240" s="5">
        <f ca="1">IF(Table1[[#This Row],[County]]="Derbyshire",Table1[[#This Row],[income]],0)</f>
        <v>0</v>
      </c>
      <c r="DD240" s="6">
        <f ca="1">IF(Table1[[#This Row],[Column1]]="Health",Table1[[#This Row],[income]],0)</f>
        <v>0</v>
      </c>
      <c r="DE240" s="20">
        <f ca="1">IF(Table1[[#This Row],[Column1]]="Agriculture",Table1[[#This Row],[income]],0)</f>
        <v>0</v>
      </c>
      <c r="DF240" s="20">
        <f ca="1">IF(Table1[[#This Row],[Column1]]="Technology",Table1[[#This Row],[income]],0)</f>
        <v>0</v>
      </c>
      <c r="DG240" s="20">
        <f ca="1">IF(Table1[[#This Row],[Column1]]="Social Service",Table1[[#This Row],[income]],0)</f>
        <v>0</v>
      </c>
      <c r="DH240" s="20">
        <f ca="1">IF(Table1[[#This Row],[Column1]]="Education",Table1[[#This Row],[income]],0)</f>
        <v>0</v>
      </c>
      <c r="DI240" s="5">
        <f ca="1">IF(Table1[[#This Row],[Column1]]="Construction",Table1[[#This Row],[income]],0)</f>
        <v>71239</v>
      </c>
      <c r="DK240" s="6">
        <f ca="1">IF(Table1[[#This Row],[Value of Debts]]&gt;Table1[[#This Row],[income]],1,0)</f>
        <v>1</v>
      </c>
      <c r="DL240" s="20"/>
      <c r="DM240" s="20"/>
      <c r="DN240" s="5"/>
      <c r="DP240" s="6">
        <f ca="1">IF(Table1[[#This Row],[Net Worth (£)]]&gt;$DS$5,C240,0)</f>
        <v>0</v>
      </c>
      <c r="DQ240" s="20"/>
      <c r="DR240" s="20"/>
      <c r="DS240" s="5"/>
    </row>
    <row r="241" spans="1:123" x14ac:dyDescent="0.2">
      <c r="A241">
        <f t="shared" ca="1" si="10"/>
        <v>1</v>
      </c>
      <c r="B241" s="1" t="str">
        <f ca="1">IF(A241=1, "men", "women")</f>
        <v>men</v>
      </c>
      <c r="C241" s="1">
        <f ca="1">RANDBETWEEN(25,50)</f>
        <v>33</v>
      </c>
      <c r="D241">
        <f ca="1">RANDBETWEEN(1,6)</f>
        <v>5</v>
      </c>
      <c r="E241" t="str">
        <f ca="1">VLOOKUP(D241,$W$5:$X$10,2)</f>
        <v>Social Service</v>
      </c>
      <c r="F241">
        <f ca="1">RANDBETWEEN(1,5)</f>
        <v>3</v>
      </c>
      <c r="G241" t="str">
        <f ca="1">VLOOKUP(F241,$Y$5:$Z$9,2)</f>
        <v>University</v>
      </c>
      <c r="H241">
        <f ca="1">RANDBETWEEN(0,4)</f>
        <v>2</v>
      </c>
      <c r="I241">
        <f ca="1">RANDBETWEEN(1,3)</f>
        <v>3</v>
      </c>
      <c r="J241">
        <f ca="1">RANDBETWEEN(30000,100000)</f>
        <v>30095</v>
      </c>
      <c r="K241">
        <f ca="1">RANDBETWEEN(1,48)</f>
        <v>46</v>
      </c>
      <c r="L241" t="str">
        <f ca="1">VLOOKUP(K241,$AA$5:$AB$52,2)</f>
        <v>West Yorkshire</v>
      </c>
      <c r="M241">
        <f ca="1">J241*(RANDBETWEEN(2,5))</f>
        <v>150475</v>
      </c>
      <c r="N241">
        <f ca="1">RAND()*M241</f>
        <v>18308.747455213768</v>
      </c>
      <c r="O241">
        <f ca="1">I241*RAND()*J241</f>
        <v>41830.720755561859</v>
      </c>
      <c r="P241">
        <f ca="1">RANDBETWEEN(0,O241)</f>
        <v>41116</v>
      </c>
      <c r="Q241">
        <f ca="1">RAND()*J241*2</f>
        <v>39940.770527536253</v>
      </c>
      <c r="R241">
        <f ca="1">RAND()*J241*1.5</f>
        <v>4046.9074083708774</v>
      </c>
      <c r="S241">
        <f ca="1">J241+R241+O241</f>
        <v>75972.628163932735</v>
      </c>
      <c r="T241">
        <f ca="1">N241+P241+Q241</f>
        <v>99365.517982750025</v>
      </c>
      <c r="U241">
        <f ca="1">S241-T241</f>
        <v>-23392.88981881729</v>
      </c>
      <c r="AC241" s="6">
        <f ca="1">IF(Table1[[#This Row],[gender]]="men",1,0)</f>
        <v>1</v>
      </c>
      <c r="AD241">
        <f ca="1">IF(Table1[[#This Row],[gender]]="women",1,0)</f>
        <v>0</v>
      </c>
      <c r="AH241" s="5"/>
      <c r="AJ241" s="6">
        <f ca="1">IF(Table1[[#This Row],[Column1]]="Health",1,0)</f>
        <v>0</v>
      </c>
      <c r="AK241">
        <f ca="1">IF(Table1[[#This Row],[Column1]]="Construction",1,0)</f>
        <v>0</v>
      </c>
      <c r="AL241">
        <f ca="1">IF(Table1[[#This Row],[Column1]]="Technology",1,0)</f>
        <v>0</v>
      </c>
      <c r="AM241">
        <f ca="1">IF(Table1[[#This Row],[Column1]]="Education",1,0)</f>
        <v>0</v>
      </c>
      <c r="AN241">
        <f ca="1">IF(Table1[[#This Row],[Column1]]="Agriculture",1,0)</f>
        <v>0</v>
      </c>
      <c r="AO241">
        <f ca="1">IF(Table1[[#This Row],[Column1]]="Social Service", 1, 0)</f>
        <v>1</v>
      </c>
      <c r="AT241" s="5"/>
      <c r="AV241" s="17">
        <f t="shared" ca="1" si="9"/>
        <v>37055.972415219476</v>
      </c>
      <c r="AW241" s="5"/>
      <c r="AX241" s="6">
        <f ca="1">IF(Table1[[#This Row],[Value of Debts]]&gt;$AY$4,1,0)</f>
        <v>0</v>
      </c>
      <c r="AY241" s="20"/>
      <c r="AZ241" s="20"/>
      <c r="BA241" s="5"/>
      <c r="BB241" s="25">
        <f ca="1">Table1[[#This Row],[Mortage Left]]/Table1[[#This Row],[Value of House]]</f>
        <v>0.12167301847625032</v>
      </c>
      <c r="BC241" s="20">
        <f t="shared" ca="1" si="11"/>
        <v>1</v>
      </c>
      <c r="BD241" s="20"/>
      <c r="BE241" s="20"/>
      <c r="BF241" s="20"/>
      <c r="BG241" s="6">
        <f ca="1">IF(Table1[[#This Row],[County]]="Cumbria",Table1[[#This Row],[income]],0)</f>
        <v>0</v>
      </c>
      <c r="BH241" s="20">
        <f ca="1">IF(Table1[[#This Row],[County]]="Cheshire",Table1[[#This Row],[income]],0)</f>
        <v>0</v>
      </c>
      <c r="BI241" s="20">
        <f ca="1">IF(Table1[[#This Row],[County]]="Bristol",Table1[[#This Row],[income]],0)</f>
        <v>0</v>
      </c>
      <c r="BJ241" s="20">
        <f ca="1">IF(Table1[[#This Row],[County]]="Surrey",Table1[[#This Row],[income]],0)</f>
        <v>0</v>
      </c>
      <c r="BK241" s="20">
        <f ca="1">IF(Table1[[#This Row],[County]]="Norfolk",Table1[[#This Row],[income]],0)</f>
        <v>0</v>
      </c>
      <c r="BL241" s="20">
        <f ca="1">IF(Table1[[#This Row],[County]]="Lincolnshire",Table1[[#This Row],[income]],0)</f>
        <v>0</v>
      </c>
      <c r="BM241" s="20">
        <f ca="1">IF(Table1[[#This Row],[County]]="Somerset",Table1[[#This Row],[income]],0)</f>
        <v>0</v>
      </c>
      <c r="BN241" s="20">
        <f ca="1">IF(Table1[[#This Row],[County]]="Cambridgeshire",Table1[[#This Row],[income]],0)</f>
        <v>0</v>
      </c>
      <c r="BO241" s="20">
        <f ca="1">IF(Table1[[#This Row],[County]]="South Yorkshire",Table1[[#This Row],[income]],0)</f>
        <v>0</v>
      </c>
      <c r="BP241" s="20">
        <f ca="1">IF(Table1[[#This Row],[County]]="Greater London",Table1[[#This Row],[income]],0)</f>
        <v>0</v>
      </c>
      <c r="BQ241" s="20">
        <f ca="1">IF(Table1[[#This Row],[County]]="Hampshire",Table1[[#This Row],[income]],0)</f>
        <v>0</v>
      </c>
      <c r="BR241" s="20">
        <f ca="1">IF(Table1[[#This Row],[County]]="Gloucestershire",Table1[[#This Row],[income]],0)</f>
        <v>0</v>
      </c>
      <c r="BS241" s="20">
        <f ca="1">IF(Table1[[#This Row],[County]]="West Sussex",Table1[[#This Row],[income]],0)</f>
        <v>0</v>
      </c>
      <c r="BT241" s="20">
        <f ca="1">IF(Table1[[#This Row],[County]]="Devon",Table1[[#This Row],[income]],0)</f>
        <v>0</v>
      </c>
      <c r="BU241" s="20">
        <f ca="1">IF(Table1[[#This Row],[County]]="Berkshire",Table1[[#This Row],[income]],0)</f>
        <v>0</v>
      </c>
      <c r="BV241" s="20">
        <f ca="1">IF(Table1[[#This Row],[County]]="Staffordshire",Table1[[#This Row],[income]],0)</f>
        <v>0</v>
      </c>
      <c r="BW241" s="20">
        <f ca="1">IF(Table1[[#This Row],[County]]="Leicestershire",Table1[[#This Row],[income]],0)</f>
        <v>0</v>
      </c>
      <c r="BX241" s="20">
        <f ca="1">IF(Table1[[#This Row],[County]]="Cornwall",Table1[[#This Row],[income]],0)</f>
        <v>0</v>
      </c>
      <c r="BY241" s="20">
        <f ca="1">IF(Table1[[#This Row],[County]]="Isle of Wight",Table1[[#This Row],[income]],0)</f>
        <v>0</v>
      </c>
      <c r="BZ241" s="20">
        <f ca="1">IF(Table1[[#This Row],[County]]="Surrey",Table1[[#This Row],[income]],0)</f>
        <v>0</v>
      </c>
      <c r="CA241" s="20">
        <f ca="1">IF(Table1[[#This Row],[County]]="Derbyshire",Table1[[#This Row],[income]],0)</f>
        <v>0</v>
      </c>
      <c r="CB241" s="20">
        <f ca="1">IF(Table1[[#This Row],[County]]="City of London",Table1[[#This Row],[income]],0)</f>
        <v>0</v>
      </c>
      <c r="CC241" s="20">
        <f ca="1">IF(Table1[[#This Row],[County]]="Bedfordshire",Table1[[#This Row],[income]],0)</f>
        <v>0</v>
      </c>
      <c r="CD241" s="20">
        <f ca="1">IF(Table1[[#This Row],[County]]="County Durham",Table1[[#This Row],[income]],0)</f>
        <v>0</v>
      </c>
      <c r="CE241" s="20">
        <f ca="1">IF(Table1[[#This Row],[County]]="East Riding of Yorkshire",Table1[[#This Row],[income]],0)</f>
        <v>0</v>
      </c>
      <c r="CF241" s="20">
        <f ca="1">IF(Table1[[#This Row],[County]]="West Yorkshire",Table1[[#This Row],[income]],0)</f>
        <v>30095</v>
      </c>
      <c r="CG241" s="20">
        <f ca="1">IF(Table1[[#This Row],[County]]="Essex",Table1[[#This Row],[income]],0)</f>
        <v>0</v>
      </c>
      <c r="CH241" s="20">
        <f ca="1">IF(Table1[[#This Row],[County]]="East Sussex",Table1[[#This Row],[income]],0)</f>
        <v>0</v>
      </c>
      <c r="CI241" s="20">
        <f ca="1">IF(Table1[[#This Row],[County]]="Greater Manchester",Table1[[#This Row],[income]],0)</f>
        <v>0</v>
      </c>
      <c r="CJ241" s="20">
        <f ca="1">IF(Table1[[#This Row],[County]]="Hertfordshire",Table1[[#This Row],[income]],0)</f>
        <v>0</v>
      </c>
      <c r="CK241" s="20">
        <f ca="1">IF(Table1[[#This Row],[County]]="Herefordshire",Table1[[#This Row],[income]],0)</f>
        <v>0</v>
      </c>
      <c r="CL241" s="20">
        <f ca="1">IF(Table1[[#This Row],[County]]="Lancashire",Table1[[#This Row],[income]],0)</f>
        <v>0</v>
      </c>
      <c r="CM241" s="20">
        <f ca="1">IF(Table1[[#This Row],[County]]="Merseyside",Table1[[#This Row],[income]],0)</f>
        <v>0</v>
      </c>
      <c r="CN241" s="20">
        <f ca="1">IF(Table1[[#This Row],[County]]="Northamptonshire",Table1[[#This Row],[income]],0)</f>
        <v>0</v>
      </c>
      <c r="CO241" s="20">
        <f ca="1">IF(Table1[[#This Row],[County]]="Northumberland",Table1[[#This Row],[income]],0)</f>
        <v>0</v>
      </c>
      <c r="CP241" s="20">
        <f ca="1">IF(Table1[[#This Row],[County]]="Wiltshire",Table1[[#This Row],[income]],0)</f>
        <v>0</v>
      </c>
      <c r="CQ241" s="20">
        <f ca="1">IF(Table1[[#This Row],[County]]="West Midlands",Table1[[#This Row],[income]],0)</f>
        <v>0</v>
      </c>
      <c r="CR241" s="20">
        <f ca="1">IF(Table1[[#This Row],[County]]="Warwickshire",Table1[[#This Row],[income]],0)</f>
        <v>0</v>
      </c>
      <c r="CS241" s="20">
        <f ca="1">IF(Table1[[#This Row],[County]]="Tyne and Wear",Table1[[#This Row],[income]],0)</f>
        <v>0</v>
      </c>
      <c r="CT241" s="20">
        <f ca="1">IF(Table1[[#This Row],[County]]="Worcestershire",Table1[[#This Row],[income]],0)</f>
        <v>0</v>
      </c>
      <c r="CU241" s="20">
        <f ca="1">IF(Table1[[#This Row],[County]]="Rutland",Table1[[#This Row],[income]],0)</f>
        <v>0</v>
      </c>
      <c r="CV241" s="20">
        <f ca="1">IF(Table1[[#This Row],[County]]="Shropshire",Table1[[#This Row],[income]],0)</f>
        <v>0</v>
      </c>
      <c r="CW241" s="20">
        <f ca="1">IF(Table1[[#This Row],[County]]="Dorset",Table1[[#This Row],[income]],0)</f>
        <v>0</v>
      </c>
      <c r="CX241" s="20">
        <f ca="1">IF(Table1[[#This Row],[County]]="Buckinghamshire",Table1[[#This Row],[income]],0)</f>
        <v>0</v>
      </c>
      <c r="CY241" s="20">
        <f ca="1">IF(Table1[[#This Row],[County]]="Suffolk",Table1[[#This Row],[income]],0)</f>
        <v>0</v>
      </c>
      <c r="CZ241" s="20">
        <f ca="1">IF(Table1[[#This Row],[County]]="North Yorkshire",Table1[[#This Row],[income]],0)</f>
        <v>0</v>
      </c>
      <c r="DA241" s="20">
        <f ca="1">IF(Table1[[#This Row],[County]]="Kent",Table1[[#This Row],[income]],0)</f>
        <v>0</v>
      </c>
      <c r="DB241" s="5">
        <f ca="1">IF(Table1[[#This Row],[County]]="Derbyshire",Table1[[#This Row],[income]],0)</f>
        <v>0</v>
      </c>
      <c r="DD241" s="6">
        <f ca="1">IF(Table1[[#This Row],[Column1]]="Health",Table1[[#This Row],[income]],0)</f>
        <v>0</v>
      </c>
      <c r="DE241" s="20">
        <f ca="1">IF(Table1[[#This Row],[Column1]]="Agriculture",Table1[[#This Row],[income]],0)</f>
        <v>0</v>
      </c>
      <c r="DF241" s="20">
        <f ca="1">IF(Table1[[#This Row],[Column1]]="Technology",Table1[[#This Row],[income]],0)</f>
        <v>0</v>
      </c>
      <c r="DG241" s="20">
        <f ca="1">IF(Table1[[#This Row],[Column1]]="Social Service",Table1[[#This Row],[income]],0)</f>
        <v>30095</v>
      </c>
      <c r="DH241" s="20">
        <f ca="1">IF(Table1[[#This Row],[Column1]]="Education",Table1[[#This Row],[income]],0)</f>
        <v>0</v>
      </c>
      <c r="DI241" s="5">
        <f ca="1">IF(Table1[[#This Row],[Column1]]="Construction",Table1[[#This Row],[income]],0)</f>
        <v>0</v>
      </c>
      <c r="DK241" s="6">
        <f ca="1">IF(Table1[[#This Row],[Value of Debts]]&gt;Table1[[#This Row],[income]],1,0)</f>
        <v>1</v>
      </c>
      <c r="DL241" s="20"/>
      <c r="DM241" s="20"/>
      <c r="DN241" s="5"/>
      <c r="DP241" s="6">
        <f ca="1">IF(Table1[[#This Row],[Net Worth (£)]]&gt;$DS$5,C241,0)</f>
        <v>0</v>
      </c>
      <c r="DQ241" s="20"/>
      <c r="DR241" s="20"/>
      <c r="DS241" s="5"/>
    </row>
    <row r="242" spans="1:123" x14ac:dyDescent="0.2">
      <c r="A242">
        <f t="shared" ca="1" si="10"/>
        <v>2</v>
      </c>
      <c r="B242" s="1" t="str">
        <f ca="1">IF(A242=1, "men", "women")</f>
        <v>women</v>
      </c>
      <c r="C242" s="1">
        <f ca="1">RANDBETWEEN(25,50)</f>
        <v>50</v>
      </c>
      <c r="D242">
        <f ca="1">RANDBETWEEN(1,6)</f>
        <v>3</v>
      </c>
      <c r="E242" t="str">
        <f ca="1">VLOOKUP(D242,$W$5:$X$10,2)</f>
        <v>Education</v>
      </c>
      <c r="F242">
        <f ca="1">RANDBETWEEN(1,5)</f>
        <v>4</v>
      </c>
      <c r="G242" t="str">
        <f ca="1">VLOOKUP(F242,$Y$5:$Z$9,2)</f>
        <v xml:space="preserve">Technical </v>
      </c>
      <c r="H242">
        <f ca="1">RANDBETWEEN(0,4)</f>
        <v>3</v>
      </c>
      <c r="I242">
        <f ca="1">RANDBETWEEN(1,3)</f>
        <v>1</v>
      </c>
      <c r="J242">
        <f ca="1">RANDBETWEEN(30000,100000)</f>
        <v>43886</v>
      </c>
      <c r="K242">
        <f ca="1">RANDBETWEEN(1,48)</f>
        <v>17</v>
      </c>
      <c r="L242" t="str">
        <f ca="1">VLOOKUP(K242,$AA$5:$AB$52,2)</f>
        <v>Gloucestershire</v>
      </c>
      <c r="M242">
        <f ca="1">J242*(RANDBETWEEN(2,5))</f>
        <v>87772</v>
      </c>
      <c r="N242">
        <f ca="1">RAND()*M242</f>
        <v>17713.157531852536</v>
      </c>
      <c r="O242">
        <f ca="1">I242*RAND()*J242</f>
        <v>37055.972415219476</v>
      </c>
      <c r="P242">
        <f ca="1">RANDBETWEEN(0,O242)</f>
        <v>25996</v>
      </c>
      <c r="Q242">
        <f ca="1">RAND()*J242*2</f>
        <v>6461.1269730399554</v>
      </c>
      <c r="R242">
        <f ca="1">RAND()*J242*1.5</f>
        <v>28703.487120055761</v>
      </c>
      <c r="S242">
        <f ca="1">J242+R242+O242</f>
        <v>109645.45953527524</v>
      </c>
      <c r="T242">
        <f ca="1">N242+P242+Q242</f>
        <v>50170.284504892494</v>
      </c>
      <c r="U242">
        <f ca="1">S242-T242</f>
        <v>59475.175030382743</v>
      </c>
      <c r="AC242" s="6">
        <f ca="1">IF(Table1[[#This Row],[gender]]="men",1,0)</f>
        <v>0</v>
      </c>
      <c r="AD242">
        <f ca="1">IF(Table1[[#This Row],[gender]]="women",1,0)</f>
        <v>1</v>
      </c>
      <c r="AH242" s="5"/>
      <c r="AJ242" s="6">
        <f ca="1">IF(Table1[[#This Row],[Column1]]="Health",1,0)</f>
        <v>0</v>
      </c>
      <c r="AK242">
        <f ca="1">IF(Table1[[#This Row],[Column1]]="Construction",1,0)</f>
        <v>0</v>
      </c>
      <c r="AL242">
        <f ca="1">IF(Table1[[#This Row],[Column1]]="Technology",1,0)</f>
        <v>0</v>
      </c>
      <c r="AM242">
        <f ca="1">IF(Table1[[#This Row],[Column1]]="Education",1,0)</f>
        <v>1</v>
      </c>
      <c r="AN242">
        <f ca="1">IF(Table1[[#This Row],[Column1]]="Agriculture",1,0)</f>
        <v>0</v>
      </c>
      <c r="AO242">
        <f ca="1">IF(Table1[[#This Row],[Column1]]="Social Service", 1, 0)</f>
        <v>0</v>
      </c>
      <c r="AT242" s="5"/>
      <c r="AV242" s="17">
        <f t="shared" ca="1" si="9"/>
        <v>13497.014340064256</v>
      </c>
      <c r="AW242" s="5"/>
      <c r="AX242" s="6">
        <f ca="1">IF(Table1[[#This Row],[Value of Debts]]&gt;$AY$4,1,0)</f>
        <v>0</v>
      </c>
      <c r="AY242" s="20"/>
      <c r="AZ242" s="20"/>
      <c r="BA242" s="5"/>
      <c r="BB242" s="25">
        <f ca="1">Table1[[#This Row],[Mortage Left]]/Table1[[#This Row],[Value of House]]</f>
        <v>0.20180874916661959</v>
      </c>
      <c r="BC242" s="20">
        <f t="shared" ca="1" si="11"/>
        <v>1</v>
      </c>
      <c r="BD242" s="20"/>
      <c r="BE242" s="20"/>
      <c r="BF242" s="20"/>
      <c r="BG242" s="6">
        <f ca="1">IF(Table1[[#This Row],[County]]="Cumbria",Table1[[#This Row],[income]],0)</f>
        <v>0</v>
      </c>
      <c r="BH242" s="20">
        <f ca="1">IF(Table1[[#This Row],[County]]="Cheshire",Table1[[#This Row],[income]],0)</f>
        <v>0</v>
      </c>
      <c r="BI242" s="20">
        <f ca="1">IF(Table1[[#This Row],[County]]="Bristol",Table1[[#This Row],[income]],0)</f>
        <v>0</v>
      </c>
      <c r="BJ242" s="20">
        <f ca="1">IF(Table1[[#This Row],[County]]="Surrey",Table1[[#This Row],[income]],0)</f>
        <v>0</v>
      </c>
      <c r="BK242" s="20">
        <f ca="1">IF(Table1[[#This Row],[County]]="Norfolk",Table1[[#This Row],[income]],0)</f>
        <v>0</v>
      </c>
      <c r="BL242" s="20">
        <f ca="1">IF(Table1[[#This Row],[County]]="Lincolnshire",Table1[[#This Row],[income]],0)</f>
        <v>0</v>
      </c>
      <c r="BM242" s="20">
        <f ca="1">IF(Table1[[#This Row],[County]]="Somerset",Table1[[#This Row],[income]],0)</f>
        <v>0</v>
      </c>
      <c r="BN242" s="20">
        <f ca="1">IF(Table1[[#This Row],[County]]="Cambridgeshire",Table1[[#This Row],[income]],0)</f>
        <v>0</v>
      </c>
      <c r="BO242" s="20">
        <f ca="1">IF(Table1[[#This Row],[County]]="South Yorkshire",Table1[[#This Row],[income]],0)</f>
        <v>0</v>
      </c>
      <c r="BP242" s="20">
        <f ca="1">IF(Table1[[#This Row],[County]]="Greater London",Table1[[#This Row],[income]],0)</f>
        <v>0</v>
      </c>
      <c r="BQ242" s="20">
        <f ca="1">IF(Table1[[#This Row],[County]]="Hampshire",Table1[[#This Row],[income]],0)</f>
        <v>0</v>
      </c>
      <c r="BR242" s="20">
        <f ca="1">IF(Table1[[#This Row],[County]]="Gloucestershire",Table1[[#This Row],[income]],0)</f>
        <v>43886</v>
      </c>
      <c r="BS242" s="20">
        <f ca="1">IF(Table1[[#This Row],[County]]="West Sussex",Table1[[#This Row],[income]],0)</f>
        <v>0</v>
      </c>
      <c r="BT242" s="20">
        <f ca="1">IF(Table1[[#This Row],[County]]="Devon",Table1[[#This Row],[income]],0)</f>
        <v>0</v>
      </c>
      <c r="BU242" s="20">
        <f ca="1">IF(Table1[[#This Row],[County]]="Berkshire",Table1[[#This Row],[income]],0)</f>
        <v>0</v>
      </c>
      <c r="BV242" s="20">
        <f ca="1">IF(Table1[[#This Row],[County]]="Staffordshire",Table1[[#This Row],[income]],0)</f>
        <v>0</v>
      </c>
      <c r="BW242" s="20">
        <f ca="1">IF(Table1[[#This Row],[County]]="Leicestershire",Table1[[#This Row],[income]],0)</f>
        <v>0</v>
      </c>
      <c r="BX242" s="20">
        <f ca="1">IF(Table1[[#This Row],[County]]="Cornwall",Table1[[#This Row],[income]],0)</f>
        <v>0</v>
      </c>
      <c r="BY242" s="20">
        <f ca="1">IF(Table1[[#This Row],[County]]="Isle of Wight",Table1[[#This Row],[income]],0)</f>
        <v>0</v>
      </c>
      <c r="BZ242" s="20">
        <f ca="1">IF(Table1[[#This Row],[County]]="Surrey",Table1[[#This Row],[income]],0)</f>
        <v>0</v>
      </c>
      <c r="CA242" s="20">
        <f ca="1">IF(Table1[[#This Row],[County]]="Derbyshire",Table1[[#This Row],[income]],0)</f>
        <v>0</v>
      </c>
      <c r="CB242" s="20">
        <f ca="1">IF(Table1[[#This Row],[County]]="City of London",Table1[[#This Row],[income]],0)</f>
        <v>0</v>
      </c>
      <c r="CC242" s="20">
        <f ca="1">IF(Table1[[#This Row],[County]]="Bedfordshire",Table1[[#This Row],[income]],0)</f>
        <v>0</v>
      </c>
      <c r="CD242" s="20">
        <f ca="1">IF(Table1[[#This Row],[County]]="County Durham",Table1[[#This Row],[income]],0)</f>
        <v>0</v>
      </c>
      <c r="CE242" s="20">
        <f ca="1">IF(Table1[[#This Row],[County]]="East Riding of Yorkshire",Table1[[#This Row],[income]],0)</f>
        <v>0</v>
      </c>
      <c r="CF242" s="20">
        <f ca="1">IF(Table1[[#This Row],[County]]="West Yorkshire",Table1[[#This Row],[income]],0)</f>
        <v>0</v>
      </c>
      <c r="CG242" s="20">
        <f ca="1">IF(Table1[[#This Row],[County]]="Essex",Table1[[#This Row],[income]],0)</f>
        <v>0</v>
      </c>
      <c r="CH242" s="20">
        <f ca="1">IF(Table1[[#This Row],[County]]="East Sussex",Table1[[#This Row],[income]],0)</f>
        <v>0</v>
      </c>
      <c r="CI242" s="20">
        <f ca="1">IF(Table1[[#This Row],[County]]="Greater Manchester",Table1[[#This Row],[income]],0)</f>
        <v>0</v>
      </c>
      <c r="CJ242" s="20">
        <f ca="1">IF(Table1[[#This Row],[County]]="Hertfordshire",Table1[[#This Row],[income]],0)</f>
        <v>0</v>
      </c>
      <c r="CK242" s="20">
        <f ca="1">IF(Table1[[#This Row],[County]]="Herefordshire",Table1[[#This Row],[income]],0)</f>
        <v>0</v>
      </c>
      <c r="CL242" s="20">
        <f ca="1">IF(Table1[[#This Row],[County]]="Lancashire",Table1[[#This Row],[income]],0)</f>
        <v>0</v>
      </c>
      <c r="CM242" s="20">
        <f ca="1">IF(Table1[[#This Row],[County]]="Merseyside",Table1[[#This Row],[income]],0)</f>
        <v>0</v>
      </c>
      <c r="CN242" s="20">
        <f ca="1">IF(Table1[[#This Row],[County]]="Northamptonshire",Table1[[#This Row],[income]],0)</f>
        <v>0</v>
      </c>
      <c r="CO242" s="20">
        <f ca="1">IF(Table1[[#This Row],[County]]="Northumberland",Table1[[#This Row],[income]],0)</f>
        <v>0</v>
      </c>
      <c r="CP242" s="20">
        <f ca="1">IF(Table1[[#This Row],[County]]="Wiltshire",Table1[[#This Row],[income]],0)</f>
        <v>0</v>
      </c>
      <c r="CQ242" s="20">
        <f ca="1">IF(Table1[[#This Row],[County]]="West Midlands",Table1[[#This Row],[income]],0)</f>
        <v>0</v>
      </c>
      <c r="CR242" s="20">
        <f ca="1">IF(Table1[[#This Row],[County]]="Warwickshire",Table1[[#This Row],[income]],0)</f>
        <v>0</v>
      </c>
      <c r="CS242" s="20">
        <f ca="1">IF(Table1[[#This Row],[County]]="Tyne and Wear",Table1[[#This Row],[income]],0)</f>
        <v>0</v>
      </c>
      <c r="CT242" s="20">
        <f ca="1">IF(Table1[[#This Row],[County]]="Worcestershire",Table1[[#This Row],[income]],0)</f>
        <v>0</v>
      </c>
      <c r="CU242" s="20">
        <f ca="1">IF(Table1[[#This Row],[County]]="Rutland",Table1[[#This Row],[income]],0)</f>
        <v>0</v>
      </c>
      <c r="CV242" s="20">
        <f ca="1">IF(Table1[[#This Row],[County]]="Shropshire",Table1[[#This Row],[income]],0)</f>
        <v>0</v>
      </c>
      <c r="CW242" s="20">
        <f ca="1">IF(Table1[[#This Row],[County]]="Dorset",Table1[[#This Row],[income]],0)</f>
        <v>0</v>
      </c>
      <c r="CX242" s="20">
        <f ca="1">IF(Table1[[#This Row],[County]]="Buckinghamshire",Table1[[#This Row],[income]],0)</f>
        <v>0</v>
      </c>
      <c r="CY242" s="20">
        <f ca="1">IF(Table1[[#This Row],[County]]="Suffolk",Table1[[#This Row],[income]],0)</f>
        <v>0</v>
      </c>
      <c r="CZ242" s="20">
        <f ca="1">IF(Table1[[#This Row],[County]]="North Yorkshire",Table1[[#This Row],[income]],0)</f>
        <v>0</v>
      </c>
      <c r="DA242" s="20">
        <f ca="1">IF(Table1[[#This Row],[County]]="Kent",Table1[[#This Row],[income]],0)</f>
        <v>0</v>
      </c>
      <c r="DB242" s="5">
        <f ca="1">IF(Table1[[#This Row],[County]]="Derbyshire",Table1[[#This Row],[income]],0)</f>
        <v>0</v>
      </c>
      <c r="DD242" s="6">
        <f ca="1">IF(Table1[[#This Row],[Column1]]="Health",Table1[[#This Row],[income]],0)</f>
        <v>0</v>
      </c>
      <c r="DE242" s="20">
        <f ca="1">IF(Table1[[#This Row],[Column1]]="Agriculture",Table1[[#This Row],[income]],0)</f>
        <v>0</v>
      </c>
      <c r="DF242" s="20">
        <f ca="1">IF(Table1[[#This Row],[Column1]]="Technology",Table1[[#This Row],[income]],0)</f>
        <v>0</v>
      </c>
      <c r="DG242" s="20">
        <f ca="1">IF(Table1[[#This Row],[Column1]]="Social Service",Table1[[#This Row],[income]],0)</f>
        <v>0</v>
      </c>
      <c r="DH242" s="20">
        <f ca="1">IF(Table1[[#This Row],[Column1]]="Education",Table1[[#This Row],[income]],0)</f>
        <v>43886</v>
      </c>
      <c r="DI242" s="5">
        <f ca="1">IF(Table1[[#This Row],[Column1]]="Construction",Table1[[#This Row],[income]],0)</f>
        <v>0</v>
      </c>
      <c r="DK242" s="6">
        <f ca="1">IF(Table1[[#This Row],[Value of Debts]]&gt;Table1[[#This Row],[income]],1,0)</f>
        <v>1</v>
      </c>
      <c r="DL242" s="20"/>
      <c r="DM242" s="20"/>
      <c r="DN242" s="5"/>
      <c r="DP242" s="6">
        <f ca="1">IF(Table1[[#This Row],[Net Worth (£)]]&gt;$DS$5,C242,0)</f>
        <v>50</v>
      </c>
      <c r="DQ242" s="20"/>
      <c r="DR242" s="20"/>
      <c r="DS242" s="5"/>
    </row>
    <row r="243" spans="1:123" x14ac:dyDescent="0.2">
      <c r="A243">
        <f t="shared" ca="1" si="10"/>
        <v>2</v>
      </c>
      <c r="B243" s="1" t="str">
        <f ca="1">IF(A243=1, "men", "women")</f>
        <v>women</v>
      </c>
      <c r="C243" s="1">
        <f ca="1">RANDBETWEEN(25,50)</f>
        <v>30</v>
      </c>
      <c r="D243">
        <f ca="1">RANDBETWEEN(1,6)</f>
        <v>1</v>
      </c>
      <c r="E243" t="str">
        <f ca="1">VLOOKUP(D243,$W$5:$X$10,2)</f>
        <v>Health</v>
      </c>
      <c r="F243">
        <f ca="1">RANDBETWEEN(1,5)</f>
        <v>5</v>
      </c>
      <c r="G243" t="str">
        <f ca="1">VLOOKUP(F243,$Y$5:$Z$9,2)</f>
        <v>Other</v>
      </c>
      <c r="H243">
        <f ca="1">RANDBETWEEN(0,4)</f>
        <v>1</v>
      </c>
      <c r="I243">
        <f ca="1">RANDBETWEEN(1,3)</f>
        <v>1</v>
      </c>
      <c r="J243">
        <f ca="1">RANDBETWEEN(30000,100000)</f>
        <v>58838</v>
      </c>
      <c r="K243">
        <f ca="1">RANDBETWEEN(1,48)</f>
        <v>39</v>
      </c>
      <c r="L243" t="str">
        <f ca="1">VLOOKUP(K243,$AA$5:$AB$52,2)</f>
        <v>Staffordshire</v>
      </c>
      <c r="M243">
        <f ca="1">J243*(RANDBETWEEN(2,5))</f>
        <v>235352</v>
      </c>
      <c r="N243">
        <f ca="1">RAND()*M243</f>
        <v>229690.27231440952</v>
      </c>
      <c r="O243">
        <f ca="1">I243*RAND()*J243</f>
        <v>13497.014340064256</v>
      </c>
      <c r="P243">
        <f ca="1">RANDBETWEEN(0,O243)</f>
        <v>5401</v>
      </c>
      <c r="Q243">
        <f ca="1">RAND()*J243*2</f>
        <v>9129.6782821551969</v>
      </c>
      <c r="R243">
        <f ca="1">RAND()*J243*1.5</f>
        <v>29274.834520440767</v>
      </c>
      <c r="S243">
        <f ca="1">J243+R243+O243</f>
        <v>101609.84886050502</v>
      </c>
      <c r="T243">
        <f ca="1">N243+P243+Q243</f>
        <v>244220.95059656471</v>
      </c>
      <c r="U243">
        <f ca="1">S243-T243</f>
        <v>-142611.1017360597</v>
      </c>
      <c r="AC243" s="6">
        <f ca="1">IF(Table1[[#This Row],[gender]]="men",1,0)</f>
        <v>0</v>
      </c>
      <c r="AD243">
        <f ca="1">IF(Table1[[#This Row],[gender]]="women",1,0)</f>
        <v>1</v>
      </c>
      <c r="AH243" s="5"/>
      <c r="AJ243" s="6">
        <f ca="1">IF(Table1[[#This Row],[Column1]]="Health",1,0)</f>
        <v>1</v>
      </c>
      <c r="AK243">
        <f ca="1">IF(Table1[[#This Row],[Column1]]="Construction",1,0)</f>
        <v>0</v>
      </c>
      <c r="AL243">
        <f ca="1">IF(Table1[[#This Row],[Column1]]="Technology",1,0)</f>
        <v>0</v>
      </c>
      <c r="AM243">
        <f ca="1">IF(Table1[[#This Row],[Column1]]="Education",1,0)</f>
        <v>0</v>
      </c>
      <c r="AN243">
        <f ca="1">IF(Table1[[#This Row],[Column1]]="Agriculture",1,0)</f>
        <v>0</v>
      </c>
      <c r="AO243">
        <f ca="1">IF(Table1[[#This Row],[Column1]]="Social Service", 1, 0)</f>
        <v>0</v>
      </c>
      <c r="AT243" s="5"/>
      <c r="AV243" s="17">
        <f t="shared" ca="1" si="9"/>
        <v>27053.084341869093</v>
      </c>
      <c r="AW243" s="5"/>
      <c r="AX243" s="6">
        <f ca="1">IF(Table1[[#This Row],[Value of Debts]]&gt;$AY$4,1,0)</f>
        <v>1</v>
      </c>
      <c r="AY243" s="20"/>
      <c r="AZ243" s="20"/>
      <c r="BA243" s="5"/>
      <c r="BB243" s="25">
        <f ca="1">Table1[[#This Row],[Mortage Left]]/Table1[[#This Row],[Value of House]]</f>
        <v>0.97594357521673714</v>
      </c>
      <c r="BC243" s="20">
        <f t="shared" ca="1" si="11"/>
        <v>0</v>
      </c>
      <c r="BD243" s="20"/>
      <c r="BE243" s="20"/>
      <c r="BF243" s="20"/>
      <c r="BG243" s="6">
        <f ca="1">IF(Table1[[#This Row],[County]]="Cumbria",Table1[[#This Row],[income]],0)</f>
        <v>0</v>
      </c>
      <c r="BH243" s="20">
        <f ca="1">IF(Table1[[#This Row],[County]]="Cheshire",Table1[[#This Row],[income]],0)</f>
        <v>0</v>
      </c>
      <c r="BI243" s="20">
        <f ca="1">IF(Table1[[#This Row],[County]]="Bristol",Table1[[#This Row],[income]],0)</f>
        <v>0</v>
      </c>
      <c r="BJ243" s="20">
        <f ca="1">IF(Table1[[#This Row],[County]]="Surrey",Table1[[#This Row],[income]],0)</f>
        <v>0</v>
      </c>
      <c r="BK243" s="20">
        <f ca="1">IF(Table1[[#This Row],[County]]="Norfolk",Table1[[#This Row],[income]],0)</f>
        <v>0</v>
      </c>
      <c r="BL243" s="20">
        <f ca="1">IF(Table1[[#This Row],[County]]="Lincolnshire",Table1[[#This Row],[income]],0)</f>
        <v>0</v>
      </c>
      <c r="BM243" s="20">
        <f ca="1">IF(Table1[[#This Row],[County]]="Somerset",Table1[[#This Row],[income]],0)</f>
        <v>0</v>
      </c>
      <c r="BN243" s="20">
        <f ca="1">IF(Table1[[#This Row],[County]]="Cambridgeshire",Table1[[#This Row],[income]],0)</f>
        <v>0</v>
      </c>
      <c r="BO243" s="20">
        <f ca="1">IF(Table1[[#This Row],[County]]="South Yorkshire",Table1[[#This Row],[income]],0)</f>
        <v>0</v>
      </c>
      <c r="BP243" s="20">
        <f ca="1">IF(Table1[[#This Row],[County]]="Greater London",Table1[[#This Row],[income]],0)</f>
        <v>0</v>
      </c>
      <c r="BQ243" s="20">
        <f ca="1">IF(Table1[[#This Row],[County]]="Hampshire",Table1[[#This Row],[income]],0)</f>
        <v>0</v>
      </c>
      <c r="BR243" s="20">
        <f ca="1">IF(Table1[[#This Row],[County]]="Gloucestershire",Table1[[#This Row],[income]],0)</f>
        <v>0</v>
      </c>
      <c r="BS243" s="20">
        <f ca="1">IF(Table1[[#This Row],[County]]="West Sussex",Table1[[#This Row],[income]],0)</f>
        <v>0</v>
      </c>
      <c r="BT243" s="20">
        <f ca="1">IF(Table1[[#This Row],[County]]="Devon",Table1[[#This Row],[income]],0)</f>
        <v>0</v>
      </c>
      <c r="BU243" s="20">
        <f ca="1">IF(Table1[[#This Row],[County]]="Berkshire",Table1[[#This Row],[income]],0)</f>
        <v>0</v>
      </c>
      <c r="BV243" s="20">
        <f ca="1">IF(Table1[[#This Row],[County]]="Staffordshire",Table1[[#This Row],[income]],0)</f>
        <v>58838</v>
      </c>
      <c r="BW243" s="20">
        <f ca="1">IF(Table1[[#This Row],[County]]="Leicestershire",Table1[[#This Row],[income]],0)</f>
        <v>0</v>
      </c>
      <c r="BX243" s="20">
        <f ca="1">IF(Table1[[#This Row],[County]]="Cornwall",Table1[[#This Row],[income]],0)</f>
        <v>0</v>
      </c>
      <c r="BY243" s="20">
        <f ca="1">IF(Table1[[#This Row],[County]]="Isle of Wight",Table1[[#This Row],[income]],0)</f>
        <v>0</v>
      </c>
      <c r="BZ243" s="20">
        <f ca="1">IF(Table1[[#This Row],[County]]="Surrey",Table1[[#This Row],[income]],0)</f>
        <v>0</v>
      </c>
      <c r="CA243" s="20">
        <f ca="1">IF(Table1[[#This Row],[County]]="Derbyshire",Table1[[#This Row],[income]],0)</f>
        <v>0</v>
      </c>
      <c r="CB243" s="20">
        <f ca="1">IF(Table1[[#This Row],[County]]="City of London",Table1[[#This Row],[income]],0)</f>
        <v>0</v>
      </c>
      <c r="CC243" s="20">
        <f ca="1">IF(Table1[[#This Row],[County]]="Bedfordshire",Table1[[#This Row],[income]],0)</f>
        <v>0</v>
      </c>
      <c r="CD243" s="20">
        <f ca="1">IF(Table1[[#This Row],[County]]="County Durham",Table1[[#This Row],[income]],0)</f>
        <v>0</v>
      </c>
      <c r="CE243" s="20">
        <f ca="1">IF(Table1[[#This Row],[County]]="East Riding of Yorkshire",Table1[[#This Row],[income]],0)</f>
        <v>0</v>
      </c>
      <c r="CF243" s="20">
        <f ca="1">IF(Table1[[#This Row],[County]]="West Yorkshire",Table1[[#This Row],[income]],0)</f>
        <v>0</v>
      </c>
      <c r="CG243" s="20">
        <f ca="1">IF(Table1[[#This Row],[County]]="Essex",Table1[[#This Row],[income]],0)</f>
        <v>0</v>
      </c>
      <c r="CH243" s="20">
        <f ca="1">IF(Table1[[#This Row],[County]]="East Sussex",Table1[[#This Row],[income]],0)</f>
        <v>0</v>
      </c>
      <c r="CI243" s="20">
        <f ca="1">IF(Table1[[#This Row],[County]]="Greater Manchester",Table1[[#This Row],[income]],0)</f>
        <v>0</v>
      </c>
      <c r="CJ243" s="20">
        <f ca="1">IF(Table1[[#This Row],[County]]="Hertfordshire",Table1[[#This Row],[income]],0)</f>
        <v>0</v>
      </c>
      <c r="CK243" s="20">
        <f ca="1">IF(Table1[[#This Row],[County]]="Herefordshire",Table1[[#This Row],[income]],0)</f>
        <v>0</v>
      </c>
      <c r="CL243" s="20">
        <f ca="1">IF(Table1[[#This Row],[County]]="Lancashire",Table1[[#This Row],[income]],0)</f>
        <v>0</v>
      </c>
      <c r="CM243" s="20">
        <f ca="1">IF(Table1[[#This Row],[County]]="Merseyside",Table1[[#This Row],[income]],0)</f>
        <v>0</v>
      </c>
      <c r="CN243" s="20">
        <f ca="1">IF(Table1[[#This Row],[County]]="Northamptonshire",Table1[[#This Row],[income]],0)</f>
        <v>0</v>
      </c>
      <c r="CO243" s="20">
        <f ca="1">IF(Table1[[#This Row],[County]]="Northumberland",Table1[[#This Row],[income]],0)</f>
        <v>0</v>
      </c>
      <c r="CP243" s="20">
        <f ca="1">IF(Table1[[#This Row],[County]]="Wiltshire",Table1[[#This Row],[income]],0)</f>
        <v>0</v>
      </c>
      <c r="CQ243" s="20">
        <f ca="1">IF(Table1[[#This Row],[County]]="West Midlands",Table1[[#This Row],[income]],0)</f>
        <v>0</v>
      </c>
      <c r="CR243" s="20">
        <f ca="1">IF(Table1[[#This Row],[County]]="Warwickshire",Table1[[#This Row],[income]],0)</f>
        <v>0</v>
      </c>
      <c r="CS243" s="20">
        <f ca="1">IF(Table1[[#This Row],[County]]="Tyne and Wear",Table1[[#This Row],[income]],0)</f>
        <v>0</v>
      </c>
      <c r="CT243" s="20">
        <f ca="1">IF(Table1[[#This Row],[County]]="Worcestershire",Table1[[#This Row],[income]],0)</f>
        <v>0</v>
      </c>
      <c r="CU243" s="20">
        <f ca="1">IF(Table1[[#This Row],[County]]="Rutland",Table1[[#This Row],[income]],0)</f>
        <v>0</v>
      </c>
      <c r="CV243" s="20">
        <f ca="1">IF(Table1[[#This Row],[County]]="Shropshire",Table1[[#This Row],[income]],0)</f>
        <v>0</v>
      </c>
      <c r="CW243" s="20">
        <f ca="1">IF(Table1[[#This Row],[County]]="Dorset",Table1[[#This Row],[income]],0)</f>
        <v>0</v>
      </c>
      <c r="CX243" s="20">
        <f ca="1">IF(Table1[[#This Row],[County]]="Buckinghamshire",Table1[[#This Row],[income]],0)</f>
        <v>0</v>
      </c>
      <c r="CY243" s="20">
        <f ca="1">IF(Table1[[#This Row],[County]]="Suffolk",Table1[[#This Row],[income]],0)</f>
        <v>0</v>
      </c>
      <c r="CZ243" s="20">
        <f ca="1">IF(Table1[[#This Row],[County]]="North Yorkshire",Table1[[#This Row],[income]],0)</f>
        <v>0</v>
      </c>
      <c r="DA243" s="20">
        <f ca="1">IF(Table1[[#This Row],[County]]="Kent",Table1[[#This Row],[income]],0)</f>
        <v>0</v>
      </c>
      <c r="DB243" s="5">
        <f ca="1">IF(Table1[[#This Row],[County]]="Derbyshire",Table1[[#This Row],[income]],0)</f>
        <v>0</v>
      </c>
      <c r="DD243" s="6">
        <f ca="1">IF(Table1[[#This Row],[Column1]]="Health",Table1[[#This Row],[income]],0)</f>
        <v>58838</v>
      </c>
      <c r="DE243" s="20">
        <f ca="1">IF(Table1[[#This Row],[Column1]]="Agriculture",Table1[[#This Row],[income]],0)</f>
        <v>0</v>
      </c>
      <c r="DF243" s="20">
        <f ca="1">IF(Table1[[#This Row],[Column1]]="Technology",Table1[[#This Row],[income]],0)</f>
        <v>0</v>
      </c>
      <c r="DG243" s="20">
        <f ca="1">IF(Table1[[#This Row],[Column1]]="Social Service",Table1[[#This Row],[income]],0)</f>
        <v>0</v>
      </c>
      <c r="DH243" s="20">
        <f ca="1">IF(Table1[[#This Row],[Column1]]="Education",Table1[[#This Row],[income]],0)</f>
        <v>0</v>
      </c>
      <c r="DI243" s="5">
        <f ca="1">IF(Table1[[#This Row],[Column1]]="Construction",Table1[[#This Row],[income]],0)</f>
        <v>0</v>
      </c>
      <c r="DK243" s="6">
        <f ca="1">IF(Table1[[#This Row],[Value of Debts]]&gt;Table1[[#This Row],[income]],1,0)</f>
        <v>1</v>
      </c>
      <c r="DL243" s="20"/>
      <c r="DM243" s="20"/>
      <c r="DN243" s="5"/>
      <c r="DP243" s="6">
        <f ca="1">IF(Table1[[#This Row],[Net Worth (£)]]&gt;$DS$5,C243,0)</f>
        <v>0</v>
      </c>
      <c r="DQ243" s="20"/>
      <c r="DR243" s="20"/>
      <c r="DS243" s="5"/>
    </row>
    <row r="244" spans="1:123" x14ac:dyDescent="0.2">
      <c r="A244">
        <f t="shared" ca="1" si="10"/>
        <v>1</v>
      </c>
      <c r="B244" s="1" t="str">
        <f ca="1">IF(A244=1, "men", "women")</f>
        <v>men</v>
      </c>
      <c r="C244" s="1">
        <f ca="1">RANDBETWEEN(25,50)</f>
        <v>42</v>
      </c>
      <c r="D244">
        <f ca="1">RANDBETWEEN(1,6)</f>
        <v>3</v>
      </c>
      <c r="E244" t="str">
        <f ca="1">VLOOKUP(D244,$W$5:$X$10,2)</f>
        <v>Education</v>
      </c>
      <c r="F244">
        <f ca="1">RANDBETWEEN(1,5)</f>
        <v>2</v>
      </c>
      <c r="G244" t="str">
        <f ca="1">VLOOKUP(F244,$Y$5:$Z$9,2)</f>
        <v>College</v>
      </c>
      <c r="H244">
        <f ca="1">RANDBETWEEN(0,4)</f>
        <v>3</v>
      </c>
      <c r="I244">
        <f ca="1">RANDBETWEEN(1,3)</f>
        <v>2</v>
      </c>
      <c r="J244">
        <f ca="1">RANDBETWEEN(30000,100000)</f>
        <v>62300</v>
      </c>
      <c r="K244">
        <f ca="1">RANDBETWEEN(1,48)</f>
        <v>36</v>
      </c>
      <c r="L244" t="str">
        <f ca="1">VLOOKUP(K244,$AA$5:$AB$52,2)</f>
        <v>Shropshire</v>
      </c>
      <c r="M244">
        <f ca="1">J244*(RANDBETWEEN(2,5))</f>
        <v>311500</v>
      </c>
      <c r="N244">
        <f ca="1">RAND()*M244</f>
        <v>163754.41438066214</v>
      </c>
      <c r="O244">
        <f ca="1">I244*RAND()*J244</f>
        <v>54106.168683738186</v>
      </c>
      <c r="P244">
        <f ca="1">RANDBETWEEN(0,O244)</f>
        <v>26843</v>
      </c>
      <c r="Q244">
        <f ca="1">RAND()*J244*2</f>
        <v>74209.812752894606</v>
      </c>
      <c r="R244">
        <f ca="1">RAND()*J244*1.5</f>
        <v>12511.343035275244</v>
      </c>
      <c r="S244">
        <f ca="1">J244+R244+O244</f>
        <v>128917.51171901343</v>
      </c>
      <c r="T244">
        <f ca="1">N244+P244+Q244</f>
        <v>264807.22713355673</v>
      </c>
      <c r="U244">
        <f ca="1">S244-T244</f>
        <v>-135889.71541454329</v>
      </c>
      <c r="AC244" s="6">
        <f ca="1">IF(Table1[[#This Row],[gender]]="men",1,0)</f>
        <v>1</v>
      </c>
      <c r="AD244">
        <f ca="1">IF(Table1[[#This Row],[gender]]="women",1,0)</f>
        <v>0</v>
      </c>
      <c r="AH244" s="5"/>
      <c r="AJ244" s="6">
        <f ca="1">IF(Table1[[#This Row],[Column1]]="Health",1,0)</f>
        <v>0</v>
      </c>
      <c r="AK244">
        <f ca="1">IF(Table1[[#This Row],[Column1]]="Construction",1,0)</f>
        <v>0</v>
      </c>
      <c r="AL244">
        <f ca="1">IF(Table1[[#This Row],[Column1]]="Technology",1,0)</f>
        <v>0</v>
      </c>
      <c r="AM244">
        <f ca="1">IF(Table1[[#This Row],[Column1]]="Education",1,0)</f>
        <v>1</v>
      </c>
      <c r="AN244">
        <f ca="1">IF(Table1[[#This Row],[Column1]]="Agriculture",1,0)</f>
        <v>0</v>
      </c>
      <c r="AO244">
        <f ca="1">IF(Table1[[#This Row],[Column1]]="Social Service", 1, 0)</f>
        <v>0</v>
      </c>
      <c r="AT244" s="5"/>
      <c r="AV244" s="17">
        <f t="shared" ca="1" si="9"/>
        <v>44327.389370383586</v>
      </c>
      <c r="AW244" s="5"/>
      <c r="AX244" s="6">
        <f ca="1">IF(Table1[[#This Row],[Value of Debts]]&gt;$AY$4,1,0)</f>
        <v>1</v>
      </c>
      <c r="AY244" s="20"/>
      <c r="AZ244" s="20"/>
      <c r="BA244" s="5"/>
      <c r="BB244" s="25">
        <f ca="1">Table1[[#This Row],[Mortage Left]]/Table1[[#This Row],[Value of House]]</f>
        <v>0.52569635435204543</v>
      </c>
      <c r="BC244" s="20">
        <f t="shared" ca="1" si="11"/>
        <v>0</v>
      </c>
      <c r="BD244" s="20"/>
      <c r="BE244" s="20"/>
      <c r="BF244" s="20"/>
      <c r="BG244" s="6">
        <f ca="1">IF(Table1[[#This Row],[County]]="Cumbria",Table1[[#This Row],[income]],0)</f>
        <v>0</v>
      </c>
      <c r="BH244" s="20">
        <f ca="1">IF(Table1[[#This Row],[County]]="Cheshire",Table1[[#This Row],[income]],0)</f>
        <v>0</v>
      </c>
      <c r="BI244" s="20">
        <f ca="1">IF(Table1[[#This Row],[County]]="Bristol",Table1[[#This Row],[income]],0)</f>
        <v>0</v>
      </c>
      <c r="BJ244" s="20">
        <f ca="1">IF(Table1[[#This Row],[County]]="Surrey",Table1[[#This Row],[income]],0)</f>
        <v>0</v>
      </c>
      <c r="BK244" s="20">
        <f ca="1">IF(Table1[[#This Row],[County]]="Norfolk",Table1[[#This Row],[income]],0)</f>
        <v>0</v>
      </c>
      <c r="BL244" s="20">
        <f ca="1">IF(Table1[[#This Row],[County]]="Lincolnshire",Table1[[#This Row],[income]],0)</f>
        <v>0</v>
      </c>
      <c r="BM244" s="20">
        <f ca="1">IF(Table1[[#This Row],[County]]="Somerset",Table1[[#This Row],[income]],0)</f>
        <v>0</v>
      </c>
      <c r="BN244" s="20">
        <f ca="1">IF(Table1[[#This Row],[County]]="Cambridgeshire",Table1[[#This Row],[income]],0)</f>
        <v>0</v>
      </c>
      <c r="BO244" s="20">
        <f ca="1">IF(Table1[[#This Row],[County]]="South Yorkshire",Table1[[#This Row],[income]],0)</f>
        <v>0</v>
      </c>
      <c r="BP244" s="20">
        <f ca="1">IF(Table1[[#This Row],[County]]="Greater London",Table1[[#This Row],[income]],0)</f>
        <v>0</v>
      </c>
      <c r="BQ244" s="20">
        <f ca="1">IF(Table1[[#This Row],[County]]="Hampshire",Table1[[#This Row],[income]],0)</f>
        <v>0</v>
      </c>
      <c r="BR244" s="20">
        <f ca="1">IF(Table1[[#This Row],[County]]="Gloucestershire",Table1[[#This Row],[income]],0)</f>
        <v>0</v>
      </c>
      <c r="BS244" s="20">
        <f ca="1">IF(Table1[[#This Row],[County]]="West Sussex",Table1[[#This Row],[income]],0)</f>
        <v>0</v>
      </c>
      <c r="BT244" s="20">
        <f ca="1">IF(Table1[[#This Row],[County]]="Devon",Table1[[#This Row],[income]],0)</f>
        <v>0</v>
      </c>
      <c r="BU244" s="20">
        <f ca="1">IF(Table1[[#This Row],[County]]="Berkshire",Table1[[#This Row],[income]],0)</f>
        <v>0</v>
      </c>
      <c r="BV244" s="20">
        <f ca="1">IF(Table1[[#This Row],[County]]="Staffordshire",Table1[[#This Row],[income]],0)</f>
        <v>0</v>
      </c>
      <c r="BW244" s="20">
        <f ca="1">IF(Table1[[#This Row],[County]]="Leicestershire",Table1[[#This Row],[income]],0)</f>
        <v>0</v>
      </c>
      <c r="BX244" s="20">
        <f ca="1">IF(Table1[[#This Row],[County]]="Cornwall",Table1[[#This Row],[income]],0)</f>
        <v>0</v>
      </c>
      <c r="BY244" s="20">
        <f ca="1">IF(Table1[[#This Row],[County]]="Isle of Wight",Table1[[#This Row],[income]],0)</f>
        <v>0</v>
      </c>
      <c r="BZ244" s="20">
        <f ca="1">IF(Table1[[#This Row],[County]]="Surrey",Table1[[#This Row],[income]],0)</f>
        <v>0</v>
      </c>
      <c r="CA244" s="20">
        <f ca="1">IF(Table1[[#This Row],[County]]="Derbyshire",Table1[[#This Row],[income]],0)</f>
        <v>0</v>
      </c>
      <c r="CB244" s="20">
        <f ca="1">IF(Table1[[#This Row],[County]]="City of London",Table1[[#This Row],[income]],0)</f>
        <v>0</v>
      </c>
      <c r="CC244" s="20">
        <f ca="1">IF(Table1[[#This Row],[County]]="Bedfordshire",Table1[[#This Row],[income]],0)</f>
        <v>0</v>
      </c>
      <c r="CD244" s="20">
        <f ca="1">IF(Table1[[#This Row],[County]]="County Durham",Table1[[#This Row],[income]],0)</f>
        <v>0</v>
      </c>
      <c r="CE244" s="20">
        <f ca="1">IF(Table1[[#This Row],[County]]="East Riding of Yorkshire",Table1[[#This Row],[income]],0)</f>
        <v>0</v>
      </c>
      <c r="CF244" s="20">
        <f ca="1">IF(Table1[[#This Row],[County]]="West Yorkshire",Table1[[#This Row],[income]],0)</f>
        <v>0</v>
      </c>
      <c r="CG244" s="20">
        <f ca="1">IF(Table1[[#This Row],[County]]="Essex",Table1[[#This Row],[income]],0)</f>
        <v>0</v>
      </c>
      <c r="CH244" s="20">
        <f ca="1">IF(Table1[[#This Row],[County]]="East Sussex",Table1[[#This Row],[income]],0)</f>
        <v>0</v>
      </c>
      <c r="CI244" s="20">
        <f ca="1">IF(Table1[[#This Row],[County]]="Greater Manchester",Table1[[#This Row],[income]],0)</f>
        <v>0</v>
      </c>
      <c r="CJ244" s="20">
        <f ca="1">IF(Table1[[#This Row],[County]]="Hertfordshire",Table1[[#This Row],[income]],0)</f>
        <v>0</v>
      </c>
      <c r="CK244" s="20">
        <f ca="1">IF(Table1[[#This Row],[County]]="Herefordshire",Table1[[#This Row],[income]],0)</f>
        <v>0</v>
      </c>
      <c r="CL244" s="20">
        <f ca="1">IF(Table1[[#This Row],[County]]="Lancashire",Table1[[#This Row],[income]],0)</f>
        <v>0</v>
      </c>
      <c r="CM244" s="20">
        <f ca="1">IF(Table1[[#This Row],[County]]="Merseyside",Table1[[#This Row],[income]],0)</f>
        <v>0</v>
      </c>
      <c r="CN244" s="20">
        <f ca="1">IF(Table1[[#This Row],[County]]="Northamptonshire",Table1[[#This Row],[income]],0)</f>
        <v>0</v>
      </c>
      <c r="CO244" s="20">
        <f ca="1">IF(Table1[[#This Row],[County]]="Northumberland",Table1[[#This Row],[income]],0)</f>
        <v>0</v>
      </c>
      <c r="CP244" s="20">
        <f ca="1">IF(Table1[[#This Row],[County]]="Wiltshire",Table1[[#This Row],[income]],0)</f>
        <v>0</v>
      </c>
      <c r="CQ244" s="20">
        <f ca="1">IF(Table1[[#This Row],[County]]="West Midlands",Table1[[#This Row],[income]],0)</f>
        <v>0</v>
      </c>
      <c r="CR244" s="20">
        <f ca="1">IF(Table1[[#This Row],[County]]="Warwickshire",Table1[[#This Row],[income]],0)</f>
        <v>0</v>
      </c>
      <c r="CS244" s="20">
        <f ca="1">IF(Table1[[#This Row],[County]]="Tyne and Wear",Table1[[#This Row],[income]],0)</f>
        <v>0</v>
      </c>
      <c r="CT244" s="20">
        <f ca="1">IF(Table1[[#This Row],[County]]="Worcestershire",Table1[[#This Row],[income]],0)</f>
        <v>0</v>
      </c>
      <c r="CU244" s="20">
        <f ca="1">IF(Table1[[#This Row],[County]]="Rutland",Table1[[#This Row],[income]],0)</f>
        <v>0</v>
      </c>
      <c r="CV244" s="20">
        <f ca="1">IF(Table1[[#This Row],[County]]="Shropshire",Table1[[#This Row],[income]],0)</f>
        <v>62300</v>
      </c>
      <c r="CW244" s="20">
        <f ca="1">IF(Table1[[#This Row],[County]]="Dorset",Table1[[#This Row],[income]],0)</f>
        <v>0</v>
      </c>
      <c r="CX244" s="20">
        <f ca="1">IF(Table1[[#This Row],[County]]="Buckinghamshire",Table1[[#This Row],[income]],0)</f>
        <v>0</v>
      </c>
      <c r="CY244" s="20">
        <f ca="1">IF(Table1[[#This Row],[County]]="Suffolk",Table1[[#This Row],[income]],0)</f>
        <v>0</v>
      </c>
      <c r="CZ244" s="20">
        <f ca="1">IF(Table1[[#This Row],[County]]="North Yorkshire",Table1[[#This Row],[income]],0)</f>
        <v>0</v>
      </c>
      <c r="DA244" s="20">
        <f ca="1">IF(Table1[[#This Row],[County]]="Kent",Table1[[#This Row],[income]],0)</f>
        <v>0</v>
      </c>
      <c r="DB244" s="5">
        <f ca="1">IF(Table1[[#This Row],[County]]="Derbyshire",Table1[[#This Row],[income]],0)</f>
        <v>0</v>
      </c>
      <c r="DD244" s="6">
        <f ca="1">IF(Table1[[#This Row],[Column1]]="Health",Table1[[#This Row],[income]],0)</f>
        <v>0</v>
      </c>
      <c r="DE244" s="20">
        <f ca="1">IF(Table1[[#This Row],[Column1]]="Agriculture",Table1[[#This Row],[income]],0)</f>
        <v>0</v>
      </c>
      <c r="DF244" s="20">
        <f ca="1">IF(Table1[[#This Row],[Column1]]="Technology",Table1[[#This Row],[income]],0)</f>
        <v>0</v>
      </c>
      <c r="DG244" s="20">
        <f ca="1">IF(Table1[[#This Row],[Column1]]="Social Service",Table1[[#This Row],[income]],0)</f>
        <v>0</v>
      </c>
      <c r="DH244" s="20">
        <f ca="1">IF(Table1[[#This Row],[Column1]]="Education",Table1[[#This Row],[income]],0)</f>
        <v>62300</v>
      </c>
      <c r="DI244" s="5">
        <f ca="1">IF(Table1[[#This Row],[Column1]]="Construction",Table1[[#This Row],[income]],0)</f>
        <v>0</v>
      </c>
      <c r="DK244" s="6">
        <f ca="1">IF(Table1[[#This Row],[Value of Debts]]&gt;Table1[[#This Row],[income]],1,0)</f>
        <v>1</v>
      </c>
      <c r="DL244" s="20"/>
      <c r="DM244" s="20"/>
      <c r="DN244" s="5"/>
      <c r="DP244" s="6">
        <f ca="1">IF(Table1[[#This Row],[Net Worth (£)]]&gt;$DS$5,C244,0)</f>
        <v>0</v>
      </c>
      <c r="DQ244" s="20"/>
      <c r="DR244" s="20"/>
      <c r="DS244" s="5"/>
    </row>
    <row r="245" spans="1:123" x14ac:dyDescent="0.2">
      <c r="A245">
        <f t="shared" ca="1" si="10"/>
        <v>2</v>
      </c>
      <c r="B245" s="1" t="str">
        <f ca="1">IF(A245=1, "men", "women")</f>
        <v>women</v>
      </c>
      <c r="C245" s="1">
        <f ca="1">RANDBETWEEN(25,50)</f>
        <v>31</v>
      </c>
      <c r="D245">
        <f ca="1">RANDBETWEEN(1,6)</f>
        <v>2</v>
      </c>
      <c r="E245" t="str">
        <f ca="1">VLOOKUP(D245,$W$5:$X$10,2)</f>
        <v>Construction</v>
      </c>
      <c r="F245">
        <f ca="1">RANDBETWEEN(1,5)</f>
        <v>4</v>
      </c>
      <c r="G245" t="str">
        <f ca="1">VLOOKUP(F245,$Y$5:$Z$9,2)</f>
        <v xml:space="preserve">Technical </v>
      </c>
      <c r="H245">
        <f ca="1">RANDBETWEEN(0,4)</f>
        <v>3</v>
      </c>
      <c r="I245">
        <f ca="1">RANDBETWEEN(1,3)</f>
        <v>3</v>
      </c>
      <c r="J245">
        <f ca="1">RANDBETWEEN(30000,100000)</f>
        <v>61749</v>
      </c>
      <c r="K245">
        <f ca="1">RANDBETWEEN(1,48)</f>
        <v>16</v>
      </c>
      <c r="L245" t="str">
        <f ca="1">VLOOKUP(K245,$AA$5:$AB$52,2)</f>
        <v>Essex</v>
      </c>
      <c r="M245">
        <f ca="1">J245*(RANDBETWEEN(2,5))</f>
        <v>123498</v>
      </c>
      <c r="N245">
        <f ca="1">RAND()*M245</f>
        <v>46617.848160580004</v>
      </c>
      <c r="O245">
        <f ca="1">I245*RAND()*J245</f>
        <v>132982.16811115076</v>
      </c>
      <c r="P245">
        <f ca="1">RANDBETWEEN(0,O245)</f>
        <v>77852</v>
      </c>
      <c r="Q245">
        <f ca="1">RAND()*J245*2</f>
        <v>8910.2288776372334</v>
      </c>
      <c r="R245">
        <f ca="1">RAND()*J245*1.5</f>
        <v>78571.681158127118</v>
      </c>
      <c r="S245">
        <f ca="1">J245+R245+O245</f>
        <v>273302.84926927788</v>
      </c>
      <c r="T245">
        <f ca="1">N245+P245+Q245</f>
        <v>133380.07703821725</v>
      </c>
      <c r="U245">
        <f ca="1">S245-T245</f>
        <v>139922.77223106063</v>
      </c>
      <c r="AC245" s="6">
        <f ca="1">IF(Table1[[#This Row],[gender]]="men",1,0)</f>
        <v>0</v>
      </c>
      <c r="AD245">
        <f ca="1">IF(Table1[[#This Row],[gender]]="women",1,0)</f>
        <v>1</v>
      </c>
      <c r="AH245" s="5"/>
      <c r="AJ245" s="6">
        <f ca="1">IF(Table1[[#This Row],[Column1]]="Health",1,0)</f>
        <v>0</v>
      </c>
      <c r="AK245">
        <f ca="1">IF(Table1[[#This Row],[Column1]]="Construction",1,0)</f>
        <v>1</v>
      </c>
      <c r="AL245">
        <f ca="1">IF(Table1[[#This Row],[Column1]]="Technology",1,0)</f>
        <v>0</v>
      </c>
      <c r="AM245">
        <f ca="1">IF(Table1[[#This Row],[Column1]]="Education",1,0)</f>
        <v>0</v>
      </c>
      <c r="AN245">
        <f ca="1">IF(Table1[[#This Row],[Column1]]="Agriculture",1,0)</f>
        <v>0</v>
      </c>
      <c r="AO245">
        <f ca="1">IF(Table1[[#This Row],[Column1]]="Social Service", 1, 0)</f>
        <v>0</v>
      </c>
      <c r="AT245" s="5"/>
      <c r="AV245" s="17">
        <f t="shared" ca="1" si="9"/>
        <v>48154.602468947276</v>
      </c>
      <c r="AW245" s="5"/>
      <c r="AX245" s="6">
        <f ca="1">IF(Table1[[#This Row],[Value of Debts]]&gt;$AY$4,1,0)</f>
        <v>1</v>
      </c>
      <c r="AY245" s="20"/>
      <c r="AZ245" s="20"/>
      <c r="BA245" s="5"/>
      <c r="BB245" s="25">
        <f ca="1">Table1[[#This Row],[Mortage Left]]/Table1[[#This Row],[Value of House]]</f>
        <v>0.3774785677547815</v>
      </c>
      <c r="BC245" s="20">
        <f t="shared" ca="1" si="11"/>
        <v>0</v>
      </c>
      <c r="BD245" s="20"/>
      <c r="BE245" s="20"/>
      <c r="BF245" s="20"/>
      <c r="BG245" s="6">
        <f ca="1">IF(Table1[[#This Row],[County]]="Cumbria",Table1[[#This Row],[income]],0)</f>
        <v>0</v>
      </c>
      <c r="BH245" s="20">
        <f ca="1">IF(Table1[[#This Row],[County]]="Cheshire",Table1[[#This Row],[income]],0)</f>
        <v>0</v>
      </c>
      <c r="BI245" s="20">
        <f ca="1">IF(Table1[[#This Row],[County]]="Bristol",Table1[[#This Row],[income]],0)</f>
        <v>0</v>
      </c>
      <c r="BJ245" s="20">
        <f ca="1">IF(Table1[[#This Row],[County]]="Surrey",Table1[[#This Row],[income]],0)</f>
        <v>0</v>
      </c>
      <c r="BK245" s="20">
        <f ca="1">IF(Table1[[#This Row],[County]]="Norfolk",Table1[[#This Row],[income]],0)</f>
        <v>0</v>
      </c>
      <c r="BL245" s="20">
        <f ca="1">IF(Table1[[#This Row],[County]]="Lincolnshire",Table1[[#This Row],[income]],0)</f>
        <v>0</v>
      </c>
      <c r="BM245" s="20">
        <f ca="1">IF(Table1[[#This Row],[County]]="Somerset",Table1[[#This Row],[income]],0)</f>
        <v>0</v>
      </c>
      <c r="BN245" s="20">
        <f ca="1">IF(Table1[[#This Row],[County]]="Cambridgeshire",Table1[[#This Row],[income]],0)</f>
        <v>0</v>
      </c>
      <c r="BO245" s="20">
        <f ca="1">IF(Table1[[#This Row],[County]]="South Yorkshire",Table1[[#This Row],[income]],0)</f>
        <v>0</v>
      </c>
      <c r="BP245" s="20">
        <f ca="1">IF(Table1[[#This Row],[County]]="Greater London",Table1[[#This Row],[income]],0)</f>
        <v>0</v>
      </c>
      <c r="BQ245" s="20">
        <f ca="1">IF(Table1[[#This Row],[County]]="Hampshire",Table1[[#This Row],[income]],0)</f>
        <v>0</v>
      </c>
      <c r="BR245" s="20">
        <f ca="1">IF(Table1[[#This Row],[County]]="Gloucestershire",Table1[[#This Row],[income]],0)</f>
        <v>0</v>
      </c>
      <c r="BS245" s="20">
        <f ca="1">IF(Table1[[#This Row],[County]]="West Sussex",Table1[[#This Row],[income]],0)</f>
        <v>0</v>
      </c>
      <c r="BT245" s="20">
        <f ca="1">IF(Table1[[#This Row],[County]]="Devon",Table1[[#This Row],[income]],0)</f>
        <v>0</v>
      </c>
      <c r="BU245" s="20">
        <f ca="1">IF(Table1[[#This Row],[County]]="Berkshire",Table1[[#This Row],[income]],0)</f>
        <v>0</v>
      </c>
      <c r="BV245" s="20">
        <f ca="1">IF(Table1[[#This Row],[County]]="Staffordshire",Table1[[#This Row],[income]],0)</f>
        <v>0</v>
      </c>
      <c r="BW245" s="20">
        <f ca="1">IF(Table1[[#This Row],[County]]="Leicestershire",Table1[[#This Row],[income]],0)</f>
        <v>0</v>
      </c>
      <c r="BX245" s="20">
        <f ca="1">IF(Table1[[#This Row],[County]]="Cornwall",Table1[[#This Row],[income]],0)</f>
        <v>0</v>
      </c>
      <c r="BY245" s="20">
        <f ca="1">IF(Table1[[#This Row],[County]]="Isle of Wight",Table1[[#This Row],[income]],0)</f>
        <v>0</v>
      </c>
      <c r="BZ245" s="20">
        <f ca="1">IF(Table1[[#This Row],[County]]="Surrey",Table1[[#This Row],[income]],0)</f>
        <v>0</v>
      </c>
      <c r="CA245" s="20">
        <f ca="1">IF(Table1[[#This Row],[County]]="Derbyshire",Table1[[#This Row],[income]],0)</f>
        <v>0</v>
      </c>
      <c r="CB245" s="20">
        <f ca="1">IF(Table1[[#This Row],[County]]="City of London",Table1[[#This Row],[income]],0)</f>
        <v>0</v>
      </c>
      <c r="CC245" s="20">
        <f ca="1">IF(Table1[[#This Row],[County]]="Bedfordshire",Table1[[#This Row],[income]],0)</f>
        <v>0</v>
      </c>
      <c r="CD245" s="20">
        <f ca="1">IF(Table1[[#This Row],[County]]="County Durham",Table1[[#This Row],[income]],0)</f>
        <v>0</v>
      </c>
      <c r="CE245" s="20">
        <f ca="1">IF(Table1[[#This Row],[County]]="East Riding of Yorkshire",Table1[[#This Row],[income]],0)</f>
        <v>0</v>
      </c>
      <c r="CF245" s="20">
        <f ca="1">IF(Table1[[#This Row],[County]]="West Yorkshire",Table1[[#This Row],[income]],0)</f>
        <v>0</v>
      </c>
      <c r="CG245" s="20">
        <f ca="1">IF(Table1[[#This Row],[County]]="Essex",Table1[[#This Row],[income]],0)</f>
        <v>61749</v>
      </c>
      <c r="CH245" s="20">
        <f ca="1">IF(Table1[[#This Row],[County]]="East Sussex",Table1[[#This Row],[income]],0)</f>
        <v>0</v>
      </c>
      <c r="CI245" s="20">
        <f ca="1">IF(Table1[[#This Row],[County]]="Greater Manchester",Table1[[#This Row],[income]],0)</f>
        <v>0</v>
      </c>
      <c r="CJ245" s="20">
        <f ca="1">IF(Table1[[#This Row],[County]]="Hertfordshire",Table1[[#This Row],[income]],0)</f>
        <v>0</v>
      </c>
      <c r="CK245" s="20">
        <f ca="1">IF(Table1[[#This Row],[County]]="Herefordshire",Table1[[#This Row],[income]],0)</f>
        <v>0</v>
      </c>
      <c r="CL245" s="20">
        <f ca="1">IF(Table1[[#This Row],[County]]="Lancashire",Table1[[#This Row],[income]],0)</f>
        <v>0</v>
      </c>
      <c r="CM245" s="20">
        <f ca="1">IF(Table1[[#This Row],[County]]="Merseyside",Table1[[#This Row],[income]],0)</f>
        <v>0</v>
      </c>
      <c r="CN245" s="20">
        <f ca="1">IF(Table1[[#This Row],[County]]="Northamptonshire",Table1[[#This Row],[income]],0)</f>
        <v>0</v>
      </c>
      <c r="CO245" s="20">
        <f ca="1">IF(Table1[[#This Row],[County]]="Northumberland",Table1[[#This Row],[income]],0)</f>
        <v>0</v>
      </c>
      <c r="CP245" s="20">
        <f ca="1">IF(Table1[[#This Row],[County]]="Wiltshire",Table1[[#This Row],[income]],0)</f>
        <v>0</v>
      </c>
      <c r="CQ245" s="20">
        <f ca="1">IF(Table1[[#This Row],[County]]="West Midlands",Table1[[#This Row],[income]],0)</f>
        <v>0</v>
      </c>
      <c r="CR245" s="20">
        <f ca="1">IF(Table1[[#This Row],[County]]="Warwickshire",Table1[[#This Row],[income]],0)</f>
        <v>0</v>
      </c>
      <c r="CS245" s="20">
        <f ca="1">IF(Table1[[#This Row],[County]]="Tyne and Wear",Table1[[#This Row],[income]],0)</f>
        <v>0</v>
      </c>
      <c r="CT245" s="20">
        <f ca="1">IF(Table1[[#This Row],[County]]="Worcestershire",Table1[[#This Row],[income]],0)</f>
        <v>0</v>
      </c>
      <c r="CU245" s="20">
        <f ca="1">IF(Table1[[#This Row],[County]]="Rutland",Table1[[#This Row],[income]],0)</f>
        <v>0</v>
      </c>
      <c r="CV245" s="20">
        <f ca="1">IF(Table1[[#This Row],[County]]="Shropshire",Table1[[#This Row],[income]],0)</f>
        <v>0</v>
      </c>
      <c r="CW245" s="20">
        <f ca="1">IF(Table1[[#This Row],[County]]="Dorset",Table1[[#This Row],[income]],0)</f>
        <v>0</v>
      </c>
      <c r="CX245" s="20">
        <f ca="1">IF(Table1[[#This Row],[County]]="Buckinghamshire",Table1[[#This Row],[income]],0)</f>
        <v>0</v>
      </c>
      <c r="CY245" s="20">
        <f ca="1">IF(Table1[[#This Row],[County]]="Suffolk",Table1[[#This Row],[income]],0)</f>
        <v>0</v>
      </c>
      <c r="CZ245" s="20">
        <f ca="1">IF(Table1[[#This Row],[County]]="North Yorkshire",Table1[[#This Row],[income]],0)</f>
        <v>0</v>
      </c>
      <c r="DA245" s="20">
        <f ca="1">IF(Table1[[#This Row],[County]]="Kent",Table1[[#This Row],[income]],0)</f>
        <v>0</v>
      </c>
      <c r="DB245" s="5">
        <f ca="1">IF(Table1[[#This Row],[County]]="Derbyshire",Table1[[#This Row],[income]],0)</f>
        <v>0</v>
      </c>
      <c r="DD245" s="6">
        <f ca="1">IF(Table1[[#This Row],[Column1]]="Health",Table1[[#This Row],[income]],0)</f>
        <v>0</v>
      </c>
      <c r="DE245" s="20">
        <f ca="1">IF(Table1[[#This Row],[Column1]]="Agriculture",Table1[[#This Row],[income]],0)</f>
        <v>0</v>
      </c>
      <c r="DF245" s="20">
        <f ca="1">IF(Table1[[#This Row],[Column1]]="Technology",Table1[[#This Row],[income]],0)</f>
        <v>0</v>
      </c>
      <c r="DG245" s="20">
        <f ca="1">IF(Table1[[#This Row],[Column1]]="Social Service",Table1[[#This Row],[income]],0)</f>
        <v>0</v>
      </c>
      <c r="DH245" s="20">
        <f ca="1">IF(Table1[[#This Row],[Column1]]="Education",Table1[[#This Row],[income]],0)</f>
        <v>0</v>
      </c>
      <c r="DI245" s="5">
        <f ca="1">IF(Table1[[#This Row],[Column1]]="Construction",Table1[[#This Row],[income]],0)</f>
        <v>61749</v>
      </c>
      <c r="DK245" s="6">
        <f ca="1">IF(Table1[[#This Row],[Value of Debts]]&gt;Table1[[#This Row],[income]],1,0)</f>
        <v>1</v>
      </c>
      <c r="DL245" s="20"/>
      <c r="DM245" s="20"/>
      <c r="DN245" s="5"/>
      <c r="DP245" s="6">
        <f ca="1">IF(Table1[[#This Row],[Net Worth (£)]]&gt;$DS$5,C245,0)</f>
        <v>31</v>
      </c>
      <c r="DQ245" s="20"/>
      <c r="DR245" s="20"/>
      <c r="DS245" s="5"/>
    </row>
    <row r="246" spans="1:123" x14ac:dyDescent="0.2">
      <c r="A246">
        <f t="shared" ca="1" si="10"/>
        <v>1</v>
      </c>
      <c r="B246" s="1" t="str">
        <f ca="1">IF(A246=1, "men", "women")</f>
        <v>men</v>
      </c>
      <c r="C246" s="1">
        <f ca="1">RANDBETWEEN(25,50)</f>
        <v>40</v>
      </c>
      <c r="D246">
        <f ca="1">RANDBETWEEN(1,6)</f>
        <v>1</v>
      </c>
      <c r="E246" t="str">
        <f ca="1">VLOOKUP(D246,$W$5:$X$10,2)</f>
        <v>Health</v>
      </c>
      <c r="F246">
        <f ca="1">RANDBETWEEN(1,5)</f>
        <v>1</v>
      </c>
      <c r="G246" t="str">
        <f ca="1">VLOOKUP(F246,$Y$5:$Z$9,2)</f>
        <v>High School</v>
      </c>
      <c r="H246">
        <f ca="1">RANDBETWEEN(0,4)</f>
        <v>3</v>
      </c>
      <c r="I246">
        <f ca="1">RANDBETWEEN(1,3)</f>
        <v>2</v>
      </c>
      <c r="J246">
        <f ca="1">RANDBETWEEN(30000,100000)</f>
        <v>59203</v>
      </c>
      <c r="K246">
        <f ca="1">RANDBETWEEN(1,48)</f>
        <v>45</v>
      </c>
      <c r="L246" t="str">
        <f ca="1">VLOOKUP(K246,$AA$5:$AB$52,2)</f>
        <v>West Sussex</v>
      </c>
      <c r="M246">
        <f ca="1">J246*(RANDBETWEEN(2,5))</f>
        <v>296015</v>
      </c>
      <c r="N246">
        <f ca="1">RAND()*M246</f>
        <v>174084.13782231108</v>
      </c>
      <c r="O246">
        <f ca="1">I246*RAND()*J246</f>
        <v>96309.204937894552</v>
      </c>
      <c r="P246">
        <f ca="1">RANDBETWEEN(0,O246)</f>
        <v>3337</v>
      </c>
      <c r="Q246">
        <f ca="1">RAND()*J246*2</f>
        <v>100922.31238444117</v>
      </c>
      <c r="R246">
        <f ca="1">RAND()*J246*1.5</f>
        <v>80837.472186839441</v>
      </c>
      <c r="S246">
        <f ca="1">J246+R246+O246</f>
        <v>236349.67712473398</v>
      </c>
      <c r="T246">
        <f ca="1">N246+P246+Q246</f>
        <v>278343.45020675228</v>
      </c>
      <c r="U246">
        <f ca="1">S246-T246</f>
        <v>-41993.773082018306</v>
      </c>
      <c r="AC246" s="6">
        <f ca="1">IF(Table1[[#This Row],[gender]]="men",1,0)</f>
        <v>1</v>
      </c>
      <c r="AD246">
        <f ca="1">IF(Table1[[#This Row],[gender]]="women",1,0)</f>
        <v>0</v>
      </c>
      <c r="AH246" s="5"/>
      <c r="AJ246" s="6">
        <f ca="1">IF(Table1[[#This Row],[Column1]]="Health",1,0)</f>
        <v>1</v>
      </c>
      <c r="AK246">
        <f ca="1">IF(Table1[[#This Row],[Column1]]="Construction",1,0)</f>
        <v>0</v>
      </c>
      <c r="AL246">
        <f ca="1">IF(Table1[[#This Row],[Column1]]="Technology",1,0)</f>
        <v>0</v>
      </c>
      <c r="AM246">
        <f ca="1">IF(Table1[[#This Row],[Column1]]="Education",1,0)</f>
        <v>0</v>
      </c>
      <c r="AN246">
        <f ca="1">IF(Table1[[#This Row],[Column1]]="Agriculture",1,0)</f>
        <v>0</v>
      </c>
      <c r="AO246">
        <f ca="1">IF(Table1[[#This Row],[Column1]]="Social Service", 1, 0)</f>
        <v>0</v>
      </c>
      <c r="AT246" s="5"/>
      <c r="AV246" s="17">
        <f t="shared" ca="1" si="9"/>
        <v>35273.3896836368</v>
      </c>
      <c r="AW246" s="5"/>
      <c r="AX246" s="6">
        <f ca="1">IF(Table1[[#This Row],[Value of Debts]]&gt;$AY$4,1,0)</f>
        <v>1</v>
      </c>
      <c r="AY246" s="20"/>
      <c r="AZ246" s="20"/>
      <c r="BA246" s="5"/>
      <c r="BB246" s="25">
        <f ca="1">Table1[[#This Row],[Mortage Left]]/Table1[[#This Row],[Value of House]]</f>
        <v>0.58809228526362201</v>
      </c>
      <c r="BC246" s="20">
        <f t="shared" ca="1" si="11"/>
        <v>0</v>
      </c>
      <c r="BD246" s="20"/>
      <c r="BE246" s="20"/>
      <c r="BF246" s="20"/>
      <c r="BG246" s="6">
        <f ca="1">IF(Table1[[#This Row],[County]]="Cumbria",Table1[[#This Row],[income]],0)</f>
        <v>0</v>
      </c>
      <c r="BH246" s="20">
        <f ca="1">IF(Table1[[#This Row],[County]]="Cheshire",Table1[[#This Row],[income]],0)</f>
        <v>0</v>
      </c>
      <c r="BI246" s="20">
        <f ca="1">IF(Table1[[#This Row],[County]]="Bristol",Table1[[#This Row],[income]],0)</f>
        <v>0</v>
      </c>
      <c r="BJ246" s="20">
        <f ca="1">IF(Table1[[#This Row],[County]]="Surrey",Table1[[#This Row],[income]],0)</f>
        <v>0</v>
      </c>
      <c r="BK246" s="20">
        <f ca="1">IF(Table1[[#This Row],[County]]="Norfolk",Table1[[#This Row],[income]],0)</f>
        <v>0</v>
      </c>
      <c r="BL246" s="20">
        <f ca="1">IF(Table1[[#This Row],[County]]="Lincolnshire",Table1[[#This Row],[income]],0)</f>
        <v>0</v>
      </c>
      <c r="BM246" s="20">
        <f ca="1">IF(Table1[[#This Row],[County]]="Somerset",Table1[[#This Row],[income]],0)</f>
        <v>0</v>
      </c>
      <c r="BN246" s="20">
        <f ca="1">IF(Table1[[#This Row],[County]]="Cambridgeshire",Table1[[#This Row],[income]],0)</f>
        <v>0</v>
      </c>
      <c r="BO246" s="20">
        <f ca="1">IF(Table1[[#This Row],[County]]="South Yorkshire",Table1[[#This Row],[income]],0)</f>
        <v>0</v>
      </c>
      <c r="BP246" s="20">
        <f ca="1">IF(Table1[[#This Row],[County]]="Greater London",Table1[[#This Row],[income]],0)</f>
        <v>0</v>
      </c>
      <c r="BQ246" s="20">
        <f ca="1">IF(Table1[[#This Row],[County]]="Hampshire",Table1[[#This Row],[income]],0)</f>
        <v>0</v>
      </c>
      <c r="BR246" s="20">
        <f ca="1">IF(Table1[[#This Row],[County]]="Gloucestershire",Table1[[#This Row],[income]],0)</f>
        <v>0</v>
      </c>
      <c r="BS246" s="20">
        <f ca="1">IF(Table1[[#This Row],[County]]="West Sussex",Table1[[#This Row],[income]],0)</f>
        <v>59203</v>
      </c>
      <c r="BT246" s="20">
        <f ca="1">IF(Table1[[#This Row],[County]]="Devon",Table1[[#This Row],[income]],0)</f>
        <v>0</v>
      </c>
      <c r="BU246" s="20">
        <f ca="1">IF(Table1[[#This Row],[County]]="Berkshire",Table1[[#This Row],[income]],0)</f>
        <v>0</v>
      </c>
      <c r="BV246" s="20">
        <f ca="1">IF(Table1[[#This Row],[County]]="Staffordshire",Table1[[#This Row],[income]],0)</f>
        <v>0</v>
      </c>
      <c r="BW246" s="20">
        <f ca="1">IF(Table1[[#This Row],[County]]="Leicestershire",Table1[[#This Row],[income]],0)</f>
        <v>0</v>
      </c>
      <c r="BX246" s="20">
        <f ca="1">IF(Table1[[#This Row],[County]]="Cornwall",Table1[[#This Row],[income]],0)</f>
        <v>0</v>
      </c>
      <c r="BY246" s="20">
        <f ca="1">IF(Table1[[#This Row],[County]]="Isle of Wight",Table1[[#This Row],[income]],0)</f>
        <v>0</v>
      </c>
      <c r="BZ246" s="20">
        <f ca="1">IF(Table1[[#This Row],[County]]="Surrey",Table1[[#This Row],[income]],0)</f>
        <v>0</v>
      </c>
      <c r="CA246" s="20">
        <f ca="1">IF(Table1[[#This Row],[County]]="Derbyshire",Table1[[#This Row],[income]],0)</f>
        <v>0</v>
      </c>
      <c r="CB246" s="20">
        <f ca="1">IF(Table1[[#This Row],[County]]="City of London",Table1[[#This Row],[income]],0)</f>
        <v>0</v>
      </c>
      <c r="CC246" s="20">
        <f ca="1">IF(Table1[[#This Row],[County]]="Bedfordshire",Table1[[#This Row],[income]],0)</f>
        <v>0</v>
      </c>
      <c r="CD246" s="20">
        <f ca="1">IF(Table1[[#This Row],[County]]="County Durham",Table1[[#This Row],[income]],0)</f>
        <v>0</v>
      </c>
      <c r="CE246" s="20">
        <f ca="1">IF(Table1[[#This Row],[County]]="East Riding of Yorkshire",Table1[[#This Row],[income]],0)</f>
        <v>0</v>
      </c>
      <c r="CF246" s="20">
        <f ca="1">IF(Table1[[#This Row],[County]]="West Yorkshire",Table1[[#This Row],[income]],0)</f>
        <v>0</v>
      </c>
      <c r="CG246" s="20">
        <f ca="1">IF(Table1[[#This Row],[County]]="Essex",Table1[[#This Row],[income]],0)</f>
        <v>0</v>
      </c>
      <c r="CH246" s="20">
        <f ca="1">IF(Table1[[#This Row],[County]]="East Sussex",Table1[[#This Row],[income]],0)</f>
        <v>0</v>
      </c>
      <c r="CI246" s="20">
        <f ca="1">IF(Table1[[#This Row],[County]]="Greater Manchester",Table1[[#This Row],[income]],0)</f>
        <v>0</v>
      </c>
      <c r="CJ246" s="20">
        <f ca="1">IF(Table1[[#This Row],[County]]="Hertfordshire",Table1[[#This Row],[income]],0)</f>
        <v>0</v>
      </c>
      <c r="CK246" s="20">
        <f ca="1">IF(Table1[[#This Row],[County]]="Herefordshire",Table1[[#This Row],[income]],0)</f>
        <v>0</v>
      </c>
      <c r="CL246" s="20">
        <f ca="1">IF(Table1[[#This Row],[County]]="Lancashire",Table1[[#This Row],[income]],0)</f>
        <v>0</v>
      </c>
      <c r="CM246" s="20">
        <f ca="1">IF(Table1[[#This Row],[County]]="Merseyside",Table1[[#This Row],[income]],0)</f>
        <v>0</v>
      </c>
      <c r="CN246" s="20">
        <f ca="1">IF(Table1[[#This Row],[County]]="Northamptonshire",Table1[[#This Row],[income]],0)</f>
        <v>0</v>
      </c>
      <c r="CO246" s="20">
        <f ca="1">IF(Table1[[#This Row],[County]]="Northumberland",Table1[[#This Row],[income]],0)</f>
        <v>0</v>
      </c>
      <c r="CP246" s="20">
        <f ca="1">IF(Table1[[#This Row],[County]]="Wiltshire",Table1[[#This Row],[income]],0)</f>
        <v>0</v>
      </c>
      <c r="CQ246" s="20">
        <f ca="1">IF(Table1[[#This Row],[County]]="West Midlands",Table1[[#This Row],[income]],0)</f>
        <v>0</v>
      </c>
      <c r="CR246" s="20">
        <f ca="1">IF(Table1[[#This Row],[County]]="Warwickshire",Table1[[#This Row],[income]],0)</f>
        <v>0</v>
      </c>
      <c r="CS246" s="20">
        <f ca="1">IF(Table1[[#This Row],[County]]="Tyne and Wear",Table1[[#This Row],[income]],0)</f>
        <v>0</v>
      </c>
      <c r="CT246" s="20">
        <f ca="1">IF(Table1[[#This Row],[County]]="Worcestershire",Table1[[#This Row],[income]],0)</f>
        <v>0</v>
      </c>
      <c r="CU246" s="20">
        <f ca="1">IF(Table1[[#This Row],[County]]="Rutland",Table1[[#This Row],[income]],0)</f>
        <v>0</v>
      </c>
      <c r="CV246" s="20">
        <f ca="1">IF(Table1[[#This Row],[County]]="Shropshire",Table1[[#This Row],[income]],0)</f>
        <v>0</v>
      </c>
      <c r="CW246" s="20">
        <f ca="1">IF(Table1[[#This Row],[County]]="Dorset",Table1[[#This Row],[income]],0)</f>
        <v>0</v>
      </c>
      <c r="CX246" s="20">
        <f ca="1">IF(Table1[[#This Row],[County]]="Buckinghamshire",Table1[[#This Row],[income]],0)</f>
        <v>0</v>
      </c>
      <c r="CY246" s="20">
        <f ca="1">IF(Table1[[#This Row],[County]]="Suffolk",Table1[[#This Row],[income]],0)</f>
        <v>0</v>
      </c>
      <c r="CZ246" s="20">
        <f ca="1">IF(Table1[[#This Row],[County]]="North Yorkshire",Table1[[#This Row],[income]],0)</f>
        <v>0</v>
      </c>
      <c r="DA246" s="20">
        <f ca="1">IF(Table1[[#This Row],[County]]="Kent",Table1[[#This Row],[income]],0)</f>
        <v>0</v>
      </c>
      <c r="DB246" s="5">
        <f ca="1">IF(Table1[[#This Row],[County]]="Derbyshire",Table1[[#This Row],[income]],0)</f>
        <v>0</v>
      </c>
      <c r="DD246" s="6">
        <f ca="1">IF(Table1[[#This Row],[Column1]]="Health",Table1[[#This Row],[income]],0)</f>
        <v>59203</v>
      </c>
      <c r="DE246" s="20">
        <f ca="1">IF(Table1[[#This Row],[Column1]]="Agriculture",Table1[[#This Row],[income]],0)</f>
        <v>0</v>
      </c>
      <c r="DF246" s="20">
        <f ca="1">IF(Table1[[#This Row],[Column1]]="Technology",Table1[[#This Row],[income]],0)</f>
        <v>0</v>
      </c>
      <c r="DG246" s="20">
        <f ca="1">IF(Table1[[#This Row],[Column1]]="Social Service",Table1[[#This Row],[income]],0)</f>
        <v>0</v>
      </c>
      <c r="DH246" s="20">
        <f ca="1">IF(Table1[[#This Row],[Column1]]="Education",Table1[[#This Row],[income]],0)</f>
        <v>0</v>
      </c>
      <c r="DI246" s="5">
        <f ca="1">IF(Table1[[#This Row],[Column1]]="Construction",Table1[[#This Row],[income]],0)</f>
        <v>0</v>
      </c>
      <c r="DK246" s="6">
        <f ca="1">IF(Table1[[#This Row],[Value of Debts]]&gt;Table1[[#This Row],[income]],1,0)</f>
        <v>1</v>
      </c>
      <c r="DL246" s="20"/>
      <c r="DM246" s="20"/>
      <c r="DN246" s="5"/>
      <c r="DP246" s="6">
        <f ca="1">IF(Table1[[#This Row],[Net Worth (£)]]&gt;$DS$5,C246,0)</f>
        <v>0</v>
      </c>
      <c r="DQ246" s="20"/>
      <c r="DR246" s="20"/>
      <c r="DS246" s="5"/>
    </row>
    <row r="247" spans="1:123" x14ac:dyDescent="0.2">
      <c r="A247">
        <f t="shared" ca="1" si="10"/>
        <v>1</v>
      </c>
      <c r="B247" s="1" t="str">
        <f ca="1">IF(A247=1, "men", "women")</f>
        <v>men</v>
      </c>
      <c r="C247" s="1">
        <f ca="1">RANDBETWEEN(25,50)</f>
        <v>47</v>
      </c>
      <c r="D247">
        <f ca="1">RANDBETWEEN(1,6)</f>
        <v>3</v>
      </c>
      <c r="E247" t="str">
        <f ca="1">VLOOKUP(D247,$W$5:$X$10,2)</f>
        <v>Education</v>
      </c>
      <c r="F247">
        <f ca="1">RANDBETWEEN(1,5)</f>
        <v>5</v>
      </c>
      <c r="G247" t="str">
        <f ca="1">VLOOKUP(F247,$Y$5:$Z$9,2)</f>
        <v>Other</v>
      </c>
      <c r="H247">
        <f ca="1">RANDBETWEEN(0,4)</f>
        <v>4</v>
      </c>
      <c r="I247">
        <f ca="1">RANDBETWEEN(1,3)</f>
        <v>1</v>
      </c>
      <c r="J247">
        <f ca="1">RANDBETWEEN(30000,100000)</f>
        <v>62954</v>
      </c>
      <c r="K247">
        <f ca="1">RANDBETWEEN(1,48)</f>
        <v>24</v>
      </c>
      <c r="L247" t="str">
        <f ca="1">VLOOKUP(K247,$AA$5:$AB$52,2)</f>
        <v>Kent</v>
      </c>
      <c r="M247">
        <f ca="1">J247*(RANDBETWEEN(2,5))</f>
        <v>314770</v>
      </c>
      <c r="N247">
        <f ca="1">RAND()*M247</f>
        <v>184153.65107840009</v>
      </c>
      <c r="O247">
        <f ca="1">I247*RAND()*J247</f>
        <v>35273.3896836368</v>
      </c>
      <c r="P247">
        <f ca="1">RANDBETWEEN(0,O247)</f>
        <v>27951</v>
      </c>
      <c r="Q247">
        <f ca="1">RAND()*J247*2</f>
        <v>100288.2816887558</v>
      </c>
      <c r="R247">
        <f ca="1">RAND()*J247*1.5</f>
        <v>23328.592426057949</v>
      </c>
      <c r="S247">
        <f ca="1">J247+R247+O247</f>
        <v>121555.98210969474</v>
      </c>
      <c r="T247">
        <f ca="1">N247+P247+Q247</f>
        <v>312392.93276715587</v>
      </c>
      <c r="U247">
        <f ca="1">S247-T247</f>
        <v>-190836.95065746113</v>
      </c>
      <c r="AC247" s="6">
        <f ca="1">IF(Table1[[#This Row],[gender]]="men",1,0)</f>
        <v>1</v>
      </c>
      <c r="AD247">
        <f ca="1">IF(Table1[[#This Row],[gender]]="women",1,0)</f>
        <v>0</v>
      </c>
      <c r="AH247" s="5"/>
      <c r="AJ247" s="6">
        <f ca="1">IF(Table1[[#This Row],[Column1]]="Health",1,0)</f>
        <v>0</v>
      </c>
      <c r="AK247">
        <f ca="1">IF(Table1[[#This Row],[Column1]]="Construction",1,0)</f>
        <v>0</v>
      </c>
      <c r="AL247">
        <f ca="1">IF(Table1[[#This Row],[Column1]]="Technology",1,0)</f>
        <v>0</v>
      </c>
      <c r="AM247">
        <f ca="1">IF(Table1[[#This Row],[Column1]]="Education",1,0)</f>
        <v>1</v>
      </c>
      <c r="AN247">
        <f ca="1">IF(Table1[[#This Row],[Column1]]="Agriculture",1,0)</f>
        <v>0</v>
      </c>
      <c r="AO247">
        <f ca="1">IF(Table1[[#This Row],[Column1]]="Social Service", 1, 0)</f>
        <v>0</v>
      </c>
      <c r="AT247" s="5"/>
      <c r="AV247" s="17">
        <f t="shared" ca="1" si="9"/>
        <v>1081.3265168721921</v>
      </c>
      <c r="AW247" s="5"/>
      <c r="AX247" s="6">
        <f ca="1">IF(Table1[[#This Row],[Value of Debts]]&gt;$AY$4,1,0)</f>
        <v>1</v>
      </c>
      <c r="AY247" s="20"/>
      <c r="AZ247" s="20"/>
      <c r="BA247" s="5"/>
      <c r="BB247" s="25">
        <f ca="1">Table1[[#This Row],[Mortage Left]]/Table1[[#This Row],[Value of House]]</f>
        <v>0.58504193880738342</v>
      </c>
      <c r="BC247" s="20">
        <f t="shared" ca="1" si="11"/>
        <v>0</v>
      </c>
      <c r="BD247" s="20"/>
      <c r="BE247" s="20"/>
      <c r="BF247" s="20"/>
      <c r="BG247" s="6">
        <f ca="1">IF(Table1[[#This Row],[County]]="Cumbria",Table1[[#This Row],[income]],0)</f>
        <v>0</v>
      </c>
      <c r="BH247" s="20">
        <f ca="1">IF(Table1[[#This Row],[County]]="Cheshire",Table1[[#This Row],[income]],0)</f>
        <v>0</v>
      </c>
      <c r="BI247" s="20">
        <f ca="1">IF(Table1[[#This Row],[County]]="Bristol",Table1[[#This Row],[income]],0)</f>
        <v>0</v>
      </c>
      <c r="BJ247" s="20">
        <f ca="1">IF(Table1[[#This Row],[County]]="Surrey",Table1[[#This Row],[income]],0)</f>
        <v>0</v>
      </c>
      <c r="BK247" s="20">
        <f ca="1">IF(Table1[[#This Row],[County]]="Norfolk",Table1[[#This Row],[income]],0)</f>
        <v>0</v>
      </c>
      <c r="BL247" s="20">
        <f ca="1">IF(Table1[[#This Row],[County]]="Lincolnshire",Table1[[#This Row],[income]],0)</f>
        <v>0</v>
      </c>
      <c r="BM247" s="20">
        <f ca="1">IF(Table1[[#This Row],[County]]="Somerset",Table1[[#This Row],[income]],0)</f>
        <v>0</v>
      </c>
      <c r="BN247" s="20">
        <f ca="1">IF(Table1[[#This Row],[County]]="Cambridgeshire",Table1[[#This Row],[income]],0)</f>
        <v>0</v>
      </c>
      <c r="BO247" s="20">
        <f ca="1">IF(Table1[[#This Row],[County]]="South Yorkshire",Table1[[#This Row],[income]],0)</f>
        <v>0</v>
      </c>
      <c r="BP247" s="20">
        <f ca="1">IF(Table1[[#This Row],[County]]="Greater London",Table1[[#This Row],[income]],0)</f>
        <v>0</v>
      </c>
      <c r="BQ247" s="20">
        <f ca="1">IF(Table1[[#This Row],[County]]="Hampshire",Table1[[#This Row],[income]],0)</f>
        <v>0</v>
      </c>
      <c r="BR247" s="20">
        <f ca="1">IF(Table1[[#This Row],[County]]="Gloucestershire",Table1[[#This Row],[income]],0)</f>
        <v>0</v>
      </c>
      <c r="BS247" s="20">
        <f ca="1">IF(Table1[[#This Row],[County]]="West Sussex",Table1[[#This Row],[income]],0)</f>
        <v>0</v>
      </c>
      <c r="BT247" s="20">
        <f ca="1">IF(Table1[[#This Row],[County]]="Devon",Table1[[#This Row],[income]],0)</f>
        <v>0</v>
      </c>
      <c r="BU247" s="20">
        <f ca="1">IF(Table1[[#This Row],[County]]="Berkshire",Table1[[#This Row],[income]],0)</f>
        <v>0</v>
      </c>
      <c r="BV247" s="20">
        <f ca="1">IF(Table1[[#This Row],[County]]="Staffordshire",Table1[[#This Row],[income]],0)</f>
        <v>0</v>
      </c>
      <c r="BW247" s="20">
        <f ca="1">IF(Table1[[#This Row],[County]]="Leicestershire",Table1[[#This Row],[income]],0)</f>
        <v>0</v>
      </c>
      <c r="BX247" s="20">
        <f ca="1">IF(Table1[[#This Row],[County]]="Cornwall",Table1[[#This Row],[income]],0)</f>
        <v>0</v>
      </c>
      <c r="BY247" s="20">
        <f ca="1">IF(Table1[[#This Row],[County]]="Isle of Wight",Table1[[#This Row],[income]],0)</f>
        <v>0</v>
      </c>
      <c r="BZ247" s="20">
        <f ca="1">IF(Table1[[#This Row],[County]]="Surrey",Table1[[#This Row],[income]],0)</f>
        <v>0</v>
      </c>
      <c r="CA247" s="20">
        <f ca="1">IF(Table1[[#This Row],[County]]="Derbyshire",Table1[[#This Row],[income]],0)</f>
        <v>0</v>
      </c>
      <c r="CB247" s="20">
        <f ca="1">IF(Table1[[#This Row],[County]]="City of London",Table1[[#This Row],[income]],0)</f>
        <v>0</v>
      </c>
      <c r="CC247" s="20">
        <f ca="1">IF(Table1[[#This Row],[County]]="Bedfordshire",Table1[[#This Row],[income]],0)</f>
        <v>0</v>
      </c>
      <c r="CD247" s="20">
        <f ca="1">IF(Table1[[#This Row],[County]]="County Durham",Table1[[#This Row],[income]],0)</f>
        <v>0</v>
      </c>
      <c r="CE247" s="20">
        <f ca="1">IF(Table1[[#This Row],[County]]="East Riding of Yorkshire",Table1[[#This Row],[income]],0)</f>
        <v>0</v>
      </c>
      <c r="CF247" s="20">
        <f ca="1">IF(Table1[[#This Row],[County]]="West Yorkshire",Table1[[#This Row],[income]],0)</f>
        <v>0</v>
      </c>
      <c r="CG247" s="20">
        <f ca="1">IF(Table1[[#This Row],[County]]="Essex",Table1[[#This Row],[income]],0)</f>
        <v>0</v>
      </c>
      <c r="CH247" s="20">
        <f ca="1">IF(Table1[[#This Row],[County]]="East Sussex",Table1[[#This Row],[income]],0)</f>
        <v>0</v>
      </c>
      <c r="CI247" s="20">
        <f ca="1">IF(Table1[[#This Row],[County]]="Greater Manchester",Table1[[#This Row],[income]],0)</f>
        <v>0</v>
      </c>
      <c r="CJ247" s="20">
        <f ca="1">IF(Table1[[#This Row],[County]]="Hertfordshire",Table1[[#This Row],[income]],0)</f>
        <v>0</v>
      </c>
      <c r="CK247" s="20">
        <f ca="1">IF(Table1[[#This Row],[County]]="Herefordshire",Table1[[#This Row],[income]],0)</f>
        <v>0</v>
      </c>
      <c r="CL247" s="20">
        <f ca="1">IF(Table1[[#This Row],[County]]="Lancashire",Table1[[#This Row],[income]],0)</f>
        <v>0</v>
      </c>
      <c r="CM247" s="20">
        <f ca="1">IF(Table1[[#This Row],[County]]="Merseyside",Table1[[#This Row],[income]],0)</f>
        <v>0</v>
      </c>
      <c r="CN247" s="20">
        <f ca="1">IF(Table1[[#This Row],[County]]="Northamptonshire",Table1[[#This Row],[income]],0)</f>
        <v>0</v>
      </c>
      <c r="CO247" s="20">
        <f ca="1">IF(Table1[[#This Row],[County]]="Northumberland",Table1[[#This Row],[income]],0)</f>
        <v>0</v>
      </c>
      <c r="CP247" s="20">
        <f ca="1">IF(Table1[[#This Row],[County]]="Wiltshire",Table1[[#This Row],[income]],0)</f>
        <v>0</v>
      </c>
      <c r="CQ247" s="20">
        <f ca="1">IF(Table1[[#This Row],[County]]="West Midlands",Table1[[#This Row],[income]],0)</f>
        <v>0</v>
      </c>
      <c r="CR247" s="20">
        <f ca="1">IF(Table1[[#This Row],[County]]="Warwickshire",Table1[[#This Row],[income]],0)</f>
        <v>0</v>
      </c>
      <c r="CS247" s="20">
        <f ca="1">IF(Table1[[#This Row],[County]]="Tyne and Wear",Table1[[#This Row],[income]],0)</f>
        <v>0</v>
      </c>
      <c r="CT247" s="20">
        <f ca="1">IF(Table1[[#This Row],[County]]="Worcestershire",Table1[[#This Row],[income]],0)</f>
        <v>0</v>
      </c>
      <c r="CU247" s="20">
        <f ca="1">IF(Table1[[#This Row],[County]]="Rutland",Table1[[#This Row],[income]],0)</f>
        <v>0</v>
      </c>
      <c r="CV247" s="20">
        <f ca="1">IF(Table1[[#This Row],[County]]="Shropshire",Table1[[#This Row],[income]],0)</f>
        <v>0</v>
      </c>
      <c r="CW247" s="20">
        <f ca="1">IF(Table1[[#This Row],[County]]="Dorset",Table1[[#This Row],[income]],0)</f>
        <v>0</v>
      </c>
      <c r="CX247" s="20">
        <f ca="1">IF(Table1[[#This Row],[County]]="Buckinghamshire",Table1[[#This Row],[income]],0)</f>
        <v>0</v>
      </c>
      <c r="CY247" s="20">
        <f ca="1">IF(Table1[[#This Row],[County]]="Suffolk",Table1[[#This Row],[income]],0)</f>
        <v>0</v>
      </c>
      <c r="CZ247" s="20">
        <f ca="1">IF(Table1[[#This Row],[County]]="North Yorkshire",Table1[[#This Row],[income]],0)</f>
        <v>0</v>
      </c>
      <c r="DA247" s="20">
        <f ca="1">IF(Table1[[#This Row],[County]]="Kent",Table1[[#This Row],[income]],0)</f>
        <v>62954</v>
      </c>
      <c r="DB247" s="5">
        <f ca="1">IF(Table1[[#This Row],[County]]="Derbyshire",Table1[[#This Row],[income]],0)</f>
        <v>0</v>
      </c>
      <c r="DD247" s="6">
        <f ca="1">IF(Table1[[#This Row],[Column1]]="Health",Table1[[#This Row],[income]],0)</f>
        <v>0</v>
      </c>
      <c r="DE247" s="20">
        <f ca="1">IF(Table1[[#This Row],[Column1]]="Agriculture",Table1[[#This Row],[income]],0)</f>
        <v>0</v>
      </c>
      <c r="DF247" s="20">
        <f ca="1">IF(Table1[[#This Row],[Column1]]="Technology",Table1[[#This Row],[income]],0)</f>
        <v>0</v>
      </c>
      <c r="DG247" s="20">
        <f ca="1">IF(Table1[[#This Row],[Column1]]="Social Service",Table1[[#This Row],[income]],0)</f>
        <v>0</v>
      </c>
      <c r="DH247" s="20">
        <f ca="1">IF(Table1[[#This Row],[Column1]]="Education",Table1[[#This Row],[income]],0)</f>
        <v>62954</v>
      </c>
      <c r="DI247" s="5">
        <f ca="1">IF(Table1[[#This Row],[Column1]]="Construction",Table1[[#This Row],[income]],0)</f>
        <v>0</v>
      </c>
      <c r="DK247" s="6">
        <f ca="1">IF(Table1[[#This Row],[Value of Debts]]&gt;Table1[[#This Row],[income]],1,0)</f>
        <v>1</v>
      </c>
      <c r="DL247" s="20"/>
      <c r="DM247" s="20"/>
      <c r="DN247" s="5"/>
      <c r="DP247" s="6">
        <f ca="1">IF(Table1[[#This Row],[Net Worth (£)]]&gt;$DS$5,C247,0)</f>
        <v>0</v>
      </c>
      <c r="DQ247" s="20"/>
      <c r="DR247" s="20"/>
      <c r="DS247" s="5"/>
    </row>
    <row r="248" spans="1:123" x14ac:dyDescent="0.2">
      <c r="A248">
        <f t="shared" ca="1" si="10"/>
        <v>1</v>
      </c>
      <c r="B248" s="1" t="str">
        <f ca="1">IF(A248=1, "men", "women")</f>
        <v>men</v>
      </c>
      <c r="C248" s="1">
        <f ca="1">RANDBETWEEN(25,50)</f>
        <v>30</v>
      </c>
      <c r="D248">
        <f ca="1">RANDBETWEEN(1,6)</f>
        <v>3</v>
      </c>
      <c r="E248" t="str">
        <f ca="1">VLOOKUP(D248,$W$5:$X$10,2)</f>
        <v>Education</v>
      </c>
      <c r="F248">
        <f ca="1">RANDBETWEEN(1,5)</f>
        <v>3</v>
      </c>
      <c r="G248" t="str">
        <f ca="1">VLOOKUP(F248,$Y$5:$Z$9,2)</f>
        <v>University</v>
      </c>
      <c r="H248">
        <f ca="1">RANDBETWEEN(0,4)</f>
        <v>1</v>
      </c>
      <c r="I248">
        <f ca="1">RANDBETWEEN(1,3)</f>
        <v>3</v>
      </c>
      <c r="J248">
        <f ca="1">RANDBETWEEN(30000,100000)</f>
        <v>33455</v>
      </c>
      <c r="K248">
        <f ca="1">RANDBETWEEN(1,48)</f>
        <v>27</v>
      </c>
      <c r="L248" t="str">
        <f ca="1">VLOOKUP(K248,$AA$5:$AB$52,2)</f>
        <v>Merseyside</v>
      </c>
      <c r="M248">
        <f ca="1">J248*(RANDBETWEEN(2,5))</f>
        <v>133820</v>
      </c>
      <c r="N248">
        <f ca="1">RAND()*M248</f>
        <v>71964.516619701884</v>
      </c>
      <c r="O248">
        <f ca="1">I248*RAND()*J248</f>
        <v>3243.979550616576</v>
      </c>
      <c r="P248">
        <f ca="1">RANDBETWEEN(0,O248)</f>
        <v>262</v>
      </c>
      <c r="Q248">
        <f ca="1">RAND()*J248*2</f>
        <v>27309.655854293276</v>
      </c>
      <c r="R248">
        <f ca="1">RAND()*J248*1.5</f>
        <v>39265.490084164776</v>
      </c>
      <c r="S248">
        <f ca="1">J248+R248+O248</f>
        <v>75964.469634781359</v>
      </c>
      <c r="T248">
        <f ca="1">N248+P248+Q248</f>
        <v>99536.172473995161</v>
      </c>
      <c r="U248">
        <f ca="1">S248-T248</f>
        <v>-23571.702839213802</v>
      </c>
      <c r="AC248" s="6">
        <f ca="1">IF(Table1[[#This Row],[gender]]="men",1,0)</f>
        <v>1</v>
      </c>
      <c r="AD248">
        <f ca="1">IF(Table1[[#This Row],[gender]]="women",1,0)</f>
        <v>0</v>
      </c>
      <c r="AH248" s="5"/>
      <c r="AJ248" s="6">
        <f ca="1">IF(Table1[[#This Row],[Column1]]="Health",1,0)</f>
        <v>0</v>
      </c>
      <c r="AK248">
        <f ca="1">IF(Table1[[#This Row],[Column1]]="Construction",1,0)</f>
        <v>0</v>
      </c>
      <c r="AL248">
        <f ca="1">IF(Table1[[#This Row],[Column1]]="Technology",1,0)</f>
        <v>0</v>
      </c>
      <c r="AM248">
        <f ca="1">IF(Table1[[#This Row],[Column1]]="Education",1,0)</f>
        <v>1</v>
      </c>
      <c r="AN248">
        <f ca="1">IF(Table1[[#This Row],[Column1]]="Agriculture",1,0)</f>
        <v>0</v>
      </c>
      <c r="AO248">
        <f ca="1">IF(Table1[[#This Row],[Column1]]="Social Service", 1, 0)</f>
        <v>0</v>
      </c>
      <c r="AT248" s="5"/>
      <c r="AV248" s="17">
        <f t="shared" ca="1" si="9"/>
        <v>52274.40427898529</v>
      </c>
      <c r="AW248" s="5"/>
      <c r="AX248" s="6">
        <f ca="1">IF(Table1[[#This Row],[Value of Debts]]&gt;$AY$4,1,0)</f>
        <v>0</v>
      </c>
      <c r="AY248" s="20"/>
      <c r="AZ248" s="20"/>
      <c r="BA248" s="5"/>
      <c r="BB248" s="25">
        <f ca="1">Table1[[#This Row],[Mortage Left]]/Table1[[#This Row],[Value of House]]</f>
        <v>0.53777101045958664</v>
      </c>
      <c r="BC248" s="20">
        <f t="shared" ca="1" si="11"/>
        <v>0</v>
      </c>
      <c r="BD248" s="20"/>
      <c r="BE248" s="20"/>
      <c r="BF248" s="20"/>
      <c r="BG248" s="6">
        <f ca="1">IF(Table1[[#This Row],[County]]="Cumbria",Table1[[#This Row],[income]],0)</f>
        <v>0</v>
      </c>
      <c r="BH248" s="20">
        <f ca="1">IF(Table1[[#This Row],[County]]="Cheshire",Table1[[#This Row],[income]],0)</f>
        <v>0</v>
      </c>
      <c r="BI248" s="20">
        <f ca="1">IF(Table1[[#This Row],[County]]="Bristol",Table1[[#This Row],[income]],0)</f>
        <v>0</v>
      </c>
      <c r="BJ248" s="20">
        <f ca="1">IF(Table1[[#This Row],[County]]="Surrey",Table1[[#This Row],[income]],0)</f>
        <v>0</v>
      </c>
      <c r="BK248" s="20">
        <f ca="1">IF(Table1[[#This Row],[County]]="Norfolk",Table1[[#This Row],[income]],0)</f>
        <v>0</v>
      </c>
      <c r="BL248" s="20">
        <f ca="1">IF(Table1[[#This Row],[County]]="Lincolnshire",Table1[[#This Row],[income]],0)</f>
        <v>0</v>
      </c>
      <c r="BM248" s="20">
        <f ca="1">IF(Table1[[#This Row],[County]]="Somerset",Table1[[#This Row],[income]],0)</f>
        <v>0</v>
      </c>
      <c r="BN248" s="20">
        <f ca="1">IF(Table1[[#This Row],[County]]="Cambridgeshire",Table1[[#This Row],[income]],0)</f>
        <v>0</v>
      </c>
      <c r="BO248" s="20">
        <f ca="1">IF(Table1[[#This Row],[County]]="South Yorkshire",Table1[[#This Row],[income]],0)</f>
        <v>0</v>
      </c>
      <c r="BP248" s="20">
        <f ca="1">IF(Table1[[#This Row],[County]]="Greater London",Table1[[#This Row],[income]],0)</f>
        <v>0</v>
      </c>
      <c r="BQ248" s="20">
        <f ca="1">IF(Table1[[#This Row],[County]]="Hampshire",Table1[[#This Row],[income]],0)</f>
        <v>0</v>
      </c>
      <c r="BR248" s="20">
        <f ca="1">IF(Table1[[#This Row],[County]]="Gloucestershire",Table1[[#This Row],[income]],0)</f>
        <v>0</v>
      </c>
      <c r="BS248" s="20">
        <f ca="1">IF(Table1[[#This Row],[County]]="West Sussex",Table1[[#This Row],[income]],0)</f>
        <v>0</v>
      </c>
      <c r="BT248" s="20">
        <f ca="1">IF(Table1[[#This Row],[County]]="Devon",Table1[[#This Row],[income]],0)</f>
        <v>0</v>
      </c>
      <c r="BU248" s="20">
        <f ca="1">IF(Table1[[#This Row],[County]]="Berkshire",Table1[[#This Row],[income]],0)</f>
        <v>0</v>
      </c>
      <c r="BV248" s="20">
        <f ca="1">IF(Table1[[#This Row],[County]]="Staffordshire",Table1[[#This Row],[income]],0)</f>
        <v>0</v>
      </c>
      <c r="BW248" s="20">
        <f ca="1">IF(Table1[[#This Row],[County]]="Leicestershire",Table1[[#This Row],[income]],0)</f>
        <v>0</v>
      </c>
      <c r="BX248" s="20">
        <f ca="1">IF(Table1[[#This Row],[County]]="Cornwall",Table1[[#This Row],[income]],0)</f>
        <v>0</v>
      </c>
      <c r="BY248" s="20">
        <f ca="1">IF(Table1[[#This Row],[County]]="Isle of Wight",Table1[[#This Row],[income]],0)</f>
        <v>0</v>
      </c>
      <c r="BZ248" s="20">
        <f ca="1">IF(Table1[[#This Row],[County]]="Surrey",Table1[[#This Row],[income]],0)</f>
        <v>0</v>
      </c>
      <c r="CA248" s="20">
        <f ca="1">IF(Table1[[#This Row],[County]]="Derbyshire",Table1[[#This Row],[income]],0)</f>
        <v>0</v>
      </c>
      <c r="CB248" s="20">
        <f ca="1">IF(Table1[[#This Row],[County]]="City of London",Table1[[#This Row],[income]],0)</f>
        <v>0</v>
      </c>
      <c r="CC248" s="20">
        <f ca="1">IF(Table1[[#This Row],[County]]="Bedfordshire",Table1[[#This Row],[income]],0)</f>
        <v>0</v>
      </c>
      <c r="CD248" s="20">
        <f ca="1">IF(Table1[[#This Row],[County]]="County Durham",Table1[[#This Row],[income]],0)</f>
        <v>0</v>
      </c>
      <c r="CE248" s="20">
        <f ca="1">IF(Table1[[#This Row],[County]]="East Riding of Yorkshire",Table1[[#This Row],[income]],0)</f>
        <v>0</v>
      </c>
      <c r="CF248" s="20">
        <f ca="1">IF(Table1[[#This Row],[County]]="West Yorkshire",Table1[[#This Row],[income]],0)</f>
        <v>0</v>
      </c>
      <c r="CG248" s="20">
        <f ca="1">IF(Table1[[#This Row],[County]]="Essex",Table1[[#This Row],[income]],0)</f>
        <v>0</v>
      </c>
      <c r="CH248" s="20">
        <f ca="1">IF(Table1[[#This Row],[County]]="East Sussex",Table1[[#This Row],[income]],0)</f>
        <v>0</v>
      </c>
      <c r="CI248" s="20">
        <f ca="1">IF(Table1[[#This Row],[County]]="Greater Manchester",Table1[[#This Row],[income]],0)</f>
        <v>0</v>
      </c>
      <c r="CJ248" s="20">
        <f ca="1">IF(Table1[[#This Row],[County]]="Hertfordshire",Table1[[#This Row],[income]],0)</f>
        <v>0</v>
      </c>
      <c r="CK248" s="20">
        <f ca="1">IF(Table1[[#This Row],[County]]="Herefordshire",Table1[[#This Row],[income]],0)</f>
        <v>0</v>
      </c>
      <c r="CL248" s="20">
        <f ca="1">IF(Table1[[#This Row],[County]]="Lancashire",Table1[[#This Row],[income]],0)</f>
        <v>0</v>
      </c>
      <c r="CM248" s="20">
        <f ca="1">IF(Table1[[#This Row],[County]]="Merseyside",Table1[[#This Row],[income]],0)</f>
        <v>33455</v>
      </c>
      <c r="CN248" s="20">
        <f ca="1">IF(Table1[[#This Row],[County]]="Northamptonshire",Table1[[#This Row],[income]],0)</f>
        <v>0</v>
      </c>
      <c r="CO248" s="20">
        <f ca="1">IF(Table1[[#This Row],[County]]="Northumberland",Table1[[#This Row],[income]],0)</f>
        <v>0</v>
      </c>
      <c r="CP248" s="20">
        <f ca="1">IF(Table1[[#This Row],[County]]="Wiltshire",Table1[[#This Row],[income]],0)</f>
        <v>0</v>
      </c>
      <c r="CQ248" s="20">
        <f ca="1">IF(Table1[[#This Row],[County]]="West Midlands",Table1[[#This Row],[income]],0)</f>
        <v>0</v>
      </c>
      <c r="CR248" s="20">
        <f ca="1">IF(Table1[[#This Row],[County]]="Warwickshire",Table1[[#This Row],[income]],0)</f>
        <v>0</v>
      </c>
      <c r="CS248" s="20">
        <f ca="1">IF(Table1[[#This Row],[County]]="Tyne and Wear",Table1[[#This Row],[income]],0)</f>
        <v>0</v>
      </c>
      <c r="CT248" s="20">
        <f ca="1">IF(Table1[[#This Row],[County]]="Worcestershire",Table1[[#This Row],[income]],0)</f>
        <v>0</v>
      </c>
      <c r="CU248" s="20">
        <f ca="1">IF(Table1[[#This Row],[County]]="Rutland",Table1[[#This Row],[income]],0)</f>
        <v>0</v>
      </c>
      <c r="CV248" s="20">
        <f ca="1">IF(Table1[[#This Row],[County]]="Shropshire",Table1[[#This Row],[income]],0)</f>
        <v>0</v>
      </c>
      <c r="CW248" s="20">
        <f ca="1">IF(Table1[[#This Row],[County]]="Dorset",Table1[[#This Row],[income]],0)</f>
        <v>0</v>
      </c>
      <c r="CX248" s="20">
        <f ca="1">IF(Table1[[#This Row],[County]]="Buckinghamshire",Table1[[#This Row],[income]],0)</f>
        <v>0</v>
      </c>
      <c r="CY248" s="20">
        <f ca="1">IF(Table1[[#This Row],[County]]="Suffolk",Table1[[#This Row],[income]],0)</f>
        <v>0</v>
      </c>
      <c r="CZ248" s="20">
        <f ca="1">IF(Table1[[#This Row],[County]]="North Yorkshire",Table1[[#This Row],[income]],0)</f>
        <v>0</v>
      </c>
      <c r="DA248" s="20">
        <f ca="1">IF(Table1[[#This Row],[County]]="Kent",Table1[[#This Row],[income]],0)</f>
        <v>0</v>
      </c>
      <c r="DB248" s="5">
        <f ca="1">IF(Table1[[#This Row],[County]]="Derbyshire",Table1[[#This Row],[income]],0)</f>
        <v>0</v>
      </c>
      <c r="DD248" s="6">
        <f ca="1">IF(Table1[[#This Row],[Column1]]="Health",Table1[[#This Row],[income]],0)</f>
        <v>0</v>
      </c>
      <c r="DE248" s="20">
        <f ca="1">IF(Table1[[#This Row],[Column1]]="Agriculture",Table1[[#This Row],[income]],0)</f>
        <v>0</v>
      </c>
      <c r="DF248" s="20">
        <f ca="1">IF(Table1[[#This Row],[Column1]]="Technology",Table1[[#This Row],[income]],0)</f>
        <v>0</v>
      </c>
      <c r="DG248" s="20">
        <f ca="1">IF(Table1[[#This Row],[Column1]]="Social Service",Table1[[#This Row],[income]],0)</f>
        <v>0</v>
      </c>
      <c r="DH248" s="20">
        <f ca="1">IF(Table1[[#This Row],[Column1]]="Education",Table1[[#This Row],[income]],0)</f>
        <v>33455</v>
      </c>
      <c r="DI248" s="5">
        <f ca="1">IF(Table1[[#This Row],[Column1]]="Construction",Table1[[#This Row],[income]],0)</f>
        <v>0</v>
      </c>
      <c r="DK248" s="6">
        <f ca="1">IF(Table1[[#This Row],[Value of Debts]]&gt;Table1[[#This Row],[income]],1,0)</f>
        <v>1</v>
      </c>
      <c r="DL248" s="20"/>
      <c r="DM248" s="20"/>
      <c r="DN248" s="5"/>
      <c r="DP248" s="6">
        <f ca="1">IF(Table1[[#This Row],[Net Worth (£)]]&gt;$DS$5,C248,0)</f>
        <v>0</v>
      </c>
      <c r="DQ248" s="20"/>
      <c r="DR248" s="20"/>
      <c r="DS248" s="5"/>
    </row>
    <row r="249" spans="1:123" x14ac:dyDescent="0.2">
      <c r="A249">
        <f t="shared" ca="1" si="10"/>
        <v>1</v>
      </c>
      <c r="B249" s="1" t="str">
        <f ca="1">IF(A249=1, "men", "women")</f>
        <v>men</v>
      </c>
      <c r="C249" s="1">
        <f ca="1">RANDBETWEEN(25,50)</f>
        <v>47</v>
      </c>
      <c r="D249">
        <f ca="1">RANDBETWEEN(1,6)</f>
        <v>4</v>
      </c>
      <c r="E249" t="str">
        <f ca="1">VLOOKUP(D249,$W$5:$X$10,2)</f>
        <v>Technology</v>
      </c>
      <c r="F249">
        <f ca="1">RANDBETWEEN(1,5)</f>
        <v>2</v>
      </c>
      <c r="G249" t="str">
        <f ca="1">VLOOKUP(F249,$Y$5:$Z$9,2)</f>
        <v>College</v>
      </c>
      <c r="H249">
        <f ca="1">RANDBETWEEN(0,4)</f>
        <v>3</v>
      </c>
      <c r="I249">
        <f ca="1">RANDBETWEEN(1,3)</f>
        <v>3</v>
      </c>
      <c r="J249">
        <f ca="1">RANDBETWEEN(30000,100000)</f>
        <v>56476</v>
      </c>
      <c r="K249">
        <f ca="1">RANDBETWEEN(1,48)</f>
        <v>14</v>
      </c>
      <c r="L249" t="str">
        <f ca="1">VLOOKUP(K249,$AA$5:$AB$52,2)</f>
        <v>East Riding of Yorkshire</v>
      </c>
      <c r="M249">
        <f ca="1">J249*(RANDBETWEEN(2,5))</f>
        <v>225904</v>
      </c>
      <c r="N249">
        <f ca="1">RAND()*M249</f>
        <v>42804.933584019673</v>
      </c>
      <c r="O249">
        <f ca="1">I249*RAND()*J249</f>
        <v>156823.21283695588</v>
      </c>
      <c r="P249">
        <f ca="1">RANDBETWEEN(0,O249)</f>
        <v>144026</v>
      </c>
      <c r="Q249">
        <f ca="1">RAND()*J249*2</f>
        <v>109723.7676986156</v>
      </c>
      <c r="R249">
        <f ca="1">RAND()*J249*1.5</f>
        <v>31650.348455305939</v>
      </c>
      <c r="S249">
        <f ca="1">J249+R249+O249</f>
        <v>244949.56129226182</v>
      </c>
      <c r="T249">
        <f ca="1">N249+P249+Q249</f>
        <v>296554.70128263527</v>
      </c>
      <c r="U249">
        <f ca="1">S249-T249</f>
        <v>-51605.139990373456</v>
      </c>
      <c r="AC249" s="6">
        <f ca="1">IF(Table1[[#This Row],[gender]]="men",1,0)</f>
        <v>1</v>
      </c>
      <c r="AD249">
        <f ca="1">IF(Table1[[#This Row],[gender]]="women",1,0)</f>
        <v>0</v>
      </c>
      <c r="AH249" s="5"/>
      <c r="AJ249" s="6">
        <f ca="1">IF(Table1[[#This Row],[Column1]]="Health",1,0)</f>
        <v>0</v>
      </c>
      <c r="AK249">
        <f ca="1">IF(Table1[[#This Row],[Column1]]="Construction",1,0)</f>
        <v>0</v>
      </c>
      <c r="AL249">
        <f ca="1">IF(Table1[[#This Row],[Column1]]="Technology",1,0)</f>
        <v>1</v>
      </c>
      <c r="AM249">
        <f ca="1">IF(Table1[[#This Row],[Column1]]="Education",1,0)</f>
        <v>0</v>
      </c>
      <c r="AN249">
        <f ca="1">IF(Table1[[#This Row],[Column1]]="Agriculture",1,0)</f>
        <v>0</v>
      </c>
      <c r="AO249">
        <f ca="1">IF(Table1[[#This Row],[Column1]]="Social Service", 1, 0)</f>
        <v>0</v>
      </c>
      <c r="AT249" s="5"/>
      <c r="AV249" s="17">
        <f t="shared" ca="1" si="9"/>
        <v>5725.2088979195914</v>
      </c>
      <c r="AW249" s="5"/>
      <c r="AX249" s="6">
        <f ca="1">IF(Table1[[#This Row],[Value of Debts]]&gt;$AY$4,1,0)</f>
        <v>1</v>
      </c>
      <c r="AY249" s="20"/>
      <c r="AZ249" s="20"/>
      <c r="BA249" s="5"/>
      <c r="BB249" s="25">
        <f ca="1">Table1[[#This Row],[Mortage Left]]/Table1[[#This Row],[Value of House]]</f>
        <v>0.18948284928119766</v>
      </c>
      <c r="BC249" s="20">
        <f t="shared" ca="1" si="11"/>
        <v>1</v>
      </c>
      <c r="BD249" s="20"/>
      <c r="BE249" s="20"/>
      <c r="BF249" s="20"/>
      <c r="BG249" s="6">
        <f ca="1">IF(Table1[[#This Row],[County]]="Cumbria",Table1[[#This Row],[income]],0)</f>
        <v>0</v>
      </c>
      <c r="BH249" s="20">
        <f ca="1">IF(Table1[[#This Row],[County]]="Cheshire",Table1[[#This Row],[income]],0)</f>
        <v>0</v>
      </c>
      <c r="BI249" s="20">
        <f ca="1">IF(Table1[[#This Row],[County]]="Bristol",Table1[[#This Row],[income]],0)</f>
        <v>0</v>
      </c>
      <c r="BJ249" s="20">
        <f ca="1">IF(Table1[[#This Row],[County]]="Surrey",Table1[[#This Row],[income]],0)</f>
        <v>0</v>
      </c>
      <c r="BK249" s="20">
        <f ca="1">IF(Table1[[#This Row],[County]]="Norfolk",Table1[[#This Row],[income]],0)</f>
        <v>0</v>
      </c>
      <c r="BL249" s="20">
        <f ca="1">IF(Table1[[#This Row],[County]]="Lincolnshire",Table1[[#This Row],[income]],0)</f>
        <v>0</v>
      </c>
      <c r="BM249" s="20">
        <f ca="1">IF(Table1[[#This Row],[County]]="Somerset",Table1[[#This Row],[income]],0)</f>
        <v>0</v>
      </c>
      <c r="BN249" s="20">
        <f ca="1">IF(Table1[[#This Row],[County]]="Cambridgeshire",Table1[[#This Row],[income]],0)</f>
        <v>0</v>
      </c>
      <c r="BO249" s="20">
        <f ca="1">IF(Table1[[#This Row],[County]]="South Yorkshire",Table1[[#This Row],[income]],0)</f>
        <v>0</v>
      </c>
      <c r="BP249" s="20">
        <f ca="1">IF(Table1[[#This Row],[County]]="Greater London",Table1[[#This Row],[income]],0)</f>
        <v>0</v>
      </c>
      <c r="BQ249" s="20">
        <f ca="1">IF(Table1[[#This Row],[County]]="Hampshire",Table1[[#This Row],[income]],0)</f>
        <v>0</v>
      </c>
      <c r="BR249" s="20">
        <f ca="1">IF(Table1[[#This Row],[County]]="Gloucestershire",Table1[[#This Row],[income]],0)</f>
        <v>0</v>
      </c>
      <c r="BS249" s="20">
        <f ca="1">IF(Table1[[#This Row],[County]]="West Sussex",Table1[[#This Row],[income]],0)</f>
        <v>0</v>
      </c>
      <c r="BT249" s="20">
        <f ca="1">IF(Table1[[#This Row],[County]]="Devon",Table1[[#This Row],[income]],0)</f>
        <v>0</v>
      </c>
      <c r="BU249" s="20">
        <f ca="1">IF(Table1[[#This Row],[County]]="Berkshire",Table1[[#This Row],[income]],0)</f>
        <v>0</v>
      </c>
      <c r="BV249" s="20">
        <f ca="1">IF(Table1[[#This Row],[County]]="Staffordshire",Table1[[#This Row],[income]],0)</f>
        <v>0</v>
      </c>
      <c r="BW249" s="20">
        <f ca="1">IF(Table1[[#This Row],[County]]="Leicestershire",Table1[[#This Row],[income]],0)</f>
        <v>0</v>
      </c>
      <c r="BX249" s="20">
        <f ca="1">IF(Table1[[#This Row],[County]]="Cornwall",Table1[[#This Row],[income]],0)</f>
        <v>0</v>
      </c>
      <c r="BY249" s="20">
        <f ca="1">IF(Table1[[#This Row],[County]]="Isle of Wight",Table1[[#This Row],[income]],0)</f>
        <v>0</v>
      </c>
      <c r="BZ249" s="20">
        <f ca="1">IF(Table1[[#This Row],[County]]="Surrey",Table1[[#This Row],[income]],0)</f>
        <v>0</v>
      </c>
      <c r="CA249" s="20">
        <f ca="1">IF(Table1[[#This Row],[County]]="Derbyshire",Table1[[#This Row],[income]],0)</f>
        <v>0</v>
      </c>
      <c r="CB249" s="20">
        <f ca="1">IF(Table1[[#This Row],[County]]="City of London",Table1[[#This Row],[income]],0)</f>
        <v>0</v>
      </c>
      <c r="CC249" s="20">
        <f ca="1">IF(Table1[[#This Row],[County]]="Bedfordshire",Table1[[#This Row],[income]],0)</f>
        <v>0</v>
      </c>
      <c r="CD249" s="20">
        <f ca="1">IF(Table1[[#This Row],[County]]="County Durham",Table1[[#This Row],[income]],0)</f>
        <v>0</v>
      </c>
      <c r="CE249" s="20">
        <f ca="1">IF(Table1[[#This Row],[County]]="East Riding of Yorkshire",Table1[[#This Row],[income]],0)</f>
        <v>56476</v>
      </c>
      <c r="CF249" s="20">
        <f ca="1">IF(Table1[[#This Row],[County]]="West Yorkshire",Table1[[#This Row],[income]],0)</f>
        <v>0</v>
      </c>
      <c r="CG249" s="20">
        <f ca="1">IF(Table1[[#This Row],[County]]="Essex",Table1[[#This Row],[income]],0)</f>
        <v>0</v>
      </c>
      <c r="CH249" s="20">
        <f ca="1">IF(Table1[[#This Row],[County]]="East Sussex",Table1[[#This Row],[income]],0)</f>
        <v>0</v>
      </c>
      <c r="CI249" s="20">
        <f ca="1">IF(Table1[[#This Row],[County]]="Greater Manchester",Table1[[#This Row],[income]],0)</f>
        <v>0</v>
      </c>
      <c r="CJ249" s="20">
        <f ca="1">IF(Table1[[#This Row],[County]]="Hertfordshire",Table1[[#This Row],[income]],0)</f>
        <v>0</v>
      </c>
      <c r="CK249" s="20">
        <f ca="1">IF(Table1[[#This Row],[County]]="Herefordshire",Table1[[#This Row],[income]],0)</f>
        <v>0</v>
      </c>
      <c r="CL249" s="20">
        <f ca="1">IF(Table1[[#This Row],[County]]="Lancashire",Table1[[#This Row],[income]],0)</f>
        <v>0</v>
      </c>
      <c r="CM249" s="20">
        <f ca="1">IF(Table1[[#This Row],[County]]="Merseyside",Table1[[#This Row],[income]],0)</f>
        <v>0</v>
      </c>
      <c r="CN249" s="20">
        <f ca="1">IF(Table1[[#This Row],[County]]="Northamptonshire",Table1[[#This Row],[income]],0)</f>
        <v>0</v>
      </c>
      <c r="CO249" s="20">
        <f ca="1">IF(Table1[[#This Row],[County]]="Northumberland",Table1[[#This Row],[income]],0)</f>
        <v>0</v>
      </c>
      <c r="CP249" s="20">
        <f ca="1">IF(Table1[[#This Row],[County]]="Wiltshire",Table1[[#This Row],[income]],0)</f>
        <v>0</v>
      </c>
      <c r="CQ249" s="20">
        <f ca="1">IF(Table1[[#This Row],[County]]="West Midlands",Table1[[#This Row],[income]],0)</f>
        <v>0</v>
      </c>
      <c r="CR249" s="20">
        <f ca="1">IF(Table1[[#This Row],[County]]="Warwickshire",Table1[[#This Row],[income]],0)</f>
        <v>0</v>
      </c>
      <c r="CS249" s="20">
        <f ca="1">IF(Table1[[#This Row],[County]]="Tyne and Wear",Table1[[#This Row],[income]],0)</f>
        <v>0</v>
      </c>
      <c r="CT249" s="20">
        <f ca="1">IF(Table1[[#This Row],[County]]="Worcestershire",Table1[[#This Row],[income]],0)</f>
        <v>0</v>
      </c>
      <c r="CU249" s="20">
        <f ca="1">IF(Table1[[#This Row],[County]]="Rutland",Table1[[#This Row],[income]],0)</f>
        <v>0</v>
      </c>
      <c r="CV249" s="20">
        <f ca="1">IF(Table1[[#This Row],[County]]="Shropshire",Table1[[#This Row],[income]],0)</f>
        <v>0</v>
      </c>
      <c r="CW249" s="20">
        <f ca="1">IF(Table1[[#This Row],[County]]="Dorset",Table1[[#This Row],[income]],0)</f>
        <v>0</v>
      </c>
      <c r="CX249" s="20">
        <f ca="1">IF(Table1[[#This Row],[County]]="Buckinghamshire",Table1[[#This Row],[income]],0)</f>
        <v>0</v>
      </c>
      <c r="CY249" s="20">
        <f ca="1">IF(Table1[[#This Row],[County]]="Suffolk",Table1[[#This Row],[income]],0)</f>
        <v>0</v>
      </c>
      <c r="CZ249" s="20">
        <f ca="1">IF(Table1[[#This Row],[County]]="North Yorkshire",Table1[[#This Row],[income]],0)</f>
        <v>0</v>
      </c>
      <c r="DA249" s="20">
        <f ca="1">IF(Table1[[#This Row],[County]]="Kent",Table1[[#This Row],[income]],0)</f>
        <v>0</v>
      </c>
      <c r="DB249" s="5">
        <f ca="1">IF(Table1[[#This Row],[County]]="Derbyshire",Table1[[#This Row],[income]],0)</f>
        <v>0</v>
      </c>
      <c r="DD249" s="6">
        <f ca="1">IF(Table1[[#This Row],[Column1]]="Health",Table1[[#This Row],[income]],0)</f>
        <v>0</v>
      </c>
      <c r="DE249" s="20">
        <f ca="1">IF(Table1[[#This Row],[Column1]]="Agriculture",Table1[[#This Row],[income]],0)</f>
        <v>0</v>
      </c>
      <c r="DF249" s="20">
        <f ca="1">IF(Table1[[#This Row],[Column1]]="Technology",Table1[[#This Row],[income]],0)</f>
        <v>56476</v>
      </c>
      <c r="DG249" s="20">
        <f ca="1">IF(Table1[[#This Row],[Column1]]="Social Service",Table1[[#This Row],[income]],0)</f>
        <v>0</v>
      </c>
      <c r="DH249" s="20">
        <f ca="1">IF(Table1[[#This Row],[Column1]]="Education",Table1[[#This Row],[income]],0)</f>
        <v>0</v>
      </c>
      <c r="DI249" s="5">
        <f ca="1">IF(Table1[[#This Row],[Column1]]="Construction",Table1[[#This Row],[income]],0)</f>
        <v>0</v>
      </c>
      <c r="DK249" s="6">
        <f ca="1">IF(Table1[[#This Row],[Value of Debts]]&gt;Table1[[#This Row],[income]],1,0)</f>
        <v>1</v>
      </c>
      <c r="DL249" s="20"/>
      <c r="DM249" s="20"/>
      <c r="DN249" s="5"/>
      <c r="DP249" s="6">
        <f ca="1">IF(Table1[[#This Row],[Net Worth (£)]]&gt;$DS$5,C249,0)</f>
        <v>0</v>
      </c>
      <c r="DQ249" s="20"/>
      <c r="DR249" s="20"/>
      <c r="DS249" s="5"/>
    </row>
    <row r="250" spans="1:123" x14ac:dyDescent="0.2">
      <c r="A250">
        <f t="shared" ca="1" si="10"/>
        <v>1</v>
      </c>
      <c r="B250" s="1" t="str">
        <f ca="1">IF(A250=1, "men", "women")</f>
        <v>men</v>
      </c>
      <c r="C250" s="1">
        <f ca="1">RANDBETWEEN(25,50)</f>
        <v>49</v>
      </c>
      <c r="D250">
        <f ca="1">RANDBETWEEN(1,6)</f>
        <v>6</v>
      </c>
      <c r="E250" t="str">
        <f ca="1">VLOOKUP(D250,$W$5:$X$10,2)</f>
        <v>Agriculture</v>
      </c>
      <c r="F250">
        <f ca="1">RANDBETWEEN(1,5)</f>
        <v>3</v>
      </c>
      <c r="G250" t="str">
        <f ca="1">VLOOKUP(F250,$Y$5:$Z$9,2)</f>
        <v>University</v>
      </c>
      <c r="H250">
        <f ca="1">RANDBETWEEN(0,4)</f>
        <v>4</v>
      </c>
      <c r="I250">
        <f ca="1">RANDBETWEEN(1,3)</f>
        <v>2</v>
      </c>
      <c r="J250">
        <f ca="1">RANDBETWEEN(30000,100000)</f>
        <v>36196</v>
      </c>
      <c r="K250">
        <f ca="1">RANDBETWEEN(1,48)</f>
        <v>30</v>
      </c>
      <c r="L250" t="str">
        <f ca="1">VLOOKUP(K250,$AA$5:$AB$52,2)</f>
        <v>North Yorkshire</v>
      </c>
      <c r="M250">
        <f ca="1">J250*(RANDBETWEEN(2,5))</f>
        <v>144784</v>
      </c>
      <c r="N250">
        <f ca="1">RAND()*M250</f>
        <v>27098.399617869021</v>
      </c>
      <c r="O250">
        <f ca="1">I250*RAND()*J250</f>
        <v>11450.417795839183</v>
      </c>
      <c r="P250">
        <f ca="1">RANDBETWEEN(0,O250)</f>
        <v>664</v>
      </c>
      <c r="Q250">
        <f ca="1">RAND()*J250*2</f>
        <v>4830.1469039437734</v>
      </c>
      <c r="R250">
        <f ca="1">RAND()*J250*1.5</f>
        <v>35561.325741750486</v>
      </c>
      <c r="S250">
        <f ca="1">J250+R250+O250</f>
        <v>83207.74353758966</v>
      </c>
      <c r="T250">
        <f ca="1">N250+P250+Q250</f>
        <v>32592.546521812794</v>
      </c>
      <c r="U250">
        <f ca="1">S250-T250</f>
        <v>50615.197015776866</v>
      </c>
      <c r="AC250" s="6">
        <f ca="1">IF(Table1[[#This Row],[gender]]="men",1,0)</f>
        <v>1</v>
      </c>
      <c r="AD250">
        <f ca="1">IF(Table1[[#This Row],[gender]]="women",1,0)</f>
        <v>0</v>
      </c>
      <c r="AH250" s="5"/>
      <c r="AJ250" s="6">
        <f ca="1">IF(Table1[[#This Row],[Column1]]="Health",1,0)</f>
        <v>0</v>
      </c>
      <c r="AK250">
        <f ca="1">IF(Table1[[#This Row],[Column1]]="Construction",1,0)</f>
        <v>0</v>
      </c>
      <c r="AL250">
        <f ca="1">IF(Table1[[#This Row],[Column1]]="Technology",1,0)</f>
        <v>0</v>
      </c>
      <c r="AM250">
        <f ca="1">IF(Table1[[#This Row],[Column1]]="Education",1,0)</f>
        <v>0</v>
      </c>
      <c r="AN250">
        <f ca="1">IF(Table1[[#This Row],[Column1]]="Agriculture",1,0)</f>
        <v>1</v>
      </c>
      <c r="AO250">
        <f ca="1">IF(Table1[[#This Row],[Column1]]="Social Service", 1, 0)</f>
        <v>0</v>
      </c>
      <c r="AT250" s="5"/>
      <c r="AV250" s="17">
        <f t="shared" ca="1" si="9"/>
        <v>50228.604338938429</v>
      </c>
      <c r="AW250" s="5"/>
      <c r="AX250" s="6">
        <f ca="1">IF(Table1[[#This Row],[Value of Debts]]&gt;$AY$4,1,0)</f>
        <v>0</v>
      </c>
      <c r="AY250" s="20"/>
      <c r="AZ250" s="20"/>
      <c r="BA250" s="5"/>
      <c r="BB250" s="25">
        <f ca="1">Table1[[#This Row],[Mortage Left]]/Table1[[#This Row],[Value of House]]</f>
        <v>0.1871643249106878</v>
      </c>
      <c r="BC250" s="20">
        <f t="shared" ca="1" si="11"/>
        <v>1</v>
      </c>
      <c r="BD250" s="20"/>
      <c r="BE250" s="20"/>
      <c r="BF250" s="20"/>
      <c r="BG250" s="6">
        <f ca="1">IF(Table1[[#This Row],[County]]="Cumbria",Table1[[#This Row],[income]],0)</f>
        <v>0</v>
      </c>
      <c r="BH250" s="20">
        <f ca="1">IF(Table1[[#This Row],[County]]="Cheshire",Table1[[#This Row],[income]],0)</f>
        <v>0</v>
      </c>
      <c r="BI250" s="20">
        <f ca="1">IF(Table1[[#This Row],[County]]="Bristol",Table1[[#This Row],[income]],0)</f>
        <v>0</v>
      </c>
      <c r="BJ250" s="20">
        <f ca="1">IF(Table1[[#This Row],[County]]="Surrey",Table1[[#This Row],[income]],0)</f>
        <v>0</v>
      </c>
      <c r="BK250" s="20">
        <f ca="1">IF(Table1[[#This Row],[County]]="Norfolk",Table1[[#This Row],[income]],0)</f>
        <v>0</v>
      </c>
      <c r="BL250" s="20">
        <f ca="1">IF(Table1[[#This Row],[County]]="Lincolnshire",Table1[[#This Row],[income]],0)</f>
        <v>0</v>
      </c>
      <c r="BM250" s="20">
        <f ca="1">IF(Table1[[#This Row],[County]]="Somerset",Table1[[#This Row],[income]],0)</f>
        <v>0</v>
      </c>
      <c r="BN250" s="20">
        <f ca="1">IF(Table1[[#This Row],[County]]="Cambridgeshire",Table1[[#This Row],[income]],0)</f>
        <v>0</v>
      </c>
      <c r="BO250" s="20">
        <f ca="1">IF(Table1[[#This Row],[County]]="South Yorkshire",Table1[[#This Row],[income]],0)</f>
        <v>0</v>
      </c>
      <c r="BP250" s="20">
        <f ca="1">IF(Table1[[#This Row],[County]]="Greater London",Table1[[#This Row],[income]],0)</f>
        <v>0</v>
      </c>
      <c r="BQ250" s="20">
        <f ca="1">IF(Table1[[#This Row],[County]]="Hampshire",Table1[[#This Row],[income]],0)</f>
        <v>0</v>
      </c>
      <c r="BR250" s="20">
        <f ca="1">IF(Table1[[#This Row],[County]]="Gloucestershire",Table1[[#This Row],[income]],0)</f>
        <v>0</v>
      </c>
      <c r="BS250" s="20">
        <f ca="1">IF(Table1[[#This Row],[County]]="West Sussex",Table1[[#This Row],[income]],0)</f>
        <v>0</v>
      </c>
      <c r="BT250" s="20">
        <f ca="1">IF(Table1[[#This Row],[County]]="Devon",Table1[[#This Row],[income]],0)</f>
        <v>0</v>
      </c>
      <c r="BU250" s="20">
        <f ca="1">IF(Table1[[#This Row],[County]]="Berkshire",Table1[[#This Row],[income]],0)</f>
        <v>0</v>
      </c>
      <c r="BV250" s="20">
        <f ca="1">IF(Table1[[#This Row],[County]]="Staffordshire",Table1[[#This Row],[income]],0)</f>
        <v>0</v>
      </c>
      <c r="BW250" s="20">
        <f ca="1">IF(Table1[[#This Row],[County]]="Leicestershire",Table1[[#This Row],[income]],0)</f>
        <v>0</v>
      </c>
      <c r="BX250" s="20">
        <f ca="1">IF(Table1[[#This Row],[County]]="Cornwall",Table1[[#This Row],[income]],0)</f>
        <v>0</v>
      </c>
      <c r="BY250" s="20">
        <f ca="1">IF(Table1[[#This Row],[County]]="Isle of Wight",Table1[[#This Row],[income]],0)</f>
        <v>0</v>
      </c>
      <c r="BZ250" s="20">
        <f ca="1">IF(Table1[[#This Row],[County]]="Surrey",Table1[[#This Row],[income]],0)</f>
        <v>0</v>
      </c>
      <c r="CA250" s="20">
        <f ca="1">IF(Table1[[#This Row],[County]]="Derbyshire",Table1[[#This Row],[income]],0)</f>
        <v>0</v>
      </c>
      <c r="CB250" s="20">
        <f ca="1">IF(Table1[[#This Row],[County]]="City of London",Table1[[#This Row],[income]],0)</f>
        <v>0</v>
      </c>
      <c r="CC250" s="20">
        <f ca="1">IF(Table1[[#This Row],[County]]="Bedfordshire",Table1[[#This Row],[income]],0)</f>
        <v>0</v>
      </c>
      <c r="CD250" s="20">
        <f ca="1">IF(Table1[[#This Row],[County]]="County Durham",Table1[[#This Row],[income]],0)</f>
        <v>0</v>
      </c>
      <c r="CE250" s="20">
        <f ca="1">IF(Table1[[#This Row],[County]]="East Riding of Yorkshire",Table1[[#This Row],[income]],0)</f>
        <v>0</v>
      </c>
      <c r="CF250" s="20">
        <f ca="1">IF(Table1[[#This Row],[County]]="West Yorkshire",Table1[[#This Row],[income]],0)</f>
        <v>0</v>
      </c>
      <c r="CG250" s="20">
        <f ca="1">IF(Table1[[#This Row],[County]]="Essex",Table1[[#This Row],[income]],0)</f>
        <v>0</v>
      </c>
      <c r="CH250" s="20">
        <f ca="1">IF(Table1[[#This Row],[County]]="East Sussex",Table1[[#This Row],[income]],0)</f>
        <v>0</v>
      </c>
      <c r="CI250" s="20">
        <f ca="1">IF(Table1[[#This Row],[County]]="Greater Manchester",Table1[[#This Row],[income]],0)</f>
        <v>0</v>
      </c>
      <c r="CJ250" s="20">
        <f ca="1">IF(Table1[[#This Row],[County]]="Hertfordshire",Table1[[#This Row],[income]],0)</f>
        <v>0</v>
      </c>
      <c r="CK250" s="20">
        <f ca="1">IF(Table1[[#This Row],[County]]="Herefordshire",Table1[[#This Row],[income]],0)</f>
        <v>0</v>
      </c>
      <c r="CL250" s="20">
        <f ca="1">IF(Table1[[#This Row],[County]]="Lancashire",Table1[[#This Row],[income]],0)</f>
        <v>0</v>
      </c>
      <c r="CM250" s="20">
        <f ca="1">IF(Table1[[#This Row],[County]]="Merseyside",Table1[[#This Row],[income]],0)</f>
        <v>0</v>
      </c>
      <c r="CN250" s="20">
        <f ca="1">IF(Table1[[#This Row],[County]]="Northamptonshire",Table1[[#This Row],[income]],0)</f>
        <v>0</v>
      </c>
      <c r="CO250" s="20">
        <f ca="1">IF(Table1[[#This Row],[County]]="Northumberland",Table1[[#This Row],[income]],0)</f>
        <v>0</v>
      </c>
      <c r="CP250" s="20">
        <f ca="1">IF(Table1[[#This Row],[County]]="Wiltshire",Table1[[#This Row],[income]],0)</f>
        <v>0</v>
      </c>
      <c r="CQ250" s="20">
        <f ca="1">IF(Table1[[#This Row],[County]]="West Midlands",Table1[[#This Row],[income]],0)</f>
        <v>0</v>
      </c>
      <c r="CR250" s="20">
        <f ca="1">IF(Table1[[#This Row],[County]]="Warwickshire",Table1[[#This Row],[income]],0)</f>
        <v>0</v>
      </c>
      <c r="CS250" s="20">
        <f ca="1">IF(Table1[[#This Row],[County]]="Tyne and Wear",Table1[[#This Row],[income]],0)</f>
        <v>0</v>
      </c>
      <c r="CT250" s="20">
        <f ca="1">IF(Table1[[#This Row],[County]]="Worcestershire",Table1[[#This Row],[income]],0)</f>
        <v>0</v>
      </c>
      <c r="CU250" s="20">
        <f ca="1">IF(Table1[[#This Row],[County]]="Rutland",Table1[[#This Row],[income]],0)</f>
        <v>0</v>
      </c>
      <c r="CV250" s="20">
        <f ca="1">IF(Table1[[#This Row],[County]]="Shropshire",Table1[[#This Row],[income]],0)</f>
        <v>0</v>
      </c>
      <c r="CW250" s="20">
        <f ca="1">IF(Table1[[#This Row],[County]]="Dorset",Table1[[#This Row],[income]],0)</f>
        <v>0</v>
      </c>
      <c r="CX250" s="20">
        <f ca="1">IF(Table1[[#This Row],[County]]="Buckinghamshire",Table1[[#This Row],[income]],0)</f>
        <v>0</v>
      </c>
      <c r="CY250" s="20">
        <f ca="1">IF(Table1[[#This Row],[County]]="Suffolk",Table1[[#This Row],[income]],0)</f>
        <v>0</v>
      </c>
      <c r="CZ250" s="20">
        <f ca="1">IF(Table1[[#This Row],[County]]="North Yorkshire",Table1[[#This Row],[income]],0)</f>
        <v>36196</v>
      </c>
      <c r="DA250" s="20">
        <f ca="1">IF(Table1[[#This Row],[County]]="Kent",Table1[[#This Row],[income]],0)</f>
        <v>0</v>
      </c>
      <c r="DB250" s="5">
        <f ca="1">IF(Table1[[#This Row],[County]]="Derbyshire",Table1[[#This Row],[income]],0)</f>
        <v>0</v>
      </c>
      <c r="DD250" s="6">
        <f ca="1">IF(Table1[[#This Row],[Column1]]="Health",Table1[[#This Row],[income]],0)</f>
        <v>0</v>
      </c>
      <c r="DE250" s="20">
        <f ca="1">IF(Table1[[#This Row],[Column1]]="Agriculture",Table1[[#This Row],[income]],0)</f>
        <v>36196</v>
      </c>
      <c r="DF250" s="20">
        <f ca="1">IF(Table1[[#This Row],[Column1]]="Technology",Table1[[#This Row],[income]],0)</f>
        <v>0</v>
      </c>
      <c r="DG250" s="20">
        <f ca="1">IF(Table1[[#This Row],[Column1]]="Social Service",Table1[[#This Row],[income]],0)</f>
        <v>0</v>
      </c>
      <c r="DH250" s="20">
        <f ca="1">IF(Table1[[#This Row],[Column1]]="Education",Table1[[#This Row],[income]],0)</f>
        <v>0</v>
      </c>
      <c r="DI250" s="5">
        <f ca="1">IF(Table1[[#This Row],[Column1]]="Construction",Table1[[#This Row],[income]],0)</f>
        <v>0</v>
      </c>
      <c r="DK250" s="6">
        <f ca="1">IF(Table1[[#This Row],[Value of Debts]]&gt;Table1[[#This Row],[income]],1,0)</f>
        <v>0</v>
      </c>
      <c r="DL250" s="20"/>
      <c r="DM250" s="20"/>
      <c r="DN250" s="5"/>
      <c r="DP250" s="6">
        <f ca="1">IF(Table1[[#This Row],[Net Worth (£)]]&gt;$DS$5,C250,0)</f>
        <v>49</v>
      </c>
      <c r="DQ250" s="20"/>
      <c r="DR250" s="20"/>
      <c r="DS250" s="5"/>
    </row>
    <row r="251" spans="1:123" x14ac:dyDescent="0.2">
      <c r="A251">
        <f t="shared" ca="1" si="10"/>
        <v>1</v>
      </c>
      <c r="B251" s="1" t="str">
        <f ca="1">IF(A251=1, "men", "women")</f>
        <v>men</v>
      </c>
      <c r="C251" s="1">
        <f ca="1">RANDBETWEEN(25,50)</f>
        <v>35</v>
      </c>
      <c r="D251">
        <f ca="1">RANDBETWEEN(1,6)</f>
        <v>5</v>
      </c>
      <c r="E251" t="str">
        <f ca="1">VLOOKUP(D251,$W$5:$X$10,2)</f>
        <v>Social Service</v>
      </c>
      <c r="F251">
        <f ca="1">RANDBETWEEN(1,5)</f>
        <v>5</v>
      </c>
      <c r="G251" t="str">
        <f ca="1">VLOOKUP(F251,$Y$5:$Z$9,2)</f>
        <v>Other</v>
      </c>
      <c r="H251">
        <f ca="1">RANDBETWEEN(0,4)</f>
        <v>4</v>
      </c>
      <c r="I251">
        <f ca="1">RANDBETWEEN(1,3)</f>
        <v>3</v>
      </c>
      <c r="J251">
        <f ca="1">RANDBETWEEN(30000,100000)</f>
        <v>55773</v>
      </c>
      <c r="K251">
        <f ca="1">RANDBETWEEN(1,48)</f>
        <v>11</v>
      </c>
      <c r="L251" t="str">
        <f ca="1">VLOOKUP(K251,$AA$5:$AB$52,2)</f>
        <v>Devon</v>
      </c>
      <c r="M251">
        <f ca="1">J251*(RANDBETWEEN(2,5))</f>
        <v>223092</v>
      </c>
      <c r="N251">
        <f ca="1">RAND()*M251</f>
        <v>183139.1579221024</v>
      </c>
      <c r="O251">
        <f ca="1">I251*RAND()*J251</f>
        <v>150685.81301681529</v>
      </c>
      <c r="P251">
        <f ca="1">RANDBETWEEN(0,O251)</f>
        <v>31298</v>
      </c>
      <c r="Q251">
        <f ca="1">RAND()*J251*2</f>
        <v>81207.660711254575</v>
      </c>
      <c r="R251">
        <f ca="1">RAND()*J251*1.5</f>
        <v>44379.487030734141</v>
      </c>
      <c r="S251">
        <f ca="1">J251+R251+O251</f>
        <v>250838.30004754942</v>
      </c>
      <c r="T251">
        <f ca="1">N251+P251+Q251</f>
        <v>295644.81863335695</v>
      </c>
      <c r="U251">
        <f ca="1">S251-T251</f>
        <v>-44806.518585807527</v>
      </c>
      <c r="AC251" s="6">
        <f ca="1">IF(Table1[[#This Row],[gender]]="men",1,0)</f>
        <v>1</v>
      </c>
      <c r="AD251">
        <f ca="1">IF(Table1[[#This Row],[gender]]="women",1,0)</f>
        <v>0</v>
      </c>
      <c r="AH251" s="5"/>
      <c r="AJ251" s="6">
        <f ca="1">IF(Table1[[#This Row],[Column1]]="Health",1,0)</f>
        <v>0</v>
      </c>
      <c r="AK251">
        <f ca="1">IF(Table1[[#This Row],[Column1]]="Construction",1,0)</f>
        <v>0</v>
      </c>
      <c r="AL251">
        <f ca="1">IF(Table1[[#This Row],[Column1]]="Technology",1,0)</f>
        <v>0</v>
      </c>
      <c r="AM251">
        <f ca="1">IF(Table1[[#This Row],[Column1]]="Education",1,0)</f>
        <v>0</v>
      </c>
      <c r="AN251">
        <f ca="1">IF(Table1[[#This Row],[Column1]]="Agriculture",1,0)</f>
        <v>0</v>
      </c>
      <c r="AO251">
        <f ca="1">IF(Table1[[#This Row],[Column1]]="Social Service", 1, 0)</f>
        <v>1</v>
      </c>
      <c r="AT251" s="5"/>
      <c r="AV251" s="17">
        <f t="shared" ca="1" si="9"/>
        <v>22690.709165905952</v>
      </c>
      <c r="AW251" s="5"/>
      <c r="AX251" s="6">
        <f ca="1">IF(Table1[[#This Row],[Value of Debts]]&gt;$AY$4,1,0)</f>
        <v>1</v>
      </c>
      <c r="AY251" s="20"/>
      <c r="AZ251" s="20"/>
      <c r="BA251" s="5"/>
      <c r="BB251" s="25">
        <f ca="1">Table1[[#This Row],[Mortage Left]]/Table1[[#This Row],[Value of House]]</f>
        <v>0.82091315655470565</v>
      </c>
      <c r="BC251" s="20">
        <f t="shared" ca="1" si="11"/>
        <v>0</v>
      </c>
      <c r="BD251" s="20"/>
      <c r="BE251" s="20"/>
      <c r="BF251" s="20"/>
      <c r="BG251" s="6">
        <f ca="1">IF(Table1[[#This Row],[County]]="Cumbria",Table1[[#This Row],[income]],0)</f>
        <v>0</v>
      </c>
      <c r="BH251" s="20">
        <f ca="1">IF(Table1[[#This Row],[County]]="Cheshire",Table1[[#This Row],[income]],0)</f>
        <v>0</v>
      </c>
      <c r="BI251" s="20">
        <f ca="1">IF(Table1[[#This Row],[County]]="Bristol",Table1[[#This Row],[income]],0)</f>
        <v>0</v>
      </c>
      <c r="BJ251" s="20">
        <f ca="1">IF(Table1[[#This Row],[County]]="Surrey",Table1[[#This Row],[income]],0)</f>
        <v>0</v>
      </c>
      <c r="BK251" s="20">
        <f ca="1">IF(Table1[[#This Row],[County]]="Norfolk",Table1[[#This Row],[income]],0)</f>
        <v>0</v>
      </c>
      <c r="BL251" s="20">
        <f ca="1">IF(Table1[[#This Row],[County]]="Lincolnshire",Table1[[#This Row],[income]],0)</f>
        <v>0</v>
      </c>
      <c r="BM251" s="20">
        <f ca="1">IF(Table1[[#This Row],[County]]="Somerset",Table1[[#This Row],[income]],0)</f>
        <v>0</v>
      </c>
      <c r="BN251" s="20">
        <f ca="1">IF(Table1[[#This Row],[County]]="Cambridgeshire",Table1[[#This Row],[income]],0)</f>
        <v>0</v>
      </c>
      <c r="BO251" s="20">
        <f ca="1">IF(Table1[[#This Row],[County]]="South Yorkshire",Table1[[#This Row],[income]],0)</f>
        <v>0</v>
      </c>
      <c r="BP251" s="20">
        <f ca="1">IF(Table1[[#This Row],[County]]="Greater London",Table1[[#This Row],[income]],0)</f>
        <v>0</v>
      </c>
      <c r="BQ251" s="20">
        <f ca="1">IF(Table1[[#This Row],[County]]="Hampshire",Table1[[#This Row],[income]],0)</f>
        <v>0</v>
      </c>
      <c r="BR251" s="20">
        <f ca="1">IF(Table1[[#This Row],[County]]="Gloucestershire",Table1[[#This Row],[income]],0)</f>
        <v>0</v>
      </c>
      <c r="BS251" s="20">
        <f ca="1">IF(Table1[[#This Row],[County]]="West Sussex",Table1[[#This Row],[income]],0)</f>
        <v>0</v>
      </c>
      <c r="BT251" s="20">
        <f ca="1">IF(Table1[[#This Row],[County]]="Devon",Table1[[#This Row],[income]],0)</f>
        <v>55773</v>
      </c>
      <c r="BU251" s="20">
        <f ca="1">IF(Table1[[#This Row],[County]]="Berkshire",Table1[[#This Row],[income]],0)</f>
        <v>0</v>
      </c>
      <c r="BV251" s="20">
        <f ca="1">IF(Table1[[#This Row],[County]]="Staffordshire",Table1[[#This Row],[income]],0)</f>
        <v>0</v>
      </c>
      <c r="BW251" s="20">
        <f ca="1">IF(Table1[[#This Row],[County]]="Leicestershire",Table1[[#This Row],[income]],0)</f>
        <v>0</v>
      </c>
      <c r="BX251" s="20">
        <f ca="1">IF(Table1[[#This Row],[County]]="Cornwall",Table1[[#This Row],[income]],0)</f>
        <v>0</v>
      </c>
      <c r="BY251" s="20">
        <f ca="1">IF(Table1[[#This Row],[County]]="Isle of Wight",Table1[[#This Row],[income]],0)</f>
        <v>0</v>
      </c>
      <c r="BZ251" s="20">
        <f ca="1">IF(Table1[[#This Row],[County]]="Surrey",Table1[[#This Row],[income]],0)</f>
        <v>0</v>
      </c>
      <c r="CA251" s="20">
        <f ca="1">IF(Table1[[#This Row],[County]]="Derbyshire",Table1[[#This Row],[income]],0)</f>
        <v>0</v>
      </c>
      <c r="CB251" s="20">
        <f ca="1">IF(Table1[[#This Row],[County]]="City of London",Table1[[#This Row],[income]],0)</f>
        <v>0</v>
      </c>
      <c r="CC251" s="20">
        <f ca="1">IF(Table1[[#This Row],[County]]="Bedfordshire",Table1[[#This Row],[income]],0)</f>
        <v>0</v>
      </c>
      <c r="CD251" s="20">
        <f ca="1">IF(Table1[[#This Row],[County]]="County Durham",Table1[[#This Row],[income]],0)</f>
        <v>0</v>
      </c>
      <c r="CE251" s="20">
        <f ca="1">IF(Table1[[#This Row],[County]]="East Riding of Yorkshire",Table1[[#This Row],[income]],0)</f>
        <v>0</v>
      </c>
      <c r="CF251" s="20">
        <f ca="1">IF(Table1[[#This Row],[County]]="West Yorkshire",Table1[[#This Row],[income]],0)</f>
        <v>0</v>
      </c>
      <c r="CG251" s="20">
        <f ca="1">IF(Table1[[#This Row],[County]]="Essex",Table1[[#This Row],[income]],0)</f>
        <v>0</v>
      </c>
      <c r="CH251" s="20">
        <f ca="1">IF(Table1[[#This Row],[County]]="East Sussex",Table1[[#This Row],[income]],0)</f>
        <v>0</v>
      </c>
      <c r="CI251" s="20">
        <f ca="1">IF(Table1[[#This Row],[County]]="Greater Manchester",Table1[[#This Row],[income]],0)</f>
        <v>0</v>
      </c>
      <c r="CJ251" s="20">
        <f ca="1">IF(Table1[[#This Row],[County]]="Hertfordshire",Table1[[#This Row],[income]],0)</f>
        <v>0</v>
      </c>
      <c r="CK251" s="20">
        <f ca="1">IF(Table1[[#This Row],[County]]="Herefordshire",Table1[[#This Row],[income]],0)</f>
        <v>0</v>
      </c>
      <c r="CL251" s="20">
        <f ca="1">IF(Table1[[#This Row],[County]]="Lancashire",Table1[[#This Row],[income]],0)</f>
        <v>0</v>
      </c>
      <c r="CM251" s="20">
        <f ca="1">IF(Table1[[#This Row],[County]]="Merseyside",Table1[[#This Row],[income]],0)</f>
        <v>0</v>
      </c>
      <c r="CN251" s="20">
        <f ca="1">IF(Table1[[#This Row],[County]]="Northamptonshire",Table1[[#This Row],[income]],0)</f>
        <v>0</v>
      </c>
      <c r="CO251" s="20">
        <f ca="1">IF(Table1[[#This Row],[County]]="Northumberland",Table1[[#This Row],[income]],0)</f>
        <v>0</v>
      </c>
      <c r="CP251" s="20">
        <f ca="1">IF(Table1[[#This Row],[County]]="Wiltshire",Table1[[#This Row],[income]],0)</f>
        <v>0</v>
      </c>
      <c r="CQ251" s="20">
        <f ca="1">IF(Table1[[#This Row],[County]]="West Midlands",Table1[[#This Row],[income]],0)</f>
        <v>0</v>
      </c>
      <c r="CR251" s="20">
        <f ca="1">IF(Table1[[#This Row],[County]]="Warwickshire",Table1[[#This Row],[income]],0)</f>
        <v>0</v>
      </c>
      <c r="CS251" s="20">
        <f ca="1">IF(Table1[[#This Row],[County]]="Tyne and Wear",Table1[[#This Row],[income]],0)</f>
        <v>0</v>
      </c>
      <c r="CT251" s="20">
        <f ca="1">IF(Table1[[#This Row],[County]]="Worcestershire",Table1[[#This Row],[income]],0)</f>
        <v>0</v>
      </c>
      <c r="CU251" s="20">
        <f ca="1">IF(Table1[[#This Row],[County]]="Rutland",Table1[[#This Row],[income]],0)</f>
        <v>0</v>
      </c>
      <c r="CV251" s="20">
        <f ca="1">IF(Table1[[#This Row],[County]]="Shropshire",Table1[[#This Row],[income]],0)</f>
        <v>0</v>
      </c>
      <c r="CW251" s="20">
        <f ca="1">IF(Table1[[#This Row],[County]]="Dorset",Table1[[#This Row],[income]],0)</f>
        <v>0</v>
      </c>
      <c r="CX251" s="20">
        <f ca="1">IF(Table1[[#This Row],[County]]="Buckinghamshire",Table1[[#This Row],[income]],0)</f>
        <v>0</v>
      </c>
      <c r="CY251" s="20">
        <f ca="1">IF(Table1[[#This Row],[County]]="Suffolk",Table1[[#This Row],[income]],0)</f>
        <v>0</v>
      </c>
      <c r="CZ251" s="20">
        <f ca="1">IF(Table1[[#This Row],[County]]="North Yorkshire",Table1[[#This Row],[income]],0)</f>
        <v>0</v>
      </c>
      <c r="DA251" s="20">
        <f ca="1">IF(Table1[[#This Row],[County]]="Kent",Table1[[#This Row],[income]],0)</f>
        <v>0</v>
      </c>
      <c r="DB251" s="5">
        <f ca="1">IF(Table1[[#This Row],[County]]="Derbyshire",Table1[[#This Row],[income]],0)</f>
        <v>0</v>
      </c>
      <c r="DD251" s="6">
        <f ca="1">IF(Table1[[#This Row],[Column1]]="Health",Table1[[#This Row],[income]],0)</f>
        <v>0</v>
      </c>
      <c r="DE251" s="20">
        <f ca="1">IF(Table1[[#This Row],[Column1]]="Agriculture",Table1[[#This Row],[income]],0)</f>
        <v>0</v>
      </c>
      <c r="DF251" s="20">
        <f ca="1">IF(Table1[[#This Row],[Column1]]="Technology",Table1[[#This Row],[income]],0)</f>
        <v>0</v>
      </c>
      <c r="DG251" s="20">
        <f ca="1">IF(Table1[[#This Row],[Column1]]="Social Service",Table1[[#This Row],[income]],0)</f>
        <v>55773</v>
      </c>
      <c r="DH251" s="20">
        <f ca="1">IF(Table1[[#This Row],[Column1]]="Education",Table1[[#This Row],[income]],0)</f>
        <v>0</v>
      </c>
      <c r="DI251" s="5">
        <f ca="1">IF(Table1[[#This Row],[Column1]]="Construction",Table1[[#This Row],[income]],0)</f>
        <v>0</v>
      </c>
      <c r="DK251" s="6">
        <f ca="1">IF(Table1[[#This Row],[Value of Debts]]&gt;Table1[[#This Row],[income]],1,0)</f>
        <v>1</v>
      </c>
      <c r="DL251" s="20"/>
      <c r="DM251" s="20"/>
      <c r="DN251" s="5"/>
      <c r="DP251" s="6">
        <f ca="1">IF(Table1[[#This Row],[Net Worth (£)]]&gt;$DS$5,C251,0)</f>
        <v>0</v>
      </c>
      <c r="DQ251" s="20"/>
      <c r="DR251" s="20"/>
      <c r="DS251" s="5"/>
    </row>
    <row r="252" spans="1:123" x14ac:dyDescent="0.2">
      <c r="A252">
        <f t="shared" ca="1" si="10"/>
        <v>2</v>
      </c>
      <c r="B252" s="1" t="str">
        <f ca="1">IF(A252=1, "men", "women")</f>
        <v>women</v>
      </c>
      <c r="C252" s="1">
        <f ca="1">RANDBETWEEN(25,50)</f>
        <v>46</v>
      </c>
      <c r="D252">
        <f ca="1">RANDBETWEEN(1,6)</f>
        <v>1</v>
      </c>
      <c r="E252" t="str">
        <f ca="1">VLOOKUP(D252,$W$5:$X$10,2)</f>
        <v>Health</v>
      </c>
      <c r="F252">
        <f ca="1">RANDBETWEEN(1,5)</f>
        <v>4</v>
      </c>
      <c r="G252" t="str">
        <f ca="1">VLOOKUP(F252,$Y$5:$Z$9,2)</f>
        <v xml:space="preserve">Technical </v>
      </c>
      <c r="H252">
        <f ca="1">RANDBETWEEN(0,4)</f>
        <v>1</v>
      </c>
      <c r="I252">
        <f ca="1">RANDBETWEEN(1,3)</f>
        <v>2</v>
      </c>
      <c r="J252">
        <f ca="1">RANDBETWEEN(30000,100000)</f>
        <v>59621</v>
      </c>
      <c r="K252">
        <f ca="1">RANDBETWEEN(1,48)</f>
        <v>23</v>
      </c>
      <c r="L252" t="str">
        <f ca="1">VLOOKUP(K252,$AA$5:$AB$52,2)</f>
        <v>Isle of Wight</v>
      </c>
      <c r="M252">
        <f ca="1">J252*(RANDBETWEEN(2,5))</f>
        <v>238484</v>
      </c>
      <c r="N252">
        <f ca="1">RAND()*M252</f>
        <v>4729.1272274531766</v>
      </c>
      <c r="O252">
        <f ca="1">I252*RAND()*J252</f>
        <v>45381.418331811903</v>
      </c>
      <c r="P252">
        <f ca="1">RANDBETWEEN(0,O252)</f>
        <v>34747</v>
      </c>
      <c r="Q252">
        <f ca="1">RAND()*J252*2</f>
        <v>28540.886963229659</v>
      </c>
      <c r="R252">
        <f ca="1">RAND()*J252*1.5</f>
        <v>77574.379452304493</v>
      </c>
      <c r="S252">
        <f ca="1">J252+R252+O252</f>
        <v>182576.79778411641</v>
      </c>
      <c r="T252">
        <f ca="1">N252+P252+Q252</f>
        <v>68017.014190682836</v>
      </c>
      <c r="U252">
        <f ca="1">S252-T252</f>
        <v>114559.78359343357</v>
      </c>
      <c r="AC252" s="6">
        <f ca="1">IF(Table1[[#This Row],[gender]]="men",1,0)</f>
        <v>0</v>
      </c>
      <c r="AD252">
        <f ca="1">IF(Table1[[#This Row],[gender]]="women",1,0)</f>
        <v>1</v>
      </c>
      <c r="AH252" s="5"/>
      <c r="AJ252" s="6">
        <f ca="1">IF(Table1[[#This Row],[Column1]]="Health",1,0)</f>
        <v>1</v>
      </c>
      <c r="AK252">
        <f ca="1">IF(Table1[[#This Row],[Column1]]="Construction",1,0)</f>
        <v>0</v>
      </c>
      <c r="AL252">
        <f ca="1">IF(Table1[[#This Row],[Column1]]="Technology",1,0)</f>
        <v>0</v>
      </c>
      <c r="AM252">
        <f ca="1">IF(Table1[[#This Row],[Column1]]="Education",1,0)</f>
        <v>0</v>
      </c>
      <c r="AN252">
        <f ca="1">IF(Table1[[#This Row],[Column1]]="Agriculture",1,0)</f>
        <v>0</v>
      </c>
      <c r="AO252">
        <f ca="1">IF(Table1[[#This Row],[Column1]]="Social Service", 1, 0)</f>
        <v>0</v>
      </c>
      <c r="AT252" s="5"/>
      <c r="AV252" s="17">
        <f t="shared" ca="1" si="9"/>
        <v>34358.759942546683</v>
      </c>
      <c r="AW252" s="5"/>
      <c r="AX252" s="6">
        <f ca="1">IF(Table1[[#This Row],[Value of Debts]]&gt;$AY$4,1,0)</f>
        <v>0</v>
      </c>
      <c r="AY252" s="20"/>
      <c r="AZ252" s="20"/>
      <c r="BA252" s="5"/>
      <c r="BB252" s="25">
        <f ca="1">Table1[[#This Row],[Mortage Left]]/Table1[[#This Row],[Value of House]]</f>
        <v>1.9829956003141413E-2</v>
      </c>
      <c r="BC252" s="20">
        <f t="shared" ca="1" si="11"/>
        <v>1</v>
      </c>
      <c r="BD252" s="20"/>
      <c r="BE252" s="20"/>
      <c r="BF252" s="20"/>
      <c r="BG252" s="6">
        <f ca="1">IF(Table1[[#This Row],[County]]="Cumbria",Table1[[#This Row],[income]],0)</f>
        <v>0</v>
      </c>
      <c r="BH252" s="20">
        <f ca="1">IF(Table1[[#This Row],[County]]="Cheshire",Table1[[#This Row],[income]],0)</f>
        <v>0</v>
      </c>
      <c r="BI252" s="20">
        <f ca="1">IF(Table1[[#This Row],[County]]="Bristol",Table1[[#This Row],[income]],0)</f>
        <v>0</v>
      </c>
      <c r="BJ252" s="20">
        <f ca="1">IF(Table1[[#This Row],[County]]="Surrey",Table1[[#This Row],[income]],0)</f>
        <v>0</v>
      </c>
      <c r="BK252" s="20">
        <f ca="1">IF(Table1[[#This Row],[County]]="Norfolk",Table1[[#This Row],[income]],0)</f>
        <v>0</v>
      </c>
      <c r="BL252" s="20">
        <f ca="1">IF(Table1[[#This Row],[County]]="Lincolnshire",Table1[[#This Row],[income]],0)</f>
        <v>0</v>
      </c>
      <c r="BM252" s="20">
        <f ca="1">IF(Table1[[#This Row],[County]]="Somerset",Table1[[#This Row],[income]],0)</f>
        <v>0</v>
      </c>
      <c r="BN252" s="20">
        <f ca="1">IF(Table1[[#This Row],[County]]="Cambridgeshire",Table1[[#This Row],[income]],0)</f>
        <v>0</v>
      </c>
      <c r="BO252" s="20">
        <f ca="1">IF(Table1[[#This Row],[County]]="South Yorkshire",Table1[[#This Row],[income]],0)</f>
        <v>0</v>
      </c>
      <c r="BP252" s="20">
        <f ca="1">IF(Table1[[#This Row],[County]]="Greater London",Table1[[#This Row],[income]],0)</f>
        <v>0</v>
      </c>
      <c r="BQ252" s="20">
        <f ca="1">IF(Table1[[#This Row],[County]]="Hampshire",Table1[[#This Row],[income]],0)</f>
        <v>0</v>
      </c>
      <c r="BR252" s="20">
        <f ca="1">IF(Table1[[#This Row],[County]]="Gloucestershire",Table1[[#This Row],[income]],0)</f>
        <v>0</v>
      </c>
      <c r="BS252" s="20">
        <f ca="1">IF(Table1[[#This Row],[County]]="West Sussex",Table1[[#This Row],[income]],0)</f>
        <v>0</v>
      </c>
      <c r="BT252" s="20">
        <f ca="1">IF(Table1[[#This Row],[County]]="Devon",Table1[[#This Row],[income]],0)</f>
        <v>0</v>
      </c>
      <c r="BU252" s="20">
        <f ca="1">IF(Table1[[#This Row],[County]]="Berkshire",Table1[[#This Row],[income]],0)</f>
        <v>0</v>
      </c>
      <c r="BV252" s="20">
        <f ca="1">IF(Table1[[#This Row],[County]]="Staffordshire",Table1[[#This Row],[income]],0)</f>
        <v>0</v>
      </c>
      <c r="BW252" s="20">
        <f ca="1">IF(Table1[[#This Row],[County]]="Leicestershire",Table1[[#This Row],[income]],0)</f>
        <v>0</v>
      </c>
      <c r="BX252" s="20">
        <f ca="1">IF(Table1[[#This Row],[County]]="Cornwall",Table1[[#This Row],[income]],0)</f>
        <v>0</v>
      </c>
      <c r="BY252" s="20">
        <f ca="1">IF(Table1[[#This Row],[County]]="Isle of Wight",Table1[[#This Row],[income]],0)</f>
        <v>59621</v>
      </c>
      <c r="BZ252" s="20">
        <f ca="1">IF(Table1[[#This Row],[County]]="Surrey",Table1[[#This Row],[income]],0)</f>
        <v>0</v>
      </c>
      <c r="CA252" s="20">
        <f ca="1">IF(Table1[[#This Row],[County]]="Derbyshire",Table1[[#This Row],[income]],0)</f>
        <v>0</v>
      </c>
      <c r="CB252" s="20">
        <f ca="1">IF(Table1[[#This Row],[County]]="City of London",Table1[[#This Row],[income]],0)</f>
        <v>0</v>
      </c>
      <c r="CC252" s="20">
        <f ca="1">IF(Table1[[#This Row],[County]]="Bedfordshire",Table1[[#This Row],[income]],0)</f>
        <v>0</v>
      </c>
      <c r="CD252" s="20">
        <f ca="1">IF(Table1[[#This Row],[County]]="County Durham",Table1[[#This Row],[income]],0)</f>
        <v>0</v>
      </c>
      <c r="CE252" s="20">
        <f ca="1">IF(Table1[[#This Row],[County]]="East Riding of Yorkshire",Table1[[#This Row],[income]],0)</f>
        <v>0</v>
      </c>
      <c r="CF252" s="20">
        <f ca="1">IF(Table1[[#This Row],[County]]="West Yorkshire",Table1[[#This Row],[income]],0)</f>
        <v>0</v>
      </c>
      <c r="CG252" s="20">
        <f ca="1">IF(Table1[[#This Row],[County]]="Essex",Table1[[#This Row],[income]],0)</f>
        <v>0</v>
      </c>
      <c r="CH252" s="20">
        <f ca="1">IF(Table1[[#This Row],[County]]="East Sussex",Table1[[#This Row],[income]],0)</f>
        <v>0</v>
      </c>
      <c r="CI252" s="20">
        <f ca="1">IF(Table1[[#This Row],[County]]="Greater Manchester",Table1[[#This Row],[income]],0)</f>
        <v>0</v>
      </c>
      <c r="CJ252" s="20">
        <f ca="1">IF(Table1[[#This Row],[County]]="Hertfordshire",Table1[[#This Row],[income]],0)</f>
        <v>0</v>
      </c>
      <c r="CK252" s="20">
        <f ca="1">IF(Table1[[#This Row],[County]]="Herefordshire",Table1[[#This Row],[income]],0)</f>
        <v>0</v>
      </c>
      <c r="CL252" s="20">
        <f ca="1">IF(Table1[[#This Row],[County]]="Lancashire",Table1[[#This Row],[income]],0)</f>
        <v>0</v>
      </c>
      <c r="CM252" s="20">
        <f ca="1">IF(Table1[[#This Row],[County]]="Merseyside",Table1[[#This Row],[income]],0)</f>
        <v>0</v>
      </c>
      <c r="CN252" s="20">
        <f ca="1">IF(Table1[[#This Row],[County]]="Northamptonshire",Table1[[#This Row],[income]],0)</f>
        <v>0</v>
      </c>
      <c r="CO252" s="20">
        <f ca="1">IF(Table1[[#This Row],[County]]="Northumberland",Table1[[#This Row],[income]],0)</f>
        <v>0</v>
      </c>
      <c r="CP252" s="20">
        <f ca="1">IF(Table1[[#This Row],[County]]="Wiltshire",Table1[[#This Row],[income]],0)</f>
        <v>0</v>
      </c>
      <c r="CQ252" s="20">
        <f ca="1">IF(Table1[[#This Row],[County]]="West Midlands",Table1[[#This Row],[income]],0)</f>
        <v>0</v>
      </c>
      <c r="CR252" s="20">
        <f ca="1">IF(Table1[[#This Row],[County]]="Warwickshire",Table1[[#This Row],[income]],0)</f>
        <v>0</v>
      </c>
      <c r="CS252" s="20">
        <f ca="1">IF(Table1[[#This Row],[County]]="Tyne and Wear",Table1[[#This Row],[income]],0)</f>
        <v>0</v>
      </c>
      <c r="CT252" s="20">
        <f ca="1">IF(Table1[[#This Row],[County]]="Worcestershire",Table1[[#This Row],[income]],0)</f>
        <v>0</v>
      </c>
      <c r="CU252" s="20">
        <f ca="1">IF(Table1[[#This Row],[County]]="Rutland",Table1[[#This Row],[income]],0)</f>
        <v>0</v>
      </c>
      <c r="CV252" s="20">
        <f ca="1">IF(Table1[[#This Row],[County]]="Shropshire",Table1[[#This Row],[income]],0)</f>
        <v>0</v>
      </c>
      <c r="CW252" s="20">
        <f ca="1">IF(Table1[[#This Row],[County]]="Dorset",Table1[[#This Row],[income]],0)</f>
        <v>0</v>
      </c>
      <c r="CX252" s="20">
        <f ca="1">IF(Table1[[#This Row],[County]]="Buckinghamshire",Table1[[#This Row],[income]],0)</f>
        <v>0</v>
      </c>
      <c r="CY252" s="20">
        <f ca="1">IF(Table1[[#This Row],[County]]="Suffolk",Table1[[#This Row],[income]],0)</f>
        <v>0</v>
      </c>
      <c r="CZ252" s="20">
        <f ca="1">IF(Table1[[#This Row],[County]]="North Yorkshire",Table1[[#This Row],[income]],0)</f>
        <v>0</v>
      </c>
      <c r="DA252" s="20">
        <f ca="1">IF(Table1[[#This Row],[County]]="Kent",Table1[[#This Row],[income]],0)</f>
        <v>0</v>
      </c>
      <c r="DB252" s="5">
        <f ca="1">IF(Table1[[#This Row],[County]]="Derbyshire",Table1[[#This Row],[income]],0)</f>
        <v>0</v>
      </c>
      <c r="DD252" s="6">
        <f ca="1">IF(Table1[[#This Row],[Column1]]="Health",Table1[[#This Row],[income]],0)</f>
        <v>59621</v>
      </c>
      <c r="DE252" s="20">
        <f ca="1">IF(Table1[[#This Row],[Column1]]="Agriculture",Table1[[#This Row],[income]],0)</f>
        <v>0</v>
      </c>
      <c r="DF252" s="20">
        <f ca="1">IF(Table1[[#This Row],[Column1]]="Technology",Table1[[#This Row],[income]],0)</f>
        <v>0</v>
      </c>
      <c r="DG252" s="20">
        <f ca="1">IF(Table1[[#This Row],[Column1]]="Social Service",Table1[[#This Row],[income]],0)</f>
        <v>0</v>
      </c>
      <c r="DH252" s="20">
        <f ca="1">IF(Table1[[#This Row],[Column1]]="Education",Table1[[#This Row],[income]],0)</f>
        <v>0</v>
      </c>
      <c r="DI252" s="5">
        <f ca="1">IF(Table1[[#This Row],[Column1]]="Construction",Table1[[#This Row],[income]],0)</f>
        <v>0</v>
      </c>
      <c r="DK252" s="6">
        <f ca="1">IF(Table1[[#This Row],[Value of Debts]]&gt;Table1[[#This Row],[income]],1,0)</f>
        <v>1</v>
      </c>
      <c r="DL252" s="20"/>
      <c r="DM252" s="20"/>
      <c r="DN252" s="5"/>
      <c r="DP252" s="6">
        <f ca="1">IF(Table1[[#This Row],[Net Worth (£)]]&gt;$DS$5,C252,0)</f>
        <v>46</v>
      </c>
      <c r="DQ252" s="20"/>
      <c r="DR252" s="20"/>
      <c r="DS252" s="5"/>
    </row>
    <row r="253" spans="1:123" x14ac:dyDescent="0.2">
      <c r="A253">
        <f t="shared" ca="1" si="10"/>
        <v>1</v>
      </c>
      <c r="B253" s="1" t="str">
        <f ca="1">IF(A253=1, "men", "women")</f>
        <v>men</v>
      </c>
      <c r="C253" s="1">
        <f ca="1">RANDBETWEEN(25,50)</f>
        <v>49</v>
      </c>
      <c r="D253">
        <f ca="1">RANDBETWEEN(1,6)</f>
        <v>6</v>
      </c>
      <c r="E253" t="str">
        <f ca="1">VLOOKUP(D253,$W$5:$X$10,2)</f>
        <v>Agriculture</v>
      </c>
      <c r="F253">
        <f ca="1">RANDBETWEEN(1,5)</f>
        <v>4</v>
      </c>
      <c r="G253" t="str">
        <f ca="1">VLOOKUP(F253,$Y$5:$Z$9,2)</f>
        <v xml:space="preserve">Technical </v>
      </c>
      <c r="H253">
        <f ca="1">RANDBETWEEN(0,4)</f>
        <v>4</v>
      </c>
      <c r="I253">
        <f ca="1">RANDBETWEEN(1,3)</f>
        <v>3</v>
      </c>
      <c r="J253">
        <f ca="1">RANDBETWEEN(30000,100000)</f>
        <v>53138</v>
      </c>
      <c r="K253">
        <f ca="1">RANDBETWEEN(1,48)</f>
        <v>14</v>
      </c>
      <c r="L253" t="str">
        <f ca="1">VLOOKUP(K253,$AA$5:$AB$52,2)</f>
        <v>East Riding of Yorkshire</v>
      </c>
      <c r="M253">
        <f ca="1">J253*(RANDBETWEEN(2,5))</f>
        <v>159414</v>
      </c>
      <c r="N253">
        <f ca="1">RAND()*M253</f>
        <v>87873.238162882393</v>
      </c>
      <c r="O253">
        <f ca="1">I253*RAND()*J253</f>
        <v>103076.27982764006</v>
      </c>
      <c r="P253">
        <f ca="1">RANDBETWEEN(0,O253)</f>
        <v>31655</v>
      </c>
      <c r="Q253">
        <f ca="1">RAND()*J253*2</f>
        <v>56187.759633515234</v>
      </c>
      <c r="R253">
        <f ca="1">RAND()*J253*1.5</f>
        <v>5130.210963866326</v>
      </c>
      <c r="S253">
        <f ca="1">J253+R253+O253</f>
        <v>161344.49079150637</v>
      </c>
      <c r="T253">
        <f ca="1">N253+P253+Q253</f>
        <v>175715.99779639763</v>
      </c>
      <c r="U253">
        <f ca="1">S253-T253</f>
        <v>-14371.50700489126</v>
      </c>
      <c r="AC253" s="6">
        <f ca="1">IF(Table1[[#This Row],[gender]]="men",1,0)</f>
        <v>1</v>
      </c>
      <c r="AD253">
        <f ca="1">IF(Table1[[#This Row],[gender]]="women",1,0)</f>
        <v>0</v>
      </c>
      <c r="AH253" s="5"/>
      <c r="AJ253" s="6">
        <f ca="1">IF(Table1[[#This Row],[Column1]]="Health",1,0)</f>
        <v>0</v>
      </c>
      <c r="AK253">
        <f ca="1">IF(Table1[[#This Row],[Column1]]="Construction",1,0)</f>
        <v>0</v>
      </c>
      <c r="AL253">
        <f ca="1">IF(Table1[[#This Row],[Column1]]="Technology",1,0)</f>
        <v>0</v>
      </c>
      <c r="AM253">
        <f ca="1">IF(Table1[[#This Row],[Column1]]="Education",1,0)</f>
        <v>0</v>
      </c>
      <c r="AN253">
        <f ca="1">IF(Table1[[#This Row],[Column1]]="Agriculture",1,0)</f>
        <v>1</v>
      </c>
      <c r="AO253">
        <f ca="1">IF(Table1[[#This Row],[Column1]]="Social Service", 1, 0)</f>
        <v>0</v>
      </c>
      <c r="AT253" s="5"/>
      <c r="AV253" s="17">
        <f t="shared" ca="1" si="9"/>
        <v>20116.717741783996</v>
      </c>
      <c r="AW253" s="5"/>
      <c r="AX253" s="6">
        <f ca="1">IF(Table1[[#This Row],[Value of Debts]]&gt;$AY$4,1,0)</f>
        <v>1</v>
      </c>
      <c r="AY253" s="20"/>
      <c r="AZ253" s="20"/>
      <c r="BA253" s="5"/>
      <c r="BB253" s="25">
        <f ca="1">Table1[[#This Row],[Mortage Left]]/Table1[[#This Row],[Value of House]]</f>
        <v>0.55122660596235207</v>
      </c>
      <c r="BC253" s="20">
        <f t="shared" ca="1" si="11"/>
        <v>0</v>
      </c>
      <c r="BD253" s="20"/>
      <c r="BE253" s="20"/>
      <c r="BF253" s="20"/>
      <c r="BG253" s="6">
        <f ca="1">IF(Table1[[#This Row],[County]]="Cumbria",Table1[[#This Row],[income]],0)</f>
        <v>0</v>
      </c>
      <c r="BH253" s="20">
        <f ca="1">IF(Table1[[#This Row],[County]]="Cheshire",Table1[[#This Row],[income]],0)</f>
        <v>0</v>
      </c>
      <c r="BI253" s="20">
        <f ca="1">IF(Table1[[#This Row],[County]]="Bristol",Table1[[#This Row],[income]],0)</f>
        <v>0</v>
      </c>
      <c r="BJ253" s="20">
        <f ca="1">IF(Table1[[#This Row],[County]]="Surrey",Table1[[#This Row],[income]],0)</f>
        <v>0</v>
      </c>
      <c r="BK253" s="20">
        <f ca="1">IF(Table1[[#This Row],[County]]="Norfolk",Table1[[#This Row],[income]],0)</f>
        <v>0</v>
      </c>
      <c r="BL253" s="20">
        <f ca="1">IF(Table1[[#This Row],[County]]="Lincolnshire",Table1[[#This Row],[income]],0)</f>
        <v>0</v>
      </c>
      <c r="BM253" s="20">
        <f ca="1">IF(Table1[[#This Row],[County]]="Somerset",Table1[[#This Row],[income]],0)</f>
        <v>0</v>
      </c>
      <c r="BN253" s="20">
        <f ca="1">IF(Table1[[#This Row],[County]]="Cambridgeshire",Table1[[#This Row],[income]],0)</f>
        <v>0</v>
      </c>
      <c r="BO253" s="20">
        <f ca="1">IF(Table1[[#This Row],[County]]="South Yorkshire",Table1[[#This Row],[income]],0)</f>
        <v>0</v>
      </c>
      <c r="BP253" s="20">
        <f ca="1">IF(Table1[[#This Row],[County]]="Greater London",Table1[[#This Row],[income]],0)</f>
        <v>0</v>
      </c>
      <c r="BQ253" s="20">
        <f ca="1">IF(Table1[[#This Row],[County]]="Hampshire",Table1[[#This Row],[income]],0)</f>
        <v>0</v>
      </c>
      <c r="BR253" s="20">
        <f ca="1">IF(Table1[[#This Row],[County]]="Gloucestershire",Table1[[#This Row],[income]],0)</f>
        <v>0</v>
      </c>
      <c r="BS253" s="20">
        <f ca="1">IF(Table1[[#This Row],[County]]="West Sussex",Table1[[#This Row],[income]],0)</f>
        <v>0</v>
      </c>
      <c r="BT253" s="20">
        <f ca="1">IF(Table1[[#This Row],[County]]="Devon",Table1[[#This Row],[income]],0)</f>
        <v>0</v>
      </c>
      <c r="BU253" s="20">
        <f ca="1">IF(Table1[[#This Row],[County]]="Berkshire",Table1[[#This Row],[income]],0)</f>
        <v>0</v>
      </c>
      <c r="BV253" s="20">
        <f ca="1">IF(Table1[[#This Row],[County]]="Staffordshire",Table1[[#This Row],[income]],0)</f>
        <v>0</v>
      </c>
      <c r="BW253" s="20">
        <f ca="1">IF(Table1[[#This Row],[County]]="Leicestershire",Table1[[#This Row],[income]],0)</f>
        <v>0</v>
      </c>
      <c r="BX253" s="20">
        <f ca="1">IF(Table1[[#This Row],[County]]="Cornwall",Table1[[#This Row],[income]],0)</f>
        <v>0</v>
      </c>
      <c r="BY253" s="20">
        <f ca="1">IF(Table1[[#This Row],[County]]="Isle of Wight",Table1[[#This Row],[income]],0)</f>
        <v>0</v>
      </c>
      <c r="BZ253" s="20">
        <f ca="1">IF(Table1[[#This Row],[County]]="Surrey",Table1[[#This Row],[income]],0)</f>
        <v>0</v>
      </c>
      <c r="CA253" s="20">
        <f ca="1">IF(Table1[[#This Row],[County]]="Derbyshire",Table1[[#This Row],[income]],0)</f>
        <v>0</v>
      </c>
      <c r="CB253" s="20">
        <f ca="1">IF(Table1[[#This Row],[County]]="City of London",Table1[[#This Row],[income]],0)</f>
        <v>0</v>
      </c>
      <c r="CC253" s="20">
        <f ca="1">IF(Table1[[#This Row],[County]]="Bedfordshire",Table1[[#This Row],[income]],0)</f>
        <v>0</v>
      </c>
      <c r="CD253" s="20">
        <f ca="1">IF(Table1[[#This Row],[County]]="County Durham",Table1[[#This Row],[income]],0)</f>
        <v>0</v>
      </c>
      <c r="CE253" s="20">
        <f ca="1">IF(Table1[[#This Row],[County]]="East Riding of Yorkshire",Table1[[#This Row],[income]],0)</f>
        <v>53138</v>
      </c>
      <c r="CF253" s="20">
        <f ca="1">IF(Table1[[#This Row],[County]]="West Yorkshire",Table1[[#This Row],[income]],0)</f>
        <v>0</v>
      </c>
      <c r="CG253" s="20">
        <f ca="1">IF(Table1[[#This Row],[County]]="Essex",Table1[[#This Row],[income]],0)</f>
        <v>0</v>
      </c>
      <c r="CH253" s="20">
        <f ca="1">IF(Table1[[#This Row],[County]]="East Sussex",Table1[[#This Row],[income]],0)</f>
        <v>0</v>
      </c>
      <c r="CI253" s="20">
        <f ca="1">IF(Table1[[#This Row],[County]]="Greater Manchester",Table1[[#This Row],[income]],0)</f>
        <v>0</v>
      </c>
      <c r="CJ253" s="20">
        <f ca="1">IF(Table1[[#This Row],[County]]="Hertfordshire",Table1[[#This Row],[income]],0)</f>
        <v>0</v>
      </c>
      <c r="CK253" s="20">
        <f ca="1">IF(Table1[[#This Row],[County]]="Herefordshire",Table1[[#This Row],[income]],0)</f>
        <v>0</v>
      </c>
      <c r="CL253" s="20">
        <f ca="1">IF(Table1[[#This Row],[County]]="Lancashire",Table1[[#This Row],[income]],0)</f>
        <v>0</v>
      </c>
      <c r="CM253" s="20">
        <f ca="1">IF(Table1[[#This Row],[County]]="Merseyside",Table1[[#This Row],[income]],0)</f>
        <v>0</v>
      </c>
      <c r="CN253" s="20">
        <f ca="1">IF(Table1[[#This Row],[County]]="Northamptonshire",Table1[[#This Row],[income]],0)</f>
        <v>0</v>
      </c>
      <c r="CO253" s="20">
        <f ca="1">IF(Table1[[#This Row],[County]]="Northumberland",Table1[[#This Row],[income]],0)</f>
        <v>0</v>
      </c>
      <c r="CP253" s="20">
        <f ca="1">IF(Table1[[#This Row],[County]]="Wiltshire",Table1[[#This Row],[income]],0)</f>
        <v>0</v>
      </c>
      <c r="CQ253" s="20">
        <f ca="1">IF(Table1[[#This Row],[County]]="West Midlands",Table1[[#This Row],[income]],0)</f>
        <v>0</v>
      </c>
      <c r="CR253" s="20">
        <f ca="1">IF(Table1[[#This Row],[County]]="Warwickshire",Table1[[#This Row],[income]],0)</f>
        <v>0</v>
      </c>
      <c r="CS253" s="20">
        <f ca="1">IF(Table1[[#This Row],[County]]="Tyne and Wear",Table1[[#This Row],[income]],0)</f>
        <v>0</v>
      </c>
      <c r="CT253" s="20">
        <f ca="1">IF(Table1[[#This Row],[County]]="Worcestershire",Table1[[#This Row],[income]],0)</f>
        <v>0</v>
      </c>
      <c r="CU253" s="20">
        <f ca="1">IF(Table1[[#This Row],[County]]="Rutland",Table1[[#This Row],[income]],0)</f>
        <v>0</v>
      </c>
      <c r="CV253" s="20">
        <f ca="1">IF(Table1[[#This Row],[County]]="Shropshire",Table1[[#This Row],[income]],0)</f>
        <v>0</v>
      </c>
      <c r="CW253" s="20">
        <f ca="1">IF(Table1[[#This Row],[County]]="Dorset",Table1[[#This Row],[income]],0)</f>
        <v>0</v>
      </c>
      <c r="CX253" s="20">
        <f ca="1">IF(Table1[[#This Row],[County]]="Buckinghamshire",Table1[[#This Row],[income]],0)</f>
        <v>0</v>
      </c>
      <c r="CY253" s="20">
        <f ca="1">IF(Table1[[#This Row],[County]]="Suffolk",Table1[[#This Row],[income]],0)</f>
        <v>0</v>
      </c>
      <c r="CZ253" s="20">
        <f ca="1">IF(Table1[[#This Row],[County]]="North Yorkshire",Table1[[#This Row],[income]],0)</f>
        <v>0</v>
      </c>
      <c r="DA253" s="20">
        <f ca="1">IF(Table1[[#This Row],[County]]="Kent",Table1[[#This Row],[income]],0)</f>
        <v>0</v>
      </c>
      <c r="DB253" s="5">
        <f ca="1">IF(Table1[[#This Row],[County]]="Derbyshire",Table1[[#This Row],[income]],0)</f>
        <v>0</v>
      </c>
      <c r="DD253" s="6">
        <f ca="1">IF(Table1[[#This Row],[Column1]]="Health",Table1[[#This Row],[income]],0)</f>
        <v>0</v>
      </c>
      <c r="DE253" s="20">
        <f ca="1">IF(Table1[[#This Row],[Column1]]="Agriculture",Table1[[#This Row],[income]],0)</f>
        <v>53138</v>
      </c>
      <c r="DF253" s="20">
        <f ca="1">IF(Table1[[#This Row],[Column1]]="Technology",Table1[[#This Row],[income]],0)</f>
        <v>0</v>
      </c>
      <c r="DG253" s="20">
        <f ca="1">IF(Table1[[#This Row],[Column1]]="Social Service",Table1[[#This Row],[income]],0)</f>
        <v>0</v>
      </c>
      <c r="DH253" s="20">
        <f ca="1">IF(Table1[[#This Row],[Column1]]="Education",Table1[[#This Row],[income]],0)</f>
        <v>0</v>
      </c>
      <c r="DI253" s="5">
        <f ca="1">IF(Table1[[#This Row],[Column1]]="Construction",Table1[[#This Row],[income]],0)</f>
        <v>0</v>
      </c>
      <c r="DK253" s="6">
        <f ca="1">IF(Table1[[#This Row],[Value of Debts]]&gt;Table1[[#This Row],[income]],1,0)</f>
        <v>1</v>
      </c>
      <c r="DL253" s="20"/>
      <c r="DM253" s="20"/>
      <c r="DN253" s="5"/>
      <c r="DP253" s="6">
        <f ca="1">IF(Table1[[#This Row],[Net Worth (£)]]&gt;$DS$5,C253,0)</f>
        <v>0</v>
      </c>
      <c r="DQ253" s="20"/>
      <c r="DR253" s="20"/>
      <c r="DS253" s="5"/>
    </row>
    <row r="254" spans="1:123" x14ac:dyDescent="0.2">
      <c r="A254">
        <f t="shared" ca="1" si="10"/>
        <v>1</v>
      </c>
      <c r="B254" s="1" t="str">
        <f ca="1">IF(A254=1, "men", "women")</f>
        <v>men</v>
      </c>
      <c r="C254" s="1">
        <f ca="1">RANDBETWEEN(25,50)</f>
        <v>37</v>
      </c>
      <c r="D254">
        <f ca="1">RANDBETWEEN(1,6)</f>
        <v>5</v>
      </c>
      <c r="E254" t="str">
        <f ca="1">VLOOKUP(D254,$W$5:$X$10,2)</f>
        <v>Social Service</v>
      </c>
      <c r="F254">
        <f ca="1">RANDBETWEEN(1,5)</f>
        <v>4</v>
      </c>
      <c r="G254" t="str">
        <f ca="1">VLOOKUP(F254,$Y$5:$Z$9,2)</f>
        <v xml:space="preserve">Technical </v>
      </c>
      <c r="H254">
        <f ca="1">RANDBETWEEN(0,4)</f>
        <v>0</v>
      </c>
      <c r="I254">
        <f ca="1">RANDBETWEEN(1,3)</f>
        <v>3</v>
      </c>
      <c r="J254">
        <f ca="1">RANDBETWEEN(30000,100000)</f>
        <v>52800</v>
      </c>
      <c r="K254">
        <f ca="1">RANDBETWEEN(1,48)</f>
        <v>12</v>
      </c>
      <c r="L254" t="str">
        <f ca="1">VLOOKUP(K254,$AA$5:$AB$52,2)</f>
        <v>Dorset</v>
      </c>
      <c r="M254">
        <f ca="1">J254*(RANDBETWEEN(2,5))</f>
        <v>105600</v>
      </c>
      <c r="N254">
        <f ca="1">RAND()*M254</f>
        <v>47983.676648712084</v>
      </c>
      <c r="O254">
        <f ca="1">I254*RAND()*J254</f>
        <v>60350.153225351991</v>
      </c>
      <c r="P254">
        <f ca="1">RANDBETWEEN(0,O254)</f>
        <v>10213</v>
      </c>
      <c r="Q254">
        <f ca="1">RAND()*J254*2</f>
        <v>79142.382337323361</v>
      </c>
      <c r="R254">
        <f ca="1">RAND()*J254*1.5</f>
        <v>47333.242901000478</v>
      </c>
      <c r="S254">
        <f ca="1">J254+R254+O254</f>
        <v>160483.39612635248</v>
      </c>
      <c r="T254">
        <f ca="1">N254+P254+Q254</f>
        <v>137339.05898603544</v>
      </c>
      <c r="U254">
        <f ca="1">S254-T254</f>
        <v>23144.337140317046</v>
      </c>
      <c r="AC254" s="6">
        <f ca="1">IF(Table1[[#This Row],[gender]]="men",1,0)</f>
        <v>1</v>
      </c>
      <c r="AD254">
        <f ca="1">IF(Table1[[#This Row],[gender]]="women",1,0)</f>
        <v>0</v>
      </c>
      <c r="AH254" s="5"/>
      <c r="AJ254" s="6">
        <f ca="1">IF(Table1[[#This Row],[Column1]]="Health",1,0)</f>
        <v>0</v>
      </c>
      <c r="AK254">
        <f ca="1">IF(Table1[[#This Row],[Column1]]="Construction",1,0)</f>
        <v>0</v>
      </c>
      <c r="AL254">
        <f ca="1">IF(Table1[[#This Row],[Column1]]="Technology",1,0)</f>
        <v>0</v>
      </c>
      <c r="AM254">
        <f ca="1">IF(Table1[[#This Row],[Column1]]="Education",1,0)</f>
        <v>0</v>
      </c>
      <c r="AN254">
        <f ca="1">IF(Table1[[#This Row],[Column1]]="Agriculture",1,0)</f>
        <v>0</v>
      </c>
      <c r="AO254">
        <f ca="1">IF(Table1[[#This Row],[Column1]]="Social Service", 1, 0)</f>
        <v>1</v>
      </c>
      <c r="AT254" s="5"/>
      <c r="AV254" s="17">
        <f t="shared" ca="1" si="9"/>
        <v>68611.186929558215</v>
      </c>
      <c r="AW254" s="5"/>
      <c r="AX254" s="6">
        <f ca="1">IF(Table1[[#This Row],[Value of Debts]]&gt;$AY$4,1,0)</f>
        <v>1</v>
      </c>
      <c r="AY254" s="20"/>
      <c r="AZ254" s="20"/>
      <c r="BA254" s="5"/>
      <c r="BB254" s="25">
        <f ca="1">Table1[[#This Row],[Mortage Left]]/Table1[[#This Row],[Value of House]]</f>
        <v>0.4543908773552281</v>
      </c>
      <c r="BC254" s="20">
        <f t="shared" ca="1" si="11"/>
        <v>0</v>
      </c>
      <c r="BD254" s="20"/>
      <c r="BE254" s="20"/>
      <c r="BF254" s="20"/>
      <c r="BG254" s="6">
        <f ca="1">IF(Table1[[#This Row],[County]]="Cumbria",Table1[[#This Row],[income]],0)</f>
        <v>0</v>
      </c>
      <c r="BH254" s="20">
        <f ca="1">IF(Table1[[#This Row],[County]]="Cheshire",Table1[[#This Row],[income]],0)</f>
        <v>0</v>
      </c>
      <c r="BI254" s="20">
        <f ca="1">IF(Table1[[#This Row],[County]]="Bristol",Table1[[#This Row],[income]],0)</f>
        <v>0</v>
      </c>
      <c r="BJ254" s="20">
        <f ca="1">IF(Table1[[#This Row],[County]]="Surrey",Table1[[#This Row],[income]],0)</f>
        <v>0</v>
      </c>
      <c r="BK254" s="20">
        <f ca="1">IF(Table1[[#This Row],[County]]="Norfolk",Table1[[#This Row],[income]],0)</f>
        <v>0</v>
      </c>
      <c r="BL254" s="20">
        <f ca="1">IF(Table1[[#This Row],[County]]="Lincolnshire",Table1[[#This Row],[income]],0)</f>
        <v>0</v>
      </c>
      <c r="BM254" s="20">
        <f ca="1">IF(Table1[[#This Row],[County]]="Somerset",Table1[[#This Row],[income]],0)</f>
        <v>0</v>
      </c>
      <c r="BN254" s="20">
        <f ca="1">IF(Table1[[#This Row],[County]]="Cambridgeshire",Table1[[#This Row],[income]],0)</f>
        <v>0</v>
      </c>
      <c r="BO254" s="20">
        <f ca="1">IF(Table1[[#This Row],[County]]="South Yorkshire",Table1[[#This Row],[income]],0)</f>
        <v>0</v>
      </c>
      <c r="BP254" s="20">
        <f ca="1">IF(Table1[[#This Row],[County]]="Greater London",Table1[[#This Row],[income]],0)</f>
        <v>0</v>
      </c>
      <c r="BQ254" s="20">
        <f ca="1">IF(Table1[[#This Row],[County]]="Hampshire",Table1[[#This Row],[income]],0)</f>
        <v>0</v>
      </c>
      <c r="BR254" s="20">
        <f ca="1">IF(Table1[[#This Row],[County]]="Gloucestershire",Table1[[#This Row],[income]],0)</f>
        <v>0</v>
      </c>
      <c r="BS254" s="20">
        <f ca="1">IF(Table1[[#This Row],[County]]="West Sussex",Table1[[#This Row],[income]],0)</f>
        <v>0</v>
      </c>
      <c r="BT254" s="20">
        <f ca="1">IF(Table1[[#This Row],[County]]="Devon",Table1[[#This Row],[income]],0)</f>
        <v>0</v>
      </c>
      <c r="BU254" s="20">
        <f ca="1">IF(Table1[[#This Row],[County]]="Berkshire",Table1[[#This Row],[income]],0)</f>
        <v>0</v>
      </c>
      <c r="BV254" s="20">
        <f ca="1">IF(Table1[[#This Row],[County]]="Staffordshire",Table1[[#This Row],[income]],0)</f>
        <v>0</v>
      </c>
      <c r="BW254" s="20">
        <f ca="1">IF(Table1[[#This Row],[County]]="Leicestershire",Table1[[#This Row],[income]],0)</f>
        <v>0</v>
      </c>
      <c r="BX254" s="20">
        <f ca="1">IF(Table1[[#This Row],[County]]="Cornwall",Table1[[#This Row],[income]],0)</f>
        <v>0</v>
      </c>
      <c r="BY254" s="20">
        <f ca="1">IF(Table1[[#This Row],[County]]="Isle of Wight",Table1[[#This Row],[income]],0)</f>
        <v>0</v>
      </c>
      <c r="BZ254" s="20">
        <f ca="1">IF(Table1[[#This Row],[County]]="Surrey",Table1[[#This Row],[income]],0)</f>
        <v>0</v>
      </c>
      <c r="CA254" s="20">
        <f ca="1">IF(Table1[[#This Row],[County]]="Derbyshire",Table1[[#This Row],[income]],0)</f>
        <v>0</v>
      </c>
      <c r="CB254" s="20">
        <f ca="1">IF(Table1[[#This Row],[County]]="City of London",Table1[[#This Row],[income]],0)</f>
        <v>0</v>
      </c>
      <c r="CC254" s="20">
        <f ca="1">IF(Table1[[#This Row],[County]]="Bedfordshire",Table1[[#This Row],[income]],0)</f>
        <v>0</v>
      </c>
      <c r="CD254" s="20">
        <f ca="1">IF(Table1[[#This Row],[County]]="County Durham",Table1[[#This Row],[income]],0)</f>
        <v>0</v>
      </c>
      <c r="CE254" s="20">
        <f ca="1">IF(Table1[[#This Row],[County]]="East Riding of Yorkshire",Table1[[#This Row],[income]],0)</f>
        <v>0</v>
      </c>
      <c r="CF254" s="20">
        <f ca="1">IF(Table1[[#This Row],[County]]="West Yorkshire",Table1[[#This Row],[income]],0)</f>
        <v>0</v>
      </c>
      <c r="CG254" s="20">
        <f ca="1">IF(Table1[[#This Row],[County]]="Essex",Table1[[#This Row],[income]],0)</f>
        <v>0</v>
      </c>
      <c r="CH254" s="20">
        <f ca="1">IF(Table1[[#This Row],[County]]="East Sussex",Table1[[#This Row],[income]],0)</f>
        <v>0</v>
      </c>
      <c r="CI254" s="20">
        <f ca="1">IF(Table1[[#This Row],[County]]="Greater Manchester",Table1[[#This Row],[income]],0)</f>
        <v>0</v>
      </c>
      <c r="CJ254" s="20">
        <f ca="1">IF(Table1[[#This Row],[County]]="Hertfordshire",Table1[[#This Row],[income]],0)</f>
        <v>0</v>
      </c>
      <c r="CK254" s="20">
        <f ca="1">IF(Table1[[#This Row],[County]]="Herefordshire",Table1[[#This Row],[income]],0)</f>
        <v>0</v>
      </c>
      <c r="CL254" s="20">
        <f ca="1">IF(Table1[[#This Row],[County]]="Lancashire",Table1[[#This Row],[income]],0)</f>
        <v>0</v>
      </c>
      <c r="CM254" s="20">
        <f ca="1">IF(Table1[[#This Row],[County]]="Merseyside",Table1[[#This Row],[income]],0)</f>
        <v>0</v>
      </c>
      <c r="CN254" s="20">
        <f ca="1">IF(Table1[[#This Row],[County]]="Northamptonshire",Table1[[#This Row],[income]],0)</f>
        <v>0</v>
      </c>
      <c r="CO254" s="20">
        <f ca="1">IF(Table1[[#This Row],[County]]="Northumberland",Table1[[#This Row],[income]],0)</f>
        <v>0</v>
      </c>
      <c r="CP254" s="20">
        <f ca="1">IF(Table1[[#This Row],[County]]="Wiltshire",Table1[[#This Row],[income]],0)</f>
        <v>0</v>
      </c>
      <c r="CQ254" s="20">
        <f ca="1">IF(Table1[[#This Row],[County]]="West Midlands",Table1[[#This Row],[income]],0)</f>
        <v>0</v>
      </c>
      <c r="CR254" s="20">
        <f ca="1">IF(Table1[[#This Row],[County]]="Warwickshire",Table1[[#This Row],[income]],0)</f>
        <v>0</v>
      </c>
      <c r="CS254" s="20">
        <f ca="1">IF(Table1[[#This Row],[County]]="Tyne and Wear",Table1[[#This Row],[income]],0)</f>
        <v>0</v>
      </c>
      <c r="CT254" s="20">
        <f ca="1">IF(Table1[[#This Row],[County]]="Worcestershire",Table1[[#This Row],[income]],0)</f>
        <v>0</v>
      </c>
      <c r="CU254" s="20">
        <f ca="1">IF(Table1[[#This Row],[County]]="Rutland",Table1[[#This Row],[income]],0)</f>
        <v>0</v>
      </c>
      <c r="CV254" s="20">
        <f ca="1">IF(Table1[[#This Row],[County]]="Shropshire",Table1[[#This Row],[income]],0)</f>
        <v>0</v>
      </c>
      <c r="CW254" s="20">
        <f ca="1">IF(Table1[[#This Row],[County]]="Dorset",Table1[[#This Row],[income]],0)</f>
        <v>52800</v>
      </c>
      <c r="CX254" s="20">
        <f ca="1">IF(Table1[[#This Row],[County]]="Buckinghamshire",Table1[[#This Row],[income]],0)</f>
        <v>0</v>
      </c>
      <c r="CY254" s="20">
        <f ca="1">IF(Table1[[#This Row],[County]]="Suffolk",Table1[[#This Row],[income]],0)</f>
        <v>0</v>
      </c>
      <c r="CZ254" s="20">
        <f ca="1">IF(Table1[[#This Row],[County]]="North Yorkshire",Table1[[#This Row],[income]],0)</f>
        <v>0</v>
      </c>
      <c r="DA254" s="20">
        <f ca="1">IF(Table1[[#This Row],[County]]="Kent",Table1[[#This Row],[income]],0)</f>
        <v>0</v>
      </c>
      <c r="DB254" s="5">
        <f ca="1">IF(Table1[[#This Row],[County]]="Derbyshire",Table1[[#This Row],[income]],0)</f>
        <v>0</v>
      </c>
      <c r="DD254" s="6">
        <f ca="1">IF(Table1[[#This Row],[Column1]]="Health",Table1[[#This Row],[income]],0)</f>
        <v>0</v>
      </c>
      <c r="DE254" s="20">
        <f ca="1">IF(Table1[[#This Row],[Column1]]="Agriculture",Table1[[#This Row],[income]],0)</f>
        <v>0</v>
      </c>
      <c r="DF254" s="20">
        <f ca="1">IF(Table1[[#This Row],[Column1]]="Technology",Table1[[#This Row],[income]],0)</f>
        <v>0</v>
      </c>
      <c r="DG254" s="20">
        <f ca="1">IF(Table1[[#This Row],[Column1]]="Social Service",Table1[[#This Row],[income]],0)</f>
        <v>52800</v>
      </c>
      <c r="DH254" s="20">
        <f ca="1">IF(Table1[[#This Row],[Column1]]="Education",Table1[[#This Row],[income]],0)</f>
        <v>0</v>
      </c>
      <c r="DI254" s="5">
        <f ca="1">IF(Table1[[#This Row],[Column1]]="Construction",Table1[[#This Row],[income]],0)</f>
        <v>0</v>
      </c>
      <c r="DK254" s="6">
        <f ca="1">IF(Table1[[#This Row],[Value of Debts]]&gt;Table1[[#This Row],[income]],1,0)</f>
        <v>1</v>
      </c>
      <c r="DL254" s="20"/>
      <c r="DM254" s="20"/>
      <c r="DN254" s="5"/>
      <c r="DP254" s="6">
        <f ca="1">IF(Table1[[#This Row],[Net Worth (£)]]&gt;$DS$5,C254,0)</f>
        <v>0</v>
      </c>
      <c r="DQ254" s="20"/>
      <c r="DR254" s="20"/>
      <c r="DS254" s="5"/>
    </row>
    <row r="255" spans="1:123" x14ac:dyDescent="0.2">
      <c r="A255">
        <f t="shared" ca="1" si="10"/>
        <v>2</v>
      </c>
      <c r="B255" s="1" t="str">
        <f ca="1">IF(A255=1, "men", "women")</f>
        <v>women</v>
      </c>
      <c r="C255" s="1">
        <f ca="1">RANDBETWEEN(25,50)</f>
        <v>28</v>
      </c>
      <c r="D255">
        <f ca="1">RANDBETWEEN(1,6)</f>
        <v>3</v>
      </c>
      <c r="E255" t="str">
        <f ca="1">VLOOKUP(D255,$W$5:$X$10,2)</f>
        <v>Education</v>
      </c>
      <c r="F255">
        <f ca="1">RANDBETWEEN(1,5)</f>
        <v>3</v>
      </c>
      <c r="G255" t="str">
        <f ca="1">VLOOKUP(F255,$Y$5:$Z$9,2)</f>
        <v>University</v>
      </c>
      <c r="H255">
        <f ca="1">RANDBETWEEN(0,4)</f>
        <v>2</v>
      </c>
      <c r="I255">
        <f ca="1">RANDBETWEEN(1,3)</f>
        <v>1</v>
      </c>
      <c r="J255">
        <f ca="1">RANDBETWEEN(30000,100000)</f>
        <v>88685</v>
      </c>
      <c r="K255">
        <f ca="1">RANDBETWEEN(1,48)</f>
        <v>7</v>
      </c>
      <c r="L255" t="str">
        <f ca="1">VLOOKUP(K255,$AA$5:$AB$52,2)</f>
        <v>City of London</v>
      </c>
      <c r="M255">
        <f ca="1">J255*(RANDBETWEEN(2,5))</f>
        <v>443425</v>
      </c>
      <c r="N255">
        <f ca="1">RAND()*M255</f>
        <v>139371.49614336694</v>
      </c>
      <c r="O255">
        <f ca="1">I255*RAND()*J255</f>
        <v>68611.186929558215</v>
      </c>
      <c r="P255">
        <f ca="1">RANDBETWEEN(0,O255)</f>
        <v>44647</v>
      </c>
      <c r="Q255">
        <f ca="1">RAND()*J255*2</f>
        <v>79884.425615966175</v>
      </c>
      <c r="R255">
        <f ca="1">RAND()*J255*1.5</f>
        <v>73026.237224340352</v>
      </c>
      <c r="S255">
        <f ca="1">J255+R255+O255</f>
        <v>230322.42415389855</v>
      </c>
      <c r="T255">
        <f ca="1">N255+P255+Q255</f>
        <v>263902.92175933311</v>
      </c>
      <c r="U255">
        <f ca="1">S255-T255</f>
        <v>-33580.497605434561</v>
      </c>
      <c r="AC255" s="6">
        <f ca="1">IF(Table1[[#This Row],[gender]]="men",1,0)</f>
        <v>0</v>
      </c>
      <c r="AD255">
        <f ca="1">IF(Table1[[#This Row],[gender]]="women",1,0)</f>
        <v>1</v>
      </c>
      <c r="AH255" s="5"/>
      <c r="AJ255" s="6">
        <f ca="1">IF(Table1[[#This Row],[Column1]]="Health",1,0)</f>
        <v>0</v>
      </c>
      <c r="AK255">
        <f ca="1">IF(Table1[[#This Row],[Column1]]="Construction",1,0)</f>
        <v>0</v>
      </c>
      <c r="AL255">
        <f ca="1">IF(Table1[[#This Row],[Column1]]="Technology",1,0)</f>
        <v>0</v>
      </c>
      <c r="AM255">
        <f ca="1">IF(Table1[[#This Row],[Column1]]="Education",1,0)</f>
        <v>1</v>
      </c>
      <c r="AN255">
        <f ca="1">IF(Table1[[#This Row],[Column1]]="Agriculture",1,0)</f>
        <v>0</v>
      </c>
      <c r="AO255">
        <f ca="1">IF(Table1[[#This Row],[Column1]]="Social Service", 1, 0)</f>
        <v>0</v>
      </c>
      <c r="AT255" s="5"/>
      <c r="AV255" s="17">
        <f t="shared" ca="1" si="9"/>
        <v>6285.9968186053702</v>
      </c>
      <c r="AW255" s="5"/>
      <c r="AX255" s="6">
        <f ca="1">IF(Table1[[#This Row],[Value of Debts]]&gt;$AY$4,1,0)</f>
        <v>1</v>
      </c>
      <c r="AY255" s="20"/>
      <c r="AZ255" s="20"/>
      <c r="BA255" s="5"/>
      <c r="BB255" s="25">
        <f ca="1">Table1[[#This Row],[Mortage Left]]/Table1[[#This Row],[Value of House]]</f>
        <v>0.31430680756242191</v>
      </c>
      <c r="BC255" s="20">
        <f t="shared" ca="1" si="11"/>
        <v>0</v>
      </c>
      <c r="BD255" s="20"/>
      <c r="BE255" s="20"/>
      <c r="BF255" s="20"/>
      <c r="BG255" s="6">
        <f ca="1">IF(Table1[[#This Row],[County]]="Cumbria",Table1[[#This Row],[income]],0)</f>
        <v>0</v>
      </c>
      <c r="BH255" s="20">
        <f ca="1">IF(Table1[[#This Row],[County]]="Cheshire",Table1[[#This Row],[income]],0)</f>
        <v>0</v>
      </c>
      <c r="BI255" s="20">
        <f ca="1">IF(Table1[[#This Row],[County]]="Bristol",Table1[[#This Row],[income]],0)</f>
        <v>0</v>
      </c>
      <c r="BJ255" s="20">
        <f ca="1">IF(Table1[[#This Row],[County]]="Surrey",Table1[[#This Row],[income]],0)</f>
        <v>0</v>
      </c>
      <c r="BK255" s="20">
        <f ca="1">IF(Table1[[#This Row],[County]]="Norfolk",Table1[[#This Row],[income]],0)</f>
        <v>0</v>
      </c>
      <c r="BL255" s="20">
        <f ca="1">IF(Table1[[#This Row],[County]]="Lincolnshire",Table1[[#This Row],[income]],0)</f>
        <v>0</v>
      </c>
      <c r="BM255" s="20">
        <f ca="1">IF(Table1[[#This Row],[County]]="Somerset",Table1[[#This Row],[income]],0)</f>
        <v>0</v>
      </c>
      <c r="BN255" s="20">
        <f ca="1">IF(Table1[[#This Row],[County]]="Cambridgeshire",Table1[[#This Row],[income]],0)</f>
        <v>0</v>
      </c>
      <c r="BO255" s="20">
        <f ca="1">IF(Table1[[#This Row],[County]]="South Yorkshire",Table1[[#This Row],[income]],0)</f>
        <v>0</v>
      </c>
      <c r="BP255" s="20">
        <f ca="1">IF(Table1[[#This Row],[County]]="Greater London",Table1[[#This Row],[income]],0)</f>
        <v>0</v>
      </c>
      <c r="BQ255" s="20">
        <f ca="1">IF(Table1[[#This Row],[County]]="Hampshire",Table1[[#This Row],[income]],0)</f>
        <v>0</v>
      </c>
      <c r="BR255" s="20">
        <f ca="1">IF(Table1[[#This Row],[County]]="Gloucestershire",Table1[[#This Row],[income]],0)</f>
        <v>0</v>
      </c>
      <c r="BS255" s="20">
        <f ca="1">IF(Table1[[#This Row],[County]]="West Sussex",Table1[[#This Row],[income]],0)</f>
        <v>0</v>
      </c>
      <c r="BT255" s="20">
        <f ca="1">IF(Table1[[#This Row],[County]]="Devon",Table1[[#This Row],[income]],0)</f>
        <v>0</v>
      </c>
      <c r="BU255" s="20">
        <f ca="1">IF(Table1[[#This Row],[County]]="Berkshire",Table1[[#This Row],[income]],0)</f>
        <v>0</v>
      </c>
      <c r="BV255" s="20">
        <f ca="1">IF(Table1[[#This Row],[County]]="Staffordshire",Table1[[#This Row],[income]],0)</f>
        <v>0</v>
      </c>
      <c r="BW255" s="20">
        <f ca="1">IF(Table1[[#This Row],[County]]="Leicestershire",Table1[[#This Row],[income]],0)</f>
        <v>0</v>
      </c>
      <c r="BX255" s="20">
        <f ca="1">IF(Table1[[#This Row],[County]]="Cornwall",Table1[[#This Row],[income]],0)</f>
        <v>0</v>
      </c>
      <c r="BY255" s="20">
        <f ca="1">IF(Table1[[#This Row],[County]]="Isle of Wight",Table1[[#This Row],[income]],0)</f>
        <v>0</v>
      </c>
      <c r="BZ255" s="20">
        <f ca="1">IF(Table1[[#This Row],[County]]="Surrey",Table1[[#This Row],[income]],0)</f>
        <v>0</v>
      </c>
      <c r="CA255" s="20">
        <f ca="1">IF(Table1[[#This Row],[County]]="Derbyshire",Table1[[#This Row],[income]],0)</f>
        <v>0</v>
      </c>
      <c r="CB255" s="20">
        <f ca="1">IF(Table1[[#This Row],[County]]="City of London",Table1[[#This Row],[income]],0)</f>
        <v>88685</v>
      </c>
      <c r="CC255" s="20">
        <f ca="1">IF(Table1[[#This Row],[County]]="Bedfordshire",Table1[[#This Row],[income]],0)</f>
        <v>0</v>
      </c>
      <c r="CD255" s="20">
        <f ca="1">IF(Table1[[#This Row],[County]]="County Durham",Table1[[#This Row],[income]],0)</f>
        <v>0</v>
      </c>
      <c r="CE255" s="20">
        <f ca="1">IF(Table1[[#This Row],[County]]="East Riding of Yorkshire",Table1[[#This Row],[income]],0)</f>
        <v>0</v>
      </c>
      <c r="CF255" s="20">
        <f ca="1">IF(Table1[[#This Row],[County]]="West Yorkshire",Table1[[#This Row],[income]],0)</f>
        <v>0</v>
      </c>
      <c r="CG255" s="20">
        <f ca="1">IF(Table1[[#This Row],[County]]="Essex",Table1[[#This Row],[income]],0)</f>
        <v>0</v>
      </c>
      <c r="CH255" s="20">
        <f ca="1">IF(Table1[[#This Row],[County]]="East Sussex",Table1[[#This Row],[income]],0)</f>
        <v>0</v>
      </c>
      <c r="CI255" s="20">
        <f ca="1">IF(Table1[[#This Row],[County]]="Greater Manchester",Table1[[#This Row],[income]],0)</f>
        <v>0</v>
      </c>
      <c r="CJ255" s="20">
        <f ca="1">IF(Table1[[#This Row],[County]]="Hertfordshire",Table1[[#This Row],[income]],0)</f>
        <v>0</v>
      </c>
      <c r="CK255" s="20">
        <f ca="1">IF(Table1[[#This Row],[County]]="Herefordshire",Table1[[#This Row],[income]],0)</f>
        <v>0</v>
      </c>
      <c r="CL255" s="20">
        <f ca="1">IF(Table1[[#This Row],[County]]="Lancashire",Table1[[#This Row],[income]],0)</f>
        <v>0</v>
      </c>
      <c r="CM255" s="20">
        <f ca="1">IF(Table1[[#This Row],[County]]="Merseyside",Table1[[#This Row],[income]],0)</f>
        <v>0</v>
      </c>
      <c r="CN255" s="20">
        <f ca="1">IF(Table1[[#This Row],[County]]="Northamptonshire",Table1[[#This Row],[income]],0)</f>
        <v>0</v>
      </c>
      <c r="CO255" s="20">
        <f ca="1">IF(Table1[[#This Row],[County]]="Northumberland",Table1[[#This Row],[income]],0)</f>
        <v>0</v>
      </c>
      <c r="CP255" s="20">
        <f ca="1">IF(Table1[[#This Row],[County]]="Wiltshire",Table1[[#This Row],[income]],0)</f>
        <v>0</v>
      </c>
      <c r="CQ255" s="20">
        <f ca="1">IF(Table1[[#This Row],[County]]="West Midlands",Table1[[#This Row],[income]],0)</f>
        <v>0</v>
      </c>
      <c r="CR255" s="20">
        <f ca="1">IF(Table1[[#This Row],[County]]="Warwickshire",Table1[[#This Row],[income]],0)</f>
        <v>0</v>
      </c>
      <c r="CS255" s="20">
        <f ca="1">IF(Table1[[#This Row],[County]]="Tyne and Wear",Table1[[#This Row],[income]],0)</f>
        <v>0</v>
      </c>
      <c r="CT255" s="20">
        <f ca="1">IF(Table1[[#This Row],[County]]="Worcestershire",Table1[[#This Row],[income]],0)</f>
        <v>0</v>
      </c>
      <c r="CU255" s="20">
        <f ca="1">IF(Table1[[#This Row],[County]]="Rutland",Table1[[#This Row],[income]],0)</f>
        <v>0</v>
      </c>
      <c r="CV255" s="20">
        <f ca="1">IF(Table1[[#This Row],[County]]="Shropshire",Table1[[#This Row],[income]],0)</f>
        <v>0</v>
      </c>
      <c r="CW255" s="20">
        <f ca="1">IF(Table1[[#This Row],[County]]="Dorset",Table1[[#This Row],[income]],0)</f>
        <v>0</v>
      </c>
      <c r="CX255" s="20">
        <f ca="1">IF(Table1[[#This Row],[County]]="Buckinghamshire",Table1[[#This Row],[income]],0)</f>
        <v>0</v>
      </c>
      <c r="CY255" s="20">
        <f ca="1">IF(Table1[[#This Row],[County]]="Suffolk",Table1[[#This Row],[income]],0)</f>
        <v>0</v>
      </c>
      <c r="CZ255" s="20">
        <f ca="1">IF(Table1[[#This Row],[County]]="North Yorkshire",Table1[[#This Row],[income]],0)</f>
        <v>0</v>
      </c>
      <c r="DA255" s="20">
        <f ca="1">IF(Table1[[#This Row],[County]]="Kent",Table1[[#This Row],[income]],0)</f>
        <v>0</v>
      </c>
      <c r="DB255" s="5">
        <f ca="1">IF(Table1[[#This Row],[County]]="Derbyshire",Table1[[#This Row],[income]],0)</f>
        <v>0</v>
      </c>
      <c r="DD255" s="6">
        <f ca="1">IF(Table1[[#This Row],[Column1]]="Health",Table1[[#This Row],[income]],0)</f>
        <v>0</v>
      </c>
      <c r="DE255" s="20">
        <f ca="1">IF(Table1[[#This Row],[Column1]]="Agriculture",Table1[[#This Row],[income]],0)</f>
        <v>0</v>
      </c>
      <c r="DF255" s="20">
        <f ca="1">IF(Table1[[#This Row],[Column1]]="Technology",Table1[[#This Row],[income]],0)</f>
        <v>0</v>
      </c>
      <c r="DG255" s="20">
        <f ca="1">IF(Table1[[#This Row],[Column1]]="Social Service",Table1[[#This Row],[income]],0)</f>
        <v>0</v>
      </c>
      <c r="DH255" s="20">
        <f ca="1">IF(Table1[[#This Row],[Column1]]="Education",Table1[[#This Row],[income]],0)</f>
        <v>88685</v>
      </c>
      <c r="DI255" s="5">
        <f ca="1">IF(Table1[[#This Row],[Column1]]="Construction",Table1[[#This Row],[income]],0)</f>
        <v>0</v>
      </c>
      <c r="DK255" s="6">
        <f ca="1">IF(Table1[[#This Row],[Value of Debts]]&gt;Table1[[#This Row],[income]],1,0)</f>
        <v>1</v>
      </c>
      <c r="DL255" s="20"/>
      <c r="DM255" s="20"/>
      <c r="DN255" s="5"/>
      <c r="DP255" s="6">
        <f ca="1">IF(Table1[[#This Row],[Net Worth (£)]]&gt;$DS$5,C255,0)</f>
        <v>0</v>
      </c>
      <c r="DQ255" s="20"/>
      <c r="DR255" s="20"/>
      <c r="DS255" s="5"/>
    </row>
    <row r="256" spans="1:123" x14ac:dyDescent="0.2">
      <c r="A256">
        <f t="shared" ca="1" si="10"/>
        <v>2</v>
      </c>
      <c r="B256" s="1" t="str">
        <f ca="1">IF(A256=1, "men", "women")</f>
        <v>women</v>
      </c>
      <c r="C256" s="1">
        <f ca="1">RANDBETWEEN(25,50)</f>
        <v>25</v>
      </c>
      <c r="D256">
        <f ca="1">RANDBETWEEN(1,6)</f>
        <v>5</v>
      </c>
      <c r="E256" t="str">
        <f ca="1">VLOOKUP(D256,$W$5:$X$10,2)</f>
        <v>Social Service</v>
      </c>
      <c r="F256">
        <f ca="1">RANDBETWEEN(1,5)</f>
        <v>1</v>
      </c>
      <c r="G256" t="str">
        <f ca="1">VLOOKUP(F256,$Y$5:$Z$9,2)</f>
        <v>High School</v>
      </c>
      <c r="H256">
        <f ca="1">RANDBETWEEN(0,4)</f>
        <v>3</v>
      </c>
      <c r="I256">
        <f ca="1">RANDBETWEEN(1,3)</f>
        <v>3</v>
      </c>
      <c r="J256">
        <f ca="1">RANDBETWEEN(30000,100000)</f>
        <v>35329</v>
      </c>
      <c r="K256">
        <f ca="1">RANDBETWEEN(1,48)</f>
        <v>18</v>
      </c>
      <c r="L256" t="str">
        <f ca="1">VLOOKUP(K256,$AA$5:$AB$52,2)</f>
        <v>Greater London</v>
      </c>
      <c r="M256">
        <f ca="1">J256*(RANDBETWEEN(2,5))</f>
        <v>176645</v>
      </c>
      <c r="N256">
        <f ca="1">RAND()*M256</f>
        <v>153759.08951221302</v>
      </c>
      <c r="O256">
        <f ca="1">I256*RAND()*J256</f>
        <v>18857.990455816111</v>
      </c>
      <c r="P256">
        <f ca="1">RANDBETWEEN(0,O256)</f>
        <v>10162</v>
      </c>
      <c r="Q256">
        <f ca="1">RAND()*J256*2</f>
        <v>69196.864564167598</v>
      </c>
      <c r="R256">
        <f ca="1">RAND()*J256*1.5</f>
        <v>11493.651337184012</v>
      </c>
      <c r="S256">
        <f ca="1">J256+R256+O256</f>
        <v>65680.641793000119</v>
      </c>
      <c r="T256">
        <f ca="1">N256+P256+Q256</f>
        <v>233117.95407638061</v>
      </c>
      <c r="U256">
        <f ca="1">S256-T256</f>
        <v>-167437.31228338048</v>
      </c>
      <c r="AC256" s="6">
        <f ca="1">IF(Table1[[#This Row],[gender]]="men",1,0)</f>
        <v>0</v>
      </c>
      <c r="AD256">
        <f ca="1">IF(Table1[[#This Row],[gender]]="women",1,0)</f>
        <v>1</v>
      </c>
      <c r="AH256" s="5"/>
      <c r="AJ256" s="6">
        <f ca="1">IF(Table1[[#This Row],[Column1]]="Health",1,0)</f>
        <v>0</v>
      </c>
      <c r="AK256">
        <f ca="1">IF(Table1[[#This Row],[Column1]]="Construction",1,0)</f>
        <v>0</v>
      </c>
      <c r="AL256">
        <f ca="1">IF(Table1[[#This Row],[Column1]]="Technology",1,0)</f>
        <v>0</v>
      </c>
      <c r="AM256">
        <f ca="1">IF(Table1[[#This Row],[Column1]]="Education",1,0)</f>
        <v>0</v>
      </c>
      <c r="AN256">
        <f ca="1">IF(Table1[[#This Row],[Column1]]="Agriculture",1,0)</f>
        <v>0</v>
      </c>
      <c r="AO256">
        <f ca="1">IF(Table1[[#This Row],[Column1]]="Social Service", 1, 0)</f>
        <v>1</v>
      </c>
      <c r="AT256" s="5"/>
      <c r="AV256" s="17">
        <f t="shared" ca="1" si="9"/>
        <v>39864.431986471478</v>
      </c>
      <c r="AW256" s="5"/>
      <c r="AX256" s="6">
        <f ca="1">IF(Table1[[#This Row],[Value of Debts]]&gt;$AY$4,1,0)</f>
        <v>1</v>
      </c>
      <c r="AY256" s="20"/>
      <c r="AZ256" s="20"/>
      <c r="BA256" s="5"/>
      <c r="BB256" s="25">
        <f ca="1">Table1[[#This Row],[Mortage Left]]/Table1[[#This Row],[Value of House]]</f>
        <v>0.87044122116229172</v>
      </c>
      <c r="BC256" s="20">
        <f t="shared" ca="1" si="11"/>
        <v>0</v>
      </c>
      <c r="BD256" s="20"/>
      <c r="BE256" s="20"/>
      <c r="BF256" s="20"/>
      <c r="BG256" s="6">
        <f ca="1">IF(Table1[[#This Row],[County]]="Cumbria",Table1[[#This Row],[income]],0)</f>
        <v>0</v>
      </c>
      <c r="BH256" s="20">
        <f ca="1">IF(Table1[[#This Row],[County]]="Cheshire",Table1[[#This Row],[income]],0)</f>
        <v>0</v>
      </c>
      <c r="BI256" s="20">
        <f ca="1">IF(Table1[[#This Row],[County]]="Bristol",Table1[[#This Row],[income]],0)</f>
        <v>0</v>
      </c>
      <c r="BJ256" s="20">
        <f ca="1">IF(Table1[[#This Row],[County]]="Surrey",Table1[[#This Row],[income]],0)</f>
        <v>0</v>
      </c>
      <c r="BK256" s="20">
        <f ca="1">IF(Table1[[#This Row],[County]]="Norfolk",Table1[[#This Row],[income]],0)</f>
        <v>0</v>
      </c>
      <c r="BL256" s="20">
        <f ca="1">IF(Table1[[#This Row],[County]]="Lincolnshire",Table1[[#This Row],[income]],0)</f>
        <v>0</v>
      </c>
      <c r="BM256" s="20">
        <f ca="1">IF(Table1[[#This Row],[County]]="Somerset",Table1[[#This Row],[income]],0)</f>
        <v>0</v>
      </c>
      <c r="BN256" s="20">
        <f ca="1">IF(Table1[[#This Row],[County]]="Cambridgeshire",Table1[[#This Row],[income]],0)</f>
        <v>0</v>
      </c>
      <c r="BO256" s="20">
        <f ca="1">IF(Table1[[#This Row],[County]]="South Yorkshire",Table1[[#This Row],[income]],0)</f>
        <v>0</v>
      </c>
      <c r="BP256" s="20">
        <f ca="1">IF(Table1[[#This Row],[County]]="Greater London",Table1[[#This Row],[income]],0)</f>
        <v>35329</v>
      </c>
      <c r="BQ256" s="20">
        <f ca="1">IF(Table1[[#This Row],[County]]="Hampshire",Table1[[#This Row],[income]],0)</f>
        <v>0</v>
      </c>
      <c r="BR256" s="20">
        <f ca="1">IF(Table1[[#This Row],[County]]="Gloucestershire",Table1[[#This Row],[income]],0)</f>
        <v>0</v>
      </c>
      <c r="BS256" s="20">
        <f ca="1">IF(Table1[[#This Row],[County]]="West Sussex",Table1[[#This Row],[income]],0)</f>
        <v>0</v>
      </c>
      <c r="BT256" s="20">
        <f ca="1">IF(Table1[[#This Row],[County]]="Devon",Table1[[#This Row],[income]],0)</f>
        <v>0</v>
      </c>
      <c r="BU256" s="20">
        <f ca="1">IF(Table1[[#This Row],[County]]="Berkshire",Table1[[#This Row],[income]],0)</f>
        <v>0</v>
      </c>
      <c r="BV256" s="20">
        <f ca="1">IF(Table1[[#This Row],[County]]="Staffordshire",Table1[[#This Row],[income]],0)</f>
        <v>0</v>
      </c>
      <c r="BW256" s="20">
        <f ca="1">IF(Table1[[#This Row],[County]]="Leicestershire",Table1[[#This Row],[income]],0)</f>
        <v>0</v>
      </c>
      <c r="BX256" s="20">
        <f ca="1">IF(Table1[[#This Row],[County]]="Cornwall",Table1[[#This Row],[income]],0)</f>
        <v>0</v>
      </c>
      <c r="BY256" s="20">
        <f ca="1">IF(Table1[[#This Row],[County]]="Isle of Wight",Table1[[#This Row],[income]],0)</f>
        <v>0</v>
      </c>
      <c r="BZ256" s="20">
        <f ca="1">IF(Table1[[#This Row],[County]]="Surrey",Table1[[#This Row],[income]],0)</f>
        <v>0</v>
      </c>
      <c r="CA256" s="20">
        <f ca="1">IF(Table1[[#This Row],[County]]="Derbyshire",Table1[[#This Row],[income]],0)</f>
        <v>0</v>
      </c>
      <c r="CB256" s="20">
        <f ca="1">IF(Table1[[#This Row],[County]]="City of London",Table1[[#This Row],[income]],0)</f>
        <v>0</v>
      </c>
      <c r="CC256" s="20">
        <f ca="1">IF(Table1[[#This Row],[County]]="Bedfordshire",Table1[[#This Row],[income]],0)</f>
        <v>0</v>
      </c>
      <c r="CD256" s="20">
        <f ca="1">IF(Table1[[#This Row],[County]]="County Durham",Table1[[#This Row],[income]],0)</f>
        <v>0</v>
      </c>
      <c r="CE256" s="20">
        <f ca="1">IF(Table1[[#This Row],[County]]="East Riding of Yorkshire",Table1[[#This Row],[income]],0)</f>
        <v>0</v>
      </c>
      <c r="CF256" s="20">
        <f ca="1">IF(Table1[[#This Row],[County]]="West Yorkshire",Table1[[#This Row],[income]],0)</f>
        <v>0</v>
      </c>
      <c r="CG256" s="20">
        <f ca="1">IF(Table1[[#This Row],[County]]="Essex",Table1[[#This Row],[income]],0)</f>
        <v>0</v>
      </c>
      <c r="CH256" s="20">
        <f ca="1">IF(Table1[[#This Row],[County]]="East Sussex",Table1[[#This Row],[income]],0)</f>
        <v>0</v>
      </c>
      <c r="CI256" s="20">
        <f ca="1">IF(Table1[[#This Row],[County]]="Greater Manchester",Table1[[#This Row],[income]],0)</f>
        <v>0</v>
      </c>
      <c r="CJ256" s="20">
        <f ca="1">IF(Table1[[#This Row],[County]]="Hertfordshire",Table1[[#This Row],[income]],0)</f>
        <v>0</v>
      </c>
      <c r="CK256" s="20">
        <f ca="1">IF(Table1[[#This Row],[County]]="Herefordshire",Table1[[#This Row],[income]],0)</f>
        <v>0</v>
      </c>
      <c r="CL256" s="20">
        <f ca="1">IF(Table1[[#This Row],[County]]="Lancashire",Table1[[#This Row],[income]],0)</f>
        <v>0</v>
      </c>
      <c r="CM256" s="20">
        <f ca="1">IF(Table1[[#This Row],[County]]="Merseyside",Table1[[#This Row],[income]],0)</f>
        <v>0</v>
      </c>
      <c r="CN256" s="20">
        <f ca="1">IF(Table1[[#This Row],[County]]="Northamptonshire",Table1[[#This Row],[income]],0)</f>
        <v>0</v>
      </c>
      <c r="CO256" s="20">
        <f ca="1">IF(Table1[[#This Row],[County]]="Northumberland",Table1[[#This Row],[income]],0)</f>
        <v>0</v>
      </c>
      <c r="CP256" s="20">
        <f ca="1">IF(Table1[[#This Row],[County]]="Wiltshire",Table1[[#This Row],[income]],0)</f>
        <v>0</v>
      </c>
      <c r="CQ256" s="20">
        <f ca="1">IF(Table1[[#This Row],[County]]="West Midlands",Table1[[#This Row],[income]],0)</f>
        <v>0</v>
      </c>
      <c r="CR256" s="20">
        <f ca="1">IF(Table1[[#This Row],[County]]="Warwickshire",Table1[[#This Row],[income]],0)</f>
        <v>0</v>
      </c>
      <c r="CS256" s="20">
        <f ca="1">IF(Table1[[#This Row],[County]]="Tyne and Wear",Table1[[#This Row],[income]],0)</f>
        <v>0</v>
      </c>
      <c r="CT256" s="20">
        <f ca="1">IF(Table1[[#This Row],[County]]="Worcestershire",Table1[[#This Row],[income]],0)</f>
        <v>0</v>
      </c>
      <c r="CU256" s="20">
        <f ca="1">IF(Table1[[#This Row],[County]]="Rutland",Table1[[#This Row],[income]],0)</f>
        <v>0</v>
      </c>
      <c r="CV256" s="20">
        <f ca="1">IF(Table1[[#This Row],[County]]="Shropshire",Table1[[#This Row],[income]],0)</f>
        <v>0</v>
      </c>
      <c r="CW256" s="20">
        <f ca="1">IF(Table1[[#This Row],[County]]="Dorset",Table1[[#This Row],[income]],0)</f>
        <v>0</v>
      </c>
      <c r="CX256" s="20">
        <f ca="1">IF(Table1[[#This Row],[County]]="Buckinghamshire",Table1[[#This Row],[income]],0)</f>
        <v>0</v>
      </c>
      <c r="CY256" s="20">
        <f ca="1">IF(Table1[[#This Row],[County]]="Suffolk",Table1[[#This Row],[income]],0)</f>
        <v>0</v>
      </c>
      <c r="CZ256" s="20">
        <f ca="1">IF(Table1[[#This Row],[County]]="North Yorkshire",Table1[[#This Row],[income]],0)</f>
        <v>0</v>
      </c>
      <c r="DA256" s="20">
        <f ca="1">IF(Table1[[#This Row],[County]]="Kent",Table1[[#This Row],[income]],0)</f>
        <v>0</v>
      </c>
      <c r="DB256" s="5">
        <f ca="1">IF(Table1[[#This Row],[County]]="Derbyshire",Table1[[#This Row],[income]],0)</f>
        <v>0</v>
      </c>
      <c r="DD256" s="6">
        <f ca="1">IF(Table1[[#This Row],[Column1]]="Health",Table1[[#This Row],[income]],0)</f>
        <v>0</v>
      </c>
      <c r="DE256" s="20">
        <f ca="1">IF(Table1[[#This Row],[Column1]]="Agriculture",Table1[[#This Row],[income]],0)</f>
        <v>0</v>
      </c>
      <c r="DF256" s="20">
        <f ca="1">IF(Table1[[#This Row],[Column1]]="Technology",Table1[[#This Row],[income]],0)</f>
        <v>0</v>
      </c>
      <c r="DG256" s="20">
        <f ca="1">IF(Table1[[#This Row],[Column1]]="Social Service",Table1[[#This Row],[income]],0)</f>
        <v>35329</v>
      </c>
      <c r="DH256" s="20">
        <f ca="1">IF(Table1[[#This Row],[Column1]]="Education",Table1[[#This Row],[income]],0)</f>
        <v>0</v>
      </c>
      <c r="DI256" s="5">
        <f ca="1">IF(Table1[[#This Row],[Column1]]="Construction",Table1[[#This Row],[income]],0)</f>
        <v>0</v>
      </c>
      <c r="DK256" s="6">
        <f ca="1">IF(Table1[[#This Row],[Value of Debts]]&gt;Table1[[#This Row],[income]],1,0)</f>
        <v>1</v>
      </c>
      <c r="DL256" s="20"/>
      <c r="DM256" s="20"/>
      <c r="DN256" s="5"/>
      <c r="DP256" s="6">
        <f ca="1">IF(Table1[[#This Row],[Net Worth (£)]]&gt;$DS$5,C256,0)</f>
        <v>0</v>
      </c>
      <c r="DQ256" s="20"/>
      <c r="DR256" s="20"/>
      <c r="DS256" s="5"/>
    </row>
    <row r="257" spans="1:123" x14ac:dyDescent="0.2">
      <c r="A257">
        <f t="shared" ca="1" si="10"/>
        <v>2</v>
      </c>
      <c r="B257" s="1" t="str">
        <f ca="1">IF(A257=1, "men", "women")</f>
        <v>women</v>
      </c>
      <c r="C257" s="1">
        <f ca="1">RANDBETWEEN(25,50)</f>
        <v>25</v>
      </c>
      <c r="D257">
        <f ca="1">RANDBETWEEN(1,6)</f>
        <v>3</v>
      </c>
      <c r="E257" t="str">
        <f ca="1">VLOOKUP(D257,$W$5:$X$10,2)</f>
        <v>Education</v>
      </c>
      <c r="F257">
        <f ca="1">RANDBETWEEN(1,5)</f>
        <v>2</v>
      </c>
      <c r="G257" t="str">
        <f ca="1">VLOOKUP(F257,$Y$5:$Z$9,2)</f>
        <v>College</v>
      </c>
      <c r="H257">
        <f ca="1">RANDBETWEEN(0,4)</f>
        <v>3</v>
      </c>
      <c r="I257">
        <f ca="1">RANDBETWEEN(1,3)</f>
        <v>1</v>
      </c>
      <c r="J257">
        <f ca="1">RANDBETWEEN(30000,100000)</f>
        <v>52953</v>
      </c>
      <c r="K257">
        <f ca="1">RANDBETWEEN(1,48)</f>
        <v>28</v>
      </c>
      <c r="L257" t="str">
        <f ca="1">VLOOKUP(K257,$AA$5:$AB$52,2)</f>
        <v>Lincolnshire</v>
      </c>
      <c r="M257">
        <f ca="1">J257*(RANDBETWEEN(2,5))</f>
        <v>264765</v>
      </c>
      <c r="N257">
        <f ca="1">RAND()*M257</f>
        <v>15630.045339723367</v>
      </c>
      <c r="O257">
        <f ca="1">I257*RAND()*J257</f>
        <v>39864.431986471478</v>
      </c>
      <c r="P257">
        <f ca="1">RANDBETWEEN(0,O257)</f>
        <v>37294</v>
      </c>
      <c r="Q257">
        <f ca="1">RAND()*J257*2</f>
        <v>55597.909573555233</v>
      </c>
      <c r="R257">
        <f ca="1">RAND()*J257*1.5</f>
        <v>73350.382322744452</v>
      </c>
      <c r="S257">
        <f ca="1">J257+R257+O257</f>
        <v>166167.81430921593</v>
      </c>
      <c r="T257">
        <f ca="1">N257+P257+Q257</f>
        <v>108521.95491327861</v>
      </c>
      <c r="U257">
        <f ca="1">S257-T257</f>
        <v>57645.859395937325</v>
      </c>
      <c r="AC257" s="6">
        <f ca="1">IF(Table1[[#This Row],[gender]]="men",1,0)</f>
        <v>0</v>
      </c>
      <c r="AD257">
        <f ca="1">IF(Table1[[#This Row],[gender]]="women",1,0)</f>
        <v>1</v>
      </c>
      <c r="AH257" s="5"/>
      <c r="AJ257" s="6">
        <f ca="1">IF(Table1[[#This Row],[Column1]]="Health",1,0)</f>
        <v>0</v>
      </c>
      <c r="AK257">
        <f ca="1">IF(Table1[[#This Row],[Column1]]="Construction",1,0)</f>
        <v>0</v>
      </c>
      <c r="AL257">
        <f ca="1">IF(Table1[[#This Row],[Column1]]="Technology",1,0)</f>
        <v>0</v>
      </c>
      <c r="AM257">
        <f ca="1">IF(Table1[[#This Row],[Column1]]="Education",1,0)</f>
        <v>1</v>
      </c>
      <c r="AN257">
        <f ca="1">IF(Table1[[#This Row],[Column1]]="Agriculture",1,0)</f>
        <v>0</v>
      </c>
      <c r="AO257">
        <f ca="1">IF(Table1[[#This Row],[Column1]]="Social Service", 1, 0)</f>
        <v>0</v>
      </c>
      <c r="AT257" s="5"/>
      <c r="AV257" s="17">
        <f t="shared" ca="1" si="9"/>
        <v>51316.090288530744</v>
      </c>
      <c r="AW257" s="5"/>
      <c r="AX257" s="6">
        <f ca="1">IF(Table1[[#This Row],[Value of Debts]]&gt;$AY$4,1,0)</f>
        <v>1</v>
      </c>
      <c r="AY257" s="20"/>
      <c r="AZ257" s="20"/>
      <c r="BA257" s="5"/>
      <c r="BB257" s="25">
        <f ca="1">Table1[[#This Row],[Mortage Left]]/Table1[[#This Row],[Value of House]]</f>
        <v>5.9033653767391336E-2</v>
      </c>
      <c r="BC257" s="20">
        <f t="shared" ca="1" si="11"/>
        <v>1</v>
      </c>
      <c r="BD257" s="20"/>
      <c r="BE257" s="20"/>
      <c r="BF257" s="20"/>
      <c r="BG257" s="6">
        <f ca="1">IF(Table1[[#This Row],[County]]="Cumbria",Table1[[#This Row],[income]],0)</f>
        <v>0</v>
      </c>
      <c r="BH257" s="20">
        <f ca="1">IF(Table1[[#This Row],[County]]="Cheshire",Table1[[#This Row],[income]],0)</f>
        <v>0</v>
      </c>
      <c r="BI257" s="20">
        <f ca="1">IF(Table1[[#This Row],[County]]="Bristol",Table1[[#This Row],[income]],0)</f>
        <v>0</v>
      </c>
      <c r="BJ257" s="20">
        <f ca="1">IF(Table1[[#This Row],[County]]="Surrey",Table1[[#This Row],[income]],0)</f>
        <v>0</v>
      </c>
      <c r="BK257" s="20">
        <f ca="1">IF(Table1[[#This Row],[County]]="Norfolk",Table1[[#This Row],[income]],0)</f>
        <v>0</v>
      </c>
      <c r="BL257" s="20">
        <f ca="1">IF(Table1[[#This Row],[County]]="Lincolnshire",Table1[[#This Row],[income]],0)</f>
        <v>52953</v>
      </c>
      <c r="BM257" s="20">
        <f ca="1">IF(Table1[[#This Row],[County]]="Somerset",Table1[[#This Row],[income]],0)</f>
        <v>0</v>
      </c>
      <c r="BN257" s="20">
        <f ca="1">IF(Table1[[#This Row],[County]]="Cambridgeshire",Table1[[#This Row],[income]],0)</f>
        <v>0</v>
      </c>
      <c r="BO257" s="20">
        <f ca="1">IF(Table1[[#This Row],[County]]="South Yorkshire",Table1[[#This Row],[income]],0)</f>
        <v>0</v>
      </c>
      <c r="BP257" s="20">
        <f ca="1">IF(Table1[[#This Row],[County]]="Greater London",Table1[[#This Row],[income]],0)</f>
        <v>0</v>
      </c>
      <c r="BQ257" s="20">
        <f ca="1">IF(Table1[[#This Row],[County]]="Hampshire",Table1[[#This Row],[income]],0)</f>
        <v>0</v>
      </c>
      <c r="BR257" s="20">
        <f ca="1">IF(Table1[[#This Row],[County]]="Gloucestershire",Table1[[#This Row],[income]],0)</f>
        <v>0</v>
      </c>
      <c r="BS257" s="20">
        <f ca="1">IF(Table1[[#This Row],[County]]="West Sussex",Table1[[#This Row],[income]],0)</f>
        <v>0</v>
      </c>
      <c r="BT257" s="20">
        <f ca="1">IF(Table1[[#This Row],[County]]="Devon",Table1[[#This Row],[income]],0)</f>
        <v>0</v>
      </c>
      <c r="BU257" s="20">
        <f ca="1">IF(Table1[[#This Row],[County]]="Berkshire",Table1[[#This Row],[income]],0)</f>
        <v>0</v>
      </c>
      <c r="BV257" s="20">
        <f ca="1">IF(Table1[[#This Row],[County]]="Staffordshire",Table1[[#This Row],[income]],0)</f>
        <v>0</v>
      </c>
      <c r="BW257" s="20">
        <f ca="1">IF(Table1[[#This Row],[County]]="Leicestershire",Table1[[#This Row],[income]],0)</f>
        <v>0</v>
      </c>
      <c r="BX257" s="20">
        <f ca="1">IF(Table1[[#This Row],[County]]="Cornwall",Table1[[#This Row],[income]],0)</f>
        <v>0</v>
      </c>
      <c r="BY257" s="20">
        <f ca="1">IF(Table1[[#This Row],[County]]="Isle of Wight",Table1[[#This Row],[income]],0)</f>
        <v>0</v>
      </c>
      <c r="BZ257" s="20">
        <f ca="1">IF(Table1[[#This Row],[County]]="Surrey",Table1[[#This Row],[income]],0)</f>
        <v>0</v>
      </c>
      <c r="CA257" s="20">
        <f ca="1">IF(Table1[[#This Row],[County]]="Derbyshire",Table1[[#This Row],[income]],0)</f>
        <v>0</v>
      </c>
      <c r="CB257" s="20">
        <f ca="1">IF(Table1[[#This Row],[County]]="City of London",Table1[[#This Row],[income]],0)</f>
        <v>0</v>
      </c>
      <c r="CC257" s="20">
        <f ca="1">IF(Table1[[#This Row],[County]]="Bedfordshire",Table1[[#This Row],[income]],0)</f>
        <v>0</v>
      </c>
      <c r="CD257" s="20">
        <f ca="1">IF(Table1[[#This Row],[County]]="County Durham",Table1[[#This Row],[income]],0)</f>
        <v>0</v>
      </c>
      <c r="CE257" s="20">
        <f ca="1">IF(Table1[[#This Row],[County]]="East Riding of Yorkshire",Table1[[#This Row],[income]],0)</f>
        <v>0</v>
      </c>
      <c r="CF257" s="20">
        <f ca="1">IF(Table1[[#This Row],[County]]="West Yorkshire",Table1[[#This Row],[income]],0)</f>
        <v>0</v>
      </c>
      <c r="CG257" s="20">
        <f ca="1">IF(Table1[[#This Row],[County]]="Essex",Table1[[#This Row],[income]],0)</f>
        <v>0</v>
      </c>
      <c r="CH257" s="20">
        <f ca="1">IF(Table1[[#This Row],[County]]="East Sussex",Table1[[#This Row],[income]],0)</f>
        <v>0</v>
      </c>
      <c r="CI257" s="20">
        <f ca="1">IF(Table1[[#This Row],[County]]="Greater Manchester",Table1[[#This Row],[income]],0)</f>
        <v>0</v>
      </c>
      <c r="CJ257" s="20">
        <f ca="1">IF(Table1[[#This Row],[County]]="Hertfordshire",Table1[[#This Row],[income]],0)</f>
        <v>0</v>
      </c>
      <c r="CK257" s="20">
        <f ca="1">IF(Table1[[#This Row],[County]]="Herefordshire",Table1[[#This Row],[income]],0)</f>
        <v>0</v>
      </c>
      <c r="CL257" s="20">
        <f ca="1">IF(Table1[[#This Row],[County]]="Lancashire",Table1[[#This Row],[income]],0)</f>
        <v>0</v>
      </c>
      <c r="CM257" s="20">
        <f ca="1">IF(Table1[[#This Row],[County]]="Merseyside",Table1[[#This Row],[income]],0)</f>
        <v>0</v>
      </c>
      <c r="CN257" s="20">
        <f ca="1">IF(Table1[[#This Row],[County]]="Northamptonshire",Table1[[#This Row],[income]],0)</f>
        <v>0</v>
      </c>
      <c r="CO257" s="20">
        <f ca="1">IF(Table1[[#This Row],[County]]="Northumberland",Table1[[#This Row],[income]],0)</f>
        <v>0</v>
      </c>
      <c r="CP257" s="20">
        <f ca="1">IF(Table1[[#This Row],[County]]="Wiltshire",Table1[[#This Row],[income]],0)</f>
        <v>0</v>
      </c>
      <c r="CQ257" s="20">
        <f ca="1">IF(Table1[[#This Row],[County]]="West Midlands",Table1[[#This Row],[income]],0)</f>
        <v>0</v>
      </c>
      <c r="CR257" s="20">
        <f ca="1">IF(Table1[[#This Row],[County]]="Warwickshire",Table1[[#This Row],[income]],0)</f>
        <v>0</v>
      </c>
      <c r="CS257" s="20">
        <f ca="1">IF(Table1[[#This Row],[County]]="Tyne and Wear",Table1[[#This Row],[income]],0)</f>
        <v>0</v>
      </c>
      <c r="CT257" s="20">
        <f ca="1">IF(Table1[[#This Row],[County]]="Worcestershire",Table1[[#This Row],[income]],0)</f>
        <v>0</v>
      </c>
      <c r="CU257" s="20">
        <f ca="1">IF(Table1[[#This Row],[County]]="Rutland",Table1[[#This Row],[income]],0)</f>
        <v>0</v>
      </c>
      <c r="CV257" s="20">
        <f ca="1">IF(Table1[[#This Row],[County]]="Shropshire",Table1[[#This Row],[income]],0)</f>
        <v>0</v>
      </c>
      <c r="CW257" s="20">
        <f ca="1">IF(Table1[[#This Row],[County]]="Dorset",Table1[[#This Row],[income]],0)</f>
        <v>0</v>
      </c>
      <c r="CX257" s="20">
        <f ca="1">IF(Table1[[#This Row],[County]]="Buckinghamshire",Table1[[#This Row],[income]],0)</f>
        <v>0</v>
      </c>
      <c r="CY257" s="20">
        <f ca="1">IF(Table1[[#This Row],[County]]="Suffolk",Table1[[#This Row],[income]],0)</f>
        <v>0</v>
      </c>
      <c r="CZ257" s="20">
        <f ca="1">IF(Table1[[#This Row],[County]]="North Yorkshire",Table1[[#This Row],[income]],0)</f>
        <v>0</v>
      </c>
      <c r="DA257" s="20">
        <f ca="1">IF(Table1[[#This Row],[County]]="Kent",Table1[[#This Row],[income]],0)</f>
        <v>0</v>
      </c>
      <c r="DB257" s="5">
        <f ca="1">IF(Table1[[#This Row],[County]]="Derbyshire",Table1[[#This Row],[income]],0)</f>
        <v>0</v>
      </c>
      <c r="DD257" s="6">
        <f ca="1">IF(Table1[[#This Row],[Column1]]="Health",Table1[[#This Row],[income]],0)</f>
        <v>0</v>
      </c>
      <c r="DE257" s="20">
        <f ca="1">IF(Table1[[#This Row],[Column1]]="Agriculture",Table1[[#This Row],[income]],0)</f>
        <v>0</v>
      </c>
      <c r="DF257" s="20">
        <f ca="1">IF(Table1[[#This Row],[Column1]]="Technology",Table1[[#This Row],[income]],0)</f>
        <v>0</v>
      </c>
      <c r="DG257" s="20">
        <f ca="1">IF(Table1[[#This Row],[Column1]]="Social Service",Table1[[#This Row],[income]],0)</f>
        <v>0</v>
      </c>
      <c r="DH257" s="20">
        <f ca="1">IF(Table1[[#This Row],[Column1]]="Education",Table1[[#This Row],[income]],0)</f>
        <v>52953</v>
      </c>
      <c r="DI257" s="5">
        <f ca="1">IF(Table1[[#This Row],[Column1]]="Construction",Table1[[#This Row],[income]],0)</f>
        <v>0</v>
      </c>
      <c r="DK257" s="6">
        <f ca="1">IF(Table1[[#This Row],[Value of Debts]]&gt;Table1[[#This Row],[income]],1,0)</f>
        <v>1</v>
      </c>
      <c r="DL257" s="20"/>
      <c r="DM257" s="20"/>
      <c r="DN257" s="5"/>
      <c r="DP257" s="6">
        <f ca="1">IF(Table1[[#This Row],[Net Worth (£)]]&gt;$DS$5,C257,0)</f>
        <v>25</v>
      </c>
      <c r="DQ257" s="20"/>
      <c r="DR257" s="20"/>
      <c r="DS257" s="5"/>
    </row>
    <row r="258" spans="1:123" x14ac:dyDescent="0.2">
      <c r="A258">
        <f t="shared" ca="1" si="10"/>
        <v>2</v>
      </c>
      <c r="B258" s="1" t="str">
        <f ca="1">IF(A258=1, "men", "women")</f>
        <v>women</v>
      </c>
      <c r="C258" s="1">
        <f ca="1">RANDBETWEEN(25,50)</f>
        <v>49</v>
      </c>
      <c r="D258">
        <f ca="1">RANDBETWEEN(1,6)</f>
        <v>5</v>
      </c>
      <c r="E258" t="str">
        <f ca="1">VLOOKUP(D258,$W$5:$X$10,2)</f>
        <v>Social Service</v>
      </c>
      <c r="F258">
        <f ca="1">RANDBETWEEN(1,5)</f>
        <v>3</v>
      </c>
      <c r="G258" t="str">
        <f ca="1">VLOOKUP(F258,$Y$5:$Z$9,2)</f>
        <v>University</v>
      </c>
      <c r="H258">
        <f ca="1">RANDBETWEEN(0,4)</f>
        <v>1</v>
      </c>
      <c r="I258">
        <f ca="1">RANDBETWEEN(1,3)</f>
        <v>3</v>
      </c>
      <c r="J258">
        <f ca="1">RANDBETWEEN(30000,100000)</f>
        <v>51791</v>
      </c>
      <c r="K258">
        <f ca="1">RANDBETWEEN(1,48)</f>
        <v>46</v>
      </c>
      <c r="L258" t="str">
        <f ca="1">VLOOKUP(K258,$AA$5:$AB$52,2)</f>
        <v>West Yorkshire</v>
      </c>
      <c r="M258">
        <f ca="1">J258*(RANDBETWEEN(2,5))</f>
        <v>207164</v>
      </c>
      <c r="N258">
        <f ca="1">RAND()*M258</f>
        <v>105376.17822761509</v>
      </c>
      <c r="O258">
        <f ca="1">I258*RAND()*J258</f>
        <v>153948.27086559223</v>
      </c>
      <c r="P258">
        <f ca="1">RANDBETWEEN(0,O258)</f>
        <v>100411</v>
      </c>
      <c r="Q258">
        <f ca="1">RAND()*J258*2</f>
        <v>8896.3133717421078</v>
      </c>
      <c r="R258">
        <f ca="1">RAND()*J258*1.5</f>
        <v>77496.529490991932</v>
      </c>
      <c r="S258">
        <f ca="1">J258+R258+O258</f>
        <v>283235.80035658414</v>
      </c>
      <c r="T258">
        <f ca="1">N258+P258+Q258</f>
        <v>214683.49159935719</v>
      </c>
      <c r="U258">
        <f ca="1">S258-T258</f>
        <v>68552.308757226943</v>
      </c>
      <c r="AC258" s="6">
        <f ca="1">IF(Table1[[#This Row],[gender]]="men",1,0)</f>
        <v>0</v>
      </c>
      <c r="AD258">
        <f ca="1">IF(Table1[[#This Row],[gender]]="women",1,0)</f>
        <v>1</v>
      </c>
      <c r="AH258" s="5"/>
      <c r="AJ258" s="6">
        <f ca="1">IF(Table1[[#This Row],[Column1]]="Health",1,0)</f>
        <v>0</v>
      </c>
      <c r="AK258">
        <f ca="1">IF(Table1[[#This Row],[Column1]]="Construction",1,0)</f>
        <v>0</v>
      </c>
      <c r="AL258">
        <f ca="1">IF(Table1[[#This Row],[Column1]]="Technology",1,0)</f>
        <v>0</v>
      </c>
      <c r="AM258">
        <f ca="1">IF(Table1[[#This Row],[Column1]]="Education",1,0)</f>
        <v>0</v>
      </c>
      <c r="AN258">
        <f ca="1">IF(Table1[[#This Row],[Column1]]="Agriculture",1,0)</f>
        <v>0</v>
      </c>
      <c r="AO258">
        <f ca="1">IF(Table1[[#This Row],[Column1]]="Social Service", 1, 0)</f>
        <v>1</v>
      </c>
      <c r="AT258" s="5"/>
      <c r="AV258" s="17">
        <f t="shared" ca="1" si="9"/>
        <v>2331.186006713006</v>
      </c>
      <c r="AW258" s="5"/>
      <c r="AX258" s="6">
        <f ca="1">IF(Table1[[#This Row],[Value of Debts]]&gt;$AY$4,1,0)</f>
        <v>1</v>
      </c>
      <c r="AY258" s="20"/>
      <c r="AZ258" s="20"/>
      <c r="BA258" s="5"/>
      <c r="BB258" s="25">
        <f ca="1">Table1[[#This Row],[Mortage Left]]/Table1[[#This Row],[Value of House]]</f>
        <v>0.5086606660791213</v>
      </c>
      <c r="BC258" s="20">
        <f t="shared" ca="1" si="11"/>
        <v>0</v>
      </c>
      <c r="BD258" s="20"/>
      <c r="BE258" s="20"/>
      <c r="BF258" s="20"/>
      <c r="BG258" s="6">
        <f ca="1">IF(Table1[[#This Row],[County]]="Cumbria",Table1[[#This Row],[income]],0)</f>
        <v>0</v>
      </c>
      <c r="BH258" s="20">
        <f ca="1">IF(Table1[[#This Row],[County]]="Cheshire",Table1[[#This Row],[income]],0)</f>
        <v>0</v>
      </c>
      <c r="BI258" s="20">
        <f ca="1">IF(Table1[[#This Row],[County]]="Bristol",Table1[[#This Row],[income]],0)</f>
        <v>0</v>
      </c>
      <c r="BJ258" s="20">
        <f ca="1">IF(Table1[[#This Row],[County]]="Surrey",Table1[[#This Row],[income]],0)</f>
        <v>0</v>
      </c>
      <c r="BK258" s="20">
        <f ca="1">IF(Table1[[#This Row],[County]]="Norfolk",Table1[[#This Row],[income]],0)</f>
        <v>0</v>
      </c>
      <c r="BL258" s="20">
        <f ca="1">IF(Table1[[#This Row],[County]]="Lincolnshire",Table1[[#This Row],[income]],0)</f>
        <v>0</v>
      </c>
      <c r="BM258" s="20">
        <f ca="1">IF(Table1[[#This Row],[County]]="Somerset",Table1[[#This Row],[income]],0)</f>
        <v>0</v>
      </c>
      <c r="BN258" s="20">
        <f ca="1">IF(Table1[[#This Row],[County]]="Cambridgeshire",Table1[[#This Row],[income]],0)</f>
        <v>0</v>
      </c>
      <c r="BO258" s="20">
        <f ca="1">IF(Table1[[#This Row],[County]]="South Yorkshire",Table1[[#This Row],[income]],0)</f>
        <v>0</v>
      </c>
      <c r="BP258" s="20">
        <f ca="1">IF(Table1[[#This Row],[County]]="Greater London",Table1[[#This Row],[income]],0)</f>
        <v>0</v>
      </c>
      <c r="BQ258" s="20">
        <f ca="1">IF(Table1[[#This Row],[County]]="Hampshire",Table1[[#This Row],[income]],0)</f>
        <v>0</v>
      </c>
      <c r="BR258" s="20">
        <f ca="1">IF(Table1[[#This Row],[County]]="Gloucestershire",Table1[[#This Row],[income]],0)</f>
        <v>0</v>
      </c>
      <c r="BS258" s="20">
        <f ca="1">IF(Table1[[#This Row],[County]]="West Sussex",Table1[[#This Row],[income]],0)</f>
        <v>0</v>
      </c>
      <c r="BT258" s="20">
        <f ca="1">IF(Table1[[#This Row],[County]]="Devon",Table1[[#This Row],[income]],0)</f>
        <v>0</v>
      </c>
      <c r="BU258" s="20">
        <f ca="1">IF(Table1[[#This Row],[County]]="Berkshire",Table1[[#This Row],[income]],0)</f>
        <v>0</v>
      </c>
      <c r="BV258" s="20">
        <f ca="1">IF(Table1[[#This Row],[County]]="Staffordshire",Table1[[#This Row],[income]],0)</f>
        <v>0</v>
      </c>
      <c r="BW258" s="20">
        <f ca="1">IF(Table1[[#This Row],[County]]="Leicestershire",Table1[[#This Row],[income]],0)</f>
        <v>0</v>
      </c>
      <c r="BX258" s="20">
        <f ca="1">IF(Table1[[#This Row],[County]]="Cornwall",Table1[[#This Row],[income]],0)</f>
        <v>0</v>
      </c>
      <c r="BY258" s="20">
        <f ca="1">IF(Table1[[#This Row],[County]]="Isle of Wight",Table1[[#This Row],[income]],0)</f>
        <v>0</v>
      </c>
      <c r="BZ258" s="20">
        <f ca="1">IF(Table1[[#This Row],[County]]="Surrey",Table1[[#This Row],[income]],0)</f>
        <v>0</v>
      </c>
      <c r="CA258" s="20">
        <f ca="1">IF(Table1[[#This Row],[County]]="Derbyshire",Table1[[#This Row],[income]],0)</f>
        <v>0</v>
      </c>
      <c r="CB258" s="20">
        <f ca="1">IF(Table1[[#This Row],[County]]="City of London",Table1[[#This Row],[income]],0)</f>
        <v>0</v>
      </c>
      <c r="CC258" s="20">
        <f ca="1">IF(Table1[[#This Row],[County]]="Bedfordshire",Table1[[#This Row],[income]],0)</f>
        <v>0</v>
      </c>
      <c r="CD258" s="20">
        <f ca="1">IF(Table1[[#This Row],[County]]="County Durham",Table1[[#This Row],[income]],0)</f>
        <v>0</v>
      </c>
      <c r="CE258" s="20">
        <f ca="1">IF(Table1[[#This Row],[County]]="East Riding of Yorkshire",Table1[[#This Row],[income]],0)</f>
        <v>0</v>
      </c>
      <c r="CF258" s="20">
        <f ca="1">IF(Table1[[#This Row],[County]]="West Yorkshire",Table1[[#This Row],[income]],0)</f>
        <v>51791</v>
      </c>
      <c r="CG258" s="20">
        <f ca="1">IF(Table1[[#This Row],[County]]="Essex",Table1[[#This Row],[income]],0)</f>
        <v>0</v>
      </c>
      <c r="CH258" s="20">
        <f ca="1">IF(Table1[[#This Row],[County]]="East Sussex",Table1[[#This Row],[income]],0)</f>
        <v>0</v>
      </c>
      <c r="CI258" s="20">
        <f ca="1">IF(Table1[[#This Row],[County]]="Greater Manchester",Table1[[#This Row],[income]],0)</f>
        <v>0</v>
      </c>
      <c r="CJ258" s="20">
        <f ca="1">IF(Table1[[#This Row],[County]]="Hertfordshire",Table1[[#This Row],[income]],0)</f>
        <v>0</v>
      </c>
      <c r="CK258" s="20">
        <f ca="1">IF(Table1[[#This Row],[County]]="Herefordshire",Table1[[#This Row],[income]],0)</f>
        <v>0</v>
      </c>
      <c r="CL258" s="20">
        <f ca="1">IF(Table1[[#This Row],[County]]="Lancashire",Table1[[#This Row],[income]],0)</f>
        <v>0</v>
      </c>
      <c r="CM258" s="20">
        <f ca="1">IF(Table1[[#This Row],[County]]="Merseyside",Table1[[#This Row],[income]],0)</f>
        <v>0</v>
      </c>
      <c r="CN258" s="20">
        <f ca="1">IF(Table1[[#This Row],[County]]="Northamptonshire",Table1[[#This Row],[income]],0)</f>
        <v>0</v>
      </c>
      <c r="CO258" s="20">
        <f ca="1">IF(Table1[[#This Row],[County]]="Northumberland",Table1[[#This Row],[income]],0)</f>
        <v>0</v>
      </c>
      <c r="CP258" s="20">
        <f ca="1">IF(Table1[[#This Row],[County]]="Wiltshire",Table1[[#This Row],[income]],0)</f>
        <v>0</v>
      </c>
      <c r="CQ258" s="20">
        <f ca="1">IF(Table1[[#This Row],[County]]="West Midlands",Table1[[#This Row],[income]],0)</f>
        <v>0</v>
      </c>
      <c r="CR258" s="20">
        <f ca="1">IF(Table1[[#This Row],[County]]="Warwickshire",Table1[[#This Row],[income]],0)</f>
        <v>0</v>
      </c>
      <c r="CS258" s="20">
        <f ca="1">IF(Table1[[#This Row],[County]]="Tyne and Wear",Table1[[#This Row],[income]],0)</f>
        <v>0</v>
      </c>
      <c r="CT258" s="20">
        <f ca="1">IF(Table1[[#This Row],[County]]="Worcestershire",Table1[[#This Row],[income]],0)</f>
        <v>0</v>
      </c>
      <c r="CU258" s="20">
        <f ca="1">IF(Table1[[#This Row],[County]]="Rutland",Table1[[#This Row],[income]],0)</f>
        <v>0</v>
      </c>
      <c r="CV258" s="20">
        <f ca="1">IF(Table1[[#This Row],[County]]="Shropshire",Table1[[#This Row],[income]],0)</f>
        <v>0</v>
      </c>
      <c r="CW258" s="20">
        <f ca="1">IF(Table1[[#This Row],[County]]="Dorset",Table1[[#This Row],[income]],0)</f>
        <v>0</v>
      </c>
      <c r="CX258" s="20">
        <f ca="1">IF(Table1[[#This Row],[County]]="Buckinghamshire",Table1[[#This Row],[income]],0)</f>
        <v>0</v>
      </c>
      <c r="CY258" s="20">
        <f ca="1">IF(Table1[[#This Row],[County]]="Suffolk",Table1[[#This Row],[income]],0)</f>
        <v>0</v>
      </c>
      <c r="CZ258" s="20">
        <f ca="1">IF(Table1[[#This Row],[County]]="North Yorkshire",Table1[[#This Row],[income]],0)</f>
        <v>0</v>
      </c>
      <c r="DA258" s="20">
        <f ca="1">IF(Table1[[#This Row],[County]]="Kent",Table1[[#This Row],[income]],0)</f>
        <v>0</v>
      </c>
      <c r="DB258" s="5">
        <f ca="1">IF(Table1[[#This Row],[County]]="Derbyshire",Table1[[#This Row],[income]],0)</f>
        <v>0</v>
      </c>
      <c r="DD258" s="6">
        <f ca="1">IF(Table1[[#This Row],[Column1]]="Health",Table1[[#This Row],[income]],0)</f>
        <v>0</v>
      </c>
      <c r="DE258" s="20">
        <f ca="1">IF(Table1[[#This Row],[Column1]]="Agriculture",Table1[[#This Row],[income]],0)</f>
        <v>0</v>
      </c>
      <c r="DF258" s="20">
        <f ca="1">IF(Table1[[#This Row],[Column1]]="Technology",Table1[[#This Row],[income]],0)</f>
        <v>0</v>
      </c>
      <c r="DG258" s="20">
        <f ca="1">IF(Table1[[#This Row],[Column1]]="Social Service",Table1[[#This Row],[income]],0)</f>
        <v>51791</v>
      </c>
      <c r="DH258" s="20">
        <f ca="1">IF(Table1[[#This Row],[Column1]]="Education",Table1[[#This Row],[income]],0)</f>
        <v>0</v>
      </c>
      <c r="DI258" s="5">
        <f ca="1">IF(Table1[[#This Row],[Column1]]="Construction",Table1[[#This Row],[income]],0)</f>
        <v>0</v>
      </c>
      <c r="DK258" s="6">
        <f ca="1">IF(Table1[[#This Row],[Value of Debts]]&gt;Table1[[#This Row],[income]],1,0)</f>
        <v>1</v>
      </c>
      <c r="DL258" s="20"/>
      <c r="DM258" s="20"/>
      <c r="DN258" s="5"/>
      <c r="DP258" s="6">
        <f ca="1">IF(Table1[[#This Row],[Net Worth (£)]]&gt;$DS$5,C258,0)</f>
        <v>49</v>
      </c>
      <c r="DQ258" s="20"/>
      <c r="DR258" s="20"/>
      <c r="DS258" s="5"/>
    </row>
    <row r="259" spans="1:123" x14ac:dyDescent="0.2">
      <c r="A259">
        <f t="shared" ca="1" si="10"/>
        <v>1</v>
      </c>
      <c r="B259" s="1" t="str">
        <f ca="1">IF(A259=1, "men", "women")</f>
        <v>men</v>
      </c>
      <c r="C259" s="1">
        <f ca="1">RANDBETWEEN(25,50)</f>
        <v>43</v>
      </c>
      <c r="D259">
        <f ca="1">RANDBETWEEN(1,6)</f>
        <v>2</v>
      </c>
      <c r="E259" t="str">
        <f ca="1">VLOOKUP(D259,$W$5:$X$10,2)</f>
        <v>Construction</v>
      </c>
      <c r="F259">
        <f ca="1">RANDBETWEEN(1,5)</f>
        <v>2</v>
      </c>
      <c r="G259" t="str">
        <f ca="1">VLOOKUP(F259,$Y$5:$Z$9,2)</f>
        <v>College</v>
      </c>
      <c r="H259">
        <f ca="1">RANDBETWEEN(0,4)</f>
        <v>2</v>
      </c>
      <c r="I259">
        <f ca="1">RANDBETWEEN(1,3)</f>
        <v>1</v>
      </c>
      <c r="J259">
        <f ca="1">RANDBETWEEN(30000,100000)</f>
        <v>56400</v>
      </c>
      <c r="K259">
        <f ca="1">RANDBETWEEN(1,48)</f>
        <v>16</v>
      </c>
      <c r="L259" t="str">
        <f ca="1">VLOOKUP(K259,$AA$5:$AB$52,2)</f>
        <v>Essex</v>
      </c>
      <c r="M259">
        <f ca="1">J259*(RANDBETWEEN(2,5))</f>
        <v>282000</v>
      </c>
      <c r="N259">
        <f ca="1">RAND()*M259</f>
        <v>77447.172301080791</v>
      </c>
      <c r="O259">
        <f ca="1">I259*RAND()*J259</f>
        <v>2331.186006713006</v>
      </c>
      <c r="P259">
        <f ca="1">RANDBETWEEN(0,O259)</f>
        <v>1602</v>
      </c>
      <c r="Q259">
        <f ca="1">RAND()*J259*2</f>
        <v>2034.6729437846739</v>
      </c>
      <c r="R259">
        <f ca="1">RAND()*J259*1.5</f>
        <v>19285.845006496587</v>
      </c>
      <c r="S259">
        <f ca="1">J259+R259+O259</f>
        <v>78017.031013209591</v>
      </c>
      <c r="T259">
        <f ca="1">N259+P259+Q259</f>
        <v>81083.845244865472</v>
      </c>
      <c r="U259">
        <f ca="1">S259-T259</f>
        <v>-3066.8142316558806</v>
      </c>
      <c r="AC259" s="6">
        <f ca="1">IF(Table1[[#This Row],[gender]]="men",1,0)</f>
        <v>1</v>
      </c>
      <c r="AD259">
        <f ca="1">IF(Table1[[#This Row],[gender]]="women",1,0)</f>
        <v>0</v>
      </c>
      <c r="AH259" s="5"/>
      <c r="AJ259" s="6">
        <f ca="1">IF(Table1[[#This Row],[Column1]]="Health",1,0)</f>
        <v>0</v>
      </c>
      <c r="AK259">
        <f ca="1">IF(Table1[[#This Row],[Column1]]="Construction",1,0)</f>
        <v>1</v>
      </c>
      <c r="AL259">
        <f ca="1">IF(Table1[[#This Row],[Column1]]="Technology",1,0)</f>
        <v>0</v>
      </c>
      <c r="AM259">
        <f ca="1">IF(Table1[[#This Row],[Column1]]="Education",1,0)</f>
        <v>0</v>
      </c>
      <c r="AN259">
        <f ca="1">IF(Table1[[#This Row],[Column1]]="Agriculture",1,0)</f>
        <v>0</v>
      </c>
      <c r="AO259">
        <f ca="1">IF(Table1[[#This Row],[Column1]]="Social Service", 1, 0)</f>
        <v>0</v>
      </c>
      <c r="AT259" s="5"/>
      <c r="AV259" s="17">
        <f t="shared" ca="1" si="9"/>
        <v>3714.6363288652756</v>
      </c>
      <c r="AW259" s="5"/>
      <c r="AX259" s="6">
        <f ca="1">IF(Table1[[#This Row],[Value of Debts]]&gt;$AY$4,1,0)</f>
        <v>0</v>
      </c>
      <c r="AY259" s="20"/>
      <c r="AZ259" s="20"/>
      <c r="BA259" s="5"/>
      <c r="BB259" s="25">
        <f ca="1">Table1[[#This Row],[Mortage Left]]/Table1[[#This Row],[Value of House]]</f>
        <v>0.27463536276979006</v>
      </c>
      <c r="BC259" s="20">
        <f t="shared" ca="1" si="11"/>
        <v>1</v>
      </c>
      <c r="BD259" s="20"/>
      <c r="BE259" s="20"/>
      <c r="BF259" s="20"/>
      <c r="BG259" s="6">
        <f ca="1">IF(Table1[[#This Row],[County]]="Cumbria",Table1[[#This Row],[income]],0)</f>
        <v>0</v>
      </c>
      <c r="BH259" s="20">
        <f ca="1">IF(Table1[[#This Row],[County]]="Cheshire",Table1[[#This Row],[income]],0)</f>
        <v>0</v>
      </c>
      <c r="BI259" s="20">
        <f ca="1">IF(Table1[[#This Row],[County]]="Bristol",Table1[[#This Row],[income]],0)</f>
        <v>0</v>
      </c>
      <c r="BJ259" s="20">
        <f ca="1">IF(Table1[[#This Row],[County]]="Surrey",Table1[[#This Row],[income]],0)</f>
        <v>0</v>
      </c>
      <c r="BK259" s="20">
        <f ca="1">IF(Table1[[#This Row],[County]]="Norfolk",Table1[[#This Row],[income]],0)</f>
        <v>0</v>
      </c>
      <c r="BL259" s="20">
        <f ca="1">IF(Table1[[#This Row],[County]]="Lincolnshire",Table1[[#This Row],[income]],0)</f>
        <v>0</v>
      </c>
      <c r="BM259" s="20">
        <f ca="1">IF(Table1[[#This Row],[County]]="Somerset",Table1[[#This Row],[income]],0)</f>
        <v>0</v>
      </c>
      <c r="BN259" s="20">
        <f ca="1">IF(Table1[[#This Row],[County]]="Cambridgeshire",Table1[[#This Row],[income]],0)</f>
        <v>0</v>
      </c>
      <c r="BO259" s="20">
        <f ca="1">IF(Table1[[#This Row],[County]]="South Yorkshire",Table1[[#This Row],[income]],0)</f>
        <v>0</v>
      </c>
      <c r="BP259" s="20">
        <f ca="1">IF(Table1[[#This Row],[County]]="Greater London",Table1[[#This Row],[income]],0)</f>
        <v>0</v>
      </c>
      <c r="BQ259" s="20">
        <f ca="1">IF(Table1[[#This Row],[County]]="Hampshire",Table1[[#This Row],[income]],0)</f>
        <v>0</v>
      </c>
      <c r="BR259" s="20">
        <f ca="1">IF(Table1[[#This Row],[County]]="Gloucestershire",Table1[[#This Row],[income]],0)</f>
        <v>0</v>
      </c>
      <c r="BS259" s="20">
        <f ca="1">IF(Table1[[#This Row],[County]]="West Sussex",Table1[[#This Row],[income]],0)</f>
        <v>0</v>
      </c>
      <c r="BT259" s="20">
        <f ca="1">IF(Table1[[#This Row],[County]]="Devon",Table1[[#This Row],[income]],0)</f>
        <v>0</v>
      </c>
      <c r="BU259" s="20">
        <f ca="1">IF(Table1[[#This Row],[County]]="Berkshire",Table1[[#This Row],[income]],0)</f>
        <v>0</v>
      </c>
      <c r="BV259" s="20">
        <f ca="1">IF(Table1[[#This Row],[County]]="Staffordshire",Table1[[#This Row],[income]],0)</f>
        <v>0</v>
      </c>
      <c r="BW259" s="20">
        <f ca="1">IF(Table1[[#This Row],[County]]="Leicestershire",Table1[[#This Row],[income]],0)</f>
        <v>0</v>
      </c>
      <c r="BX259" s="20">
        <f ca="1">IF(Table1[[#This Row],[County]]="Cornwall",Table1[[#This Row],[income]],0)</f>
        <v>0</v>
      </c>
      <c r="BY259" s="20">
        <f ca="1">IF(Table1[[#This Row],[County]]="Isle of Wight",Table1[[#This Row],[income]],0)</f>
        <v>0</v>
      </c>
      <c r="BZ259" s="20">
        <f ca="1">IF(Table1[[#This Row],[County]]="Surrey",Table1[[#This Row],[income]],0)</f>
        <v>0</v>
      </c>
      <c r="CA259" s="20">
        <f ca="1">IF(Table1[[#This Row],[County]]="Derbyshire",Table1[[#This Row],[income]],0)</f>
        <v>0</v>
      </c>
      <c r="CB259" s="20">
        <f ca="1">IF(Table1[[#This Row],[County]]="City of London",Table1[[#This Row],[income]],0)</f>
        <v>0</v>
      </c>
      <c r="CC259" s="20">
        <f ca="1">IF(Table1[[#This Row],[County]]="Bedfordshire",Table1[[#This Row],[income]],0)</f>
        <v>0</v>
      </c>
      <c r="CD259" s="20">
        <f ca="1">IF(Table1[[#This Row],[County]]="County Durham",Table1[[#This Row],[income]],0)</f>
        <v>0</v>
      </c>
      <c r="CE259" s="20">
        <f ca="1">IF(Table1[[#This Row],[County]]="East Riding of Yorkshire",Table1[[#This Row],[income]],0)</f>
        <v>0</v>
      </c>
      <c r="CF259" s="20">
        <f ca="1">IF(Table1[[#This Row],[County]]="West Yorkshire",Table1[[#This Row],[income]],0)</f>
        <v>0</v>
      </c>
      <c r="CG259" s="20">
        <f ca="1">IF(Table1[[#This Row],[County]]="Essex",Table1[[#This Row],[income]],0)</f>
        <v>56400</v>
      </c>
      <c r="CH259" s="20">
        <f ca="1">IF(Table1[[#This Row],[County]]="East Sussex",Table1[[#This Row],[income]],0)</f>
        <v>0</v>
      </c>
      <c r="CI259" s="20">
        <f ca="1">IF(Table1[[#This Row],[County]]="Greater Manchester",Table1[[#This Row],[income]],0)</f>
        <v>0</v>
      </c>
      <c r="CJ259" s="20">
        <f ca="1">IF(Table1[[#This Row],[County]]="Hertfordshire",Table1[[#This Row],[income]],0)</f>
        <v>0</v>
      </c>
      <c r="CK259" s="20">
        <f ca="1">IF(Table1[[#This Row],[County]]="Herefordshire",Table1[[#This Row],[income]],0)</f>
        <v>0</v>
      </c>
      <c r="CL259" s="20">
        <f ca="1">IF(Table1[[#This Row],[County]]="Lancashire",Table1[[#This Row],[income]],0)</f>
        <v>0</v>
      </c>
      <c r="CM259" s="20">
        <f ca="1">IF(Table1[[#This Row],[County]]="Merseyside",Table1[[#This Row],[income]],0)</f>
        <v>0</v>
      </c>
      <c r="CN259" s="20">
        <f ca="1">IF(Table1[[#This Row],[County]]="Northamptonshire",Table1[[#This Row],[income]],0)</f>
        <v>0</v>
      </c>
      <c r="CO259" s="20">
        <f ca="1">IF(Table1[[#This Row],[County]]="Northumberland",Table1[[#This Row],[income]],0)</f>
        <v>0</v>
      </c>
      <c r="CP259" s="20">
        <f ca="1">IF(Table1[[#This Row],[County]]="Wiltshire",Table1[[#This Row],[income]],0)</f>
        <v>0</v>
      </c>
      <c r="CQ259" s="20">
        <f ca="1">IF(Table1[[#This Row],[County]]="West Midlands",Table1[[#This Row],[income]],0)</f>
        <v>0</v>
      </c>
      <c r="CR259" s="20">
        <f ca="1">IF(Table1[[#This Row],[County]]="Warwickshire",Table1[[#This Row],[income]],0)</f>
        <v>0</v>
      </c>
      <c r="CS259" s="20">
        <f ca="1">IF(Table1[[#This Row],[County]]="Tyne and Wear",Table1[[#This Row],[income]],0)</f>
        <v>0</v>
      </c>
      <c r="CT259" s="20">
        <f ca="1">IF(Table1[[#This Row],[County]]="Worcestershire",Table1[[#This Row],[income]],0)</f>
        <v>0</v>
      </c>
      <c r="CU259" s="20">
        <f ca="1">IF(Table1[[#This Row],[County]]="Rutland",Table1[[#This Row],[income]],0)</f>
        <v>0</v>
      </c>
      <c r="CV259" s="20">
        <f ca="1">IF(Table1[[#This Row],[County]]="Shropshire",Table1[[#This Row],[income]],0)</f>
        <v>0</v>
      </c>
      <c r="CW259" s="20">
        <f ca="1">IF(Table1[[#This Row],[County]]="Dorset",Table1[[#This Row],[income]],0)</f>
        <v>0</v>
      </c>
      <c r="CX259" s="20">
        <f ca="1">IF(Table1[[#This Row],[County]]="Buckinghamshire",Table1[[#This Row],[income]],0)</f>
        <v>0</v>
      </c>
      <c r="CY259" s="20">
        <f ca="1">IF(Table1[[#This Row],[County]]="Suffolk",Table1[[#This Row],[income]],0)</f>
        <v>0</v>
      </c>
      <c r="CZ259" s="20">
        <f ca="1">IF(Table1[[#This Row],[County]]="North Yorkshire",Table1[[#This Row],[income]],0)</f>
        <v>0</v>
      </c>
      <c r="DA259" s="20">
        <f ca="1">IF(Table1[[#This Row],[County]]="Kent",Table1[[#This Row],[income]],0)</f>
        <v>0</v>
      </c>
      <c r="DB259" s="5">
        <f ca="1">IF(Table1[[#This Row],[County]]="Derbyshire",Table1[[#This Row],[income]],0)</f>
        <v>0</v>
      </c>
      <c r="DD259" s="6">
        <f ca="1">IF(Table1[[#This Row],[Column1]]="Health",Table1[[#This Row],[income]],0)</f>
        <v>0</v>
      </c>
      <c r="DE259" s="20">
        <f ca="1">IF(Table1[[#This Row],[Column1]]="Agriculture",Table1[[#This Row],[income]],0)</f>
        <v>0</v>
      </c>
      <c r="DF259" s="20">
        <f ca="1">IF(Table1[[#This Row],[Column1]]="Technology",Table1[[#This Row],[income]],0)</f>
        <v>0</v>
      </c>
      <c r="DG259" s="20">
        <f ca="1">IF(Table1[[#This Row],[Column1]]="Social Service",Table1[[#This Row],[income]],0)</f>
        <v>0</v>
      </c>
      <c r="DH259" s="20">
        <f ca="1">IF(Table1[[#This Row],[Column1]]="Education",Table1[[#This Row],[income]],0)</f>
        <v>0</v>
      </c>
      <c r="DI259" s="5">
        <f ca="1">IF(Table1[[#This Row],[Column1]]="Construction",Table1[[#This Row],[income]],0)</f>
        <v>56400</v>
      </c>
      <c r="DK259" s="6">
        <f ca="1">IF(Table1[[#This Row],[Value of Debts]]&gt;Table1[[#This Row],[income]],1,0)</f>
        <v>1</v>
      </c>
      <c r="DL259" s="20"/>
      <c r="DM259" s="20"/>
      <c r="DN259" s="5"/>
      <c r="DP259" s="6">
        <f ca="1">IF(Table1[[#This Row],[Net Worth (£)]]&gt;$DS$5,C259,0)</f>
        <v>0</v>
      </c>
      <c r="DQ259" s="20"/>
      <c r="DR259" s="20"/>
      <c r="DS259" s="5"/>
    </row>
    <row r="260" spans="1:123" x14ac:dyDescent="0.2">
      <c r="A260">
        <f t="shared" ca="1" si="10"/>
        <v>1</v>
      </c>
      <c r="B260" s="1" t="str">
        <f ca="1">IF(A260=1, "men", "women")</f>
        <v>men</v>
      </c>
      <c r="C260" s="1">
        <f ca="1">RANDBETWEEN(25,50)</f>
        <v>30</v>
      </c>
      <c r="D260">
        <f ca="1">RANDBETWEEN(1,6)</f>
        <v>1</v>
      </c>
      <c r="E260" t="str">
        <f ca="1">VLOOKUP(D260,$W$5:$X$10,2)</f>
        <v>Health</v>
      </c>
      <c r="F260">
        <f ca="1">RANDBETWEEN(1,5)</f>
        <v>1</v>
      </c>
      <c r="G260" t="str">
        <f ca="1">VLOOKUP(F260,$Y$5:$Z$9,2)</f>
        <v>High School</v>
      </c>
      <c r="H260">
        <f ca="1">RANDBETWEEN(0,4)</f>
        <v>1</v>
      </c>
      <c r="I260">
        <f ca="1">RANDBETWEEN(1,3)</f>
        <v>3</v>
      </c>
      <c r="J260">
        <f ca="1">RANDBETWEEN(30000,100000)</f>
        <v>50448</v>
      </c>
      <c r="K260">
        <f ca="1">RANDBETWEEN(1,48)</f>
        <v>18</v>
      </c>
      <c r="L260" t="str">
        <f ca="1">VLOOKUP(K260,$AA$5:$AB$52,2)</f>
        <v>Greater London</v>
      </c>
      <c r="M260">
        <f ca="1">J260*(RANDBETWEEN(2,5))</f>
        <v>100896</v>
      </c>
      <c r="N260">
        <f ca="1">RAND()*M260</f>
        <v>37568.511627052016</v>
      </c>
      <c r="O260">
        <f ca="1">I260*RAND()*J260</f>
        <v>11143.908986595827</v>
      </c>
      <c r="P260">
        <f ca="1">RANDBETWEEN(0,O260)</f>
        <v>4553</v>
      </c>
      <c r="Q260">
        <f ca="1">RAND()*J260*2</f>
        <v>91129.006337521292</v>
      </c>
      <c r="R260">
        <f ca="1">RAND()*J260*1.5</f>
        <v>41298.648924225461</v>
      </c>
      <c r="S260">
        <f ca="1">J260+R260+O260</f>
        <v>102890.55791082128</v>
      </c>
      <c r="T260">
        <f ca="1">N260+P260+Q260</f>
        <v>133250.51796457332</v>
      </c>
      <c r="U260">
        <f ca="1">S260-T260</f>
        <v>-30359.960053752031</v>
      </c>
      <c r="AC260" s="6">
        <f ca="1">IF(Table1[[#This Row],[gender]]="men",1,0)</f>
        <v>1</v>
      </c>
      <c r="AD260">
        <f ca="1">IF(Table1[[#This Row],[gender]]="women",1,0)</f>
        <v>0</v>
      </c>
      <c r="AH260" s="5"/>
      <c r="AJ260" s="6">
        <f ca="1">IF(Table1[[#This Row],[Column1]]="Health",1,0)</f>
        <v>1</v>
      </c>
      <c r="AK260">
        <f ca="1">IF(Table1[[#This Row],[Column1]]="Construction",1,0)</f>
        <v>0</v>
      </c>
      <c r="AL260">
        <f ca="1">IF(Table1[[#This Row],[Column1]]="Technology",1,0)</f>
        <v>0</v>
      </c>
      <c r="AM260">
        <f ca="1">IF(Table1[[#This Row],[Column1]]="Education",1,0)</f>
        <v>0</v>
      </c>
      <c r="AN260">
        <f ca="1">IF(Table1[[#This Row],[Column1]]="Agriculture",1,0)</f>
        <v>0</v>
      </c>
      <c r="AO260">
        <f ca="1">IF(Table1[[#This Row],[Column1]]="Social Service", 1, 0)</f>
        <v>0</v>
      </c>
      <c r="AT260" s="5"/>
      <c r="AV260" s="17">
        <f t="shared" ca="1" si="9"/>
        <v>25532.003973021634</v>
      </c>
      <c r="AW260" s="5"/>
      <c r="AX260" s="6">
        <f ca="1">IF(Table1[[#This Row],[Value of Debts]]&gt;$AY$4,1,0)</f>
        <v>1</v>
      </c>
      <c r="AY260" s="20"/>
      <c r="AZ260" s="20"/>
      <c r="BA260" s="5"/>
      <c r="BB260" s="25">
        <f ca="1">Table1[[#This Row],[Mortage Left]]/Table1[[#This Row],[Value of House]]</f>
        <v>0.37234887039180953</v>
      </c>
      <c r="BC260" s="20">
        <f t="shared" ca="1" si="11"/>
        <v>0</v>
      </c>
      <c r="BD260" s="20"/>
      <c r="BE260" s="20"/>
      <c r="BF260" s="20"/>
      <c r="BG260" s="6">
        <f ca="1">IF(Table1[[#This Row],[County]]="Cumbria",Table1[[#This Row],[income]],0)</f>
        <v>0</v>
      </c>
      <c r="BH260" s="20">
        <f ca="1">IF(Table1[[#This Row],[County]]="Cheshire",Table1[[#This Row],[income]],0)</f>
        <v>0</v>
      </c>
      <c r="BI260" s="20">
        <f ca="1">IF(Table1[[#This Row],[County]]="Bristol",Table1[[#This Row],[income]],0)</f>
        <v>0</v>
      </c>
      <c r="BJ260" s="20">
        <f ca="1">IF(Table1[[#This Row],[County]]="Surrey",Table1[[#This Row],[income]],0)</f>
        <v>0</v>
      </c>
      <c r="BK260" s="20">
        <f ca="1">IF(Table1[[#This Row],[County]]="Norfolk",Table1[[#This Row],[income]],0)</f>
        <v>0</v>
      </c>
      <c r="BL260" s="20">
        <f ca="1">IF(Table1[[#This Row],[County]]="Lincolnshire",Table1[[#This Row],[income]],0)</f>
        <v>0</v>
      </c>
      <c r="BM260" s="20">
        <f ca="1">IF(Table1[[#This Row],[County]]="Somerset",Table1[[#This Row],[income]],0)</f>
        <v>0</v>
      </c>
      <c r="BN260" s="20">
        <f ca="1">IF(Table1[[#This Row],[County]]="Cambridgeshire",Table1[[#This Row],[income]],0)</f>
        <v>0</v>
      </c>
      <c r="BO260" s="20">
        <f ca="1">IF(Table1[[#This Row],[County]]="South Yorkshire",Table1[[#This Row],[income]],0)</f>
        <v>0</v>
      </c>
      <c r="BP260" s="20">
        <f ca="1">IF(Table1[[#This Row],[County]]="Greater London",Table1[[#This Row],[income]],0)</f>
        <v>50448</v>
      </c>
      <c r="BQ260" s="20">
        <f ca="1">IF(Table1[[#This Row],[County]]="Hampshire",Table1[[#This Row],[income]],0)</f>
        <v>0</v>
      </c>
      <c r="BR260" s="20">
        <f ca="1">IF(Table1[[#This Row],[County]]="Gloucestershire",Table1[[#This Row],[income]],0)</f>
        <v>0</v>
      </c>
      <c r="BS260" s="20">
        <f ca="1">IF(Table1[[#This Row],[County]]="West Sussex",Table1[[#This Row],[income]],0)</f>
        <v>0</v>
      </c>
      <c r="BT260" s="20">
        <f ca="1">IF(Table1[[#This Row],[County]]="Devon",Table1[[#This Row],[income]],0)</f>
        <v>0</v>
      </c>
      <c r="BU260" s="20">
        <f ca="1">IF(Table1[[#This Row],[County]]="Berkshire",Table1[[#This Row],[income]],0)</f>
        <v>0</v>
      </c>
      <c r="BV260" s="20">
        <f ca="1">IF(Table1[[#This Row],[County]]="Staffordshire",Table1[[#This Row],[income]],0)</f>
        <v>0</v>
      </c>
      <c r="BW260" s="20">
        <f ca="1">IF(Table1[[#This Row],[County]]="Leicestershire",Table1[[#This Row],[income]],0)</f>
        <v>0</v>
      </c>
      <c r="BX260" s="20">
        <f ca="1">IF(Table1[[#This Row],[County]]="Cornwall",Table1[[#This Row],[income]],0)</f>
        <v>0</v>
      </c>
      <c r="BY260" s="20">
        <f ca="1">IF(Table1[[#This Row],[County]]="Isle of Wight",Table1[[#This Row],[income]],0)</f>
        <v>0</v>
      </c>
      <c r="BZ260" s="20">
        <f ca="1">IF(Table1[[#This Row],[County]]="Surrey",Table1[[#This Row],[income]],0)</f>
        <v>0</v>
      </c>
      <c r="CA260" s="20">
        <f ca="1">IF(Table1[[#This Row],[County]]="Derbyshire",Table1[[#This Row],[income]],0)</f>
        <v>0</v>
      </c>
      <c r="CB260" s="20">
        <f ca="1">IF(Table1[[#This Row],[County]]="City of London",Table1[[#This Row],[income]],0)</f>
        <v>0</v>
      </c>
      <c r="CC260" s="20">
        <f ca="1">IF(Table1[[#This Row],[County]]="Bedfordshire",Table1[[#This Row],[income]],0)</f>
        <v>0</v>
      </c>
      <c r="CD260" s="20">
        <f ca="1">IF(Table1[[#This Row],[County]]="County Durham",Table1[[#This Row],[income]],0)</f>
        <v>0</v>
      </c>
      <c r="CE260" s="20">
        <f ca="1">IF(Table1[[#This Row],[County]]="East Riding of Yorkshire",Table1[[#This Row],[income]],0)</f>
        <v>0</v>
      </c>
      <c r="CF260" s="20">
        <f ca="1">IF(Table1[[#This Row],[County]]="West Yorkshire",Table1[[#This Row],[income]],0)</f>
        <v>0</v>
      </c>
      <c r="CG260" s="20">
        <f ca="1">IF(Table1[[#This Row],[County]]="Essex",Table1[[#This Row],[income]],0)</f>
        <v>0</v>
      </c>
      <c r="CH260" s="20">
        <f ca="1">IF(Table1[[#This Row],[County]]="East Sussex",Table1[[#This Row],[income]],0)</f>
        <v>0</v>
      </c>
      <c r="CI260" s="20">
        <f ca="1">IF(Table1[[#This Row],[County]]="Greater Manchester",Table1[[#This Row],[income]],0)</f>
        <v>0</v>
      </c>
      <c r="CJ260" s="20">
        <f ca="1">IF(Table1[[#This Row],[County]]="Hertfordshire",Table1[[#This Row],[income]],0)</f>
        <v>0</v>
      </c>
      <c r="CK260" s="20">
        <f ca="1">IF(Table1[[#This Row],[County]]="Herefordshire",Table1[[#This Row],[income]],0)</f>
        <v>0</v>
      </c>
      <c r="CL260" s="20">
        <f ca="1">IF(Table1[[#This Row],[County]]="Lancashire",Table1[[#This Row],[income]],0)</f>
        <v>0</v>
      </c>
      <c r="CM260" s="20">
        <f ca="1">IF(Table1[[#This Row],[County]]="Merseyside",Table1[[#This Row],[income]],0)</f>
        <v>0</v>
      </c>
      <c r="CN260" s="20">
        <f ca="1">IF(Table1[[#This Row],[County]]="Northamptonshire",Table1[[#This Row],[income]],0)</f>
        <v>0</v>
      </c>
      <c r="CO260" s="20">
        <f ca="1">IF(Table1[[#This Row],[County]]="Northumberland",Table1[[#This Row],[income]],0)</f>
        <v>0</v>
      </c>
      <c r="CP260" s="20">
        <f ca="1">IF(Table1[[#This Row],[County]]="Wiltshire",Table1[[#This Row],[income]],0)</f>
        <v>0</v>
      </c>
      <c r="CQ260" s="20">
        <f ca="1">IF(Table1[[#This Row],[County]]="West Midlands",Table1[[#This Row],[income]],0)</f>
        <v>0</v>
      </c>
      <c r="CR260" s="20">
        <f ca="1">IF(Table1[[#This Row],[County]]="Warwickshire",Table1[[#This Row],[income]],0)</f>
        <v>0</v>
      </c>
      <c r="CS260" s="20">
        <f ca="1">IF(Table1[[#This Row],[County]]="Tyne and Wear",Table1[[#This Row],[income]],0)</f>
        <v>0</v>
      </c>
      <c r="CT260" s="20">
        <f ca="1">IF(Table1[[#This Row],[County]]="Worcestershire",Table1[[#This Row],[income]],0)</f>
        <v>0</v>
      </c>
      <c r="CU260" s="20">
        <f ca="1">IF(Table1[[#This Row],[County]]="Rutland",Table1[[#This Row],[income]],0)</f>
        <v>0</v>
      </c>
      <c r="CV260" s="20">
        <f ca="1">IF(Table1[[#This Row],[County]]="Shropshire",Table1[[#This Row],[income]],0)</f>
        <v>0</v>
      </c>
      <c r="CW260" s="20">
        <f ca="1">IF(Table1[[#This Row],[County]]="Dorset",Table1[[#This Row],[income]],0)</f>
        <v>0</v>
      </c>
      <c r="CX260" s="20">
        <f ca="1">IF(Table1[[#This Row],[County]]="Buckinghamshire",Table1[[#This Row],[income]],0)</f>
        <v>0</v>
      </c>
      <c r="CY260" s="20">
        <f ca="1">IF(Table1[[#This Row],[County]]="Suffolk",Table1[[#This Row],[income]],0)</f>
        <v>0</v>
      </c>
      <c r="CZ260" s="20">
        <f ca="1">IF(Table1[[#This Row],[County]]="North Yorkshire",Table1[[#This Row],[income]],0)</f>
        <v>0</v>
      </c>
      <c r="DA260" s="20">
        <f ca="1">IF(Table1[[#This Row],[County]]="Kent",Table1[[#This Row],[income]],0)</f>
        <v>0</v>
      </c>
      <c r="DB260" s="5">
        <f ca="1">IF(Table1[[#This Row],[County]]="Derbyshire",Table1[[#This Row],[income]],0)</f>
        <v>0</v>
      </c>
      <c r="DD260" s="6">
        <f ca="1">IF(Table1[[#This Row],[Column1]]="Health",Table1[[#This Row],[income]],0)</f>
        <v>50448</v>
      </c>
      <c r="DE260" s="20">
        <f ca="1">IF(Table1[[#This Row],[Column1]]="Agriculture",Table1[[#This Row],[income]],0)</f>
        <v>0</v>
      </c>
      <c r="DF260" s="20">
        <f ca="1">IF(Table1[[#This Row],[Column1]]="Technology",Table1[[#This Row],[income]],0)</f>
        <v>0</v>
      </c>
      <c r="DG260" s="20">
        <f ca="1">IF(Table1[[#This Row],[Column1]]="Social Service",Table1[[#This Row],[income]],0)</f>
        <v>0</v>
      </c>
      <c r="DH260" s="20">
        <f ca="1">IF(Table1[[#This Row],[Column1]]="Education",Table1[[#This Row],[income]],0)</f>
        <v>0</v>
      </c>
      <c r="DI260" s="5">
        <f ca="1">IF(Table1[[#This Row],[Column1]]="Construction",Table1[[#This Row],[income]],0)</f>
        <v>0</v>
      </c>
      <c r="DK260" s="6">
        <f ca="1">IF(Table1[[#This Row],[Value of Debts]]&gt;Table1[[#This Row],[income]],1,0)</f>
        <v>1</v>
      </c>
      <c r="DL260" s="20"/>
      <c r="DM260" s="20"/>
      <c r="DN260" s="5"/>
      <c r="DP260" s="6">
        <f ca="1">IF(Table1[[#This Row],[Net Worth (£)]]&gt;$DS$5,C260,0)</f>
        <v>0</v>
      </c>
      <c r="DQ260" s="20"/>
      <c r="DR260" s="20"/>
      <c r="DS260" s="5"/>
    </row>
    <row r="261" spans="1:123" x14ac:dyDescent="0.2">
      <c r="A261">
        <f t="shared" ca="1" si="10"/>
        <v>1</v>
      </c>
      <c r="B261" s="1" t="str">
        <f ca="1">IF(A261=1, "men", "women")</f>
        <v>men</v>
      </c>
      <c r="C261" s="1">
        <f ca="1">RANDBETWEEN(25,50)</f>
        <v>31</v>
      </c>
      <c r="D261">
        <f ca="1">RANDBETWEEN(1,6)</f>
        <v>2</v>
      </c>
      <c r="E261" t="str">
        <f ca="1">VLOOKUP(D261,$W$5:$X$10,2)</f>
        <v>Construction</v>
      </c>
      <c r="F261">
        <f ca="1">RANDBETWEEN(1,5)</f>
        <v>3</v>
      </c>
      <c r="G261" t="str">
        <f ca="1">VLOOKUP(F261,$Y$5:$Z$9,2)</f>
        <v>University</v>
      </c>
      <c r="H261">
        <f ca="1">RANDBETWEEN(0,4)</f>
        <v>2</v>
      </c>
      <c r="I261">
        <f ca="1">RANDBETWEEN(1,3)</f>
        <v>1</v>
      </c>
      <c r="J261">
        <f ca="1">RANDBETWEEN(30000,100000)</f>
        <v>74491</v>
      </c>
      <c r="K261">
        <f ca="1">RANDBETWEEN(1,48)</f>
        <v>39</v>
      </c>
      <c r="L261" t="str">
        <f ca="1">VLOOKUP(K261,$AA$5:$AB$52,2)</f>
        <v>Staffordshire</v>
      </c>
      <c r="M261">
        <f ca="1">J261*(RANDBETWEEN(2,5))</f>
        <v>297964</v>
      </c>
      <c r="N261">
        <f ca="1">RAND()*M261</f>
        <v>187807.85455452706</v>
      </c>
      <c r="O261">
        <f ca="1">I261*RAND()*J261</f>
        <v>25532.003973021634</v>
      </c>
      <c r="P261">
        <f ca="1">RANDBETWEEN(0,O261)</f>
        <v>23231</v>
      </c>
      <c r="Q261">
        <f ca="1">RAND()*J261*2</f>
        <v>130981.39499857592</v>
      </c>
      <c r="R261">
        <f ca="1">RAND()*J261*1.5</f>
        <v>96898.494827035087</v>
      </c>
      <c r="S261">
        <f ca="1">J261+R261+O261</f>
        <v>196921.49880005672</v>
      </c>
      <c r="T261">
        <f ca="1">N261+P261+Q261</f>
        <v>342020.249553103</v>
      </c>
      <c r="U261">
        <f ca="1">S261-T261</f>
        <v>-145098.75075304628</v>
      </c>
      <c r="AC261" s="6">
        <f ca="1">IF(Table1[[#This Row],[gender]]="men",1,0)</f>
        <v>1</v>
      </c>
      <c r="AD261">
        <f ca="1">IF(Table1[[#This Row],[gender]]="women",1,0)</f>
        <v>0</v>
      </c>
      <c r="AH261" s="5"/>
      <c r="AJ261" s="6">
        <f ca="1">IF(Table1[[#This Row],[Column1]]="Health",1,0)</f>
        <v>0</v>
      </c>
      <c r="AK261">
        <f ca="1">IF(Table1[[#This Row],[Column1]]="Construction",1,0)</f>
        <v>1</v>
      </c>
      <c r="AL261">
        <f ca="1">IF(Table1[[#This Row],[Column1]]="Technology",1,0)</f>
        <v>0</v>
      </c>
      <c r="AM261">
        <f ca="1">IF(Table1[[#This Row],[Column1]]="Education",1,0)</f>
        <v>0</v>
      </c>
      <c r="AN261">
        <f ca="1">IF(Table1[[#This Row],[Column1]]="Agriculture",1,0)</f>
        <v>0</v>
      </c>
      <c r="AO261">
        <f ca="1">IF(Table1[[#This Row],[Column1]]="Social Service", 1, 0)</f>
        <v>0</v>
      </c>
      <c r="AT261" s="5"/>
      <c r="AV261" s="17">
        <f t="shared" ref="AV261:AV324" ca="1" si="12">(O262/I262)</f>
        <v>27754.217302209083</v>
      </c>
      <c r="AW261" s="5"/>
      <c r="AX261" s="6">
        <f ca="1">IF(Table1[[#This Row],[Value of Debts]]&gt;$AY$4,1,0)</f>
        <v>1</v>
      </c>
      <c r="AY261" s="20"/>
      <c r="AZ261" s="20"/>
      <c r="BA261" s="5"/>
      <c r="BB261" s="25">
        <f ca="1">Table1[[#This Row],[Mortage Left]]/Table1[[#This Row],[Value of House]]</f>
        <v>0.63030384393593542</v>
      </c>
      <c r="BC261" s="20">
        <f t="shared" ca="1" si="11"/>
        <v>0</v>
      </c>
      <c r="BD261" s="20"/>
      <c r="BE261" s="20"/>
      <c r="BF261" s="20"/>
      <c r="BG261" s="6">
        <f ca="1">IF(Table1[[#This Row],[County]]="Cumbria",Table1[[#This Row],[income]],0)</f>
        <v>0</v>
      </c>
      <c r="BH261" s="20">
        <f ca="1">IF(Table1[[#This Row],[County]]="Cheshire",Table1[[#This Row],[income]],0)</f>
        <v>0</v>
      </c>
      <c r="BI261" s="20">
        <f ca="1">IF(Table1[[#This Row],[County]]="Bristol",Table1[[#This Row],[income]],0)</f>
        <v>0</v>
      </c>
      <c r="BJ261" s="20">
        <f ca="1">IF(Table1[[#This Row],[County]]="Surrey",Table1[[#This Row],[income]],0)</f>
        <v>0</v>
      </c>
      <c r="BK261" s="20">
        <f ca="1">IF(Table1[[#This Row],[County]]="Norfolk",Table1[[#This Row],[income]],0)</f>
        <v>0</v>
      </c>
      <c r="BL261" s="20">
        <f ca="1">IF(Table1[[#This Row],[County]]="Lincolnshire",Table1[[#This Row],[income]],0)</f>
        <v>0</v>
      </c>
      <c r="BM261" s="20">
        <f ca="1">IF(Table1[[#This Row],[County]]="Somerset",Table1[[#This Row],[income]],0)</f>
        <v>0</v>
      </c>
      <c r="BN261" s="20">
        <f ca="1">IF(Table1[[#This Row],[County]]="Cambridgeshire",Table1[[#This Row],[income]],0)</f>
        <v>0</v>
      </c>
      <c r="BO261" s="20">
        <f ca="1">IF(Table1[[#This Row],[County]]="South Yorkshire",Table1[[#This Row],[income]],0)</f>
        <v>0</v>
      </c>
      <c r="BP261" s="20">
        <f ca="1">IF(Table1[[#This Row],[County]]="Greater London",Table1[[#This Row],[income]],0)</f>
        <v>0</v>
      </c>
      <c r="BQ261" s="20">
        <f ca="1">IF(Table1[[#This Row],[County]]="Hampshire",Table1[[#This Row],[income]],0)</f>
        <v>0</v>
      </c>
      <c r="BR261" s="20">
        <f ca="1">IF(Table1[[#This Row],[County]]="Gloucestershire",Table1[[#This Row],[income]],0)</f>
        <v>0</v>
      </c>
      <c r="BS261" s="20">
        <f ca="1">IF(Table1[[#This Row],[County]]="West Sussex",Table1[[#This Row],[income]],0)</f>
        <v>0</v>
      </c>
      <c r="BT261" s="20">
        <f ca="1">IF(Table1[[#This Row],[County]]="Devon",Table1[[#This Row],[income]],0)</f>
        <v>0</v>
      </c>
      <c r="BU261" s="20">
        <f ca="1">IF(Table1[[#This Row],[County]]="Berkshire",Table1[[#This Row],[income]],0)</f>
        <v>0</v>
      </c>
      <c r="BV261" s="20">
        <f ca="1">IF(Table1[[#This Row],[County]]="Staffordshire",Table1[[#This Row],[income]],0)</f>
        <v>74491</v>
      </c>
      <c r="BW261" s="20">
        <f ca="1">IF(Table1[[#This Row],[County]]="Leicestershire",Table1[[#This Row],[income]],0)</f>
        <v>0</v>
      </c>
      <c r="BX261" s="20">
        <f ca="1">IF(Table1[[#This Row],[County]]="Cornwall",Table1[[#This Row],[income]],0)</f>
        <v>0</v>
      </c>
      <c r="BY261" s="20">
        <f ca="1">IF(Table1[[#This Row],[County]]="Isle of Wight",Table1[[#This Row],[income]],0)</f>
        <v>0</v>
      </c>
      <c r="BZ261" s="20">
        <f ca="1">IF(Table1[[#This Row],[County]]="Surrey",Table1[[#This Row],[income]],0)</f>
        <v>0</v>
      </c>
      <c r="CA261" s="20">
        <f ca="1">IF(Table1[[#This Row],[County]]="Derbyshire",Table1[[#This Row],[income]],0)</f>
        <v>0</v>
      </c>
      <c r="CB261" s="20">
        <f ca="1">IF(Table1[[#This Row],[County]]="City of London",Table1[[#This Row],[income]],0)</f>
        <v>0</v>
      </c>
      <c r="CC261" s="20">
        <f ca="1">IF(Table1[[#This Row],[County]]="Bedfordshire",Table1[[#This Row],[income]],0)</f>
        <v>0</v>
      </c>
      <c r="CD261" s="20">
        <f ca="1">IF(Table1[[#This Row],[County]]="County Durham",Table1[[#This Row],[income]],0)</f>
        <v>0</v>
      </c>
      <c r="CE261" s="20">
        <f ca="1">IF(Table1[[#This Row],[County]]="East Riding of Yorkshire",Table1[[#This Row],[income]],0)</f>
        <v>0</v>
      </c>
      <c r="CF261" s="20">
        <f ca="1">IF(Table1[[#This Row],[County]]="West Yorkshire",Table1[[#This Row],[income]],0)</f>
        <v>0</v>
      </c>
      <c r="CG261" s="20">
        <f ca="1">IF(Table1[[#This Row],[County]]="Essex",Table1[[#This Row],[income]],0)</f>
        <v>0</v>
      </c>
      <c r="CH261" s="20">
        <f ca="1">IF(Table1[[#This Row],[County]]="East Sussex",Table1[[#This Row],[income]],0)</f>
        <v>0</v>
      </c>
      <c r="CI261" s="20">
        <f ca="1">IF(Table1[[#This Row],[County]]="Greater Manchester",Table1[[#This Row],[income]],0)</f>
        <v>0</v>
      </c>
      <c r="CJ261" s="20">
        <f ca="1">IF(Table1[[#This Row],[County]]="Hertfordshire",Table1[[#This Row],[income]],0)</f>
        <v>0</v>
      </c>
      <c r="CK261" s="20">
        <f ca="1">IF(Table1[[#This Row],[County]]="Herefordshire",Table1[[#This Row],[income]],0)</f>
        <v>0</v>
      </c>
      <c r="CL261" s="20">
        <f ca="1">IF(Table1[[#This Row],[County]]="Lancashire",Table1[[#This Row],[income]],0)</f>
        <v>0</v>
      </c>
      <c r="CM261" s="20">
        <f ca="1">IF(Table1[[#This Row],[County]]="Merseyside",Table1[[#This Row],[income]],0)</f>
        <v>0</v>
      </c>
      <c r="CN261" s="20">
        <f ca="1">IF(Table1[[#This Row],[County]]="Northamptonshire",Table1[[#This Row],[income]],0)</f>
        <v>0</v>
      </c>
      <c r="CO261" s="20">
        <f ca="1">IF(Table1[[#This Row],[County]]="Northumberland",Table1[[#This Row],[income]],0)</f>
        <v>0</v>
      </c>
      <c r="CP261" s="20">
        <f ca="1">IF(Table1[[#This Row],[County]]="Wiltshire",Table1[[#This Row],[income]],0)</f>
        <v>0</v>
      </c>
      <c r="CQ261" s="20">
        <f ca="1">IF(Table1[[#This Row],[County]]="West Midlands",Table1[[#This Row],[income]],0)</f>
        <v>0</v>
      </c>
      <c r="CR261" s="20">
        <f ca="1">IF(Table1[[#This Row],[County]]="Warwickshire",Table1[[#This Row],[income]],0)</f>
        <v>0</v>
      </c>
      <c r="CS261" s="20">
        <f ca="1">IF(Table1[[#This Row],[County]]="Tyne and Wear",Table1[[#This Row],[income]],0)</f>
        <v>0</v>
      </c>
      <c r="CT261" s="20">
        <f ca="1">IF(Table1[[#This Row],[County]]="Worcestershire",Table1[[#This Row],[income]],0)</f>
        <v>0</v>
      </c>
      <c r="CU261" s="20">
        <f ca="1">IF(Table1[[#This Row],[County]]="Rutland",Table1[[#This Row],[income]],0)</f>
        <v>0</v>
      </c>
      <c r="CV261" s="20">
        <f ca="1">IF(Table1[[#This Row],[County]]="Shropshire",Table1[[#This Row],[income]],0)</f>
        <v>0</v>
      </c>
      <c r="CW261" s="20">
        <f ca="1">IF(Table1[[#This Row],[County]]="Dorset",Table1[[#This Row],[income]],0)</f>
        <v>0</v>
      </c>
      <c r="CX261" s="20">
        <f ca="1">IF(Table1[[#This Row],[County]]="Buckinghamshire",Table1[[#This Row],[income]],0)</f>
        <v>0</v>
      </c>
      <c r="CY261" s="20">
        <f ca="1">IF(Table1[[#This Row],[County]]="Suffolk",Table1[[#This Row],[income]],0)</f>
        <v>0</v>
      </c>
      <c r="CZ261" s="20">
        <f ca="1">IF(Table1[[#This Row],[County]]="North Yorkshire",Table1[[#This Row],[income]],0)</f>
        <v>0</v>
      </c>
      <c r="DA261" s="20">
        <f ca="1">IF(Table1[[#This Row],[County]]="Kent",Table1[[#This Row],[income]],0)</f>
        <v>0</v>
      </c>
      <c r="DB261" s="5">
        <f ca="1">IF(Table1[[#This Row],[County]]="Derbyshire",Table1[[#This Row],[income]],0)</f>
        <v>0</v>
      </c>
      <c r="DD261" s="6">
        <f ca="1">IF(Table1[[#This Row],[Column1]]="Health",Table1[[#This Row],[income]],0)</f>
        <v>0</v>
      </c>
      <c r="DE261" s="20">
        <f ca="1">IF(Table1[[#This Row],[Column1]]="Agriculture",Table1[[#This Row],[income]],0)</f>
        <v>0</v>
      </c>
      <c r="DF261" s="20">
        <f ca="1">IF(Table1[[#This Row],[Column1]]="Technology",Table1[[#This Row],[income]],0)</f>
        <v>0</v>
      </c>
      <c r="DG261" s="20">
        <f ca="1">IF(Table1[[#This Row],[Column1]]="Social Service",Table1[[#This Row],[income]],0)</f>
        <v>0</v>
      </c>
      <c r="DH261" s="20">
        <f ca="1">IF(Table1[[#This Row],[Column1]]="Education",Table1[[#This Row],[income]],0)</f>
        <v>0</v>
      </c>
      <c r="DI261" s="5">
        <f ca="1">IF(Table1[[#This Row],[Column1]]="Construction",Table1[[#This Row],[income]],0)</f>
        <v>74491</v>
      </c>
      <c r="DK261" s="6">
        <f ca="1">IF(Table1[[#This Row],[Value of Debts]]&gt;Table1[[#This Row],[income]],1,0)</f>
        <v>1</v>
      </c>
      <c r="DL261" s="20"/>
      <c r="DM261" s="20"/>
      <c r="DN261" s="5"/>
      <c r="DP261" s="6">
        <f ca="1">IF(Table1[[#This Row],[Net Worth (£)]]&gt;$DS$5,C261,0)</f>
        <v>0</v>
      </c>
      <c r="DQ261" s="20"/>
      <c r="DR261" s="20"/>
      <c r="DS261" s="5"/>
    </row>
    <row r="262" spans="1:123" x14ac:dyDescent="0.2">
      <c r="A262">
        <f t="shared" ref="A262:A325" ca="1" si="13">RANDBETWEEN(1,2)</f>
        <v>1</v>
      </c>
      <c r="B262" s="1" t="str">
        <f ca="1">IF(A262=1, "men", "women")</f>
        <v>men</v>
      </c>
      <c r="C262" s="1">
        <f ca="1">RANDBETWEEN(25,50)</f>
        <v>27</v>
      </c>
      <c r="D262">
        <f ca="1">RANDBETWEEN(1,6)</f>
        <v>6</v>
      </c>
      <c r="E262" t="str">
        <f ca="1">VLOOKUP(D262,$W$5:$X$10,2)</f>
        <v>Agriculture</v>
      </c>
      <c r="F262">
        <f ca="1">RANDBETWEEN(1,5)</f>
        <v>4</v>
      </c>
      <c r="G262" t="str">
        <f ca="1">VLOOKUP(F262,$Y$5:$Z$9,2)</f>
        <v xml:space="preserve">Technical </v>
      </c>
      <c r="H262">
        <f ca="1">RANDBETWEEN(0,4)</f>
        <v>2</v>
      </c>
      <c r="I262">
        <f ca="1">RANDBETWEEN(1,3)</f>
        <v>3</v>
      </c>
      <c r="J262">
        <f ca="1">RANDBETWEEN(30000,100000)</f>
        <v>55795</v>
      </c>
      <c r="K262">
        <f ca="1">RANDBETWEEN(1,48)</f>
        <v>17</v>
      </c>
      <c r="L262" t="str">
        <f ca="1">VLOOKUP(K262,$AA$5:$AB$52,2)</f>
        <v>Gloucestershire</v>
      </c>
      <c r="M262">
        <f ca="1">J262*(RANDBETWEEN(2,5))</f>
        <v>223180</v>
      </c>
      <c r="N262">
        <f ca="1">RAND()*M262</f>
        <v>119010.56305814561</v>
      </c>
      <c r="O262">
        <f ca="1">I262*RAND()*J262</f>
        <v>83262.651906627245</v>
      </c>
      <c r="P262">
        <f ca="1">RANDBETWEEN(0,O262)</f>
        <v>28610</v>
      </c>
      <c r="Q262">
        <f ca="1">RAND()*J262*2</f>
        <v>75627.582082241628</v>
      </c>
      <c r="R262">
        <f ca="1">RAND()*J262*1.5</f>
        <v>53686.439160913083</v>
      </c>
      <c r="S262">
        <f ca="1">J262+R262+O262</f>
        <v>192744.09106754034</v>
      </c>
      <c r="T262">
        <f ca="1">N262+P262+Q262</f>
        <v>223248.14514038723</v>
      </c>
      <c r="U262">
        <f ca="1">S262-T262</f>
        <v>-30504.054072846891</v>
      </c>
      <c r="AC262" s="6">
        <f ca="1">IF(Table1[[#This Row],[gender]]="men",1,0)</f>
        <v>1</v>
      </c>
      <c r="AD262">
        <f ca="1">IF(Table1[[#This Row],[gender]]="women",1,0)</f>
        <v>0</v>
      </c>
      <c r="AH262" s="5"/>
      <c r="AJ262" s="6">
        <f ca="1">IF(Table1[[#This Row],[Column1]]="Health",1,0)</f>
        <v>0</v>
      </c>
      <c r="AK262">
        <f ca="1">IF(Table1[[#This Row],[Column1]]="Construction",1,0)</f>
        <v>0</v>
      </c>
      <c r="AL262">
        <f ca="1">IF(Table1[[#This Row],[Column1]]="Technology",1,0)</f>
        <v>0</v>
      </c>
      <c r="AM262">
        <f ca="1">IF(Table1[[#This Row],[Column1]]="Education",1,0)</f>
        <v>0</v>
      </c>
      <c r="AN262">
        <f ca="1">IF(Table1[[#This Row],[Column1]]="Agriculture",1,0)</f>
        <v>1</v>
      </c>
      <c r="AO262">
        <f ca="1">IF(Table1[[#This Row],[Column1]]="Social Service", 1, 0)</f>
        <v>0</v>
      </c>
      <c r="AT262" s="5"/>
      <c r="AV262" s="17">
        <f t="shared" ca="1" si="12"/>
        <v>16093.347659466719</v>
      </c>
      <c r="AW262" s="5"/>
      <c r="AX262" s="6">
        <f ca="1">IF(Table1[[#This Row],[Value of Debts]]&gt;$AY$4,1,0)</f>
        <v>1</v>
      </c>
      <c r="AY262" s="20"/>
      <c r="AZ262" s="20"/>
      <c r="BA262" s="5"/>
      <c r="BB262" s="25">
        <f ca="1">Table1[[#This Row],[Mortage Left]]/Table1[[#This Row],[Value of House]]</f>
        <v>0.53324922958215615</v>
      </c>
      <c r="BC262" s="20">
        <f t="shared" ref="BC262:BC325" ca="1" si="14">IF(BB262&lt;$BD$4,1,0)</f>
        <v>0</v>
      </c>
      <c r="BD262" s="20"/>
      <c r="BE262" s="20"/>
      <c r="BF262" s="20"/>
      <c r="BG262" s="6">
        <f ca="1">IF(Table1[[#This Row],[County]]="Cumbria",Table1[[#This Row],[income]],0)</f>
        <v>0</v>
      </c>
      <c r="BH262" s="20">
        <f ca="1">IF(Table1[[#This Row],[County]]="Cheshire",Table1[[#This Row],[income]],0)</f>
        <v>0</v>
      </c>
      <c r="BI262" s="20">
        <f ca="1">IF(Table1[[#This Row],[County]]="Bristol",Table1[[#This Row],[income]],0)</f>
        <v>0</v>
      </c>
      <c r="BJ262" s="20">
        <f ca="1">IF(Table1[[#This Row],[County]]="Surrey",Table1[[#This Row],[income]],0)</f>
        <v>0</v>
      </c>
      <c r="BK262" s="20">
        <f ca="1">IF(Table1[[#This Row],[County]]="Norfolk",Table1[[#This Row],[income]],0)</f>
        <v>0</v>
      </c>
      <c r="BL262" s="20">
        <f ca="1">IF(Table1[[#This Row],[County]]="Lincolnshire",Table1[[#This Row],[income]],0)</f>
        <v>0</v>
      </c>
      <c r="BM262" s="20">
        <f ca="1">IF(Table1[[#This Row],[County]]="Somerset",Table1[[#This Row],[income]],0)</f>
        <v>0</v>
      </c>
      <c r="BN262" s="20">
        <f ca="1">IF(Table1[[#This Row],[County]]="Cambridgeshire",Table1[[#This Row],[income]],0)</f>
        <v>0</v>
      </c>
      <c r="BO262" s="20">
        <f ca="1">IF(Table1[[#This Row],[County]]="South Yorkshire",Table1[[#This Row],[income]],0)</f>
        <v>0</v>
      </c>
      <c r="BP262" s="20">
        <f ca="1">IF(Table1[[#This Row],[County]]="Greater London",Table1[[#This Row],[income]],0)</f>
        <v>0</v>
      </c>
      <c r="BQ262" s="20">
        <f ca="1">IF(Table1[[#This Row],[County]]="Hampshire",Table1[[#This Row],[income]],0)</f>
        <v>0</v>
      </c>
      <c r="BR262" s="20">
        <f ca="1">IF(Table1[[#This Row],[County]]="Gloucestershire",Table1[[#This Row],[income]],0)</f>
        <v>55795</v>
      </c>
      <c r="BS262" s="20">
        <f ca="1">IF(Table1[[#This Row],[County]]="West Sussex",Table1[[#This Row],[income]],0)</f>
        <v>0</v>
      </c>
      <c r="BT262" s="20">
        <f ca="1">IF(Table1[[#This Row],[County]]="Devon",Table1[[#This Row],[income]],0)</f>
        <v>0</v>
      </c>
      <c r="BU262" s="20">
        <f ca="1">IF(Table1[[#This Row],[County]]="Berkshire",Table1[[#This Row],[income]],0)</f>
        <v>0</v>
      </c>
      <c r="BV262" s="20">
        <f ca="1">IF(Table1[[#This Row],[County]]="Staffordshire",Table1[[#This Row],[income]],0)</f>
        <v>0</v>
      </c>
      <c r="BW262" s="20">
        <f ca="1">IF(Table1[[#This Row],[County]]="Leicestershire",Table1[[#This Row],[income]],0)</f>
        <v>0</v>
      </c>
      <c r="BX262" s="20">
        <f ca="1">IF(Table1[[#This Row],[County]]="Cornwall",Table1[[#This Row],[income]],0)</f>
        <v>0</v>
      </c>
      <c r="BY262" s="20">
        <f ca="1">IF(Table1[[#This Row],[County]]="Isle of Wight",Table1[[#This Row],[income]],0)</f>
        <v>0</v>
      </c>
      <c r="BZ262" s="20">
        <f ca="1">IF(Table1[[#This Row],[County]]="Surrey",Table1[[#This Row],[income]],0)</f>
        <v>0</v>
      </c>
      <c r="CA262" s="20">
        <f ca="1">IF(Table1[[#This Row],[County]]="Derbyshire",Table1[[#This Row],[income]],0)</f>
        <v>0</v>
      </c>
      <c r="CB262" s="20">
        <f ca="1">IF(Table1[[#This Row],[County]]="City of London",Table1[[#This Row],[income]],0)</f>
        <v>0</v>
      </c>
      <c r="CC262" s="20">
        <f ca="1">IF(Table1[[#This Row],[County]]="Bedfordshire",Table1[[#This Row],[income]],0)</f>
        <v>0</v>
      </c>
      <c r="CD262" s="20">
        <f ca="1">IF(Table1[[#This Row],[County]]="County Durham",Table1[[#This Row],[income]],0)</f>
        <v>0</v>
      </c>
      <c r="CE262" s="20">
        <f ca="1">IF(Table1[[#This Row],[County]]="East Riding of Yorkshire",Table1[[#This Row],[income]],0)</f>
        <v>0</v>
      </c>
      <c r="CF262" s="20">
        <f ca="1">IF(Table1[[#This Row],[County]]="West Yorkshire",Table1[[#This Row],[income]],0)</f>
        <v>0</v>
      </c>
      <c r="CG262" s="20">
        <f ca="1">IF(Table1[[#This Row],[County]]="Essex",Table1[[#This Row],[income]],0)</f>
        <v>0</v>
      </c>
      <c r="CH262" s="20">
        <f ca="1">IF(Table1[[#This Row],[County]]="East Sussex",Table1[[#This Row],[income]],0)</f>
        <v>0</v>
      </c>
      <c r="CI262" s="20">
        <f ca="1">IF(Table1[[#This Row],[County]]="Greater Manchester",Table1[[#This Row],[income]],0)</f>
        <v>0</v>
      </c>
      <c r="CJ262" s="20">
        <f ca="1">IF(Table1[[#This Row],[County]]="Hertfordshire",Table1[[#This Row],[income]],0)</f>
        <v>0</v>
      </c>
      <c r="CK262" s="20">
        <f ca="1">IF(Table1[[#This Row],[County]]="Herefordshire",Table1[[#This Row],[income]],0)</f>
        <v>0</v>
      </c>
      <c r="CL262" s="20">
        <f ca="1">IF(Table1[[#This Row],[County]]="Lancashire",Table1[[#This Row],[income]],0)</f>
        <v>0</v>
      </c>
      <c r="CM262" s="20">
        <f ca="1">IF(Table1[[#This Row],[County]]="Merseyside",Table1[[#This Row],[income]],0)</f>
        <v>0</v>
      </c>
      <c r="CN262" s="20">
        <f ca="1">IF(Table1[[#This Row],[County]]="Northamptonshire",Table1[[#This Row],[income]],0)</f>
        <v>0</v>
      </c>
      <c r="CO262" s="20">
        <f ca="1">IF(Table1[[#This Row],[County]]="Northumberland",Table1[[#This Row],[income]],0)</f>
        <v>0</v>
      </c>
      <c r="CP262" s="20">
        <f ca="1">IF(Table1[[#This Row],[County]]="Wiltshire",Table1[[#This Row],[income]],0)</f>
        <v>0</v>
      </c>
      <c r="CQ262" s="20">
        <f ca="1">IF(Table1[[#This Row],[County]]="West Midlands",Table1[[#This Row],[income]],0)</f>
        <v>0</v>
      </c>
      <c r="CR262" s="20">
        <f ca="1">IF(Table1[[#This Row],[County]]="Warwickshire",Table1[[#This Row],[income]],0)</f>
        <v>0</v>
      </c>
      <c r="CS262" s="20">
        <f ca="1">IF(Table1[[#This Row],[County]]="Tyne and Wear",Table1[[#This Row],[income]],0)</f>
        <v>0</v>
      </c>
      <c r="CT262" s="20">
        <f ca="1">IF(Table1[[#This Row],[County]]="Worcestershire",Table1[[#This Row],[income]],0)</f>
        <v>0</v>
      </c>
      <c r="CU262" s="20">
        <f ca="1">IF(Table1[[#This Row],[County]]="Rutland",Table1[[#This Row],[income]],0)</f>
        <v>0</v>
      </c>
      <c r="CV262" s="20">
        <f ca="1">IF(Table1[[#This Row],[County]]="Shropshire",Table1[[#This Row],[income]],0)</f>
        <v>0</v>
      </c>
      <c r="CW262" s="20">
        <f ca="1">IF(Table1[[#This Row],[County]]="Dorset",Table1[[#This Row],[income]],0)</f>
        <v>0</v>
      </c>
      <c r="CX262" s="20">
        <f ca="1">IF(Table1[[#This Row],[County]]="Buckinghamshire",Table1[[#This Row],[income]],0)</f>
        <v>0</v>
      </c>
      <c r="CY262" s="20">
        <f ca="1">IF(Table1[[#This Row],[County]]="Suffolk",Table1[[#This Row],[income]],0)</f>
        <v>0</v>
      </c>
      <c r="CZ262" s="20">
        <f ca="1">IF(Table1[[#This Row],[County]]="North Yorkshire",Table1[[#This Row],[income]],0)</f>
        <v>0</v>
      </c>
      <c r="DA262" s="20">
        <f ca="1">IF(Table1[[#This Row],[County]]="Kent",Table1[[#This Row],[income]],0)</f>
        <v>0</v>
      </c>
      <c r="DB262" s="5">
        <f ca="1">IF(Table1[[#This Row],[County]]="Derbyshire",Table1[[#This Row],[income]],0)</f>
        <v>0</v>
      </c>
      <c r="DD262" s="6">
        <f ca="1">IF(Table1[[#This Row],[Column1]]="Health",Table1[[#This Row],[income]],0)</f>
        <v>0</v>
      </c>
      <c r="DE262" s="20">
        <f ca="1">IF(Table1[[#This Row],[Column1]]="Agriculture",Table1[[#This Row],[income]],0)</f>
        <v>55795</v>
      </c>
      <c r="DF262" s="20">
        <f ca="1">IF(Table1[[#This Row],[Column1]]="Technology",Table1[[#This Row],[income]],0)</f>
        <v>0</v>
      </c>
      <c r="DG262" s="20">
        <f ca="1">IF(Table1[[#This Row],[Column1]]="Social Service",Table1[[#This Row],[income]],0)</f>
        <v>0</v>
      </c>
      <c r="DH262" s="20">
        <f ca="1">IF(Table1[[#This Row],[Column1]]="Education",Table1[[#This Row],[income]],0)</f>
        <v>0</v>
      </c>
      <c r="DI262" s="5">
        <f ca="1">IF(Table1[[#This Row],[Column1]]="Construction",Table1[[#This Row],[income]],0)</f>
        <v>0</v>
      </c>
      <c r="DK262" s="6">
        <f ca="1">IF(Table1[[#This Row],[Value of Debts]]&gt;Table1[[#This Row],[income]],1,0)</f>
        <v>1</v>
      </c>
      <c r="DL262" s="20"/>
      <c r="DM262" s="20"/>
      <c r="DN262" s="5"/>
      <c r="DP262" s="6">
        <f ca="1">IF(Table1[[#This Row],[Net Worth (£)]]&gt;$DS$5,C262,0)</f>
        <v>0</v>
      </c>
      <c r="DQ262" s="20"/>
      <c r="DR262" s="20"/>
      <c r="DS262" s="5"/>
    </row>
    <row r="263" spans="1:123" x14ac:dyDescent="0.2">
      <c r="A263">
        <f t="shared" ca="1" si="13"/>
        <v>2</v>
      </c>
      <c r="B263" s="1" t="str">
        <f ca="1">IF(A263=1, "men", "women")</f>
        <v>women</v>
      </c>
      <c r="C263" s="1">
        <f ca="1">RANDBETWEEN(25,50)</f>
        <v>35</v>
      </c>
      <c r="D263">
        <f ca="1">RANDBETWEEN(1,6)</f>
        <v>1</v>
      </c>
      <c r="E263" t="str">
        <f ca="1">VLOOKUP(D263,$W$5:$X$10,2)</f>
        <v>Health</v>
      </c>
      <c r="F263">
        <f ca="1">RANDBETWEEN(1,5)</f>
        <v>4</v>
      </c>
      <c r="G263" t="str">
        <f ca="1">VLOOKUP(F263,$Y$5:$Z$9,2)</f>
        <v xml:space="preserve">Technical </v>
      </c>
      <c r="H263">
        <f ca="1">RANDBETWEEN(0,4)</f>
        <v>2</v>
      </c>
      <c r="I263">
        <f ca="1">RANDBETWEEN(1,3)</f>
        <v>1</v>
      </c>
      <c r="J263">
        <f ca="1">RANDBETWEEN(30000,100000)</f>
        <v>98380</v>
      </c>
      <c r="K263">
        <f ca="1">RANDBETWEEN(1,48)</f>
        <v>35</v>
      </c>
      <c r="L263" t="str">
        <f ca="1">VLOOKUP(K263,$AA$5:$AB$52,2)</f>
        <v>Rutland</v>
      </c>
      <c r="M263">
        <f ca="1">J263*(RANDBETWEEN(2,5))</f>
        <v>491900</v>
      </c>
      <c r="N263">
        <f ca="1">RAND()*M263</f>
        <v>159327.27403558098</v>
      </c>
      <c r="O263">
        <f ca="1">I263*RAND()*J263</f>
        <v>16093.347659466719</v>
      </c>
      <c r="P263">
        <f ca="1">RANDBETWEEN(0,O263)</f>
        <v>9007</v>
      </c>
      <c r="Q263">
        <f ca="1">RAND()*J263*2</f>
        <v>46342.354835349033</v>
      </c>
      <c r="R263">
        <f ca="1">RAND()*J263*1.5</f>
        <v>11976.084885088811</v>
      </c>
      <c r="S263">
        <f ca="1">J263+R263+O263</f>
        <v>126449.43254455553</v>
      </c>
      <c r="T263">
        <f ca="1">N263+P263+Q263</f>
        <v>214676.62887093</v>
      </c>
      <c r="U263">
        <f ca="1">S263-T263</f>
        <v>-88227.196326374469</v>
      </c>
      <c r="AC263" s="6">
        <f ca="1">IF(Table1[[#This Row],[gender]]="men",1,0)</f>
        <v>0</v>
      </c>
      <c r="AD263">
        <f ca="1">IF(Table1[[#This Row],[gender]]="women",1,0)</f>
        <v>1</v>
      </c>
      <c r="AH263" s="5"/>
      <c r="AJ263" s="6">
        <f ca="1">IF(Table1[[#This Row],[Column1]]="Health",1,0)</f>
        <v>1</v>
      </c>
      <c r="AK263">
        <f ca="1">IF(Table1[[#This Row],[Column1]]="Construction",1,0)</f>
        <v>0</v>
      </c>
      <c r="AL263">
        <f ca="1">IF(Table1[[#This Row],[Column1]]="Technology",1,0)</f>
        <v>0</v>
      </c>
      <c r="AM263">
        <f ca="1">IF(Table1[[#This Row],[Column1]]="Education",1,0)</f>
        <v>0</v>
      </c>
      <c r="AN263">
        <f ca="1">IF(Table1[[#This Row],[Column1]]="Agriculture",1,0)</f>
        <v>0</v>
      </c>
      <c r="AO263">
        <f ca="1">IF(Table1[[#This Row],[Column1]]="Social Service", 1, 0)</f>
        <v>0</v>
      </c>
      <c r="AT263" s="5"/>
      <c r="AV263" s="17">
        <f t="shared" ca="1" si="12"/>
        <v>23440.075301391444</v>
      </c>
      <c r="AW263" s="5"/>
      <c r="AX263" s="6">
        <f ca="1">IF(Table1[[#This Row],[Value of Debts]]&gt;$AY$4,1,0)</f>
        <v>1</v>
      </c>
      <c r="AY263" s="20"/>
      <c r="AZ263" s="20"/>
      <c r="BA263" s="5"/>
      <c r="BB263" s="25">
        <f ca="1">Table1[[#This Row],[Mortage Left]]/Table1[[#This Row],[Value of House]]</f>
        <v>0.32390175652689768</v>
      </c>
      <c r="BC263" s="20">
        <f t="shared" ca="1" si="14"/>
        <v>0</v>
      </c>
      <c r="BD263" s="20"/>
      <c r="BE263" s="20"/>
      <c r="BF263" s="20"/>
      <c r="BG263" s="6">
        <f ca="1">IF(Table1[[#This Row],[County]]="Cumbria",Table1[[#This Row],[income]],0)</f>
        <v>0</v>
      </c>
      <c r="BH263" s="20">
        <f ca="1">IF(Table1[[#This Row],[County]]="Cheshire",Table1[[#This Row],[income]],0)</f>
        <v>0</v>
      </c>
      <c r="BI263" s="20">
        <f ca="1">IF(Table1[[#This Row],[County]]="Bristol",Table1[[#This Row],[income]],0)</f>
        <v>0</v>
      </c>
      <c r="BJ263" s="20">
        <f ca="1">IF(Table1[[#This Row],[County]]="Surrey",Table1[[#This Row],[income]],0)</f>
        <v>0</v>
      </c>
      <c r="BK263" s="20">
        <f ca="1">IF(Table1[[#This Row],[County]]="Norfolk",Table1[[#This Row],[income]],0)</f>
        <v>0</v>
      </c>
      <c r="BL263" s="20">
        <f ca="1">IF(Table1[[#This Row],[County]]="Lincolnshire",Table1[[#This Row],[income]],0)</f>
        <v>0</v>
      </c>
      <c r="BM263" s="20">
        <f ca="1">IF(Table1[[#This Row],[County]]="Somerset",Table1[[#This Row],[income]],0)</f>
        <v>0</v>
      </c>
      <c r="BN263" s="20">
        <f ca="1">IF(Table1[[#This Row],[County]]="Cambridgeshire",Table1[[#This Row],[income]],0)</f>
        <v>0</v>
      </c>
      <c r="BO263" s="20">
        <f ca="1">IF(Table1[[#This Row],[County]]="South Yorkshire",Table1[[#This Row],[income]],0)</f>
        <v>0</v>
      </c>
      <c r="BP263" s="20">
        <f ca="1">IF(Table1[[#This Row],[County]]="Greater London",Table1[[#This Row],[income]],0)</f>
        <v>0</v>
      </c>
      <c r="BQ263" s="20">
        <f ca="1">IF(Table1[[#This Row],[County]]="Hampshire",Table1[[#This Row],[income]],0)</f>
        <v>0</v>
      </c>
      <c r="BR263" s="20">
        <f ca="1">IF(Table1[[#This Row],[County]]="Gloucestershire",Table1[[#This Row],[income]],0)</f>
        <v>0</v>
      </c>
      <c r="BS263" s="20">
        <f ca="1">IF(Table1[[#This Row],[County]]="West Sussex",Table1[[#This Row],[income]],0)</f>
        <v>0</v>
      </c>
      <c r="BT263" s="20">
        <f ca="1">IF(Table1[[#This Row],[County]]="Devon",Table1[[#This Row],[income]],0)</f>
        <v>0</v>
      </c>
      <c r="BU263" s="20">
        <f ca="1">IF(Table1[[#This Row],[County]]="Berkshire",Table1[[#This Row],[income]],0)</f>
        <v>0</v>
      </c>
      <c r="BV263" s="20">
        <f ca="1">IF(Table1[[#This Row],[County]]="Staffordshire",Table1[[#This Row],[income]],0)</f>
        <v>0</v>
      </c>
      <c r="BW263" s="20">
        <f ca="1">IF(Table1[[#This Row],[County]]="Leicestershire",Table1[[#This Row],[income]],0)</f>
        <v>0</v>
      </c>
      <c r="BX263" s="20">
        <f ca="1">IF(Table1[[#This Row],[County]]="Cornwall",Table1[[#This Row],[income]],0)</f>
        <v>0</v>
      </c>
      <c r="BY263" s="20">
        <f ca="1">IF(Table1[[#This Row],[County]]="Isle of Wight",Table1[[#This Row],[income]],0)</f>
        <v>0</v>
      </c>
      <c r="BZ263" s="20">
        <f ca="1">IF(Table1[[#This Row],[County]]="Surrey",Table1[[#This Row],[income]],0)</f>
        <v>0</v>
      </c>
      <c r="CA263" s="20">
        <f ca="1">IF(Table1[[#This Row],[County]]="Derbyshire",Table1[[#This Row],[income]],0)</f>
        <v>0</v>
      </c>
      <c r="CB263" s="20">
        <f ca="1">IF(Table1[[#This Row],[County]]="City of London",Table1[[#This Row],[income]],0)</f>
        <v>0</v>
      </c>
      <c r="CC263" s="20">
        <f ca="1">IF(Table1[[#This Row],[County]]="Bedfordshire",Table1[[#This Row],[income]],0)</f>
        <v>0</v>
      </c>
      <c r="CD263" s="20">
        <f ca="1">IF(Table1[[#This Row],[County]]="County Durham",Table1[[#This Row],[income]],0)</f>
        <v>0</v>
      </c>
      <c r="CE263" s="20">
        <f ca="1">IF(Table1[[#This Row],[County]]="East Riding of Yorkshire",Table1[[#This Row],[income]],0)</f>
        <v>0</v>
      </c>
      <c r="CF263" s="20">
        <f ca="1">IF(Table1[[#This Row],[County]]="West Yorkshire",Table1[[#This Row],[income]],0)</f>
        <v>0</v>
      </c>
      <c r="CG263" s="20">
        <f ca="1">IF(Table1[[#This Row],[County]]="Essex",Table1[[#This Row],[income]],0)</f>
        <v>0</v>
      </c>
      <c r="CH263" s="20">
        <f ca="1">IF(Table1[[#This Row],[County]]="East Sussex",Table1[[#This Row],[income]],0)</f>
        <v>0</v>
      </c>
      <c r="CI263" s="20">
        <f ca="1">IF(Table1[[#This Row],[County]]="Greater Manchester",Table1[[#This Row],[income]],0)</f>
        <v>0</v>
      </c>
      <c r="CJ263" s="20">
        <f ca="1">IF(Table1[[#This Row],[County]]="Hertfordshire",Table1[[#This Row],[income]],0)</f>
        <v>0</v>
      </c>
      <c r="CK263" s="20">
        <f ca="1">IF(Table1[[#This Row],[County]]="Herefordshire",Table1[[#This Row],[income]],0)</f>
        <v>0</v>
      </c>
      <c r="CL263" s="20">
        <f ca="1">IF(Table1[[#This Row],[County]]="Lancashire",Table1[[#This Row],[income]],0)</f>
        <v>0</v>
      </c>
      <c r="CM263" s="20">
        <f ca="1">IF(Table1[[#This Row],[County]]="Merseyside",Table1[[#This Row],[income]],0)</f>
        <v>0</v>
      </c>
      <c r="CN263" s="20">
        <f ca="1">IF(Table1[[#This Row],[County]]="Northamptonshire",Table1[[#This Row],[income]],0)</f>
        <v>0</v>
      </c>
      <c r="CO263" s="20">
        <f ca="1">IF(Table1[[#This Row],[County]]="Northumberland",Table1[[#This Row],[income]],0)</f>
        <v>0</v>
      </c>
      <c r="CP263" s="20">
        <f ca="1">IF(Table1[[#This Row],[County]]="Wiltshire",Table1[[#This Row],[income]],0)</f>
        <v>0</v>
      </c>
      <c r="CQ263" s="20">
        <f ca="1">IF(Table1[[#This Row],[County]]="West Midlands",Table1[[#This Row],[income]],0)</f>
        <v>0</v>
      </c>
      <c r="CR263" s="20">
        <f ca="1">IF(Table1[[#This Row],[County]]="Warwickshire",Table1[[#This Row],[income]],0)</f>
        <v>0</v>
      </c>
      <c r="CS263" s="20">
        <f ca="1">IF(Table1[[#This Row],[County]]="Tyne and Wear",Table1[[#This Row],[income]],0)</f>
        <v>0</v>
      </c>
      <c r="CT263" s="20">
        <f ca="1">IF(Table1[[#This Row],[County]]="Worcestershire",Table1[[#This Row],[income]],0)</f>
        <v>0</v>
      </c>
      <c r="CU263" s="20">
        <f ca="1">IF(Table1[[#This Row],[County]]="Rutland",Table1[[#This Row],[income]],0)</f>
        <v>98380</v>
      </c>
      <c r="CV263" s="20">
        <f ca="1">IF(Table1[[#This Row],[County]]="Shropshire",Table1[[#This Row],[income]],0)</f>
        <v>0</v>
      </c>
      <c r="CW263" s="20">
        <f ca="1">IF(Table1[[#This Row],[County]]="Dorset",Table1[[#This Row],[income]],0)</f>
        <v>0</v>
      </c>
      <c r="CX263" s="20">
        <f ca="1">IF(Table1[[#This Row],[County]]="Buckinghamshire",Table1[[#This Row],[income]],0)</f>
        <v>0</v>
      </c>
      <c r="CY263" s="20">
        <f ca="1">IF(Table1[[#This Row],[County]]="Suffolk",Table1[[#This Row],[income]],0)</f>
        <v>0</v>
      </c>
      <c r="CZ263" s="20">
        <f ca="1">IF(Table1[[#This Row],[County]]="North Yorkshire",Table1[[#This Row],[income]],0)</f>
        <v>0</v>
      </c>
      <c r="DA263" s="20">
        <f ca="1">IF(Table1[[#This Row],[County]]="Kent",Table1[[#This Row],[income]],0)</f>
        <v>0</v>
      </c>
      <c r="DB263" s="5">
        <f ca="1">IF(Table1[[#This Row],[County]]="Derbyshire",Table1[[#This Row],[income]],0)</f>
        <v>0</v>
      </c>
      <c r="DD263" s="6">
        <f ca="1">IF(Table1[[#This Row],[Column1]]="Health",Table1[[#This Row],[income]],0)</f>
        <v>98380</v>
      </c>
      <c r="DE263" s="20">
        <f ca="1">IF(Table1[[#This Row],[Column1]]="Agriculture",Table1[[#This Row],[income]],0)</f>
        <v>0</v>
      </c>
      <c r="DF263" s="20">
        <f ca="1">IF(Table1[[#This Row],[Column1]]="Technology",Table1[[#This Row],[income]],0)</f>
        <v>0</v>
      </c>
      <c r="DG263" s="20">
        <f ca="1">IF(Table1[[#This Row],[Column1]]="Social Service",Table1[[#This Row],[income]],0)</f>
        <v>0</v>
      </c>
      <c r="DH263" s="20">
        <f ca="1">IF(Table1[[#This Row],[Column1]]="Education",Table1[[#This Row],[income]],0)</f>
        <v>0</v>
      </c>
      <c r="DI263" s="5">
        <f ca="1">IF(Table1[[#This Row],[Column1]]="Construction",Table1[[#This Row],[income]],0)</f>
        <v>0</v>
      </c>
      <c r="DK263" s="6">
        <f ca="1">IF(Table1[[#This Row],[Value of Debts]]&gt;Table1[[#This Row],[income]],1,0)</f>
        <v>1</v>
      </c>
      <c r="DL263" s="20"/>
      <c r="DM263" s="20"/>
      <c r="DN263" s="5"/>
      <c r="DP263" s="6">
        <f ca="1">IF(Table1[[#This Row],[Net Worth (£)]]&gt;$DS$5,C263,0)</f>
        <v>0</v>
      </c>
      <c r="DQ263" s="20"/>
      <c r="DR263" s="20"/>
      <c r="DS263" s="5"/>
    </row>
    <row r="264" spans="1:123" x14ac:dyDescent="0.2">
      <c r="A264">
        <f t="shared" ca="1" si="13"/>
        <v>2</v>
      </c>
      <c r="B264" s="1" t="str">
        <f ca="1">IF(A264=1, "men", "women")</f>
        <v>women</v>
      </c>
      <c r="C264" s="1">
        <f ca="1">RANDBETWEEN(25,50)</f>
        <v>30</v>
      </c>
      <c r="D264">
        <f ca="1">RANDBETWEEN(1,6)</f>
        <v>5</v>
      </c>
      <c r="E264" t="str">
        <f ca="1">VLOOKUP(D264,$W$5:$X$10,2)</f>
        <v>Social Service</v>
      </c>
      <c r="F264">
        <f ca="1">RANDBETWEEN(1,5)</f>
        <v>2</v>
      </c>
      <c r="G264" t="str">
        <f ca="1">VLOOKUP(F264,$Y$5:$Z$9,2)</f>
        <v>College</v>
      </c>
      <c r="H264">
        <f ca="1">RANDBETWEEN(0,4)</f>
        <v>3</v>
      </c>
      <c r="I264">
        <f ca="1">RANDBETWEEN(1,3)</f>
        <v>1</v>
      </c>
      <c r="J264">
        <f ca="1">RANDBETWEEN(30000,100000)</f>
        <v>90955</v>
      </c>
      <c r="K264">
        <f ca="1">RANDBETWEEN(1,48)</f>
        <v>32</v>
      </c>
      <c r="L264" t="str">
        <f ca="1">VLOOKUP(K264,$AA$5:$AB$52,2)</f>
        <v>Northumberland</v>
      </c>
      <c r="M264">
        <f ca="1">J264*(RANDBETWEEN(2,5))</f>
        <v>363820</v>
      </c>
      <c r="N264">
        <f ca="1">RAND()*M264</f>
        <v>285349.04741896992</v>
      </c>
      <c r="O264">
        <f ca="1">I264*RAND()*J264</f>
        <v>23440.075301391444</v>
      </c>
      <c r="P264">
        <f ca="1">RANDBETWEEN(0,O264)</f>
        <v>10724</v>
      </c>
      <c r="Q264">
        <f ca="1">RAND()*J264*2</f>
        <v>55811.091178993229</v>
      </c>
      <c r="R264">
        <f ca="1">RAND()*J264*1.5</f>
        <v>29084.915315808179</v>
      </c>
      <c r="S264">
        <f ca="1">J264+R264+O264</f>
        <v>143479.99061719963</v>
      </c>
      <c r="T264">
        <f ca="1">N264+P264+Q264</f>
        <v>351884.13859796315</v>
      </c>
      <c r="U264">
        <f ca="1">S264-T264</f>
        <v>-208404.14798076352</v>
      </c>
      <c r="AC264" s="6">
        <f ca="1">IF(Table1[[#This Row],[gender]]="men",1,0)</f>
        <v>0</v>
      </c>
      <c r="AD264">
        <f ca="1">IF(Table1[[#This Row],[gender]]="women",1,0)</f>
        <v>1</v>
      </c>
      <c r="AH264" s="5"/>
      <c r="AJ264" s="6">
        <f ca="1">IF(Table1[[#This Row],[Column1]]="Health",1,0)</f>
        <v>0</v>
      </c>
      <c r="AK264">
        <f ca="1">IF(Table1[[#This Row],[Column1]]="Construction",1,0)</f>
        <v>0</v>
      </c>
      <c r="AL264">
        <f ca="1">IF(Table1[[#This Row],[Column1]]="Technology",1,0)</f>
        <v>0</v>
      </c>
      <c r="AM264">
        <f ca="1">IF(Table1[[#This Row],[Column1]]="Education",1,0)</f>
        <v>0</v>
      </c>
      <c r="AN264">
        <f ca="1">IF(Table1[[#This Row],[Column1]]="Agriculture",1,0)</f>
        <v>0</v>
      </c>
      <c r="AO264">
        <f ca="1">IF(Table1[[#This Row],[Column1]]="Social Service", 1, 0)</f>
        <v>1</v>
      </c>
      <c r="AT264" s="5"/>
      <c r="AV264" s="17">
        <f t="shared" ca="1" si="12"/>
        <v>52004.368202753576</v>
      </c>
      <c r="AW264" s="5"/>
      <c r="AX264" s="6">
        <f ca="1">IF(Table1[[#This Row],[Value of Debts]]&gt;$AY$4,1,0)</f>
        <v>1</v>
      </c>
      <c r="AY264" s="20"/>
      <c r="AZ264" s="20"/>
      <c r="BA264" s="5"/>
      <c r="BB264" s="25">
        <f ca="1">Table1[[#This Row],[Mortage Left]]/Table1[[#This Row],[Value of House]]</f>
        <v>0.78431380193219147</v>
      </c>
      <c r="BC264" s="20">
        <f t="shared" ca="1" si="14"/>
        <v>0</v>
      </c>
      <c r="BD264" s="20"/>
      <c r="BE264" s="20"/>
      <c r="BF264" s="20"/>
      <c r="BG264" s="6">
        <f ca="1">IF(Table1[[#This Row],[County]]="Cumbria",Table1[[#This Row],[income]],0)</f>
        <v>0</v>
      </c>
      <c r="BH264" s="20">
        <f ca="1">IF(Table1[[#This Row],[County]]="Cheshire",Table1[[#This Row],[income]],0)</f>
        <v>0</v>
      </c>
      <c r="BI264" s="20">
        <f ca="1">IF(Table1[[#This Row],[County]]="Bristol",Table1[[#This Row],[income]],0)</f>
        <v>0</v>
      </c>
      <c r="BJ264" s="20">
        <f ca="1">IF(Table1[[#This Row],[County]]="Surrey",Table1[[#This Row],[income]],0)</f>
        <v>0</v>
      </c>
      <c r="BK264" s="20">
        <f ca="1">IF(Table1[[#This Row],[County]]="Norfolk",Table1[[#This Row],[income]],0)</f>
        <v>0</v>
      </c>
      <c r="BL264" s="20">
        <f ca="1">IF(Table1[[#This Row],[County]]="Lincolnshire",Table1[[#This Row],[income]],0)</f>
        <v>0</v>
      </c>
      <c r="BM264" s="20">
        <f ca="1">IF(Table1[[#This Row],[County]]="Somerset",Table1[[#This Row],[income]],0)</f>
        <v>0</v>
      </c>
      <c r="BN264" s="20">
        <f ca="1">IF(Table1[[#This Row],[County]]="Cambridgeshire",Table1[[#This Row],[income]],0)</f>
        <v>0</v>
      </c>
      <c r="BO264" s="20">
        <f ca="1">IF(Table1[[#This Row],[County]]="South Yorkshire",Table1[[#This Row],[income]],0)</f>
        <v>0</v>
      </c>
      <c r="BP264" s="20">
        <f ca="1">IF(Table1[[#This Row],[County]]="Greater London",Table1[[#This Row],[income]],0)</f>
        <v>0</v>
      </c>
      <c r="BQ264" s="20">
        <f ca="1">IF(Table1[[#This Row],[County]]="Hampshire",Table1[[#This Row],[income]],0)</f>
        <v>0</v>
      </c>
      <c r="BR264" s="20">
        <f ca="1">IF(Table1[[#This Row],[County]]="Gloucestershire",Table1[[#This Row],[income]],0)</f>
        <v>0</v>
      </c>
      <c r="BS264" s="20">
        <f ca="1">IF(Table1[[#This Row],[County]]="West Sussex",Table1[[#This Row],[income]],0)</f>
        <v>0</v>
      </c>
      <c r="BT264" s="20">
        <f ca="1">IF(Table1[[#This Row],[County]]="Devon",Table1[[#This Row],[income]],0)</f>
        <v>0</v>
      </c>
      <c r="BU264" s="20">
        <f ca="1">IF(Table1[[#This Row],[County]]="Berkshire",Table1[[#This Row],[income]],0)</f>
        <v>0</v>
      </c>
      <c r="BV264" s="20">
        <f ca="1">IF(Table1[[#This Row],[County]]="Staffordshire",Table1[[#This Row],[income]],0)</f>
        <v>0</v>
      </c>
      <c r="BW264" s="20">
        <f ca="1">IF(Table1[[#This Row],[County]]="Leicestershire",Table1[[#This Row],[income]],0)</f>
        <v>0</v>
      </c>
      <c r="BX264" s="20">
        <f ca="1">IF(Table1[[#This Row],[County]]="Cornwall",Table1[[#This Row],[income]],0)</f>
        <v>0</v>
      </c>
      <c r="BY264" s="20">
        <f ca="1">IF(Table1[[#This Row],[County]]="Isle of Wight",Table1[[#This Row],[income]],0)</f>
        <v>0</v>
      </c>
      <c r="BZ264" s="20">
        <f ca="1">IF(Table1[[#This Row],[County]]="Surrey",Table1[[#This Row],[income]],0)</f>
        <v>0</v>
      </c>
      <c r="CA264" s="20">
        <f ca="1">IF(Table1[[#This Row],[County]]="Derbyshire",Table1[[#This Row],[income]],0)</f>
        <v>0</v>
      </c>
      <c r="CB264" s="20">
        <f ca="1">IF(Table1[[#This Row],[County]]="City of London",Table1[[#This Row],[income]],0)</f>
        <v>0</v>
      </c>
      <c r="CC264" s="20">
        <f ca="1">IF(Table1[[#This Row],[County]]="Bedfordshire",Table1[[#This Row],[income]],0)</f>
        <v>0</v>
      </c>
      <c r="CD264" s="20">
        <f ca="1">IF(Table1[[#This Row],[County]]="County Durham",Table1[[#This Row],[income]],0)</f>
        <v>0</v>
      </c>
      <c r="CE264" s="20">
        <f ca="1">IF(Table1[[#This Row],[County]]="East Riding of Yorkshire",Table1[[#This Row],[income]],0)</f>
        <v>0</v>
      </c>
      <c r="CF264" s="20">
        <f ca="1">IF(Table1[[#This Row],[County]]="West Yorkshire",Table1[[#This Row],[income]],0)</f>
        <v>0</v>
      </c>
      <c r="CG264" s="20">
        <f ca="1">IF(Table1[[#This Row],[County]]="Essex",Table1[[#This Row],[income]],0)</f>
        <v>0</v>
      </c>
      <c r="CH264" s="20">
        <f ca="1">IF(Table1[[#This Row],[County]]="East Sussex",Table1[[#This Row],[income]],0)</f>
        <v>0</v>
      </c>
      <c r="CI264" s="20">
        <f ca="1">IF(Table1[[#This Row],[County]]="Greater Manchester",Table1[[#This Row],[income]],0)</f>
        <v>0</v>
      </c>
      <c r="CJ264" s="20">
        <f ca="1">IF(Table1[[#This Row],[County]]="Hertfordshire",Table1[[#This Row],[income]],0)</f>
        <v>0</v>
      </c>
      <c r="CK264" s="20">
        <f ca="1">IF(Table1[[#This Row],[County]]="Herefordshire",Table1[[#This Row],[income]],0)</f>
        <v>0</v>
      </c>
      <c r="CL264" s="20">
        <f ca="1">IF(Table1[[#This Row],[County]]="Lancashire",Table1[[#This Row],[income]],0)</f>
        <v>0</v>
      </c>
      <c r="CM264" s="20">
        <f ca="1">IF(Table1[[#This Row],[County]]="Merseyside",Table1[[#This Row],[income]],0)</f>
        <v>0</v>
      </c>
      <c r="CN264" s="20">
        <f ca="1">IF(Table1[[#This Row],[County]]="Northamptonshire",Table1[[#This Row],[income]],0)</f>
        <v>0</v>
      </c>
      <c r="CO264" s="20">
        <f ca="1">IF(Table1[[#This Row],[County]]="Northumberland",Table1[[#This Row],[income]],0)</f>
        <v>90955</v>
      </c>
      <c r="CP264" s="20">
        <f ca="1">IF(Table1[[#This Row],[County]]="Wiltshire",Table1[[#This Row],[income]],0)</f>
        <v>0</v>
      </c>
      <c r="CQ264" s="20">
        <f ca="1">IF(Table1[[#This Row],[County]]="West Midlands",Table1[[#This Row],[income]],0)</f>
        <v>0</v>
      </c>
      <c r="CR264" s="20">
        <f ca="1">IF(Table1[[#This Row],[County]]="Warwickshire",Table1[[#This Row],[income]],0)</f>
        <v>0</v>
      </c>
      <c r="CS264" s="20">
        <f ca="1">IF(Table1[[#This Row],[County]]="Tyne and Wear",Table1[[#This Row],[income]],0)</f>
        <v>0</v>
      </c>
      <c r="CT264" s="20">
        <f ca="1">IF(Table1[[#This Row],[County]]="Worcestershire",Table1[[#This Row],[income]],0)</f>
        <v>0</v>
      </c>
      <c r="CU264" s="20">
        <f ca="1">IF(Table1[[#This Row],[County]]="Rutland",Table1[[#This Row],[income]],0)</f>
        <v>0</v>
      </c>
      <c r="CV264" s="20">
        <f ca="1">IF(Table1[[#This Row],[County]]="Shropshire",Table1[[#This Row],[income]],0)</f>
        <v>0</v>
      </c>
      <c r="CW264" s="20">
        <f ca="1">IF(Table1[[#This Row],[County]]="Dorset",Table1[[#This Row],[income]],0)</f>
        <v>0</v>
      </c>
      <c r="CX264" s="20">
        <f ca="1">IF(Table1[[#This Row],[County]]="Buckinghamshire",Table1[[#This Row],[income]],0)</f>
        <v>0</v>
      </c>
      <c r="CY264" s="20">
        <f ca="1">IF(Table1[[#This Row],[County]]="Suffolk",Table1[[#This Row],[income]],0)</f>
        <v>0</v>
      </c>
      <c r="CZ264" s="20">
        <f ca="1">IF(Table1[[#This Row],[County]]="North Yorkshire",Table1[[#This Row],[income]],0)</f>
        <v>0</v>
      </c>
      <c r="DA264" s="20">
        <f ca="1">IF(Table1[[#This Row],[County]]="Kent",Table1[[#This Row],[income]],0)</f>
        <v>0</v>
      </c>
      <c r="DB264" s="5">
        <f ca="1">IF(Table1[[#This Row],[County]]="Derbyshire",Table1[[#This Row],[income]],0)</f>
        <v>0</v>
      </c>
      <c r="DD264" s="6">
        <f ca="1">IF(Table1[[#This Row],[Column1]]="Health",Table1[[#This Row],[income]],0)</f>
        <v>0</v>
      </c>
      <c r="DE264" s="20">
        <f ca="1">IF(Table1[[#This Row],[Column1]]="Agriculture",Table1[[#This Row],[income]],0)</f>
        <v>0</v>
      </c>
      <c r="DF264" s="20">
        <f ca="1">IF(Table1[[#This Row],[Column1]]="Technology",Table1[[#This Row],[income]],0)</f>
        <v>0</v>
      </c>
      <c r="DG264" s="20">
        <f ca="1">IF(Table1[[#This Row],[Column1]]="Social Service",Table1[[#This Row],[income]],0)</f>
        <v>90955</v>
      </c>
      <c r="DH264" s="20">
        <f ca="1">IF(Table1[[#This Row],[Column1]]="Education",Table1[[#This Row],[income]],0)</f>
        <v>0</v>
      </c>
      <c r="DI264" s="5">
        <f ca="1">IF(Table1[[#This Row],[Column1]]="Construction",Table1[[#This Row],[income]],0)</f>
        <v>0</v>
      </c>
      <c r="DK264" s="6">
        <f ca="1">IF(Table1[[#This Row],[Value of Debts]]&gt;Table1[[#This Row],[income]],1,0)</f>
        <v>1</v>
      </c>
      <c r="DL264" s="20"/>
      <c r="DM264" s="20"/>
      <c r="DN264" s="5"/>
      <c r="DP264" s="6">
        <f ca="1">IF(Table1[[#This Row],[Net Worth (£)]]&gt;$DS$5,C264,0)</f>
        <v>0</v>
      </c>
      <c r="DQ264" s="20"/>
      <c r="DR264" s="20"/>
      <c r="DS264" s="5"/>
    </row>
    <row r="265" spans="1:123" x14ac:dyDescent="0.2">
      <c r="A265">
        <f t="shared" ca="1" si="13"/>
        <v>1</v>
      </c>
      <c r="B265" s="1" t="str">
        <f ca="1">IF(A265=1, "men", "women")</f>
        <v>men</v>
      </c>
      <c r="C265" s="1">
        <f ca="1">RANDBETWEEN(25,50)</f>
        <v>41</v>
      </c>
      <c r="D265">
        <f ca="1">RANDBETWEEN(1,6)</f>
        <v>1</v>
      </c>
      <c r="E265" t="str">
        <f ca="1">VLOOKUP(D265,$W$5:$X$10,2)</f>
        <v>Health</v>
      </c>
      <c r="F265">
        <f ca="1">RANDBETWEEN(1,5)</f>
        <v>5</v>
      </c>
      <c r="G265" t="str">
        <f ca="1">VLOOKUP(F265,$Y$5:$Z$9,2)</f>
        <v>Other</v>
      </c>
      <c r="H265">
        <f ca="1">RANDBETWEEN(0,4)</f>
        <v>0</v>
      </c>
      <c r="I265">
        <f ca="1">RANDBETWEEN(1,3)</f>
        <v>1</v>
      </c>
      <c r="J265">
        <f ca="1">RANDBETWEEN(30000,100000)</f>
        <v>56996</v>
      </c>
      <c r="K265">
        <f ca="1">RANDBETWEEN(1,48)</f>
        <v>23</v>
      </c>
      <c r="L265" t="str">
        <f ca="1">VLOOKUP(K265,$AA$5:$AB$52,2)</f>
        <v>Isle of Wight</v>
      </c>
      <c r="M265">
        <f ca="1">J265*(RANDBETWEEN(2,5))</f>
        <v>227984</v>
      </c>
      <c r="N265">
        <f ca="1">RAND()*M265</f>
        <v>192747.44798228116</v>
      </c>
      <c r="O265">
        <f ca="1">I265*RAND()*J265</f>
        <v>52004.368202753576</v>
      </c>
      <c r="P265">
        <f ca="1">RANDBETWEEN(0,O265)</f>
        <v>24127</v>
      </c>
      <c r="Q265">
        <f ca="1">RAND()*J265*2</f>
        <v>855.19567824148839</v>
      </c>
      <c r="R265">
        <f ca="1">RAND()*J265*1.5</f>
        <v>14559.33480411959</v>
      </c>
      <c r="S265">
        <f ca="1">J265+R265+O265</f>
        <v>123559.70300687317</v>
      </c>
      <c r="T265">
        <f ca="1">N265+P265+Q265</f>
        <v>217729.64366052265</v>
      </c>
      <c r="U265">
        <f ca="1">S265-T265</f>
        <v>-94169.940653649479</v>
      </c>
      <c r="AC265" s="6">
        <f ca="1">IF(Table1[[#This Row],[gender]]="men",1,0)</f>
        <v>1</v>
      </c>
      <c r="AD265">
        <f ca="1">IF(Table1[[#This Row],[gender]]="women",1,0)</f>
        <v>0</v>
      </c>
      <c r="AH265" s="5"/>
      <c r="AJ265" s="6">
        <f ca="1">IF(Table1[[#This Row],[Column1]]="Health",1,0)</f>
        <v>1</v>
      </c>
      <c r="AK265">
        <f ca="1">IF(Table1[[#This Row],[Column1]]="Construction",1,0)</f>
        <v>0</v>
      </c>
      <c r="AL265">
        <f ca="1">IF(Table1[[#This Row],[Column1]]="Technology",1,0)</f>
        <v>0</v>
      </c>
      <c r="AM265">
        <f ca="1">IF(Table1[[#This Row],[Column1]]="Education",1,0)</f>
        <v>0</v>
      </c>
      <c r="AN265">
        <f ca="1">IF(Table1[[#This Row],[Column1]]="Agriculture",1,0)</f>
        <v>0</v>
      </c>
      <c r="AO265">
        <f ca="1">IF(Table1[[#This Row],[Column1]]="Social Service", 1, 0)</f>
        <v>0</v>
      </c>
      <c r="AT265" s="5"/>
      <c r="AV265" s="17">
        <f t="shared" ca="1" si="12"/>
        <v>1309.0469854754276</v>
      </c>
      <c r="AW265" s="5"/>
      <c r="AX265" s="6">
        <f ca="1">IF(Table1[[#This Row],[Value of Debts]]&gt;$AY$4,1,0)</f>
        <v>1</v>
      </c>
      <c r="AY265" s="20"/>
      <c r="AZ265" s="20"/>
      <c r="BA265" s="5"/>
      <c r="BB265" s="25">
        <f ca="1">Table1[[#This Row],[Mortage Left]]/Table1[[#This Row],[Value of House]]</f>
        <v>0.84544287310636346</v>
      </c>
      <c r="BC265" s="20">
        <f t="shared" ca="1" si="14"/>
        <v>0</v>
      </c>
      <c r="BD265" s="20"/>
      <c r="BE265" s="20"/>
      <c r="BF265" s="20"/>
      <c r="BG265" s="6">
        <f ca="1">IF(Table1[[#This Row],[County]]="Cumbria",Table1[[#This Row],[income]],0)</f>
        <v>0</v>
      </c>
      <c r="BH265" s="20">
        <f ca="1">IF(Table1[[#This Row],[County]]="Cheshire",Table1[[#This Row],[income]],0)</f>
        <v>0</v>
      </c>
      <c r="BI265" s="20">
        <f ca="1">IF(Table1[[#This Row],[County]]="Bristol",Table1[[#This Row],[income]],0)</f>
        <v>0</v>
      </c>
      <c r="BJ265" s="20">
        <f ca="1">IF(Table1[[#This Row],[County]]="Surrey",Table1[[#This Row],[income]],0)</f>
        <v>0</v>
      </c>
      <c r="BK265" s="20">
        <f ca="1">IF(Table1[[#This Row],[County]]="Norfolk",Table1[[#This Row],[income]],0)</f>
        <v>0</v>
      </c>
      <c r="BL265" s="20">
        <f ca="1">IF(Table1[[#This Row],[County]]="Lincolnshire",Table1[[#This Row],[income]],0)</f>
        <v>0</v>
      </c>
      <c r="BM265" s="20">
        <f ca="1">IF(Table1[[#This Row],[County]]="Somerset",Table1[[#This Row],[income]],0)</f>
        <v>0</v>
      </c>
      <c r="BN265" s="20">
        <f ca="1">IF(Table1[[#This Row],[County]]="Cambridgeshire",Table1[[#This Row],[income]],0)</f>
        <v>0</v>
      </c>
      <c r="BO265" s="20">
        <f ca="1">IF(Table1[[#This Row],[County]]="South Yorkshire",Table1[[#This Row],[income]],0)</f>
        <v>0</v>
      </c>
      <c r="BP265" s="20">
        <f ca="1">IF(Table1[[#This Row],[County]]="Greater London",Table1[[#This Row],[income]],0)</f>
        <v>0</v>
      </c>
      <c r="BQ265" s="20">
        <f ca="1">IF(Table1[[#This Row],[County]]="Hampshire",Table1[[#This Row],[income]],0)</f>
        <v>0</v>
      </c>
      <c r="BR265" s="20">
        <f ca="1">IF(Table1[[#This Row],[County]]="Gloucestershire",Table1[[#This Row],[income]],0)</f>
        <v>0</v>
      </c>
      <c r="BS265" s="20">
        <f ca="1">IF(Table1[[#This Row],[County]]="West Sussex",Table1[[#This Row],[income]],0)</f>
        <v>0</v>
      </c>
      <c r="BT265" s="20">
        <f ca="1">IF(Table1[[#This Row],[County]]="Devon",Table1[[#This Row],[income]],0)</f>
        <v>0</v>
      </c>
      <c r="BU265" s="20">
        <f ca="1">IF(Table1[[#This Row],[County]]="Berkshire",Table1[[#This Row],[income]],0)</f>
        <v>0</v>
      </c>
      <c r="BV265" s="20">
        <f ca="1">IF(Table1[[#This Row],[County]]="Staffordshire",Table1[[#This Row],[income]],0)</f>
        <v>0</v>
      </c>
      <c r="BW265" s="20">
        <f ca="1">IF(Table1[[#This Row],[County]]="Leicestershire",Table1[[#This Row],[income]],0)</f>
        <v>0</v>
      </c>
      <c r="BX265" s="20">
        <f ca="1">IF(Table1[[#This Row],[County]]="Cornwall",Table1[[#This Row],[income]],0)</f>
        <v>0</v>
      </c>
      <c r="BY265" s="20">
        <f ca="1">IF(Table1[[#This Row],[County]]="Isle of Wight",Table1[[#This Row],[income]],0)</f>
        <v>56996</v>
      </c>
      <c r="BZ265" s="20">
        <f ca="1">IF(Table1[[#This Row],[County]]="Surrey",Table1[[#This Row],[income]],0)</f>
        <v>0</v>
      </c>
      <c r="CA265" s="20">
        <f ca="1">IF(Table1[[#This Row],[County]]="Derbyshire",Table1[[#This Row],[income]],0)</f>
        <v>0</v>
      </c>
      <c r="CB265" s="20">
        <f ca="1">IF(Table1[[#This Row],[County]]="City of London",Table1[[#This Row],[income]],0)</f>
        <v>0</v>
      </c>
      <c r="CC265" s="20">
        <f ca="1">IF(Table1[[#This Row],[County]]="Bedfordshire",Table1[[#This Row],[income]],0)</f>
        <v>0</v>
      </c>
      <c r="CD265" s="20">
        <f ca="1">IF(Table1[[#This Row],[County]]="County Durham",Table1[[#This Row],[income]],0)</f>
        <v>0</v>
      </c>
      <c r="CE265" s="20">
        <f ca="1">IF(Table1[[#This Row],[County]]="East Riding of Yorkshire",Table1[[#This Row],[income]],0)</f>
        <v>0</v>
      </c>
      <c r="CF265" s="20">
        <f ca="1">IF(Table1[[#This Row],[County]]="West Yorkshire",Table1[[#This Row],[income]],0)</f>
        <v>0</v>
      </c>
      <c r="CG265" s="20">
        <f ca="1">IF(Table1[[#This Row],[County]]="Essex",Table1[[#This Row],[income]],0)</f>
        <v>0</v>
      </c>
      <c r="CH265" s="20">
        <f ca="1">IF(Table1[[#This Row],[County]]="East Sussex",Table1[[#This Row],[income]],0)</f>
        <v>0</v>
      </c>
      <c r="CI265" s="20">
        <f ca="1">IF(Table1[[#This Row],[County]]="Greater Manchester",Table1[[#This Row],[income]],0)</f>
        <v>0</v>
      </c>
      <c r="CJ265" s="20">
        <f ca="1">IF(Table1[[#This Row],[County]]="Hertfordshire",Table1[[#This Row],[income]],0)</f>
        <v>0</v>
      </c>
      <c r="CK265" s="20">
        <f ca="1">IF(Table1[[#This Row],[County]]="Herefordshire",Table1[[#This Row],[income]],0)</f>
        <v>0</v>
      </c>
      <c r="CL265" s="20">
        <f ca="1">IF(Table1[[#This Row],[County]]="Lancashire",Table1[[#This Row],[income]],0)</f>
        <v>0</v>
      </c>
      <c r="CM265" s="20">
        <f ca="1">IF(Table1[[#This Row],[County]]="Merseyside",Table1[[#This Row],[income]],0)</f>
        <v>0</v>
      </c>
      <c r="CN265" s="20">
        <f ca="1">IF(Table1[[#This Row],[County]]="Northamptonshire",Table1[[#This Row],[income]],0)</f>
        <v>0</v>
      </c>
      <c r="CO265" s="20">
        <f ca="1">IF(Table1[[#This Row],[County]]="Northumberland",Table1[[#This Row],[income]],0)</f>
        <v>0</v>
      </c>
      <c r="CP265" s="20">
        <f ca="1">IF(Table1[[#This Row],[County]]="Wiltshire",Table1[[#This Row],[income]],0)</f>
        <v>0</v>
      </c>
      <c r="CQ265" s="20">
        <f ca="1">IF(Table1[[#This Row],[County]]="West Midlands",Table1[[#This Row],[income]],0)</f>
        <v>0</v>
      </c>
      <c r="CR265" s="20">
        <f ca="1">IF(Table1[[#This Row],[County]]="Warwickshire",Table1[[#This Row],[income]],0)</f>
        <v>0</v>
      </c>
      <c r="CS265" s="20">
        <f ca="1">IF(Table1[[#This Row],[County]]="Tyne and Wear",Table1[[#This Row],[income]],0)</f>
        <v>0</v>
      </c>
      <c r="CT265" s="20">
        <f ca="1">IF(Table1[[#This Row],[County]]="Worcestershire",Table1[[#This Row],[income]],0)</f>
        <v>0</v>
      </c>
      <c r="CU265" s="20">
        <f ca="1">IF(Table1[[#This Row],[County]]="Rutland",Table1[[#This Row],[income]],0)</f>
        <v>0</v>
      </c>
      <c r="CV265" s="20">
        <f ca="1">IF(Table1[[#This Row],[County]]="Shropshire",Table1[[#This Row],[income]],0)</f>
        <v>0</v>
      </c>
      <c r="CW265" s="20">
        <f ca="1">IF(Table1[[#This Row],[County]]="Dorset",Table1[[#This Row],[income]],0)</f>
        <v>0</v>
      </c>
      <c r="CX265" s="20">
        <f ca="1">IF(Table1[[#This Row],[County]]="Buckinghamshire",Table1[[#This Row],[income]],0)</f>
        <v>0</v>
      </c>
      <c r="CY265" s="20">
        <f ca="1">IF(Table1[[#This Row],[County]]="Suffolk",Table1[[#This Row],[income]],0)</f>
        <v>0</v>
      </c>
      <c r="CZ265" s="20">
        <f ca="1">IF(Table1[[#This Row],[County]]="North Yorkshire",Table1[[#This Row],[income]],0)</f>
        <v>0</v>
      </c>
      <c r="DA265" s="20">
        <f ca="1">IF(Table1[[#This Row],[County]]="Kent",Table1[[#This Row],[income]],0)</f>
        <v>0</v>
      </c>
      <c r="DB265" s="5">
        <f ca="1">IF(Table1[[#This Row],[County]]="Derbyshire",Table1[[#This Row],[income]],0)</f>
        <v>0</v>
      </c>
      <c r="DD265" s="6">
        <f ca="1">IF(Table1[[#This Row],[Column1]]="Health",Table1[[#This Row],[income]],0)</f>
        <v>56996</v>
      </c>
      <c r="DE265" s="20">
        <f ca="1">IF(Table1[[#This Row],[Column1]]="Agriculture",Table1[[#This Row],[income]],0)</f>
        <v>0</v>
      </c>
      <c r="DF265" s="20">
        <f ca="1">IF(Table1[[#This Row],[Column1]]="Technology",Table1[[#This Row],[income]],0)</f>
        <v>0</v>
      </c>
      <c r="DG265" s="20">
        <f ca="1">IF(Table1[[#This Row],[Column1]]="Social Service",Table1[[#This Row],[income]],0)</f>
        <v>0</v>
      </c>
      <c r="DH265" s="20">
        <f ca="1">IF(Table1[[#This Row],[Column1]]="Education",Table1[[#This Row],[income]],0)</f>
        <v>0</v>
      </c>
      <c r="DI265" s="5">
        <f ca="1">IF(Table1[[#This Row],[Column1]]="Construction",Table1[[#This Row],[income]],0)</f>
        <v>0</v>
      </c>
      <c r="DK265" s="6">
        <f ca="1">IF(Table1[[#This Row],[Value of Debts]]&gt;Table1[[#This Row],[income]],1,0)</f>
        <v>1</v>
      </c>
      <c r="DL265" s="20"/>
      <c r="DM265" s="20"/>
      <c r="DN265" s="5"/>
      <c r="DP265" s="6">
        <f ca="1">IF(Table1[[#This Row],[Net Worth (£)]]&gt;$DS$5,C265,0)</f>
        <v>0</v>
      </c>
      <c r="DQ265" s="20"/>
      <c r="DR265" s="20"/>
      <c r="DS265" s="5"/>
    </row>
    <row r="266" spans="1:123" x14ac:dyDescent="0.2">
      <c r="A266">
        <f t="shared" ca="1" si="13"/>
        <v>2</v>
      </c>
      <c r="B266" s="1" t="str">
        <f ca="1">IF(A266=1, "men", "women")</f>
        <v>women</v>
      </c>
      <c r="C266" s="1">
        <f ca="1">RANDBETWEEN(25,50)</f>
        <v>25</v>
      </c>
      <c r="D266">
        <f ca="1">RANDBETWEEN(1,6)</f>
        <v>5</v>
      </c>
      <c r="E266" t="str">
        <f ca="1">VLOOKUP(D266,$W$5:$X$10,2)</f>
        <v>Social Service</v>
      </c>
      <c r="F266">
        <f ca="1">RANDBETWEEN(1,5)</f>
        <v>5</v>
      </c>
      <c r="G266" t="str">
        <f ca="1">VLOOKUP(F266,$Y$5:$Z$9,2)</f>
        <v>Other</v>
      </c>
      <c r="H266">
        <f ca="1">RANDBETWEEN(0,4)</f>
        <v>0</v>
      </c>
      <c r="I266">
        <f ca="1">RANDBETWEEN(1,3)</f>
        <v>2</v>
      </c>
      <c r="J266">
        <f ca="1">RANDBETWEEN(30000,100000)</f>
        <v>38425</v>
      </c>
      <c r="K266">
        <f ca="1">RANDBETWEEN(1,48)</f>
        <v>28</v>
      </c>
      <c r="L266" t="str">
        <f ca="1">VLOOKUP(K266,$AA$5:$AB$52,2)</f>
        <v>Lincolnshire</v>
      </c>
      <c r="M266">
        <f ca="1">J266*(RANDBETWEEN(2,5))</f>
        <v>192125</v>
      </c>
      <c r="N266">
        <f ca="1">RAND()*M266</f>
        <v>27105.303871941567</v>
      </c>
      <c r="O266">
        <f ca="1">I266*RAND()*J266</f>
        <v>2618.0939709508552</v>
      </c>
      <c r="P266">
        <f ca="1">RANDBETWEEN(0,O266)</f>
        <v>1166</v>
      </c>
      <c r="Q266">
        <f ca="1">RAND()*J266*2</f>
        <v>65628.864111740433</v>
      </c>
      <c r="R266">
        <f ca="1">RAND()*J266*1.5</f>
        <v>34561.615052147929</v>
      </c>
      <c r="S266">
        <f ca="1">J266+R266+O266</f>
        <v>75604.709023098781</v>
      </c>
      <c r="T266">
        <f ca="1">N266+P266+Q266</f>
        <v>93900.167983681997</v>
      </c>
      <c r="U266">
        <f ca="1">S266-T266</f>
        <v>-18295.458960583215</v>
      </c>
      <c r="AC266" s="6">
        <f ca="1">IF(Table1[[#This Row],[gender]]="men",1,0)</f>
        <v>0</v>
      </c>
      <c r="AD266">
        <f ca="1">IF(Table1[[#This Row],[gender]]="women",1,0)</f>
        <v>1</v>
      </c>
      <c r="AH266" s="5"/>
      <c r="AJ266" s="6">
        <f ca="1">IF(Table1[[#This Row],[Column1]]="Health",1,0)</f>
        <v>0</v>
      </c>
      <c r="AK266">
        <f ca="1">IF(Table1[[#This Row],[Column1]]="Construction",1,0)</f>
        <v>0</v>
      </c>
      <c r="AL266">
        <f ca="1">IF(Table1[[#This Row],[Column1]]="Technology",1,0)</f>
        <v>0</v>
      </c>
      <c r="AM266">
        <f ca="1">IF(Table1[[#This Row],[Column1]]="Education",1,0)</f>
        <v>0</v>
      </c>
      <c r="AN266">
        <f ca="1">IF(Table1[[#This Row],[Column1]]="Agriculture",1,0)</f>
        <v>0</v>
      </c>
      <c r="AO266">
        <f ca="1">IF(Table1[[#This Row],[Column1]]="Social Service", 1, 0)</f>
        <v>1</v>
      </c>
      <c r="AT266" s="5"/>
      <c r="AV266" s="17">
        <f t="shared" ca="1" si="12"/>
        <v>54168.597404045657</v>
      </c>
      <c r="AW266" s="5"/>
      <c r="AX266" s="6">
        <f ca="1">IF(Table1[[#This Row],[Value of Debts]]&gt;$AY$4,1,0)</f>
        <v>0</v>
      </c>
      <c r="AY266" s="20"/>
      <c r="AZ266" s="20"/>
      <c r="BA266" s="5"/>
      <c r="BB266" s="25">
        <f ca="1">Table1[[#This Row],[Mortage Left]]/Table1[[#This Row],[Value of House]]</f>
        <v>0.14108160766137445</v>
      </c>
      <c r="BC266" s="20">
        <f t="shared" ca="1" si="14"/>
        <v>1</v>
      </c>
      <c r="BD266" s="20"/>
      <c r="BE266" s="20"/>
      <c r="BF266" s="20"/>
      <c r="BG266" s="6">
        <f ca="1">IF(Table1[[#This Row],[County]]="Cumbria",Table1[[#This Row],[income]],0)</f>
        <v>0</v>
      </c>
      <c r="BH266" s="20">
        <f ca="1">IF(Table1[[#This Row],[County]]="Cheshire",Table1[[#This Row],[income]],0)</f>
        <v>0</v>
      </c>
      <c r="BI266" s="20">
        <f ca="1">IF(Table1[[#This Row],[County]]="Bristol",Table1[[#This Row],[income]],0)</f>
        <v>0</v>
      </c>
      <c r="BJ266" s="20">
        <f ca="1">IF(Table1[[#This Row],[County]]="Surrey",Table1[[#This Row],[income]],0)</f>
        <v>0</v>
      </c>
      <c r="BK266" s="20">
        <f ca="1">IF(Table1[[#This Row],[County]]="Norfolk",Table1[[#This Row],[income]],0)</f>
        <v>0</v>
      </c>
      <c r="BL266" s="20">
        <f ca="1">IF(Table1[[#This Row],[County]]="Lincolnshire",Table1[[#This Row],[income]],0)</f>
        <v>38425</v>
      </c>
      <c r="BM266" s="20">
        <f ca="1">IF(Table1[[#This Row],[County]]="Somerset",Table1[[#This Row],[income]],0)</f>
        <v>0</v>
      </c>
      <c r="BN266" s="20">
        <f ca="1">IF(Table1[[#This Row],[County]]="Cambridgeshire",Table1[[#This Row],[income]],0)</f>
        <v>0</v>
      </c>
      <c r="BO266" s="20">
        <f ca="1">IF(Table1[[#This Row],[County]]="South Yorkshire",Table1[[#This Row],[income]],0)</f>
        <v>0</v>
      </c>
      <c r="BP266" s="20">
        <f ca="1">IF(Table1[[#This Row],[County]]="Greater London",Table1[[#This Row],[income]],0)</f>
        <v>0</v>
      </c>
      <c r="BQ266" s="20">
        <f ca="1">IF(Table1[[#This Row],[County]]="Hampshire",Table1[[#This Row],[income]],0)</f>
        <v>0</v>
      </c>
      <c r="BR266" s="20">
        <f ca="1">IF(Table1[[#This Row],[County]]="Gloucestershire",Table1[[#This Row],[income]],0)</f>
        <v>0</v>
      </c>
      <c r="BS266" s="20">
        <f ca="1">IF(Table1[[#This Row],[County]]="West Sussex",Table1[[#This Row],[income]],0)</f>
        <v>0</v>
      </c>
      <c r="BT266" s="20">
        <f ca="1">IF(Table1[[#This Row],[County]]="Devon",Table1[[#This Row],[income]],0)</f>
        <v>0</v>
      </c>
      <c r="BU266" s="20">
        <f ca="1">IF(Table1[[#This Row],[County]]="Berkshire",Table1[[#This Row],[income]],0)</f>
        <v>0</v>
      </c>
      <c r="BV266" s="20">
        <f ca="1">IF(Table1[[#This Row],[County]]="Staffordshire",Table1[[#This Row],[income]],0)</f>
        <v>0</v>
      </c>
      <c r="BW266" s="20">
        <f ca="1">IF(Table1[[#This Row],[County]]="Leicestershire",Table1[[#This Row],[income]],0)</f>
        <v>0</v>
      </c>
      <c r="BX266" s="20">
        <f ca="1">IF(Table1[[#This Row],[County]]="Cornwall",Table1[[#This Row],[income]],0)</f>
        <v>0</v>
      </c>
      <c r="BY266" s="20">
        <f ca="1">IF(Table1[[#This Row],[County]]="Isle of Wight",Table1[[#This Row],[income]],0)</f>
        <v>0</v>
      </c>
      <c r="BZ266" s="20">
        <f ca="1">IF(Table1[[#This Row],[County]]="Surrey",Table1[[#This Row],[income]],0)</f>
        <v>0</v>
      </c>
      <c r="CA266" s="20">
        <f ca="1">IF(Table1[[#This Row],[County]]="Derbyshire",Table1[[#This Row],[income]],0)</f>
        <v>0</v>
      </c>
      <c r="CB266" s="20">
        <f ca="1">IF(Table1[[#This Row],[County]]="City of London",Table1[[#This Row],[income]],0)</f>
        <v>0</v>
      </c>
      <c r="CC266" s="20">
        <f ca="1">IF(Table1[[#This Row],[County]]="Bedfordshire",Table1[[#This Row],[income]],0)</f>
        <v>0</v>
      </c>
      <c r="CD266" s="20">
        <f ca="1">IF(Table1[[#This Row],[County]]="County Durham",Table1[[#This Row],[income]],0)</f>
        <v>0</v>
      </c>
      <c r="CE266" s="20">
        <f ca="1">IF(Table1[[#This Row],[County]]="East Riding of Yorkshire",Table1[[#This Row],[income]],0)</f>
        <v>0</v>
      </c>
      <c r="CF266" s="20">
        <f ca="1">IF(Table1[[#This Row],[County]]="West Yorkshire",Table1[[#This Row],[income]],0)</f>
        <v>0</v>
      </c>
      <c r="CG266" s="20">
        <f ca="1">IF(Table1[[#This Row],[County]]="Essex",Table1[[#This Row],[income]],0)</f>
        <v>0</v>
      </c>
      <c r="CH266" s="20">
        <f ca="1">IF(Table1[[#This Row],[County]]="East Sussex",Table1[[#This Row],[income]],0)</f>
        <v>0</v>
      </c>
      <c r="CI266" s="20">
        <f ca="1">IF(Table1[[#This Row],[County]]="Greater Manchester",Table1[[#This Row],[income]],0)</f>
        <v>0</v>
      </c>
      <c r="CJ266" s="20">
        <f ca="1">IF(Table1[[#This Row],[County]]="Hertfordshire",Table1[[#This Row],[income]],0)</f>
        <v>0</v>
      </c>
      <c r="CK266" s="20">
        <f ca="1">IF(Table1[[#This Row],[County]]="Herefordshire",Table1[[#This Row],[income]],0)</f>
        <v>0</v>
      </c>
      <c r="CL266" s="20">
        <f ca="1">IF(Table1[[#This Row],[County]]="Lancashire",Table1[[#This Row],[income]],0)</f>
        <v>0</v>
      </c>
      <c r="CM266" s="20">
        <f ca="1">IF(Table1[[#This Row],[County]]="Merseyside",Table1[[#This Row],[income]],0)</f>
        <v>0</v>
      </c>
      <c r="CN266" s="20">
        <f ca="1">IF(Table1[[#This Row],[County]]="Northamptonshire",Table1[[#This Row],[income]],0)</f>
        <v>0</v>
      </c>
      <c r="CO266" s="20">
        <f ca="1">IF(Table1[[#This Row],[County]]="Northumberland",Table1[[#This Row],[income]],0)</f>
        <v>0</v>
      </c>
      <c r="CP266" s="20">
        <f ca="1">IF(Table1[[#This Row],[County]]="Wiltshire",Table1[[#This Row],[income]],0)</f>
        <v>0</v>
      </c>
      <c r="CQ266" s="20">
        <f ca="1">IF(Table1[[#This Row],[County]]="West Midlands",Table1[[#This Row],[income]],0)</f>
        <v>0</v>
      </c>
      <c r="CR266" s="20">
        <f ca="1">IF(Table1[[#This Row],[County]]="Warwickshire",Table1[[#This Row],[income]],0)</f>
        <v>0</v>
      </c>
      <c r="CS266" s="20">
        <f ca="1">IF(Table1[[#This Row],[County]]="Tyne and Wear",Table1[[#This Row],[income]],0)</f>
        <v>0</v>
      </c>
      <c r="CT266" s="20">
        <f ca="1">IF(Table1[[#This Row],[County]]="Worcestershire",Table1[[#This Row],[income]],0)</f>
        <v>0</v>
      </c>
      <c r="CU266" s="20">
        <f ca="1">IF(Table1[[#This Row],[County]]="Rutland",Table1[[#This Row],[income]],0)</f>
        <v>0</v>
      </c>
      <c r="CV266" s="20">
        <f ca="1">IF(Table1[[#This Row],[County]]="Shropshire",Table1[[#This Row],[income]],0)</f>
        <v>0</v>
      </c>
      <c r="CW266" s="20">
        <f ca="1">IF(Table1[[#This Row],[County]]="Dorset",Table1[[#This Row],[income]],0)</f>
        <v>0</v>
      </c>
      <c r="CX266" s="20">
        <f ca="1">IF(Table1[[#This Row],[County]]="Buckinghamshire",Table1[[#This Row],[income]],0)</f>
        <v>0</v>
      </c>
      <c r="CY266" s="20">
        <f ca="1">IF(Table1[[#This Row],[County]]="Suffolk",Table1[[#This Row],[income]],0)</f>
        <v>0</v>
      </c>
      <c r="CZ266" s="20">
        <f ca="1">IF(Table1[[#This Row],[County]]="North Yorkshire",Table1[[#This Row],[income]],0)</f>
        <v>0</v>
      </c>
      <c r="DA266" s="20">
        <f ca="1">IF(Table1[[#This Row],[County]]="Kent",Table1[[#This Row],[income]],0)</f>
        <v>0</v>
      </c>
      <c r="DB266" s="5">
        <f ca="1">IF(Table1[[#This Row],[County]]="Derbyshire",Table1[[#This Row],[income]],0)</f>
        <v>0</v>
      </c>
      <c r="DD266" s="6">
        <f ca="1">IF(Table1[[#This Row],[Column1]]="Health",Table1[[#This Row],[income]],0)</f>
        <v>0</v>
      </c>
      <c r="DE266" s="20">
        <f ca="1">IF(Table1[[#This Row],[Column1]]="Agriculture",Table1[[#This Row],[income]],0)</f>
        <v>0</v>
      </c>
      <c r="DF266" s="20">
        <f ca="1">IF(Table1[[#This Row],[Column1]]="Technology",Table1[[#This Row],[income]],0)</f>
        <v>0</v>
      </c>
      <c r="DG266" s="20">
        <f ca="1">IF(Table1[[#This Row],[Column1]]="Social Service",Table1[[#This Row],[income]],0)</f>
        <v>38425</v>
      </c>
      <c r="DH266" s="20">
        <f ca="1">IF(Table1[[#This Row],[Column1]]="Education",Table1[[#This Row],[income]],0)</f>
        <v>0</v>
      </c>
      <c r="DI266" s="5">
        <f ca="1">IF(Table1[[#This Row],[Column1]]="Construction",Table1[[#This Row],[income]],0)</f>
        <v>0</v>
      </c>
      <c r="DK266" s="6">
        <f ca="1">IF(Table1[[#This Row],[Value of Debts]]&gt;Table1[[#This Row],[income]],1,0)</f>
        <v>1</v>
      </c>
      <c r="DL266" s="20"/>
      <c r="DM266" s="20"/>
      <c r="DN266" s="5"/>
      <c r="DP266" s="6">
        <f ca="1">IF(Table1[[#This Row],[Net Worth (£)]]&gt;$DS$5,C266,0)</f>
        <v>0</v>
      </c>
      <c r="DQ266" s="20"/>
      <c r="DR266" s="20"/>
      <c r="DS266" s="5"/>
    </row>
    <row r="267" spans="1:123" x14ac:dyDescent="0.2">
      <c r="A267">
        <f t="shared" ca="1" si="13"/>
        <v>1</v>
      </c>
      <c r="B267" s="1" t="str">
        <f ca="1">IF(A267=1, "men", "women")</f>
        <v>men</v>
      </c>
      <c r="C267" s="1">
        <f ca="1">RANDBETWEEN(25,50)</f>
        <v>48</v>
      </c>
      <c r="D267">
        <f ca="1">RANDBETWEEN(1,6)</f>
        <v>3</v>
      </c>
      <c r="E267" t="str">
        <f ca="1">VLOOKUP(D267,$W$5:$X$10,2)</f>
        <v>Education</v>
      </c>
      <c r="F267">
        <f ca="1">RANDBETWEEN(1,5)</f>
        <v>4</v>
      </c>
      <c r="G267" t="str">
        <f ca="1">VLOOKUP(F267,$Y$5:$Z$9,2)</f>
        <v xml:space="preserve">Technical </v>
      </c>
      <c r="H267">
        <f ca="1">RANDBETWEEN(0,4)</f>
        <v>4</v>
      </c>
      <c r="I267">
        <f ca="1">RANDBETWEEN(1,3)</f>
        <v>1</v>
      </c>
      <c r="J267">
        <f ca="1">RANDBETWEEN(30000,100000)</f>
        <v>58157</v>
      </c>
      <c r="K267">
        <f ca="1">RANDBETWEEN(1,48)</f>
        <v>42</v>
      </c>
      <c r="L267" t="str">
        <f ca="1">VLOOKUP(K267,$AA$5:$AB$52,2)</f>
        <v>Tyne and Wear</v>
      </c>
      <c r="M267">
        <f ca="1">J267*(RANDBETWEEN(2,5))</f>
        <v>174471</v>
      </c>
      <c r="N267">
        <f ca="1">RAND()*M267</f>
        <v>41785.631229987011</v>
      </c>
      <c r="O267">
        <f ca="1">I267*RAND()*J267</f>
        <v>54168.597404045657</v>
      </c>
      <c r="P267">
        <f ca="1">RANDBETWEEN(0,O267)</f>
        <v>3707</v>
      </c>
      <c r="Q267">
        <f ca="1">RAND()*J267*2</f>
        <v>105283.61852245494</v>
      </c>
      <c r="R267">
        <f ca="1">RAND()*J267*1.5</f>
        <v>52088.25383965722</v>
      </c>
      <c r="S267">
        <f ca="1">J267+R267+O267</f>
        <v>164413.85124370287</v>
      </c>
      <c r="T267">
        <f ca="1">N267+P267+Q267</f>
        <v>150776.24975244195</v>
      </c>
      <c r="U267">
        <f ca="1">S267-T267</f>
        <v>13637.601491260924</v>
      </c>
      <c r="AC267" s="6">
        <f ca="1">IF(Table1[[#This Row],[gender]]="men",1,0)</f>
        <v>1</v>
      </c>
      <c r="AD267">
        <f ca="1">IF(Table1[[#This Row],[gender]]="women",1,0)</f>
        <v>0</v>
      </c>
      <c r="AH267" s="5"/>
      <c r="AJ267" s="6">
        <f ca="1">IF(Table1[[#This Row],[Column1]]="Health",1,0)</f>
        <v>0</v>
      </c>
      <c r="AK267">
        <f ca="1">IF(Table1[[#This Row],[Column1]]="Construction",1,0)</f>
        <v>0</v>
      </c>
      <c r="AL267">
        <f ca="1">IF(Table1[[#This Row],[Column1]]="Technology",1,0)</f>
        <v>0</v>
      </c>
      <c r="AM267">
        <f ca="1">IF(Table1[[#This Row],[Column1]]="Education",1,0)</f>
        <v>1</v>
      </c>
      <c r="AN267">
        <f ca="1">IF(Table1[[#This Row],[Column1]]="Agriculture",1,0)</f>
        <v>0</v>
      </c>
      <c r="AO267">
        <f ca="1">IF(Table1[[#This Row],[Column1]]="Social Service", 1, 0)</f>
        <v>0</v>
      </c>
      <c r="AT267" s="5"/>
      <c r="AV267" s="17">
        <f t="shared" ca="1" si="12"/>
        <v>76980.092988641743</v>
      </c>
      <c r="AW267" s="5"/>
      <c r="AX267" s="6">
        <f ca="1">IF(Table1[[#This Row],[Value of Debts]]&gt;$AY$4,1,0)</f>
        <v>1</v>
      </c>
      <c r="AY267" s="20"/>
      <c r="AZ267" s="20"/>
      <c r="BA267" s="5"/>
      <c r="BB267" s="25">
        <f ca="1">Table1[[#This Row],[Mortage Left]]/Table1[[#This Row],[Value of House]]</f>
        <v>0.23949900688359105</v>
      </c>
      <c r="BC267" s="20">
        <f t="shared" ca="1" si="14"/>
        <v>1</v>
      </c>
      <c r="BD267" s="20"/>
      <c r="BE267" s="20"/>
      <c r="BF267" s="20"/>
      <c r="BG267" s="6">
        <f ca="1">IF(Table1[[#This Row],[County]]="Cumbria",Table1[[#This Row],[income]],0)</f>
        <v>0</v>
      </c>
      <c r="BH267" s="20">
        <f ca="1">IF(Table1[[#This Row],[County]]="Cheshire",Table1[[#This Row],[income]],0)</f>
        <v>0</v>
      </c>
      <c r="BI267" s="20">
        <f ca="1">IF(Table1[[#This Row],[County]]="Bristol",Table1[[#This Row],[income]],0)</f>
        <v>0</v>
      </c>
      <c r="BJ267" s="20">
        <f ca="1">IF(Table1[[#This Row],[County]]="Surrey",Table1[[#This Row],[income]],0)</f>
        <v>0</v>
      </c>
      <c r="BK267" s="20">
        <f ca="1">IF(Table1[[#This Row],[County]]="Norfolk",Table1[[#This Row],[income]],0)</f>
        <v>0</v>
      </c>
      <c r="BL267" s="20">
        <f ca="1">IF(Table1[[#This Row],[County]]="Lincolnshire",Table1[[#This Row],[income]],0)</f>
        <v>0</v>
      </c>
      <c r="BM267" s="20">
        <f ca="1">IF(Table1[[#This Row],[County]]="Somerset",Table1[[#This Row],[income]],0)</f>
        <v>0</v>
      </c>
      <c r="BN267" s="20">
        <f ca="1">IF(Table1[[#This Row],[County]]="Cambridgeshire",Table1[[#This Row],[income]],0)</f>
        <v>0</v>
      </c>
      <c r="BO267" s="20">
        <f ca="1">IF(Table1[[#This Row],[County]]="South Yorkshire",Table1[[#This Row],[income]],0)</f>
        <v>0</v>
      </c>
      <c r="BP267" s="20">
        <f ca="1">IF(Table1[[#This Row],[County]]="Greater London",Table1[[#This Row],[income]],0)</f>
        <v>0</v>
      </c>
      <c r="BQ267" s="20">
        <f ca="1">IF(Table1[[#This Row],[County]]="Hampshire",Table1[[#This Row],[income]],0)</f>
        <v>0</v>
      </c>
      <c r="BR267" s="20">
        <f ca="1">IF(Table1[[#This Row],[County]]="Gloucestershire",Table1[[#This Row],[income]],0)</f>
        <v>0</v>
      </c>
      <c r="BS267" s="20">
        <f ca="1">IF(Table1[[#This Row],[County]]="West Sussex",Table1[[#This Row],[income]],0)</f>
        <v>0</v>
      </c>
      <c r="BT267" s="20">
        <f ca="1">IF(Table1[[#This Row],[County]]="Devon",Table1[[#This Row],[income]],0)</f>
        <v>0</v>
      </c>
      <c r="BU267" s="20">
        <f ca="1">IF(Table1[[#This Row],[County]]="Berkshire",Table1[[#This Row],[income]],0)</f>
        <v>0</v>
      </c>
      <c r="BV267" s="20">
        <f ca="1">IF(Table1[[#This Row],[County]]="Staffordshire",Table1[[#This Row],[income]],0)</f>
        <v>0</v>
      </c>
      <c r="BW267" s="20">
        <f ca="1">IF(Table1[[#This Row],[County]]="Leicestershire",Table1[[#This Row],[income]],0)</f>
        <v>0</v>
      </c>
      <c r="BX267" s="20">
        <f ca="1">IF(Table1[[#This Row],[County]]="Cornwall",Table1[[#This Row],[income]],0)</f>
        <v>0</v>
      </c>
      <c r="BY267" s="20">
        <f ca="1">IF(Table1[[#This Row],[County]]="Isle of Wight",Table1[[#This Row],[income]],0)</f>
        <v>0</v>
      </c>
      <c r="BZ267" s="20">
        <f ca="1">IF(Table1[[#This Row],[County]]="Surrey",Table1[[#This Row],[income]],0)</f>
        <v>0</v>
      </c>
      <c r="CA267" s="20">
        <f ca="1">IF(Table1[[#This Row],[County]]="Derbyshire",Table1[[#This Row],[income]],0)</f>
        <v>0</v>
      </c>
      <c r="CB267" s="20">
        <f ca="1">IF(Table1[[#This Row],[County]]="City of London",Table1[[#This Row],[income]],0)</f>
        <v>0</v>
      </c>
      <c r="CC267" s="20">
        <f ca="1">IF(Table1[[#This Row],[County]]="Bedfordshire",Table1[[#This Row],[income]],0)</f>
        <v>0</v>
      </c>
      <c r="CD267" s="20">
        <f ca="1">IF(Table1[[#This Row],[County]]="County Durham",Table1[[#This Row],[income]],0)</f>
        <v>0</v>
      </c>
      <c r="CE267" s="20">
        <f ca="1">IF(Table1[[#This Row],[County]]="East Riding of Yorkshire",Table1[[#This Row],[income]],0)</f>
        <v>0</v>
      </c>
      <c r="CF267" s="20">
        <f ca="1">IF(Table1[[#This Row],[County]]="West Yorkshire",Table1[[#This Row],[income]],0)</f>
        <v>0</v>
      </c>
      <c r="CG267" s="20">
        <f ca="1">IF(Table1[[#This Row],[County]]="Essex",Table1[[#This Row],[income]],0)</f>
        <v>0</v>
      </c>
      <c r="CH267" s="20">
        <f ca="1">IF(Table1[[#This Row],[County]]="East Sussex",Table1[[#This Row],[income]],0)</f>
        <v>0</v>
      </c>
      <c r="CI267" s="20">
        <f ca="1">IF(Table1[[#This Row],[County]]="Greater Manchester",Table1[[#This Row],[income]],0)</f>
        <v>0</v>
      </c>
      <c r="CJ267" s="20">
        <f ca="1">IF(Table1[[#This Row],[County]]="Hertfordshire",Table1[[#This Row],[income]],0)</f>
        <v>0</v>
      </c>
      <c r="CK267" s="20">
        <f ca="1">IF(Table1[[#This Row],[County]]="Herefordshire",Table1[[#This Row],[income]],0)</f>
        <v>0</v>
      </c>
      <c r="CL267" s="20">
        <f ca="1">IF(Table1[[#This Row],[County]]="Lancashire",Table1[[#This Row],[income]],0)</f>
        <v>0</v>
      </c>
      <c r="CM267" s="20">
        <f ca="1">IF(Table1[[#This Row],[County]]="Merseyside",Table1[[#This Row],[income]],0)</f>
        <v>0</v>
      </c>
      <c r="CN267" s="20">
        <f ca="1">IF(Table1[[#This Row],[County]]="Northamptonshire",Table1[[#This Row],[income]],0)</f>
        <v>0</v>
      </c>
      <c r="CO267" s="20">
        <f ca="1">IF(Table1[[#This Row],[County]]="Northumberland",Table1[[#This Row],[income]],0)</f>
        <v>0</v>
      </c>
      <c r="CP267" s="20">
        <f ca="1">IF(Table1[[#This Row],[County]]="Wiltshire",Table1[[#This Row],[income]],0)</f>
        <v>0</v>
      </c>
      <c r="CQ267" s="20">
        <f ca="1">IF(Table1[[#This Row],[County]]="West Midlands",Table1[[#This Row],[income]],0)</f>
        <v>0</v>
      </c>
      <c r="CR267" s="20">
        <f ca="1">IF(Table1[[#This Row],[County]]="Warwickshire",Table1[[#This Row],[income]],0)</f>
        <v>0</v>
      </c>
      <c r="CS267" s="20">
        <f ca="1">IF(Table1[[#This Row],[County]]="Tyne and Wear",Table1[[#This Row],[income]],0)</f>
        <v>58157</v>
      </c>
      <c r="CT267" s="20">
        <f ca="1">IF(Table1[[#This Row],[County]]="Worcestershire",Table1[[#This Row],[income]],0)</f>
        <v>0</v>
      </c>
      <c r="CU267" s="20">
        <f ca="1">IF(Table1[[#This Row],[County]]="Rutland",Table1[[#This Row],[income]],0)</f>
        <v>0</v>
      </c>
      <c r="CV267" s="20">
        <f ca="1">IF(Table1[[#This Row],[County]]="Shropshire",Table1[[#This Row],[income]],0)</f>
        <v>0</v>
      </c>
      <c r="CW267" s="20">
        <f ca="1">IF(Table1[[#This Row],[County]]="Dorset",Table1[[#This Row],[income]],0)</f>
        <v>0</v>
      </c>
      <c r="CX267" s="20">
        <f ca="1">IF(Table1[[#This Row],[County]]="Buckinghamshire",Table1[[#This Row],[income]],0)</f>
        <v>0</v>
      </c>
      <c r="CY267" s="20">
        <f ca="1">IF(Table1[[#This Row],[County]]="Suffolk",Table1[[#This Row],[income]],0)</f>
        <v>0</v>
      </c>
      <c r="CZ267" s="20">
        <f ca="1">IF(Table1[[#This Row],[County]]="North Yorkshire",Table1[[#This Row],[income]],0)</f>
        <v>0</v>
      </c>
      <c r="DA267" s="20">
        <f ca="1">IF(Table1[[#This Row],[County]]="Kent",Table1[[#This Row],[income]],0)</f>
        <v>0</v>
      </c>
      <c r="DB267" s="5">
        <f ca="1">IF(Table1[[#This Row],[County]]="Derbyshire",Table1[[#This Row],[income]],0)</f>
        <v>0</v>
      </c>
      <c r="DD267" s="6">
        <f ca="1">IF(Table1[[#This Row],[Column1]]="Health",Table1[[#This Row],[income]],0)</f>
        <v>0</v>
      </c>
      <c r="DE267" s="20">
        <f ca="1">IF(Table1[[#This Row],[Column1]]="Agriculture",Table1[[#This Row],[income]],0)</f>
        <v>0</v>
      </c>
      <c r="DF267" s="20">
        <f ca="1">IF(Table1[[#This Row],[Column1]]="Technology",Table1[[#This Row],[income]],0)</f>
        <v>0</v>
      </c>
      <c r="DG267" s="20">
        <f ca="1">IF(Table1[[#This Row],[Column1]]="Social Service",Table1[[#This Row],[income]],0)</f>
        <v>0</v>
      </c>
      <c r="DH267" s="20">
        <f ca="1">IF(Table1[[#This Row],[Column1]]="Education",Table1[[#This Row],[income]],0)</f>
        <v>58157</v>
      </c>
      <c r="DI267" s="5">
        <f ca="1">IF(Table1[[#This Row],[Column1]]="Construction",Table1[[#This Row],[income]],0)</f>
        <v>0</v>
      </c>
      <c r="DK267" s="6">
        <f ca="1">IF(Table1[[#This Row],[Value of Debts]]&gt;Table1[[#This Row],[income]],1,0)</f>
        <v>1</v>
      </c>
      <c r="DL267" s="20"/>
      <c r="DM267" s="20"/>
      <c r="DN267" s="5"/>
      <c r="DP267" s="6">
        <f ca="1">IF(Table1[[#This Row],[Net Worth (£)]]&gt;$DS$5,C267,0)</f>
        <v>0</v>
      </c>
      <c r="DQ267" s="20"/>
      <c r="DR267" s="20"/>
      <c r="DS267" s="5"/>
    </row>
    <row r="268" spans="1:123" x14ac:dyDescent="0.2">
      <c r="A268">
        <f t="shared" ca="1" si="13"/>
        <v>1</v>
      </c>
      <c r="B268" s="1" t="str">
        <f ca="1">IF(A268=1, "men", "women")</f>
        <v>men</v>
      </c>
      <c r="C268" s="1">
        <f ca="1">RANDBETWEEN(25,50)</f>
        <v>29</v>
      </c>
      <c r="D268">
        <f ca="1">RANDBETWEEN(1,6)</f>
        <v>3</v>
      </c>
      <c r="E268" t="str">
        <f ca="1">VLOOKUP(D268,$W$5:$X$10,2)</f>
        <v>Education</v>
      </c>
      <c r="F268">
        <f ca="1">RANDBETWEEN(1,5)</f>
        <v>3</v>
      </c>
      <c r="G268" t="str">
        <f ca="1">VLOOKUP(F268,$Y$5:$Z$9,2)</f>
        <v>University</v>
      </c>
      <c r="H268">
        <f ca="1">RANDBETWEEN(0,4)</f>
        <v>1</v>
      </c>
      <c r="I268">
        <f ca="1">RANDBETWEEN(1,3)</f>
        <v>1</v>
      </c>
      <c r="J268">
        <f ca="1">RANDBETWEEN(30000,100000)</f>
        <v>82722</v>
      </c>
      <c r="K268">
        <f ca="1">RANDBETWEEN(1,48)</f>
        <v>45</v>
      </c>
      <c r="L268" t="str">
        <f ca="1">VLOOKUP(K268,$AA$5:$AB$52,2)</f>
        <v>West Sussex</v>
      </c>
      <c r="M268">
        <f ca="1">J268*(RANDBETWEEN(2,5))</f>
        <v>165444</v>
      </c>
      <c r="N268">
        <f ca="1">RAND()*M268</f>
        <v>84255.854733643107</v>
      </c>
      <c r="O268">
        <f ca="1">I268*RAND()*J268</f>
        <v>76980.092988641743</v>
      </c>
      <c r="P268">
        <f ca="1">RANDBETWEEN(0,O268)</f>
        <v>66078</v>
      </c>
      <c r="Q268">
        <f ca="1">RAND()*J268*2</f>
        <v>67467.128003106962</v>
      </c>
      <c r="R268">
        <f ca="1">RAND()*J268*1.5</f>
        <v>108144.08523646567</v>
      </c>
      <c r="S268">
        <f ca="1">J268+R268+O268</f>
        <v>267846.17822510743</v>
      </c>
      <c r="T268">
        <f ca="1">N268+P268+Q268</f>
        <v>217800.9827367501</v>
      </c>
      <c r="U268">
        <f ca="1">S268-T268</f>
        <v>50045.195488357334</v>
      </c>
      <c r="AC268" s="6">
        <f ca="1">IF(Table1[[#This Row],[gender]]="men",1,0)</f>
        <v>1</v>
      </c>
      <c r="AD268">
        <f ca="1">IF(Table1[[#This Row],[gender]]="women",1,0)</f>
        <v>0</v>
      </c>
      <c r="AH268" s="5"/>
      <c r="AJ268" s="6">
        <f ca="1">IF(Table1[[#This Row],[Column1]]="Health",1,0)</f>
        <v>0</v>
      </c>
      <c r="AK268">
        <f ca="1">IF(Table1[[#This Row],[Column1]]="Construction",1,0)</f>
        <v>0</v>
      </c>
      <c r="AL268">
        <f ca="1">IF(Table1[[#This Row],[Column1]]="Technology",1,0)</f>
        <v>0</v>
      </c>
      <c r="AM268">
        <f ca="1">IF(Table1[[#This Row],[Column1]]="Education",1,0)</f>
        <v>1</v>
      </c>
      <c r="AN268">
        <f ca="1">IF(Table1[[#This Row],[Column1]]="Agriculture",1,0)</f>
        <v>0</v>
      </c>
      <c r="AO268">
        <f ca="1">IF(Table1[[#This Row],[Column1]]="Social Service", 1, 0)</f>
        <v>0</v>
      </c>
      <c r="AT268" s="5"/>
      <c r="AV268" s="17">
        <f t="shared" ca="1" si="12"/>
        <v>17268.764991892662</v>
      </c>
      <c r="AW268" s="5"/>
      <c r="AX268" s="6">
        <f ca="1">IF(Table1[[#This Row],[Value of Debts]]&gt;$AY$4,1,0)</f>
        <v>1</v>
      </c>
      <c r="AY268" s="20"/>
      <c r="AZ268" s="20"/>
      <c r="BA268" s="5"/>
      <c r="BB268" s="25">
        <f ca="1">Table1[[#This Row],[Mortage Left]]/Table1[[#This Row],[Value of House]]</f>
        <v>0.50927114149587238</v>
      </c>
      <c r="BC268" s="20">
        <f t="shared" ca="1" si="14"/>
        <v>0</v>
      </c>
      <c r="BD268" s="20"/>
      <c r="BE268" s="20"/>
      <c r="BF268" s="20"/>
      <c r="BG268" s="6">
        <f ca="1">IF(Table1[[#This Row],[County]]="Cumbria",Table1[[#This Row],[income]],0)</f>
        <v>0</v>
      </c>
      <c r="BH268" s="20">
        <f ca="1">IF(Table1[[#This Row],[County]]="Cheshire",Table1[[#This Row],[income]],0)</f>
        <v>0</v>
      </c>
      <c r="BI268" s="20">
        <f ca="1">IF(Table1[[#This Row],[County]]="Bristol",Table1[[#This Row],[income]],0)</f>
        <v>0</v>
      </c>
      <c r="BJ268" s="20">
        <f ca="1">IF(Table1[[#This Row],[County]]="Surrey",Table1[[#This Row],[income]],0)</f>
        <v>0</v>
      </c>
      <c r="BK268" s="20">
        <f ca="1">IF(Table1[[#This Row],[County]]="Norfolk",Table1[[#This Row],[income]],0)</f>
        <v>0</v>
      </c>
      <c r="BL268" s="20">
        <f ca="1">IF(Table1[[#This Row],[County]]="Lincolnshire",Table1[[#This Row],[income]],0)</f>
        <v>0</v>
      </c>
      <c r="BM268" s="20">
        <f ca="1">IF(Table1[[#This Row],[County]]="Somerset",Table1[[#This Row],[income]],0)</f>
        <v>0</v>
      </c>
      <c r="BN268" s="20">
        <f ca="1">IF(Table1[[#This Row],[County]]="Cambridgeshire",Table1[[#This Row],[income]],0)</f>
        <v>0</v>
      </c>
      <c r="BO268" s="20">
        <f ca="1">IF(Table1[[#This Row],[County]]="South Yorkshire",Table1[[#This Row],[income]],0)</f>
        <v>0</v>
      </c>
      <c r="BP268" s="20">
        <f ca="1">IF(Table1[[#This Row],[County]]="Greater London",Table1[[#This Row],[income]],0)</f>
        <v>0</v>
      </c>
      <c r="BQ268" s="20">
        <f ca="1">IF(Table1[[#This Row],[County]]="Hampshire",Table1[[#This Row],[income]],0)</f>
        <v>0</v>
      </c>
      <c r="BR268" s="20">
        <f ca="1">IF(Table1[[#This Row],[County]]="Gloucestershire",Table1[[#This Row],[income]],0)</f>
        <v>0</v>
      </c>
      <c r="BS268" s="20">
        <f ca="1">IF(Table1[[#This Row],[County]]="West Sussex",Table1[[#This Row],[income]],0)</f>
        <v>82722</v>
      </c>
      <c r="BT268" s="20">
        <f ca="1">IF(Table1[[#This Row],[County]]="Devon",Table1[[#This Row],[income]],0)</f>
        <v>0</v>
      </c>
      <c r="BU268" s="20">
        <f ca="1">IF(Table1[[#This Row],[County]]="Berkshire",Table1[[#This Row],[income]],0)</f>
        <v>0</v>
      </c>
      <c r="BV268" s="20">
        <f ca="1">IF(Table1[[#This Row],[County]]="Staffordshire",Table1[[#This Row],[income]],0)</f>
        <v>0</v>
      </c>
      <c r="BW268" s="20">
        <f ca="1">IF(Table1[[#This Row],[County]]="Leicestershire",Table1[[#This Row],[income]],0)</f>
        <v>0</v>
      </c>
      <c r="BX268" s="20">
        <f ca="1">IF(Table1[[#This Row],[County]]="Cornwall",Table1[[#This Row],[income]],0)</f>
        <v>0</v>
      </c>
      <c r="BY268" s="20">
        <f ca="1">IF(Table1[[#This Row],[County]]="Isle of Wight",Table1[[#This Row],[income]],0)</f>
        <v>0</v>
      </c>
      <c r="BZ268" s="20">
        <f ca="1">IF(Table1[[#This Row],[County]]="Surrey",Table1[[#This Row],[income]],0)</f>
        <v>0</v>
      </c>
      <c r="CA268" s="20">
        <f ca="1">IF(Table1[[#This Row],[County]]="Derbyshire",Table1[[#This Row],[income]],0)</f>
        <v>0</v>
      </c>
      <c r="CB268" s="20">
        <f ca="1">IF(Table1[[#This Row],[County]]="City of London",Table1[[#This Row],[income]],0)</f>
        <v>0</v>
      </c>
      <c r="CC268" s="20">
        <f ca="1">IF(Table1[[#This Row],[County]]="Bedfordshire",Table1[[#This Row],[income]],0)</f>
        <v>0</v>
      </c>
      <c r="CD268" s="20">
        <f ca="1">IF(Table1[[#This Row],[County]]="County Durham",Table1[[#This Row],[income]],0)</f>
        <v>0</v>
      </c>
      <c r="CE268" s="20">
        <f ca="1">IF(Table1[[#This Row],[County]]="East Riding of Yorkshire",Table1[[#This Row],[income]],0)</f>
        <v>0</v>
      </c>
      <c r="CF268" s="20">
        <f ca="1">IF(Table1[[#This Row],[County]]="West Yorkshire",Table1[[#This Row],[income]],0)</f>
        <v>0</v>
      </c>
      <c r="CG268" s="20">
        <f ca="1">IF(Table1[[#This Row],[County]]="Essex",Table1[[#This Row],[income]],0)</f>
        <v>0</v>
      </c>
      <c r="CH268" s="20">
        <f ca="1">IF(Table1[[#This Row],[County]]="East Sussex",Table1[[#This Row],[income]],0)</f>
        <v>0</v>
      </c>
      <c r="CI268" s="20">
        <f ca="1">IF(Table1[[#This Row],[County]]="Greater Manchester",Table1[[#This Row],[income]],0)</f>
        <v>0</v>
      </c>
      <c r="CJ268" s="20">
        <f ca="1">IF(Table1[[#This Row],[County]]="Hertfordshire",Table1[[#This Row],[income]],0)</f>
        <v>0</v>
      </c>
      <c r="CK268" s="20">
        <f ca="1">IF(Table1[[#This Row],[County]]="Herefordshire",Table1[[#This Row],[income]],0)</f>
        <v>0</v>
      </c>
      <c r="CL268" s="20">
        <f ca="1">IF(Table1[[#This Row],[County]]="Lancashire",Table1[[#This Row],[income]],0)</f>
        <v>0</v>
      </c>
      <c r="CM268" s="20">
        <f ca="1">IF(Table1[[#This Row],[County]]="Merseyside",Table1[[#This Row],[income]],0)</f>
        <v>0</v>
      </c>
      <c r="CN268" s="20">
        <f ca="1">IF(Table1[[#This Row],[County]]="Northamptonshire",Table1[[#This Row],[income]],0)</f>
        <v>0</v>
      </c>
      <c r="CO268" s="20">
        <f ca="1">IF(Table1[[#This Row],[County]]="Northumberland",Table1[[#This Row],[income]],0)</f>
        <v>0</v>
      </c>
      <c r="CP268" s="20">
        <f ca="1">IF(Table1[[#This Row],[County]]="Wiltshire",Table1[[#This Row],[income]],0)</f>
        <v>0</v>
      </c>
      <c r="CQ268" s="20">
        <f ca="1">IF(Table1[[#This Row],[County]]="West Midlands",Table1[[#This Row],[income]],0)</f>
        <v>0</v>
      </c>
      <c r="CR268" s="20">
        <f ca="1">IF(Table1[[#This Row],[County]]="Warwickshire",Table1[[#This Row],[income]],0)</f>
        <v>0</v>
      </c>
      <c r="CS268" s="20">
        <f ca="1">IF(Table1[[#This Row],[County]]="Tyne and Wear",Table1[[#This Row],[income]],0)</f>
        <v>0</v>
      </c>
      <c r="CT268" s="20">
        <f ca="1">IF(Table1[[#This Row],[County]]="Worcestershire",Table1[[#This Row],[income]],0)</f>
        <v>0</v>
      </c>
      <c r="CU268" s="20">
        <f ca="1">IF(Table1[[#This Row],[County]]="Rutland",Table1[[#This Row],[income]],0)</f>
        <v>0</v>
      </c>
      <c r="CV268" s="20">
        <f ca="1">IF(Table1[[#This Row],[County]]="Shropshire",Table1[[#This Row],[income]],0)</f>
        <v>0</v>
      </c>
      <c r="CW268" s="20">
        <f ca="1">IF(Table1[[#This Row],[County]]="Dorset",Table1[[#This Row],[income]],0)</f>
        <v>0</v>
      </c>
      <c r="CX268" s="20">
        <f ca="1">IF(Table1[[#This Row],[County]]="Buckinghamshire",Table1[[#This Row],[income]],0)</f>
        <v>0</v>
      </c>
      <c r="CY268" s="20">
        <f ca="1">IF(Table1[[#This Row],[County]]="Suffolk",Table1[[#This Row],[income]],0)</f>
        <v>0</v>
      </c>
      <c r="CZ268" s="20">
        <f ca="1">IF(Table1[[#This Row],[County]]="North Yorkshire",Table1[[#This Row],[income]],0)</f>
        <v>0</v>
      </c>
      <c r="DA268" s="20">
        <f ca="1">IF(Table1[[#This Row],[County]]="Kent",Table1[[#This Row],[income]],0)</f>
        <v>0</v>
      </c>
      <c r="DB268" s="5">
        <f ca="1">IF(Table1[[#This Row],[County]]="Derbyshire",Table1[[#This Row],[income]],0)</f>
        <v>0</v>
      </c>
      <c r="DD268" s="6">
        <f ca="1">IF(Table1[[#This Row],[Column1]]="Health",Table1[[#This Row],[income]],0)</f>
        <v>0</v>
      </c>
      <c r="DE268" s="20">
        <f ca="1">IF(Table1[[#This Row],[Column1]]="Agriculture",Table1[[#This Row],[income]],0)</f>
        <v>0</v>
      </c>
      <c r="DF268" s="20">
        <f ca="1">IF(Table1[[#This Row],[Column1]]="Technology",Table1[[#This Row],[income]],0)</f>
        <v>0</v>
      </c>
      <c r="DG268" s="20">
        <f ca="1">IF(Table1[[#This Row],[Column1]]="Social Service",Table1[[#This Row],[income]],0)</f>
        <v>0</v>
      </c>
      <c r="DH268" s="20">
        <f ca="1">IF(Table1[[#This Row],[Column1]]="Education",Table1[[#This Row],[income]],0)</f>
        <v>82722</v>
      </c>
      <c r="DI268" s="5">
        <f ca="1">IF(Table1[[#This Row],[Column1]]="Construction",Table1[[#This Row],[income]],0)</f>
        <v>0</v>
      </c>
      <c r="DK268" s="6">
        <f ca="1">IF(Table1[[#This Row],[Value of Debts]]&gt;Table1[[#This Row],[income]],1,0)</f>
        <v>1</v>
      </c>
      <c r="DL268" s="20"/>
      <c r="DM268" s="20"/>
      <c r="DN268" s="5"/>
      <c r="DP268" s="6">
        <f ca="1">IF(Table1[[#This Row],[Net Worth (£)]]&gt;$DS$5,C268,0)</f>
        <v>29</v>
      </c>
      <c r="DQ268" s="20"/>
      <c r="DR268" s="20"/>
      <c r="DS268" s="5"/>
    </row>
    <row r="269" spans="1:123" x14ac:dyDescent="0.2">
      <c r="A269">
        <f t="shared" ca="1" si="13"/>
        <v>1</v>
      </c>
      <c r="B269" s="1" t="str">
        <f ca="1">IF(A269=1, "men", "women")</f>
        <v>men</v>
      </c>
      <c r="C269" s="1">
        <f ca="1">RANDBETWEEN(25,50)</f>
        <v>31</v>
      </c>
      <c r="D269">
        <f ca="1">RANDBETWEEN(1,6)</f>
        <v>4</v>
      </c>
      <c r="E269" t="str">
        <f ca="1">VLOOKUP(D269,$W$5:$X$10,2)</f>
        <v>Technology</v>
      </c>
      <c r="F269">
        <f ca="1">RANDBETWEEN(1,5)</f>
        <v>2</v>
      </c>
      <c r="G269" t="str">
        <f ca="1">VLOOKUP(F269,$Y$5:$Z$9,2)</f>
        <v>College</v>
      </c>
      <c r="H269">
        <f ca="1">RANDBETWEEN(0,4)</f>
        <v>2</v>
      </c>
      <c r="I269">
        <f ca="1">RANDBETWEEN(1,3)</f>
        <v>2</v>
      </c>
      <c r="J269">
        <f ca="1">RANDBETWEEN(30000,100000)</f>
        <v>77451</v>
      </c>
      <c r="K269">
        <f ca="1">RANDBETWEEN(1,48)</f>
        <v>48</v>
      </c>
      <c r="L269" t="str">
        <f ca="1">VLOOKUP(K269,$AA$5:$AB$52,2)</f>
        <v>Worcestershire</v>
      </c>
      <c r="M269">
        <f ca="1">J269*(RANDBETWEEN(2,5))</f>
        <v>387255</v>
      </c>
      <c r="N269">
        <f ca="1">RAND()*M269</f>
        <v>28601.660796832708</v>
      </c>
      <c r="O269">
        <f ca="1">I269*RAND()*J269</f>
        <v>34537.529983785324</v>
      </c>
      <c r="P269">
        <f ca="1">RANDBETWEEN(0,O269)</f>
        <v>27684</v>
      </c>
      <c r="Q269">
        <f ca="1">RAND()*J269*2</f>
        <v>38669.982253382055</v>
      </c>
      <c r="R269">
        <f ca="1">RAND()*J269*1.5</f>
        <v>83558.954127034682</v>
      </c>
      <c r="S269">
        <f ca="1">J269+R269+O269</f>
        <v>195547.48411082002</v>
      </c>
      <c r="T269">
        <f ca="1">N269+P269+Q269</f>
        <v>94955.64305021477</v>
      </c>
      <c r="U269">
        <f ca="1">S269-T269</f>
        <v>100591.84106060525</v>
      </c>
      <c r="AC269" s="6">
        <f ca="1">IF(Table1[[#This Row],[gender]]="men",1,0)</f>
        <v>1</v>
      </c>
      <c r="AD269">
        <f ca="1">IF(Table1[[#This Row],[gender]]="women",1,0)</f>
        <v>0</v>
      </c>
      <c r="AH269" s="5"/>
      <c r="AJ269" s="6">
        <f ca="1">IF(Table1[[#This Row],[Column1]]="Health",1,0)</f>
        <v>0</v>
      </c>
      <c r="AK269">
        <f ca="1">IF(Table1[[#This Row],[Column1]]="Construction",1,0)</f>
        <v>0</v>
      </c>
      <c r="AL269">
        <f ca="1">IF(Table1[[#This Row],[Column1]]="Technology",1,0)</f>
        <v>1</v>
      </c>
      <c r="AM269">
        <f ca="1">IF(Table1[[#This Row],[Column1]]="Education",1,0)</f>
        <v>0</v>
      </c>
      <c r="AN269">
        <f ca="1">IF(Table1[[#This Row],[Column1]]="Agriculture",1,0)</f>
        <v>0</v>
      </c>
      <c r="AO269">
        <f ca="1">IF(Table1[[#This Row],[Column1]]="Social Service", 1, 0)</f>
        <v>0</v>
      </c>
      <c r="AT269" s="5"/>
      <c r="AV269" s="17">
        <f t="shared" ca="1" si="12"/>
        <v>20965.876187861923</v>
      </c>
      <c r="AW269" s="5"/>
      <c r="AX269" s="6">
        <f ca="1">IF(Table1[[#This Row],[Value of Debts]]&gt;$AY$4,1,0)</f>
        <v>0</v>
      </c>
      <c r="AY269" s="20"/>
      <c r="AZ269" s="20"/>
      <c r="BA269" s="5"/>
      <c r="BB269" s="25">
        <f ca="1">Table1[[#This Row],[Mortage Left]]/Table1[[#This Row],[Value of House]]</f>
        <v>7.3857434498799779E-2</v>
      </c>
      <c r="BC269" s="20">
        <f t="shared" ca="1" si="14"/>
        <v>1</v>
      </c>
      <c r="BD269" s="20"/>
      <c r="BE269" s="20"/>
      <c r="BF269" s="20"/>
      <c r="BG269" s="6">
        <f ca="1">IF(Table1[[#This Row],[County]]="Cumbria",Table1[[#This Row],[income]],0)</f>
        <v>0</v>
      </c>
      <c r="BH269" s="20">
        <f ca="1">IF(Table1[[#This Row],[County]]="Cheshire",Table1[[#This Row],[income]],0)</f>
        <v>0</v>
      </c>
      <c r="BI269" s="20">
        <f ca="1">IF(Table1[[#This Row],[County]]="Bristol",Table1[[#This Row],[income]],0)</f>
        <v>0</v>
      </c>
      <c r="BJ269" s="20">
        <f ca="1">IF(Table1[[#This Row],[County]]="Surrey",Table1[[#This Row],[income]],0)</f>
        <v>0</v>
      </c>
      <c r="BK269" s="20">
        <f ca="1">IF(Table1[[#This Row],[County]]="Norfolk",Table1[[#This Row],[income]],0)</f>
        <v>0</v>
      </c>
      <c r="BL269" s="20">
        <f ca="1">IF(Table1[[#This Row],[County]]="Lincolnshire",Table1[[#This Row],[income]],0)</f>
        <v>0</v>
      </c>
      <c r="BM269" s="20">
        <f ca="1">IF(Table1[[#This Row],[County]]="Somerset",Table1[[#This Row],[income]],0)</f>
        <v>0</v>
      </c>
      <c r="BN269" s="20">
        <f ca="1">IF(Table1[[#This Row],[County]]="Cambridgeshire",Table1[[#This Row],[income]],0)</f>
        <v>0</v>
      </c>
      <c r="BO269" s="20">
        <f ca="1">IF(Table1[[#This Row],[County]]="South Yorkshire",Table1[[#This Row],[income]],0)</f>
        <v>0</v>
      </c>
      <c r="BP269" s="20">
        <f ca="1">IF(Table1[[#This Row],[County]]="Greater London",Table1[[#This Row],[income]],0)</f>
        <v>0</v>
      </c>
      <c r="BQ269" s="20">
        <f ca="1">IF(Table1[[#This Row],[County]]="Hampshire",Table1[[#This Row],[income]],0)</f>
        <v>0</v>
      </c>
      <c r="BR269" s="20">
        <f ca="1">IF(Table1[[#This Row],[County]]="Gloucestershire",Table1[[#This Row],[income]],0)</f>
        <v>0</v>
      </c>
      <c r="BS269" s="20">
        <f ca="1">IF(Table1[[#This Row],[County]]="West Sussex",Table1[[#This Row],[income]],0)</f>
        <v>0</v>
      </c>
      <c r="BT269" s="20">
        <f ca="1">IF(Table1[[#This Row],[County]]="Devon",Table1[[#This Row],[income]],0)</f>
        <v>0</v>
      </c>
      <c r="BU269" s="20">
        <f ca="1">IF(Table1[[#This Row],[County]]="Berkshire",Table1[[#This Row],[income]],0)</f>
        <v>0</v>
      </c>
      <c r="BV269" s="20">
        <f ca="1">IF(Table1[[#This Row],[County]]="Staffordshire",Table1[[#This Row],[income]],0)</f>
        <v>0</v>
      </c>
      <c r="BW269" s="20">
        <f ca="1">IF(Table1[[#This Row],[County]]="Leicestershire",Table1[[#This Row],[income]],0)</f>
        <v>0</v>
      </c>
      <c r="BX269" s="20">
        <f ca="1">IF(Table1[[#This Row],[County]]="Cornwall",Table1[[#This Row],[income]],0)</f>
        <v>0</v>
      </c>
      <c r="BY269" s="20">
        <f ca="1">IF(Table1[[#This Row],[County]]="Isle of Wight",Table1[[#This Row],[income]],0)</f>
        <v>0</v>
      </c>
      <c r="BZ269" s="20">
        <f ca="1">IF(Table1[[#This Row],[County]]="Surrey",Table1[[#This Row],[income]],0)</f>
        <v>0</v>
      </c>
      <c r="CA269" s="20">
        <f ca="1">IF(Table1[[#This Row],[County]]="Derbyshire",Table1[[#This Row],[income]],0)</f>
        <v>0</v>
      </c>
      <c r="CB269" s="20">
        <f ca="1">IF(Table1[[#This Row],[County]]="City of London",Table1[[#This Row],[income]],0)</f>
        <v>0</v>
      </c>
      <c r="CC269" s="20">
        <f ca="1">IF(Table1[[#This Row],[County]]="Bedfordshire",Table1[[#This Row],[income]],0)</f>
        <v>0</v>
      </c>
      <c r="CD269" s="20">
        <f ca="1">IF(Table1[[#This Row],[County]]="County Durham",Table1[[#This Row],[income]],0)</f>
        <v>0</v>
      </c>
      <c r="CE269" s="20">
        <f ca="1">IF(Table1[[#This Row],[County]]="East Riding of Yorkshire",Table1[[#This Row],[income]],0)</f>
        <v>0</v>
      </c>
      <c r="CF269" s="20">
        <f ca="1">IF(Table1[[#This Row],[County]]="West Yorkshire",Table1[[#This Row],[income]],0)</f>
        <v>0</v>
      </c>
      <c r="CG269" s="20">
        <f ca="1">IF(Table1[[#This Row],[County]]="Essex",Table1[[#This Row],[income]],0)</f>
        <v>0</v>
      </c>
      <c r="CH269" s="20">
        <f ca="1">IF(Table1[[#This Row],[County]]="East Sussex",Table1[[#This Row],[income]],0)</f>
        <v>0</v>
      </c>
      <c r="CI269" s="20">
        <f ca="1">IF(Table1[[#This Row],[County]]="Greater Manchester",Table1[[#This Row],[income]],0)</f>
        <v>0</v>
      </c>
      <c r="CJ269" s="20">
        <f ca="1">IF(Table1[[#This Row],[County]]="Hertfordshire",Table1[[#This Row],[income]],0)</f>
        <v>0</v>
      </c>
      <c r="CK269" s="20">
        <f ca="1">IF(Table1[[#This Row],[County]]="Herefordshire",Table1[[#This Row],[income]],0)</f>
        <v>0</v>
      </c>
      <c r="CL269" s="20">
        <f ca="1">IF(Table1[[#This Row],[County]]="Lancashire",Table1[[#This Row],[income]],0)</f>
        <v>0</v>
      </c>
      <c r="CM269" s="20">
        <f ca="1">IF(Table1[[#This Row],[County]]="Merseyside",Table1[[#This Row],[income]],0)</f>
        <v>0</v>
      </c>
      <c r="CN269" s="20">
        <f ca="1">IF(Table1[[#This Row],[County]]="Northamptonshire",Table1[[#This Row],[income]],0)</f>
        <v>0</v>
      </c>
      <c r="CO269" s="20">
        <f ca="1">IF(Table1[[#This Row],[County]]="Northumberland",Table1[[#This Row],[income]],0)</f>
        <v>0</v>
      </c>
      <c r="CP269" s="20">
        <f ca="1">IF(Table1[[#This Row],[County]]="Wiltshire",Table1[[#This Row],[income]],0)</f>
        <v>0</v>
      </c>
      <c r="CQ269" s="20">
        <f ca="1">IF(Table1[[#This Row],[County]]="West Midlands",Table1[[#This Row],[income]],0)</f>
        <v>0</v>
      </c>
      <c r="CR269" s="20">
        <f ca="1">IF(Table1[[#This Row],[County]]="Warwickshire",Table1[[#This Row],[income]],0)</f>
        <v>0</v>
      </c>
      <c r="CS269" s="20">
        <f ca="1">IF(Table1[[#This Row],[County]]="Tyne and Wear",Table1[[#This Row],[income]],0)</f>
        <v>0</v>
      </c>
      <c r="CT269" s="20">
        <f ca="1">IF(Table1[[#This Row],[County]]="Worcestershire",Table1[[#This Row],[income]],0)</f>
        <v>77451</v>
      </c>
      <c r="CU269" s="20">
        <f ca="1">IF(Table1[[#This Row],[County]]="Rutland",Table1[[#This Row],[income]],0)</f>
        <v>0</v>
      </c>
      <c r="CV269" s="20">
        <f ca="1">IF(Table1[[#This Row],[County]]="Shropshire",Table1[[#This Row],[income]],0)</f>
        <v>0</v>
      </c>
      <c r="CW269" s="20">
        <f ca="1">IF(Table1[[#This Row],[County]]="Dorset",Table1[[#This Row],[income]],0)</f>
        <v>0</v>
      </c>
      <c r="CX269" s="20">
        <f ca="1">IF(Table1[[#This Row],[County]]="Buckinghamshire",Table1[[#This Row],[income]],0)</f>
        <v>0</v>
      </c>
      <c r="CY269" s="20">
        <f ca="1">IF(Table1[[#This Row],[County]]="Suffolk",Table1[[#This Row],[income]],0)</f>
        <v>0</v>
      </c>
      <c r="CZ269" s="20">
        <f ca="1">IF(Table1[[#This Row],[County]]="North Yorkshire",Table1[[#This Row],[income]],0)</f>
        <v>0</v>
      </c>
      <c r="DA269" s="20">
        <f ca="1">IF(Table1[[#This Row],[County]]="Kent",Table1[[#This Row],[income]],0)</f>
        <v>0</v>
      </c>
      <c r="DB269" s="5">
        <f ca="1">IF(Table1[[#This Row],[County]]="Derbyshire",Table1[[#This Row],[income]],0)</f>
        <v>0</v>
      </c>
      <c r="DD269" s="6">
        <f ca="1">IF(Table1[[#This Row],[Column1]]="Health",Table1[[#This Row],[income]],0)</f>
        <v>0</v>
      </c>
      <c r="DE269" s="20">
        <f ca="1">IF(Table1[[#This Row],[Column1]]="Agriculture",Table1[[#This Row],[income]],0)</f>
        <v>0</v>
      </c>
      <c r="DF269" s="20">
        <f ca="1">IF(Table1[[#This Row],[Column1]]="Technology",Table1[[#This Row],[income]],0)</f>
        <v>77451</v>
      </c>
      <c r="DG269" s="20">
        <f ca="1">IF(Table1[[#This Row],[Column1]]="Social Service",Table1[[#This Row],[income]],0)</f>
        <v>0</v>
      </c>
      <c r="DH269" s="20">
        <f ca="1">IF(Table1[[#This Row],[Column1]]="Education",Table1[[#This Row],[income]],0)</f>
        <v>0</v>
      </c>
      <c r="DI269" s="5">
        <f ca="1">IF(Table1[[#This Row],[Column1]]="Construction",Table1[[#This Row],[income]],0)</f>
        <v>0</v>
      </c>
      <c r="DK269" s="6">
        <f ca="1">IF(Table1[[#This Row],[Value of Debts]]&gt;Table1[[#This Row],[income]],1,0)</f>
        <v>1</v>
      </c>
      <c r="DL269" s="20"/>
      <c r="DM269" s="20"/>
      <c r="DN269" s="5"/>
      <c r="DP269" s="6">
        <f ca="1">IF(Table1[[#This Row],[Net Worth (£)]]&gt;$DS$5,C269,0)</f>
        <v>31</v>
      </c>
      <c r="DQ269" s="20"/>
      <c r="DR269" s="20"/>
      <c r="DS269" s="5"/>
    </row>
    <row r="270" spans="1:123" x14ac:dyDescent="0.2">
      <c r="A270">
        <f t="shared" ca="1" si="13"/>
        <v>1</v>
      </c>
      <c r="B270" s="1" t="str">
        <f ca="1">IF(A270=1, "men", "women")</f>
        <v>men</v>
      </c>
      <c r="C270" s="1">
        <f ca="1">RANDBETWEEN(25,50)</f>
        <v>32</v>
      </c>
      <c r="D270">
        <f ca="1">RANDBETWEEN(1,6)</f>
        <v>5</v>
      </c>
      <c r="E270" t="str">
        <f ca="1">VLOOKUP(D270,$W$5:$X$10,2)</f>
        <v>Social Service</v>
      </c>
      <c r="F270">
        <f ca="1">RANDBETWEEN(1,5)</f>
        <v>4</v>
      </c>
      <c r="G270" t="str">
        <f ca="1">VLOOKUP(F270,$Y$5:$Z$9,2)</f>
        <v xml:space="preserve">Technical </v>
      </c>
      <c r="H270">
        <f ca="1">RANDBETWEEN(0,4)</f>
        <v>4</v>
      </c>
      <c r="I270">
        <f ca="1">RANDBETWEEN(1,3)</f>
        <v>3</v>
      </c>
      <c r="J270">
        <f ca="1">RANDBETWEEN(30000,100000)</f>
        <v>50564</v>
      </c>
      <c r="K270">
        <f ca="1">RANDBETWEEN(1,48)</f>
        <v>47</v>
      </c>
      <c r="L270" t="str">
        <f ca="1">VLOOKUP(K270,$AA$5:$AB$52,2)</f>
        <v>Wiltshire</v>
      </c>
      <c r="M270">
        <f ca="1">J270*(RANDBETWEEN(2,5))</f>
        <v>202256</v>
      </c>
      <c r="N270">
        <f ca="1">RAND()*M270</f>
        <v>201201.7281306214</v>
      </c>
      <c r="O270">
        <f ca="1">I270*RAND()*J270</f>
        <v>62897.628563585764</v>
      </c>
      <c r="P270">
        <f ca="1">RANDBETWEEN(0,O270)</f>
        <v>25248</v>
      </c>
      <c r="Q270">
        <f ca="1">RAND()*J270*2</f>
        <v>63806.355683904301</v>
      </c>
      <c r="R270">
        <f ca="1">RAND()*J270*1.5</f>
        <v>72081.781395505765</v>
      </c>
      <c r="S270">
        <f ca="1">J270+R270+O270</f>
        <v>185543.40995909151</v>
      </c>
      <c r="T270">
        <f ca="1">N270+P270+Q270</f>
        <v>290256.08381452569</v>
      </c>
      <c r="U270">
        <f ca="1">S270-T270</f>
        <v>-104712.67385543417</v>
      </c>
      <c r="AC270" s="6">
        <f ca="1">IF(Table1[[#This Row],[gender]]="men",1,0)</f>
        <v>1</v>
      </c>
      <c r="AD270">
        <f ca="1">IF(Table1[[#This Row],[gender]]="women",1,0)</f>
        <v>0</v>
      </c>
      <c r="AH270" s="5"/>
      <c r="AJ270" s="6">
        <f ca="1">IF(Table1[[#This Row],[Column1]]="Health",1,0)</f>
        <v>0</v>
      </c>
      <c r="AK270">
        <f ca="1">IF(Table1[[#This Row],[Column1]]="Construction",1,0)</f>
        <v>0</v>
      </c>
      <c r="AL270">
        <f ca="1">IF(Table1[[#This Row],[Column1]]="Technology",1,0)</f>
        <v>0</v>
      </c>
      <c r="AM270">
        <f ca="1">IF(Table1[[#This Row],[Column1]]="Education",1,0)</f>
        <v>0</v>
      </c>
      <c r="AN270">
        <f ca="1">IF(Table1[[#This Row],[Column1]]="Agriculture",1,0)</f>
        <v>0</v>
      </c>
      <c r="AO270">
        <f ca="1">IF(Table1[[#This Row],[Column1]]="Social Service", 1, 0)</f>
        <v>1</v>
      </c>
      <c r="AT270" s="5"/>
      <c r="AV270" s="17">
        <f t="shared" ca="1" si="12"/>
        <v>2914.0740671687622</v>
      </c>
      <c r="AW270" s="5"/>
      <c r="AX270" s="6">
        <f ca="1">IF(Table1[[#This Row],[Value of Debts]]&gt;$AY$4,1,0)</f>
        <v>1</v>
      </c>
      <c r="AY270" s="20"/>
      <c r="AZ270" s="20"/>
      <c r="BA270" s="5"/>
      <c r="BB270" s="25">
        <f ca="1">Table1[[#This Row],[Mortage Left]]/Table1[[#This Row],[Value of House]]</f>
        <v>0.99478743834853556</v>
      </c>
      <c r="BC270" s="20">
        <f t="shared" ca="1" si="14"/>
        <v>0</v>
      </c>
      <c r="BD270" s="20"/>
      <c r="BE270" s="20"/>
      <c r="BF270" s="20"/>
      <c r="BG270" s="6">
        <f ca="1">IF(Table1[[#This Row],[County]]="Cumbria",Table1[[#This Row],[income]],0)</f>
        <v>0</v>
      </c>
      <c r="BH270" s="20">
        <f ca="1">IF(Table1[[#This Row],[County]]="Cheshire",Table1[[#This Row],[income]],0)</f>
        <v>0</v>
      </c>
      <c r="BI270" s="20">
        <f ca="1">IF(Table1[[#This Row],[County]]="Bristol",Table1[[#This Row],[income]],0)</f>
        <v>0</v>
      </c>
      <c r="BJ270" s="20">
        <f ca="1">IF(Table1[[#This Row],[County]]="Surrey",Table1[[#This Row],[income]],0)</f>
        <v>0</v>
      </c>
      <c r="BK270" s="20">
        <f ca="1">IF(Table1[[#This Row],[County]]="Norfolk",Table1[[#This Row],[income]],0)</f>
        <v>0</v>
      </c>
      <c r="BL270" s="20">
        <f ca="1">IF(Table1[[#This Row],[County]]="Lincolnshire",Table1[[#This Row],[income]],0)</f>
        <v>0</v>
      </c>
      <c r="BM270" s="20">
        <f ca="1">IF(Table1[[#This Row],[County]]="Somerset",Table1[[#This Row],[income]],0)</f>
        <v>0</v>
      </c>
      <c r="BN270" s="20">
        <f ca="1">IF(Table1[[#This Row],[County]]="Cambridgeshire",Table1[[#This Row],[income]],0)</f>
        <v>0</v>
      </c>
      <c r="BO270" s="20">
        <f ca="1">IF(Table1[[#This Row],[County]]="South Yorkshire",Table1[[#This Row],[income]],0)</f>
        <v>0</v>
      </c>
      <c r="BP270" s="20">
        <f ca="1">IF(Table1[[#This Row],[County]]="Greater London",Table1[[#This Row],[income]],0)</f>
        <v>0</v>
      </c>
      <c r="BQ270" s="20">
        <f ca="1">IF(Table1[[#This Row],[County]]="Hampshire",Table1[[#This Row],[income]],0)</f>
        <v>0</v>
      </c>
      <c r="BR270" s="20">
        <f ca="1">IF(Table1[[#This Row],[County]]="Gloucestershire",Table1[[#This Row],[income]],0)</f>
        <v>0</v>
      </c>
      <c r="BS270" s="20">
        <f ca="1">IF(Table1[[#This Row],[County]]="West Sussex",Table1[[#This Row],[income]],0)</f>
        <v>0</v>
      </c>
      <c r="BT270" s="20">
        <f ca="1">IF(Table1[[#This Row],[County]]="Devon",Table1[[#This Row],[income]],0)</f>
        <v>0</v>
      </c>
      <c r="BU270" s="20">
        <f ca="1">IF(Table1[[#This Row],[County]]="Berkshire",Table1[[#This Row],[income]],0)</f>
        <v>0</v>
      </c>
      <c r="BV270" s="20">
        <f ca="1">IF(Table1[[#This Row],[County]]="Staffordshire",Table1[[#This Row],[income]],0)</f>
        <v>0</v>
      </c>
      <c r="BW270" s="20">
        <f ca="1">IF(Table1[[#This Row],[County]]="Leicestershire",Table1[[#This Row],[income]],0)</f>
        <v>0</v>
      </c>
      <c r="BX270" s="20">
        <f ca="1">IF(Table1[[#This Row],[County]]="Cornwall",Table1[[#This Row],[income]],0)</f>
        <v>0</v>
      </c>
      <c r="BY270" s="20">
        <f ca="1">IF(Table1[[#This Row],[County]]="Isle of Wight",Table1[[#This Row],[income]],0)</f>
        <v>0</v>
      </c>
      <c r="BZ270" s="20">
        <f ca="1">IF(Table1[[#This Row],[County]]="Surrey",Table1[[#This Row],[income]],0)</f>
        <v>0</v>
      </c>
      <c r="CA270" s="20">
        <f ca="1">IF(Table1[[#This Row],[County]]="Derbyshire",Table1[[#This Row],[income]],0)</f>
        <v>0</v>
      </c>
      <c r="CB270" s="20">
        <f ca="1">IF(Table1[[#This Row],[County]]="City of London",Table1[[#This Row],[income]],0)</f>
        <v>0</v>
      </c>
      <c r="CC270" s="20">
        <f ca="1">IF(Table1[[#This Row],[County]]="Bedfordshire",Table1[[#This Row],[income]],0)</f>
        <v>0</v>
      </c>
      <c r="CD270" s="20">
        <f ca="1">IF(Table1[[#This Row],[County]]="County Durham",Table1[[#This Row],[income]],0)</f>
        <v>0</v>
      </c>
      <c r="CE270" s="20">
        <f ca="1">IF(Table1[[#This Row],[County]]="East Riding of Yorkshire",Table1[[#This Row],[income]],0)</f>
        <v>0</v>
      </c>
      <c r="CF270" s="20">
        <f ca="1">IF(Table1[[#This Row],[County]]="West Yorkshire",Table1[[#This Row],[income]],0)</f>
        <v>0</v>
      </c>
      <c r="CG270" s="20">
        <f ca="1">IF(Table1[[#This Row],[County]]="Essex",Table1[[#This Row],[income]],0)</f>
        <v>0</v>
      </c>
      <c r="CH270" s="20">
        <f ca="1">IF(Table1[[#This Row],[County]]="East Sussex",Table1[[#This Row],[income]],0)</f>
        <v>0</v>
      </c>
      <c r="CI270" s="20">
        <f ca="1">IF(Table1[[#This Row],[County]]="Greater Manchester",Table1[[#This Row],[income]],0)</f>
        <v>0</v>
      </c>
      <c r="CJ270" s="20">
        <f ca="1">IF(Table1[[#This Row],[County]]="Hertfordshire",Table1[[#This Row],[income]],0)</f>
        <v>0</v>
      </c>
      <c r="CK270" s="20">
        <f ca="1">IF(Table1[[#This Row],[County]]="Herefordshire",Table1[[#This Row],[income]],0)</f>
        <v>0</v>
      </c>
      <c r="CL270" s="20">
        <f ca="1">IF(Table1[[#This Row],[County]]="Lancashire",Table1[[#This Row],[income]],0)</f>
        <v>0</v>
      </c>
      <c r="CM270" s="20">
        <f ca="1">IF(Table1[[#This Row],[County]]="Merseyside",Table1[[#This Row],[income]],0)</f>
        <v>0</v>
      </c>
      <c r="CN270" s="20">
        <f ca="1">IF(Table1[[#This Row],[County]]="Northamptonshire",Table1[[#This Row],[income]],0)</f>
        <v>0</v>
      </c>
      <c r="CO270" s="20">
        <f ca="1">IF(Table1[[#This Row],[County]]="Northumberland",Table1[[#This Row],[income]],0)</f>
        <v>0</v>
      </c>
      <c r="CP270" s="20">
        <f ca="1">IF(Table1[[#This Row],[County]]="Wiltshire",Table1[[#This Row],[income]],0)</f>
        <v>50564</v>
      </c>
      <c r="CQ270" s="20">
        <f ca="1">IF(Table1[[#This Row],[County]]="West Midlands",Table1[[#This Row],[income]],0)</f>
        <v>0</v>
      </c>
      <c r="CR270" s="20">
        <f ca="1">IF(Table1[[#This Row],[County]]="Warwickshire",Table1[[#This Row],[income]],0)</f>
        <v>0</v>
      </c>
      <c r="CS270" s="20">
        <f ca="1">IF(Table1[[#This Row],[County]]="Tyne and Wear",Table1[[#This Row],[income]],0)</f>
        <v>0</v>
      </c>
      <c r="CT270" s="20">
        <f ca="1">IF(Table1[[#This Row],[County]]="Worcestershire",Table1[[#This Row],[income]],0)</f>
        <v>0</v>
      </c>
      <c r="CU270" s="20">
        <f ca="1">IF(Table1[[#This Row],[County]]="Rutland",Table1[[#This Row],[income]],0)</f>
        <v>0</v>
      </c>
      <c r="CV270" s="20">
        <f ca="1">IF(Table1[[#This Row],[County]]="Shropshire",Table1[[#This Row],[income]],0)</f>
        <v>0</v>
      </c>
      <c r="CW270" s="20">
        <f ca="1">IF(Table1[[#This Row],[County]]="Dorset",Table1[[#This Row],[income]],0)</f>
        <v>0</v>
      </c>
      <c r="CX270" s="20">
        <f ca="1">IF(Table1[[#This Row],[County]]="Buckinghamshire",Table1[[#This Row],[income]],0)</f>
        <v>0</v>
      </c>
      <c r="CY270" s="20">
        <f ca="1">IF(Table1[[#This Row],[County]]="Suffolk",Table1[[#This Row],[income]],0)</f>
        <v>0</v>
      </c>
      <c r="CZ270" s="20">
        <f ca="1">IF(Table1[[#This Row],[County]]="North Yorkshire",Table1[[#This Row],[income]],0)</f>
        <v>0</v>
      </c>
      <c r="DA270" s="20">
        <f ca="1">IF(Table1[[#This Row],[County]]="Kent",Table1[[#This Row],[income]],0)</f>
        <v>0</v>
      </c>
      <c r="DB270" s="5">
        <f ca="1">IF(Table1[[#This Row],[County]]="Derbyshire",Table1[[#This Row],[income]],0)</f>
        <v>0</v>
      </c>
      <c r="DD270" s="6">
        <f ca="1">IF(Table1[[#This Row],[Column1]]="Health",Table1[[#This Row],[income]],0)</f>
        <v>0</v>
      </c>
      <c r="DE270" s="20">
        <f ca="1">IF(Table1[[#This Row],[Column1]]="Agriculture",Table1[[#This Row],[income]],0)</f>
        <v>0</v>
      </c>
      <c r="DF270" s="20">
        <f ca="1">IF(Table1[[#This Row],[Column1]]="Technology",Table1[[#This Row],[income]],0)</f>
        <v>0</v>
      </c>
      <c r="DG270" s="20">
        <f ca="1">IF(Table1[[#This Row],[Column1]]="Social Service",Table1[[#This Row],[income]],0)</f>
        <v>50564</v>
      </c>
      <c r="DH270" s="20">
        <f ca="1">IF(Table1[[#This Row],[Column1]]="Education",Table1[[#This Row],[income]],0)</f>
        <v>0</v>
      </c>
      <c r="DI270" s="5">
        <f ca="1">IF(Table1[[#This Row],[Column1]]="Construction",Table1[[#This Row],[income]],0)</f>
        <v>0</v>
      </c>
      <c r="DK270" s="6">
        <f ca="1">IF(Table1[[#This Row],[Value of Debts]]&gt;Table1[[#This Row],[income]],1,0)</f>
        <v>1</v>
      </c>
      <c r="DL270" s="20"/>
      <c r="DM270" s="20"/>
      <c r="DN270" s="5"/>
      <c r="DP270" s="6">
        <f ca="1">IF(Table1[[#This Row],[Net Worth (£)]]&gt;$DS$5,C270,0)</f>
        <v>0</v>
      </c>
      <c r="DQ270" s="20"/>
      <c r="DR270" s="20"/>
      <c r="DS270" s="5"/>
    </row>
    <row r="271" spans="1:123" x14ac:dyDescent="0.2">
      <c r="A271">
        <f t="shared" ca="1" si="13"/>
        <v>2</v>
      </c>
      <c r="B271" s="1" t="str">
        <f ca="1">IF(A271=1, "men", "women")</f>
        <v>women</v>
      </c>
      <c r="C271" s="1">
        <f ca="1">RANDBETWEEN(25,50)</f>
        <v>48</v>
      </c>
      <c r="D271">
        <f ca="1">RANDBETWEEN(1,6)</f>
        <v>2</v>
      </c>
      <c r="E271" t="str">
        <f ca="1">VLOOKUP(D271,$W$5:$X$10,2)</f>
        <v>Construction</v>
      </c>
      <c r="F271">
        <f ca="1">RANDBETWEEN(1,5)</f>
        <v>3</v>
      </c>
      <c r="G271" t="str">
        <f ca="1">VLOOKUP(F271,$Y$5:$Z$9,2)</f>
        <v>University</v>
      </c>
      <c r="H271">
        <f ca="1">RANDBETWEEN(0,4)</f>
        <v>2</v>
      </c>
      <c r="I271">
        <f ca="1">RANDBETWEEN(1,3)</f>
        <v>3</v>
      </c>
      <c r="J271">
        <f ca="1">RANDBETWEEN(30000,100000)</f>
        <v>32321</v>
      </c>
      <c r="K271">
        <f ca="1">RANDBETWEEN(1,48)</f>
        <v>24</v>
      </c>
      <c r="L271" t="str">
        <f ca="1">VLOOKUP(K271,$AA$5:$AB$52,2)</f>
        <v>Kent</v>
      </c>
      <c r="M271">
        <f ca="1">J271*(RANDBETWEEN(2,5))</f>
        <v>129284</v>
      </c>
      <c r="N271">
        <f ca="1">RAND()*M271</f>
        <v>57607.347028146418</v>
      </c>
      <c r="O271">
        <f ca="1">I271*RAND()*J271</f>
        <v>8742.2222015062871</v>
      </c>
      <c r="P271">
        <f ca="1">RANDBETWEEN(0,O271)</f>
        <v>1571</v>
      </c>
      <c r="Q271">
        <f ca="1">RAND()*J271*2</f>
        <v>12327.123080259556</v>
      </c>
      <c r="R271">
        <f ca="1">RAND()*J271*1.5</f>
        <v>35796.029835173838</v>
      </c>
      <c r="S271">
        <f ca="1">J271+R271+O271</f>
        <v>76859.252036680118</v>
      </c>
      <c r="T271">
        <f ca="1">N271+P271+Q271</f>
        <v>71505.470108405978</v>
      </c>
      <c r="U271">
        <f ca="1">S271-T271</f>
        <v>5353.7819282741402</v>
      </c>
      <c r="AC271" s="6">
        <f ca="1">IF(Table1[[#This Row],[gender]]="men",1,0)</f>
        <v>0</v>
      </c>
      <c r="AD271">
        <f ca="1">IF(Table1[[#This Row],[gender]]="women",1,0)</f>
        <v>1</v>
      </c>
      <c r="AH271" s="5"/>
      <c r="AJ271" s="6">
        <f ca="1">IF(Table1[[#This Row],[Column1]]="Health",1,0)</f>
        <v>0</v>
      </c>
      <c r="AK271">
        <f ca="1">IF(Table1[[#This Row],[Column1]]="Construction",1,0)</f>
        <v>1</v>
      </c>
      <c r="AL271">
        <f ca="1">IF(Table1[[#This Row],[Column1]]="Technology",1,0)</f>
        <v>0</v>
      </c>
      <c r="AM271">
        <f ca="1">IF(Table1[[#This Row],[Column1]]="Education",1,0)</f>
        <v>0</v>
      </c>
      <c r="AN271">
        <f ca="1">IF(Table1[[#This Row],[Column1]]="Agriculture",1,0)</f>
        <v>0</v>
      </c>
      <c r="AO271">
        <f ca="1">IF(Table1[[#This Row],[Column1]]="Social Service", 1, 0)</f>
        <v>0</v>
      </c>
      <c r="AT271" s="5"/>
      <c r="AV271" s="17">
        <f t="shared" ca="1" si="12"/>
        <v>31451.515372934606</v>
      </c>
      <c r="AW271" s="5"/>
      <c r="AX271" s="6">
        <f ca="1">IF(Table1[[#This Row],[Value of Debts]]&gt;$AY$4,1,0)</f>
        <v>0</v>
      </c>
      <c r="AY271" s="20"/>
      <c r="AZ271" s="20"/>
      <c r="BA271" s="5"/>
      <c r="BB271" s="25">
        <f ca="1">Table1[[#This Row],[Mortage Left]]/Table1[[#This Row],[Value of House]]</f>
        <v>0.44558759806431125</v>
      </c>
      <c r="BC271" s="20">
        <f t="shared" ca="1" si="14"/>
        <v>0</v>
      </c>
      <c r="BD271" s="20"/>
      <c r="BE271" s="20"/>
      <c r="BF271" s="20"/>
      <c r="BG271" s="6">
        <f ca="1">IF(Table1[[#This Row],[County]]="Cumbria",Table1[[#This Row],[income]],0)</f>
        <v>0</v>
      </c>
      <c r="BH271" s="20">
        <f ca="1">IF(Table1[[#This Row],[County]]="Cheshire",Table1[[#This Row],[income]],0)</f>
        <v>0</v>
      </c>
      <c r="BI271" s="20">
        <f ca="1">IF(Table1[[#This Row],[County]]="Bristol",Table1[[#This Row],[income]],0)</f>
        <v>0</v>
      </c>
      <c r="BJ271" s="20">
        <f ca="1">IF(Table1[[#This Row],[County]]="Surrey",Table1[[#This Row],[income]],0)</f>
        <v>0</v>
      </c>
      <c r="BK271" s="20">
        <f ca="1">IF(Table1[[#This Row],[County]]="Norfolk",Table1[[#This Row],[income]],0)</f>
        <v>0</v>
      </c>
      <c r="BL271" s="20">
        <f ca="1">IF(Table1[[#This Row],[County]]="Lincolnshire",Table1[[#This Row],[income]],0)</f>
        <v>0</v>
      </c>
      <c r="BM271" s="20">
        <f ca="1">IF(Table1[[#This Row],[County]]="Somerset",Table1[[#This Row],[income]],0)</f>
        <v>0</v>
      </c>
      <c r="BN271" s="20">
        <f ca="1">IF(Table1[[#This Row],[County]]="Cambridgeshire",Table1[[#This Row],[income]],0)</f>
        <v>0</v>
      </c>
      <c r="BO271" s="20">
        <f ca="1">IF(Table1[[#This Row],[County]]="South Yorkshire",Table1[[#This Row],[income]],0)</f>
        <v>0</v>
      </c>
      <c r="BP271" s="20">
        <f ca="1">IF(Table1[[#This Row],[County]]="Greater London",Table1[[#This Row],[income]],0)</f>
        <v>0</v>
      </c>
      <c r="BQ271" s="20">
        <f ca="1">IF(Table1[[#This Row],[County]]="Hampshire",Table1[[#This Row],[income]],0)</f>
        <v>0</v>
      </c>
      <c r="BR271" s="20">
        <f ca="1">IF(Table1[[#This Row],[County]]="Gloucestershire",Table1[[#This Row],[income]],0)</f>
        <v>0</v>
      </c>
      <c r="BS271" s="20">
        <f ca="1">IF(Table1[[#This Row],[County]]="West Sussex",Table1[[#This Row],[income]],0)</f>
        <v>0</v>
      </c>
      <c r="BT271" s="20">
        <f ca="1">IF(Table1[[#This Row],[County]]="Devon",Table1[[#This Row],[income]],0)</f>
        <v>0</v>
      </c>
      <c r="BU271" s="20">
        <f ca="1">IF(Table1[[#This Row],[County]]="Berkshire",Table1[[#This Row],[income]],0)</f>
        <v>0</v>
      </c>
      <c r="BV271" s="20">
        <f ca="1">IF(Table1[[#This Row],[County]]="Staffordshire",Table1[[#This Row],[income]],0)</f>
        <v>0</v>
      </c>
      <c r="BW271" s="20">
        <f ca="1">IF(Table1[[#This Row],[County]]="Leicestershire",Table1[[#This Row],[income]],0)</f>
        <v>0</v>
      </c>
      <c r="BX271" s="20">
        <f ca="1">IF(Table1[[#This Row],[County]]="Cornwall",Table1[[#This Row],[income]],0)</f>
        <v>0</v>
      </c>
      <c r="BY271" s="20">
        <f ca="1">IF(Table1[[#This Row],[County]]="Isle of Wight",Table1[[#This Row],[income]],0)</f>
        <v>0</v>
      </c>
      <c r="BZ271" s="20">
        <f ca="1">IF(Table1[[#This Row],[County]]="Surrey",Table1[[#This Row],[income]],0)</f>
        <v>0</v>
      </c>
      <c r="CA271" s="20">
        <f ca="1">IF(Table1[[#This Row],[County]]="Derbyshire",Table1[[#This Row],[income]],0)</f>
        <v>0</v>
      </c>
      <c r="CB271" s="20">
        <f ca="1">IF(Table1[[#This Row],[County]]="City of London",Table1[[#This Row],[income]],0)</f>
        <v>0</v>
      </c>
      <c r="CC271" s="20">
        <f ca="1">IF(Table1[[#This Row],[County]]="Bedfordshire",Table1[[#This Row],[income]],0)</f>
        <v>0</v>
      </c>
      <c r="CD271" s="20">
        <f ca="1">IF(Table1[[#This Row],[County]]="County Durham",Table1[[#This Row],[income]],0)</f>
        <v>0</v>
      </c>
      <c r="CE271" s="20">
        <f ca="1">IF(Table1[[#This Row],[County]]="East Riding of Yorkshire",Table1[[#This Row],[income]],0)</f>
        <v>0</v>
      </c>
      <c r="CF271" s="20">
        <f ca="1">IF(Table1[[#This Row],[County]]="West Yorkshire",Table1[[#This Row],[income]],0)</f>
        <v>0</v>
      </c>
      <c r="CG271" s="20">
        <f ca="1">IF(Table1[[#This Row],[County]]="Essex",Table1[[#This Row],[income]],0)</f>
        <v>0</v>
      </c>
      <c r="CH271" s="20">
        <f ca="1">IF(Table1[[#This Row],[County]]="East Sussex",Table1[[#This Row],[income]],0)</f>
        <v>0</v>
      </c>
      <c r="CI271" s="20">
        <f ca="1">IF(Table1[[#This Row],[County]]="Greater Manchester",Table1[[#This Row],[income]],0)</f>
        <v>0</v>
      </c>
      <c r="CJ271" s="20">
        <f ca="1">IF(Table1[[#This Row],[County]]="Hertfordshire",Table1[[#This Row],[income]],0)</f>
        <v>0</v>
      </c>
      <c r="CK271" s="20">
        <f ca="1">IF(Table1[[#This Row],[County]]="Herefordshire",Table1[[#This Row],[income]],0)</f>
        <v>0</v>
      </c>
      <c r="CL271" s="20">
        <f ca="1">IF(Table1[[#This Row],[County]]="Lancashire",Table1[[#This Row],[income]],0)</f>
        <v>0</v>
      </c>
      <c r="CM271" s="20">
        <f ca="1">IF(Table1[[#This Row],[County]]="Merseyside",Table1[[#This Row],[income]],0)</f>
        <v>0</v>
      </c>
      <c r="CN271" s="20">
        <f ca="1">IF(Table1[[#This Row],[County]]="Northamptonshire",Table1[[#This Row],[income]],0)</f>
        <v>0</v>
      </c>
      <c r="CO271" s="20">
        <f ca="1">IF(Table1[[#This Row],[County]]="Northumberland",Table1[[#This Row],[income]],0)</f>
        <v>0</v>
      </c>
      <c r="CP271" s="20">
        <f ca="1">IF(Table1[[#This Row],[County]]="Wiltshire",Table1[[#This Row],[income]],0)</f>
        <v>0</v>
      </c>
      <c r="CQ271" s="20">
        <f ca="1">IF(Table1[[#This Row],[County]]="West Midlands",Table1[[#This Row],[income]],0)</f>
        <v>0</v>
      </c>
      <c r="CR271" s="20">
        <f ca="1">IF(Table1[[#This Row],[County]]="Warwickshire",Table1[[#This Row],[income]],0)</f>
        <v>0</v>
      </c>
      <c r="CS271" s="20">
        <f ca="1">IF(Table1[[#This Row],[County]]="Tyne and Wear",Table1[[#This Row],[income]],0)</f>
        <v>0</v>
      </c>
      <c r="CT271" s="20">
        <f ca="1">IF(Table1[[#This Row],[County]]="Worcestershire",Table1[[#This Row],[income]],0)</f>
        <v>0</v>
      </c>
      <c r="CU271" s="20">
        <f ca="1">IF(Table1[[#This Row],[County]]="Rutland",Table1[[#This Row],[income]],0)</f>
        <v>0</v>
      </c>
      <c r="CV271" s="20">
        <f ca="1">IF(Table1[[#This Row],[County]]="Shropshire",Table1[[#This Row],[income]],0)</f>
        <v>0</v>
      </c>
      <c r="CW271" s="20">
        <f ca="1">IF(Table1[[#This Row],[County]]="Dorset",Table1[[#This Row],[income]],0)</f>
        <v>0</v>
      </c>
      <c r="CX271" s="20">
        <f ca="1">IF(Table1[[#This Row],[County]]="Buckinghamshire",Table1[[#This Row],[income]],0)</f>
        <v>0</v>
      </c>
      <c r="CY271" s="20">
        <f ca="1">IF(Table1[[#This Row],[County]]="Suffolk",Table1[[#This Row],[income]],0)</f>
        <v>0</v>
      </c>
      <c r="CZ271" s="20">
        <f ca="1">IF(Table1[[#This Row],[County]]="North Yorkshire",Table1[[#This Row],[income]],0)</f>
        <v>0</v>
      </c>
      <c r="DA271" s="20">
        <f ca="1">IF(Table1[[#This Row],[County]]="Kent",Table1[[#This Row],[income]],0)</f>
        <v>32321</v>
      </c>
      <c r="DB271" s="5">
        <f ca="1">IF(Table1[[#This Row],[County]]="Derbyshire",Table1[[#This Row],[income]],0)</f>
        <v>0</v>
      </c>
      <c r="DD271" s="6">
        <f ca="1">IF(Table1[[#This Row],[Column1]]="Health",Table1[[#This Row],[income]],0)</f>
        <v>0</v>
      </c>
      <c r="DE271" s="20">
        <f ca="1">IF(Table1[[#This Row],[Column1]]="Agriculture",Table1[[#This Row],[income]],0)</f>
        <v>0</v>
      </c>
      <c r="DF271" s="20">
        <f ca="1">IF(Table1[[#This Row],[Column1]]="Technology",Table1[[#This Row],[income]],0)</f>
        <v>0</v>
      </c>
      <c r="DG271" s="20">
        <f ca="1">IF(Table1[[#This Row],[Column1]]="Social Service",Table1[[#This Row],[income]],0)</f>
        <v>0</v>
      </c>
      <c r="DH271" s="20">
        <f ca="1">IF(Table1[[#This Row],[Column1]]="Education",Table1[[#This Row],[income]],0)</f>
        <v>0</v>
      </c>
      <c r="DI271" s="5">
        <f ca="1">IF(Table1[[#This Row],[Column1]]="Construction",Table1[[#This Row],[income]],0)</f>
        <v>32321</v>
      </c>
      <c r="DK271" s="6">
        <f ca="1">IF(Table1[[#This Row],[Value of Debts]]&gt;Table1[[#This Row],[income]],1,0)</f>
        <v>1</v>
      </c>
      <c r="DL271" s="20"/>
      <c r="DM271" s="20"/>
      <c r="DN271" s="5"/>
      <c r="DP271" s="6">
        <f ca="1">IF(Table1[[#This Row],[Net Worth (£)]]&gt;$DS$5,C271,0)</f>
        <v>0</v>
      </c>
      <c r="DQ271" s="20"/>
      <c r="DR271" s="20"/>
      <c r="DS271" s="5"/>
    </row>
    <row r="272" spans="1:123" x14ac:dyDescent="0.2">
      <c r="A272">
        <f t="shared" ca="1" si="13"/>
        <v>1</v>
      </c>
      <c r="B272" s="1" t="str">
        <f ca="1">IF(A272=1, "men", "women")</f>
        <v>men</v>
      </c>
      <c r="C272" s="1">
        <f ca="1">RANDBETWEEN(25,50)</f>
        <v>32</v>
      </c>
      <c r="D272">
        <f ca="1">RANDBETWEEN(1,6)</f>
        <v>3</v>
      </c>
      <c r="E272" t="str">
        <f ca="1">VLOOKUP(D272,$W$5:$X$10,2)</f>
        <v>Education</v>
      </c>
      <c r="F272">
        <f ca="1">RANDBETWEEN(1,5)</f>
        <v>1</v>
      </c>
      <c r="G272" t="str">
        <f ca="1">VLOOKUP(F272,$Y$5:$Z$9,2)</f>
        <v>High School</v>
      </c>
      <c r="H272">
        <f ca="1">RANDBETWEEN(0,4)</f>
        <v>4</v>
      </c>
      <c r="I272">
        <f ca="1">RANDBETWEEN(1,3)</f>
        <v>2</v>
      </c>
      <c r="J272">
        <f ca="1">RANDBETWEEN(30000,100000)</f>
        <v>91223</v>
      </c>
      <c r="K272">
        <f ca="1">RANDBETWEEN(1,48)</f>
        <v>48</v>
      </c>
      <c r="L272" t="str">
        <f ca="1">VLOOKUP(K272,$AA$5:$AB$52,2)</f>
        <v>Worcestershire</v>
      </c>
      <c r="M272">
        <f ca="1">J272*(RANDBETWEEN(2,5))</f>
        <v>456115</v>
      </c>
      <c r="N272">
        <f ca="1">RAND()*M272</f>
        <v>75599.343251689046</v>
      </c>
      <c r="O272">
        <f ca="1">I272*RAND()*J272</f>
        <v>62903.030745869211</v>
      </c>
      <c r="P272">
        <f ca="1">RANDBETWEEN(0,O272)</f>
        <v>30418</v>
      </c>
      <c r="Q272">
        <f ca="1">RAND()*J272*2</f>
        <v>74802.437631574838</v>
      </c>
      <c r="R272">
        <f ca="1">RAND()*J272*1.5</f>
        <v>64986.705773470982</v>
      </c>
      <c r="S272">
        <f ca="1">J272+R272+O272</f>
        <v>219112.73651934019</v>
      </c>
      <c r="T272">
        <f ca="1">N272+P272+Q272</f>
        <v>180819.78088326388</v>
      </c>
      <c r="U272">
        <f ca="1">S272-T272</f>
        <v>38292.955636076309</v>
      </c>
      <c r="AC272" s="6">
        <f ca="1">IF(Table1[[#This Row],[gender]]="men",1,0)</f>
        <v>1</v>
      </c>
      <c r="AD272">
        <f ca="1">IF(Table1[[#This Row],[gender]]="women",1,0)</f>
        <v>0</v>
      </c>
      <c r="AH272" s="5"/>
      <c r="AJ272" s="6">
        <f ca="1">IF(Table1[[#This Row],[Column1]]="Health",1,0)</f>
        <v>0</v>
      </c>
      <c r="AK272">
        <f ca="1">IF(Table1[[#This Row],[Column1]]="Construction",1,0)</f>
        <v>0</v>
      </c>
      <c r="AL272">
        <f ca="1">IF(Table1[[#This Row],[Column1]]="Technology",1,0)</f>
        <v>0</v>
      </c>
      <c r="AM272">
        <f ca="1">IF(Table1[[#This Row],[Column1]]="Education",1,0)</f>
        <v>1</v>
      </c>
      <c r="AN272">
        <f ca="1">IF(Table1[[#This Row],[Column1]]="Agriculture",1,0)</f>
        <v>0</v>
      </c>
      <c r="AO272">
        <f ca="1">IF(Table1[[#This Row],[Column1]]="Social Service", 1, 0)</f>
        <v>0</v>
      </c>
      <c r="AT272" s="5"/>
      <c r="AV272" s="17">
        <f t="shared" ca="1" si="12"/>
        <v>20963.18189517015</v>
      </c>
      <c r="AW272" s="5"/>
      <c r="AX272" s="6">
        <f ca="1">IF(Table1[[#This Row],[Value of Debts]]&gt;$AY$4,1,0)</f>
        <v>1</v>
      </c>
      <c r="AY272" s="20"/>
      <c r="AZ272" s="20"/>
      <c r="BA272" s="5"/>
      <c r="BB272" s="25">
        <f ca="1">Table1[[#This Row],[Mortage Left]]/Table1[[#This Row],[Value of House]]</f>
        <v>0.16574623340975203</v>
      </c>
      <c r="BC272" s="20">
        <f t="shared" ca="1" si="14"/>
        <v>1</v>
      </c>
      <c r="BD272" s="20"/>
      <c r="BE272" s="20"/>
      <c r="BF272" s="20"/>
      <c r="BG272" s="6">
        <f ca="1">IF(Table1[[#This Row],[County]]="Cumbria",Table1[[#This Row],[income]],0)</f>
        <v>0</v>
      </c>
      <c r="BH272" s="20">
        <f ca="1">IF(Table1[[#This Row],[County]]="Cheshire",Table1[[#This Row],[income]],0)</f>
        <v>0</v>
      </c>
      <c r="BI272" s="20">
        <f ca="1">IF(Table1[[#This Row],[County]]="Bristol",Table1[[#This Row],[income]],0)</f>
        <v>0</v>
      </c>
      <c r="BJ272" s="20">
        <f ca="1">IF(Table1[[#This Row],[County]]="Surrey",Table1[[#This Row],[income]],0)</f>
        <v>0</v>
      </c>
      <c r="BK272" s="20">
        <f ca="1">IF(Table1[[#This Row],[County]]="Norfolk",Table1[[#This Row],[income]],0)</f>
        <v>0</v>
      </c>
      <c r="BL272" s="20">
        <f ca="1">IF(Table1[[#This Row],[County]]="Lincolnshire",Table1[[#This Row],[income]],0)</f>
        <v>0</v>
      </c>
      <c r="BM272" s="20">
        <f ca="1">IF(Table1[[#This Row],[County]]="Somerset",Table1[[#This Row],[income]],0)</f>
        <v>0</v>
      </c>
      <c r="BN272" s="20">
        <f ca="1">IF(Table1[[#This Row],[County]]="Cambridgeshire",Table1[[#This Row],[income]],0)</f>
        <v>0</v>
      </c>
      <c r="BO272" s="20">
        <f ca="1">IF(Table1[[#This Row],[County]]="South Yorkshire",Table1[[#This Row],[income]],0)</f>
        <v>0</v>
      </c>
      <c r="BP272" s="20">
        <f ca="1">IF(Table1[[#This Row],[County]]="Greater London",Table1[[#This Row],[income]],0)</f>
        <v>0</v>
      </c>
      <c r="BQ272" s="20">
        <f ca="1">IF(Table1[[#This Row],[County]]="Hampshire",Table1[[#This Row],[income]],0)</f>
        <v>0</v>
      </c>
      <c r="BR272" s="20">
        <f ca="1">IF(Table1[[#This Row],[County]]="Gloucestershire",Table1[[#This Row],[income]],0)</f>
        <v>0</v>
      </c>
      <c r="BS272" s="20">
        <f ca="1">IF(Table1[[#This Row],[County]]="West Sussex",Table1[[#This Row],[income]],0)</f>
        <v>0</v>
      </c>
      <c r="BT272" s="20">
        <f ca="1">IF(Table1[[#This Row],[County]]="Devon",Table1[[#This Row],[income]],0)</f>
        <v>0</v>
      </c>
      <c r="BU272" s="20">
        <f ca="1">IF(Table1[[#This Row],[County]]="Berkshire",Table1[[#This Row],[income]],0)</f>
        <v>0</v>
      </c>
      <c r="BV272" s="20">
        <f ca="1">IF(Table1[[#This Row],[County]]="Staffordshire",Table1[[#This Row],[income]],0)</f>
        <v>0</v>
      </c>
      <c r="BW272" s="20">
        <f ca="1">IF(Table1[[#This Row],[County]]="Leicestershire",Table1[[#This Row],[income]],0)</f>
        <v>0</v>
      </c>
      <c r="BX272" s="20">
        <f ca="1">IF(Table1[[#This Row],[County]]="Cornwall",Table1[[#This Row],[income]],0)</f>
        <v>0</v>
      </c>
      <c r="BY272" s="20">
        <f ca="1">IF(Table1[[#This Row],[County]]="Isle of Wight",Table1[[#This Row],[income]],0)</f>
        <v>0</v>
      </c>
      <c r="BZ272" s="20">
        <f ca="1">IF(Table1[[#This Row],[County]]="Surrey",Table1[[#This Row],[income]],0)</f>
        <v>0</v>
      </c>
      <c r="CA272" s="20">
        <f ca="1">IF(Table1[[#This Row],[County]]="Derbyshire",Table1[[#This Row],[income]],0)</f>
        <v>0</v>
      </c>
      <c r="CB272" s="20">
        <f ca="1">IF(Table1[[#This Row],[County]]="City of London",Table1[[#This Row],[income]],0)</f>
        <v>0</v>
      </c>
      <c r="CC272" s="20">
        <f ca="1">IF(Table1[[#This Row],[County]]="Bedfordshire",Table1[[#This Row],[income]],0)</f>
        <v>0</v>
      </c>
      <c r="CD272" s="20">
        <f ca="1">IF(Table1[[#This Row],[County]]="County Durham",Table1[[#This Row],[income]],0)</f>
        <v>0</v>
      </c>
      <c r="CE272" s="20">
        <f ca="1">IF(Table1[[#This Row],[County]]="East Riding of Yorkshire",Table1[[#This Row],[income]],0)</f>
        <v>0</v>
      </c>
      <c r="CF272" s="20">
        <f ca="1">IF(Table1[[#This Row],[County]]="West Yorkshire",Table1[[#This Row],[income]],0)</f>
        <v>0</v>
      </c>
      <c r="CG272" s="20">
        <f ca="1">IF(Table1[[#This Row],[County]]="Essex",Table1[[#This Row],[income]],0)</f>
        <v>0</v>
      </c>
      <c r="CH272" s="20">
        <f ca="1">IF(Table1[[#This Row],[County]]="East Sussex",Table1[[#This Row],[income]],0)</f>
        <v>0</v>
      </c>
      <c r="CI272" s="20">
        <f ca="1">IF(Table1[[#This Row],[County]]="Greater Manchester",Table1[[#This Row],[income]],0)</f>
        <v>0</v>
      </c>
      <c r="CJ272" s="20">
        <f ca="1">IF(Table1[[#This Row],[County]]="Hertfordshire",Table1[[#This Row],[income]],0)</f>
        <v>0</v>
      </c>
      <c r="CK272" s="20">
        <f ca="1">IF(Table1[[#This Row],[County]]="Herefordshire",Table1[[#This Row],[income]],0)</f>
        <v>0</v>
      </c>
      <c r="CL272" s="20">
        <f ca="1">IF(Table1[[#This Row],[County]]="Lancashire",Table1[[#This Row],[income]],0)</f>
        <v>0</v>
      </c>
      <c r="CM272" s="20">
        <f ca="1">IF(Table1[[#This Row],[County]]="Merseyside",Table1[[#This Row],[income]],0)</f>
        <v>0</v>
      </c>
      <c r="CN272" s="20">
        <f ca="1">IF(Table1[[#This Row],[County]]="Northamptonshire",Table1[[#This Row],[income]],0)</f>
        <v>0</v>
      </c>
      <c r="CO272" s="20">
        <f ca="1">IF(Table1[[#This Row],[County]]="Northumberland",Table1[[#This Row],[income]],0)</f>
        <v>0</v>
      </c>
      <c r="CP272" s="20">
        <f ca="1">IF(Table1[[#This Row],[County]]="Wiltshire",Table1[[#This Row],[income]],0)</f>
        <v>0</v>
      </c>
      <c r="CQ272" s="20">
        <f ca="1">IF(Table1[[#This Row],[County]]="West Midlands",Table1[[#This Row],[income]],0)</f>
        <v>0</v>
      </c>
      <c r="CR272" s="20">
        <f ca="1">IF(Table1[[#This Row],[County]]="Warwickshire",Table1[[#This Row],[income]],0)</f>
        <v>0</v>
      </c>
      <c r="CS272" s="20">
        <f ca="1">IF(Table1[[#This Row],[County]]="Tyne and Wear",Table1[[#This Row],[income]],0)</f>
        <v>0</v>
      </c>
      <c r="CT272" s="20">
        <f ca="1">IF(Table1[[#This Row],[County]]="Worcestershire",Table1[[#This Row],[income]],0)</f>
        <v>91223</v>
      </c>
      <c r="CU272" s="20">
        <f ca="1">IF(Table1[[#This Row],[County]]="Rutland",Table1[[#This Row],[income]],0)</f>
        <v>0</v>
      </c>
      <c r="CV272" s="20">
        <f ca="1">IF(Table1[[#This Row],[County]]="Shropshire",Table1[[#This Row],[income]],0)</f>
        <v>0</v>
      </c>
      <c r="CW272" s="20">
        <f ca="1">IF(Table1[[#This Row],[County]]="Dorset",Table1[[#This Row],[income]],0)</f>
        <v>0</v>
      </c>
      <c r="CX272" s="20">
        <f ca="1">IF(Table1[[#This Row],[County]]="Buckinghamshire",Table1[[#This Row],[income]],0)</f>
        <v>0</v>
      </c>
      <c r="CY272" s="20">
        <f ca="1">IF(Table1[[#This Row],[County]]="Suffolk",Table1[[#This Row],[income]],0)</f>
        <v>0</v>
      </c>
      <c r="CZ272" s="20">
        <f ca="1">IF(Table1[[#This Row],[County]]="North Yorkshire",Table1[[#This Row],[income]],0)</f>
        <v>0</v>
      </c>
      <c r="DA272" s="20">
        <f ca="1">IF(Table1[[#This Row],[County]]="Kent",Table1[[#This Row],[income]],0)</f>
        <v>0</v>
      </c>
      <c r="DB272" s="5">
        <f ca="1">IF(Table1[[#This Row],[County]]="Derbyshire",Table1[[#This Row],[income]],0)</f>
        <v>0</v>
      </c>
      <c r="DD272" s="6">
        <f ca="1">IF(Table1[[#This Row],[Column1]]="Health",Table1[[#This Row],[income]],0)</f>
        <v>0</v>
      </c>
      <c r="DE272" s="20">
        <f ca="1">IF(Table1[[#This Row],[Column1]]="Agriculture",Table1[[#This Row],[income]],0)</f>
        <v>0</v>
      </c>
      <c r="DF272" s="20">
        <f ca="1">IF(Table1[[#This Row],[Column1]]="Technology",Table1[[#This Row],[income]],0)</f>
        <v>0</v>
      </c>
      <c r="DG272" s="20">
        <f ca="1">IF(Table1[[#This Row],[Column1]]="Social Service",Table1[[#This Row],[income]],0)</f>
        <v>0</v>
      </c>
      <c r="DH272" s="20">
        <f ca="1">IF(Table1[[#This Row],[Column1]]="Education",Table1[[#This Row],[income]],0)</f>
        <v>91223</v>
      </c>
      <c r="DI272" s="5">
        <f ca="1">IF(Table1[[#This Row],[Column1]]="Construction",Table1[[#This Row],[income]],0)</f>
        <v>0</v>
      </c>
      <c r="DK272" s="6">
        <f ca="1">IF(Table1[[#This Row],[Value of Debts]]&gt;Table1[[#This Row],[income]],1,0)</f>
        <v>1</v>
      </c>
      <c r="DL272" s="20"/>
      <c r="DM272" s="20"/>
      <c r="DN272" s="5"/>
      <c r="DP272" s="6">
        <f ca="1">IF(Table1[[#This Row],[Net Worth (£)]]&gt;$DS$5,C272,0)</f>
        <v>0</v>
      </c>
      <c r="DQ272" s="20"/>
      <c r="DR272" s="20"/>
      <c r="DS272" s="5"/>
    </row>
    <row r="273" spans="1:123" x14ac:dyDescent="0.2">
      <c r="A273">
        <f t="shared" ca="1" si="13"/>
        <v>1</v>
      </c>
      <c r="B273" s="1" t="str">
        <f ca="1">IF(A273=1, "men", "women")</f>
        <v>men</v>
      </c>
      <c r="C273" s="1">
        <f ca="1">RANDBETWEEN(25,50)</f>
        <v>46</v>
      </c>
      <c r="D273">
        <f ca="1">RANDBETWEEN(1,6)</f>
        <v>1</v>
      </c>
      <c r="E273" t="str">
        <f ca="1">VLOOKUP(D273,$W$5:$X$10,2)</f>
        <v>Health</v>
      </c>
      <c r="F273">
        <f ca="1">RANDBETWEEN(1,5)</f>
        <v>5</v>
      </c>
      <c r="G273" t="str">
        <f ca="1">VLOOKUP(F273,$Y$5:$Z$9,2)</f>
        <v>Other</v>
      </c>
      <c r="H273">
        <f ca="1">RANDBETWEEN(0,4)</f>
        <v>0</v>
      </c>
      <c r="I273">
        <f ca="1">RANDBETWEEN(1,3)</f>
        <v>2</v>
      </c>
      <c r="J273">
        <f ca="1">RANDBETWEEN(30000,100000)</f>
        <v>41046</v>
      </c>
      <c r="K273">
        <f ca="1">RANDBETWEEN(1,48)</f>
        <v>13</v>
      </c>
      <c r="L273" t="str">
        <f ca="1">VLOOKUP(K273,$AA$5:$AB$52,2)</f>
        <v>County Durham</v>
      </c>
      <c r="M273">
        <f ca="1">J273*(RANDBETWEEN(2,5))</f>
        <v>205230</v>
      </c>
      <c r="N273">
        <f ca="1">RAND()*M273</f>
        <v>122492.20642611376</v>
      </c>
      <c r="O273">
        <f ca="1">I273*RAND()*J273</f>
        <v>41926.3637903403</v>
      </c>
      <c r="P273">
        <f ca="1">RANDBETWEEN(0,O273)</f>
        <v>33145</v>
      </c>
      <c r="Q273">
        <f ca="1">RAND()*J273*2</f>
        <v>42028.069889004961</v>
      </c>
      <c r="R273">
        <f ca="1">RAND()*J273*1.5</f>
        <v>25451.235952481518</v>
      </c>
      <c r="S273">
        <f ca="1">J273+R273+O273</f>
        <v>108423.59974282181</v>
      </c>
      <c r="T273">
        <f ca="1">N273+P273+Q273</f>
        <v>197665.27631511871</v>
      </c>
      <c r="U273">
        <f ca="1">S273-T273</f>
        <v>-89241.676572296899</v>
      </c>
      <c r="AC273" s="6">
        <f ca="1">IF(Table1[[#This Row],[gender]]="men",1,0)</f>
        <v>1</v>
      </c>
      <c r="AD273">
        <f ca="1">IF(Table1[[#This Row],[gender]]="women",1,0)</f>
        <v>0</v>
      </c>
      <c r="AH273" s="5"/>
      <c r="AJ273" s="6">
        <f ca="1">IF(Table1[[#This Row],[Column1]]="Health",1,0)</f>
        <v>1</v>
      </c>
      <c r="AK273">
        <f ca="1">IF(Table1[[#This Row],[Column1]]="Construction",1,0)</f>
        <v>0</v>
      </c>
      <c r="AL273">
        <f ca="1">IF(Table1[[#This Row],[Column1]]="Technology",1,0)</f>
        <v>0</v>
      </c>
      <c r="AM273">
        <f ca="1">IF(Table1[[#This Row],[Column1]]="Education",1,0)</f>
        <v>0</v>
      </c>
      <c r="AN273">
        <f ca="1">IF(Table1[[#This Row],[Column1]]="Agriculture",1,0)</f>
        <v>0</v>
      </c>
      <c r="AO273">
        <f ca="1">IF(Table1[[#This Row],[Column1]]="Social Service", 1, 0)</f>
        <v>0</v>
      </c>
      <c r="AT273" s="5"/>
      <c r="AV273" s="17">
        <f t="shared" ca="1" si="12"/>
        <v>46351.449252952014</v>
      </c>
      <c r="AW273" s="5"/>
      <c r="AX273" s="6">
        <f ca="1">IF(Table1[[#This Row],[Value of Debts]]&gt;$AY$4,1,0)</f>
        <v>1</v>
      </c>
      <c r="AY273" s="20"/>
      <c r="AZ273" s="20"/>
      <c r="BA273" s="5"/>
      <c r="BB273" s="25">
        <f ca="1">Table1[[#This Row],[Mortage Left]]/Table1[[#This Row],[Value of House]]</f>
        <v>0.59685331786831242</v>
      </c>
      <c r="BC273" s="20">
        <f t="shared" ca="1" si="14"/>
        <v>0</v>
      </c>
      <c r="BD273" s="20"/>
      <c r="BE273" s="20"/>
      <c r="BF273" s="20"/>
      <c r="BG273" s="6">
        <f ca="1">IF(Table1[[#This Row],[County]]="Cumbria",Table1[[#This Row],[income]],0)</f>
        <v>0</v>
      </c>
      <c r="BH273" s="20">
        <f ca="1">IF(Table1[[#This Row],[County]]="Cheshire",Table1[[#This Row],[income]],0)</f>
        <v>0</v>
      </c>
      <c r="BI273" s="20">
        <f ca="1">IF(Table1[[#This Row],[County]]="Bristol",Table1[[#This Row],[income]],0)</f>
        <v>0</v>
      </c>
      <c r="BJ273" s="20">
        <f ca="1">IF(Table1[[#This Row],[County]]="Surrey",Table1[[#This Row],[income]],0)</f>
        <v>0</v>
      </c>
      <c r="BK273" s="20">
        <f ca="1">IF(Table1[[#This Row],[County]]="Norfolk",Table1[[#This Row],[income]],0)</f>
        <v>0</v>
      </c>
      <c r="BL273" s="20">
        <f ca="1">IF(Table1[[#This Row],[County]]="Lincolnshire",Table1[[#This Row],[income]],0)</f>
        <v>0</v>
      </c>
      <c r="BM273" s="20">
        <f ca="1">IF(Table1[[#This Row],[County]]="Somerset",Table1[[#This Row],[income]],0)</f>
        <v>0</v>
      </c>
      <c r="BN273" s="20">
        <f ca="1">IF(Table1[[#This Row],[County]]="Cambridgeshire",Table1[[#This Row],[income]],0)</f>
        <v>0</v>
      </c>
      <c r="BO273" s="20">
        <f ca="1">IF(Table1[[#This Row],[County]]="South Yorkshire",Table1[[#This Row],[income]],0)</f>
        <v>0</v>
      </c>
      <c r="BP273" s="20">
        <f ca="1">IF(Table1[[#This Row],[County]]="Greater London",Table1[[#This Row],[income]],0)</f>
        <v>0</v>
      </c>
      <c r="BQ273" s="20">
        <f ca="1">IF(Table1[[#This Row],[County]]="Hampshire",Table1[[#This Row],[income]],0)</f>
        <v>0</v>
      </c>
      <c r="BR273" s="20">
        <f ca="1">IF(Table1[[#This Row],[County]]="Gloucestershire",Table1[[#This Row],[income]],0)</f>
        <v>0</v>
      </c>
      <c r="BS273" s="20">
        <f ca="1">IF(Table1[[#This Row],[County]]="West Sussex",Table1[[#This Row],[income]],0)</f>
        <v>0</v>
      </c>
      <c r="BT273" s="20">
        <f ca="1">IF(Table1[[#This Row],[County]]="Devon",Table1[[#This Row],[income]],0)</f>
        <v>0</v>
      </c>
      <c r="BU273" s="20">
        <f ca="1">IF(Table1[[#This Row],[County]]="Berkshire",Table1[[#This Row],[income]],0)</f>
        <v>0</v>
      </c>
      <c r="BV273" s="20">
        <f ca="1">IF(Table1[[#This Row],[County]]="Staffordshire",Table1[[#This Row],[income]],0)</f>
        <v>0</v>
      </c>
      <c r="BW273" s="20">
        <f ca="1">IF(Table1[[#This Row],[County]]="Leicestershire",Table1[[#This Row],[income]],0)</f>
        <v>0</v>
      </c>
      <c r="BX273" s="20">
        <f ca="1">IF(Table1[[#This Row],[County]]="Cornwall",Table1[[#This Row],[income]],0)</f>
        <v>0</v>
      </c>
      <c r="BY273" s="20">
        <f ca="1">IF(Table1[[#This Row],[County]]="Isle of Wight",Table1[[#This Row],[income]],0)</f>
        <v>0</v>
      </c>
      <c r="BZ273" s="20">
        <f ca="1">IF(Table1[[#This Row],[County]]="Surrey",Table1[[#This Row],[income]],0)</f>
        <v>0</v>
      </c>
      <c r="CA273" s="20">
        <f ca="1">IF(Table1[[#This Row],[County]]="Derbyshire",Table1[[#This Row],[income]],0)</f>
        <v>0</v>
      </c>
      <c r="CB273" s="20">
        <f ca="1">IF(Table1[[#This Row],[County]]="City of London",Table1[[#This Row],[income]],0)</f>
        <v>0</v>
      </c>
      <c r="CC273" s="20">
        <f ca="1">IF(Table1[[#This Row],[County]]="Bedfordshire",Table1[[#This Row],[income]],0)</f>
        <v>0</v>
      </c>
      <c r="CD273" s="20">
        <f ca="1">IF(Table1[[#This Row],[County]]="County Durham",Table1[[#This Row],[income]],0)</f>
        <v>41046</v>
      </c>
      <c r="CE273" s="20">
        <f ca="1">IF(Table1[[#This Row],[County]]="East Riding of Yorkshire",Table1[[#This Row],[income]],0)</f>
        <v>0</v>
      </c>
      <c r="CF273" s="20">
        <f ca="1">IF(Table1[[#This Row],[County]]="West Yorkshire",Table1[[#This Row],[income]],0)</f>
        <v>0</v>
      </c>
      <c r="CG273" s="20">
        <f ca="1">IF(Table1[[#This Row],[County]]="Essex",Table1[[#This Row],[income]],0)</f>
        <v>0</v>
      </c>
      <c r="CH273" s="20">
        <f ca="1">IF(Table1[[#This Row],[County]]="East Sussex",Table1[[#This Row],[income]],0)</f>
        <v>0</v>
      </c>
      <c r="CI273" s="20">
        <f ca="1">IF(Table1[[#This Row],[County]]="Greater Manchester",Table1[[#This Row],[income]],0)</f>
        <v>0</v>
      </c>
      <c r="CJ273" s="20">
        <f ca="1">IF(Table1[[#This Row],[County]]="Hertfordshire",Table1[[#This Row],[income]],0)</f>
        <v>0</v>
      </c>
      <c r="CK273" s="20">
        <f ca="1">IF(Table1[[#This Row],[County]]="Herefordshire",Table1[[#This Row],[income]],0)</f>
        <v>0</v>
      </c>
      <c r="CL273" s="20">
        <f ca="1">IF(Table1[[#This Row],[County]]="Lancashire",Table1[[#This Row],[income]],0)</f>
        <v>0</v>
      </c>
      <c r="CM273" s="20">
        <f ca="1">IF(Table1[[#This Row],[County]]="Merseyside",Table1[[#This Row],[income]],0)</f>
        <v>0</v>
      </c>
      <c r="CN273" s="20">
        <f ca="1">IF(Table1[[#This Row],[County]]="Northamptonshire",Table1[[#This Row],[income]],0)</f>
        <v>0</v>
      </c>
      <c r="CO273" s="20">
        <f ca="1">IF(Table1[[#This Row],[County]]="Northumberland",Table1[[#This Row],[income]],0)</f>
        <v>0</v>
      </c>
      <c r="CP273" s="20">
        <f ca="1">IF(Table1[[#This Row],[County]]="Wiltshire",Table1[[#This Row],[income]],0)</f>
        <v>0</v>
      </c>
      <c r="CQ273" s="20">
        <f ca="1">IF(Table1[[#This Row],[County]]="West Midlands",Table1[[#This Row],[income]],0)</f>
        <v>0</v>
      </c>
      <c r="CR273" s="20">
        <f ca="1">IF(Table1[[#This Row],[County]]="Warwickshire",Table1[[#This Row],[income]],0)</f>
        <v>0</v>
      </c>
      <c r="CS273" s="20">
        <f ca="1">IF(Table1[[#This Row],[County]]="Tyne and Wear",Table1[[#This Row],[income]],0)</f>
        <v>0</v>
      </c>
      <c r="CT273" s="20">
        <f ca="1">IF(Table1[[#This Row],[County]]="Worcestershire",Table1[[#This Row],[income]],0)</f>
        <v>0</v>
      </c>
      <c r="CU273" s="20">
        <f ca="1">IF(Table1[[#This Row],[County]]="Rutland",Table1[[#This Row],[income]],0)</f>
        <v>0</v>
      </c>
      <c r="CV273" s="20">
        <f ca="1">IF(Table1[[#This Row],[County]]="Shropshire",Table1[[#This Row],[income]],0)</f>
        <v>0</v>
      </c>
      <c r="CW273" s="20">
        <f ca="1">IF(Table1[[#This Row],[County]]="Dorset",Table1[[#This Row],[income]],0)</f>
        <v>0</v>
      </c>
      <c r="CX273" s="20">
        <f ca="1">IF(Table1[[#This Row],[County]]="Buckinghamshire",Table1[[#This Row],[income]],0)</f>
        <v>0</v>
      </c>
      <c r="CY273" s="20">
        <f ca="1">IF(Table1[[#This Row],[County]]="Suffolk",Table1[[#This Row],[income]],0)</f>
        <v>0</v>
      </c>
      <c r="CZ273" s="20">
        <f ca="1">IF(Table1[[#This Row],[County]]="North Yorkshire",Table1[[#This Row],[income]],0)</f>
        <v>0</v>
      </c>
      <c r="DA273" s="20">
        <f ca="1">IF(Table1[[#This Row],[County]]="Kent",Table1[[#This Row],[income]],0)</f>
        <v>0</v>
      </c>
      <c r="DB273" s="5">
        <f ca="1">IF(Table1[[#This Row],[County]]="Derbyshire",Table1[[#This Row],[income]],0)</f>
        <v>0</v>
      </c>
      <c r="DD273" s="6">
        <f ca="1">IF(Table1[[#This Row],[Column1]]="Health",Table1[[#This Row],[income]],0)</f>
        <v>41046</v>
      </c>
      <c r="DE273" s="20">
        <f ca="1">IF(Table1[[#This Row],[Column1]]="Agriculture",Table1[[#This Row],[income]],0)</f>
        <v>0</v>
      </c>
      <c r="DF273" s="20">
        <f ca="1">IF(Table1[[#This Row],[Column1]]="Technology",Table1[[#This Row],[income]],0)</f>
        <v>0</v>
      </c>
      <c r="DG273" s="20">
        <f ca="1">IF(Table1[[#This Row],[Column1]]="Social Service",Table1[[#This Row],[income]],0)</f>
        <v>0</v>
      </c>
      <c r="DH273" s="20">
        <f ca="1">IF(Table1[[#This Row],[Column1]]="Education",Table1[[#This Row],[income]],0)</f>
        <v>0</v>
      </c>
      <c r="DI273" s="5">
        <f ca="1">IF(Table1[[#This Row],[Column1]]="Construction",Table1[[#This Row],[income]],0)</f>
        <v>0</v>
      </c>
      <c r="DK273" s="6">
        <f ca="1">IF(Table1[[#This Row],[Value of Debts]]&gt;Table1[[#This Row],[income]],1,0)</f>
        <v>1</v>
      </c>
      <c r="DL273" s="20"/>
      <c r="DM273" s="20"/>
      <c r="DN273" s="5"/>
      <c r="DP273" s="6">
        <f ca="1">IF(Table1[[#This Row],[Net Worth (£)]]&gt;$DS$5,C273,0)</f>
        <v>0</v>
      </c>
      <c r="DQ273" s="20"/>
      <c r="DR273" s="20"/>
      <c r="DS273" s="5"/>
    </row>
    <row r="274" spans="1:123" x14ac:dyDescent="0.2">
      <c r="A274">
        <f t="shared" ca="1" si="13"/>
        <v>1</v>
      </c>
      <c r="B274" s="1" t="str">
        <f ca="1">IF(A274=1, "men", "women")</f>
        <v>men</v>
      </c>
      <c r="C274" s="1">
        <f ca="1">RANDBETWEEN(25,50)</f>
        <v>43</v>
      </c>
      <c r="D274">
        <f ca="1">RANDBETWEEN(1,6)</f>
        <v>4</v>
      </c>
      <c r="E274" t="str">
        <f ca="1">VLOOKUP(D274,$W$5:$X$10,2)</f>
        <v>Technology</v>
      </c>
      <c r="F274">
        <f ca="1">RANDBETWEEN(1,5)</f>
        <v>5</v>
      </c>
      <c r="G274" t="str">
        <f ca="1">VLOOKUP(F274,$Y$5:$Z$9,2)</f>
        <v>Other</v>
      </c>
      <c r="H274">
        <f ca="1">RANDBETWEEN(0,4)</f>
        <v>1</v>
      </c>
      <c r="I274">
        <f ca="1">RANDBETWEEN(1,3)</f>
        <v>3</v>
      </c>
      <c r="J274">
        <f ca="1">RANDBETWEEN(30000,100000)</f>
        <v>69298</v>
      </c>
      <c r="K274">
        <f ca="1">RANDBETWEEN(1,48)</f>
        <v>13</v>
      </c>
      <c r="L274" t="str">
        <f ca="1">VLOOKUP(K274,$AA$5:$AB$52,2)</f>
        <v>County Durham</v>
      </c>
      <c r="M274">
        <f ca="1">J274*(RANDBETWEEN(2,5))</f>
        <v>207894</v>
      </c>
      <c r="N274">
        <f ca="1">RAND()*M274</f>
        <v>144162.00909626638</v>
      </c>
      <c r="O274">
        <f ca="1">I274*RAND()*J274</f>
        <v>139054.34775885605</v>
      </c>
      <c r="P274">
        <f ca="1">RANDBETWEEN(0,O274)</f>
        <v>120768</v>
      </c>
      <c r="Q274">
        <f ca="1">RAND()*J274*2</f>
        <v>50611.288114316594</v>
      </c>
      <c r="R274">
        <f ca="1">RAND()*J274*1.5</f>
        <v>64390.257062444856</v>
      </c>
      <c r="S274">
        <f ca="1">J274+R274+O274</f>
        <v>272742.60482130095</v>
      </c>
      <c r="T274">
        <f ca="1">N274+P274+Q274</f>
        <v>315541.29721058294</v>
      </c>
      <c r="U274">
        <f ca="1">S274-T274</f>
        <v>-42798.69238928199</v>
      </c>
      <c r="AC274" s="6">
        <f ca="1">IF(Table1[[#This Row],[gender]]="men",1,0)</f>
        <v>1</v>
      </c>
      <c r="AD274">
        <f ca="1">IF(Table1[[#This Row],[gender]]="women",1,0)</f>
        <v>0</v>
      </c>
      <c r="AH274" s="5"/>
      <c r="AJ274" s="6">
        <f ca="1">IF(Table1[[#This Row],[Column1]]="Health",1,0)</f>
        <v>0</v>
      </c>
      <c r="AK274">
        <f ca="1">IF(Table1[[#This Row],[Column1]]="Construction",1,0)</f>
        <v>0</v>
      </c>
      <c r="AL274">
        <f ca="1">IF(Table1[[#This Row],[Column1]]="Technology",1,0)</f>
        <v>1</v>
      </c>
      <c r="AM274">
        <f ca="1">IF(Table1[[#This Row],[Column1]]="Education",1,0)</f>
        <v>0</v>
      </c>
      <c r="AN274">
        <f ca="1">IF(Table1[[#This Row],[Column1]]="Agriculture",1,0)</f>
        <v>0</v>
      </c>
      <c r="AO274">
        <f ca="1">IF(Table1[[#This Row],[Column1]]="Social Service", 1, 0)</f>
        <v>0</v>
      </c>
      <c r="AT274" s="5"/>
      <c r="AV274" s="17">
        <f t="shared" ca="1" si="12"/>
        <v>57853.670058878408</v>
      </c>
      <c r="AW274" s="5"/>
      <c r="AX274" s="6">
        <f ca="1">IF(Table1[[#This Row],[Value of Debts]]&gt;$AY$4,1,0)</f>
        <v>1</v>
      </c>
      <c r="AY274" s="20"/>
      <c r="AZ274" s="20"/>
      <c r="BA274" s="5"/>
      <c r="BB274" s="25">
        <f ca="1">Table1[[#This Row],[Mortage Left]]/Table1[[#This Row],[Value of House]]</f>
        <v>0.69343996987054168</v>
      </c>
      <c r="BC274" s="20">
        <f t="shared" ca="1" si="14"/>
        <v>0</v>
      </c>
      <c r="BD274" s="20"/>
      <c r="BE274" s="20"/>
      <c r="BF274" s="20"/>
      <c r="BG274" s="6">
        <f ca="1">IF(Table1[[#This Row],[County]]="Cumbria",Table1[[#This Row],[income]],0)</f>
        <v>0</v>
      </c>
      <c r="BH274" s="20">
        <f ca="1">IF(Table1[[#This Row],[County]]="Cheshire",Table1[[#This Row],[income]],0)</f>
        <v>0</v>
      </c>
      <c r="BI274" s="20">
        <f ca="1">IF(Table1[[#This Row],[County]]="Bristol",Table1[[#This Row],[income]],0)</f>
        <v>0</v>
      </c>
      <c r="BJ274" s="20">
        <f ca="1">IF(Table1[[#This Row],[County]]="Surrey",Table1[[#This Row],[income]],0)</f>
        <v>0</v>
      </c>
      <c r="BK274" s="20">
        <f ca="1">IF(Table1[[#This Row],[County]]="Norfolk",Table1[[#This Row],[income]],0)</f>
        <v>0</v>
      </c>
      <c r="BL274" s="20">
        <f ca="1">IF(Table1[[#This Row],[County]]="Lincolnshire",Table1[[#This Row],[income]],0)</f>
        <v>0</v>
      </c>
      <c r="BM274" s="20">
        <f ca="1">IF(Table1[[#This Row],[County]]="Somerset",Table1[[#This Row],[income]],0)</f>
        <v>0</v>
      </c>
      <c r="BN274" s="20">
        <f ca="1">IF(Table1[[#This Row],[County]]="Cambridgeshire",Table1[[#This Row],[income]],0)</f>
        <v>0</v>
      </c>
      <c r="BO274" s="20">
        <f ca="1">IF(Table1[[#This Row],[County]]="South Yorkshire",Table1[[#This Row],[income]],0)</f>
        <v>0</v>
      </c>
      <c r="BP274" s="20">
        <f ca="1">IF(Table1[[#This Row],[County]]="Greater London",Table1[[#This Row],[income]],0)</f>
        <v>0</v>
      </c>
      <c r="BQ274" s="20">
        <f ca="1">IF(Table1[[#This Row],[County]]="Hampshire",Table1[[#This Row],[income]],0)</f>
        <v>0</v>
      </c>
      <c r="BR274" s="20">
        <f ca="1">IF(Table1[[#This Row],[County]]="Gloucestershire",Table1[[#This Row],[income]],0)</f>
        <v>0</v>
      </c>
      <c r="BS274" s="20">
        <f ca="1">IF(Table1[[#This Row],[County]]="West Sussex",Table1[[#This Row],[income]],0)</f>
        <v>0</v>
      </c>
      <c r="BT274" s="20">
        <f ca="1">IF(Table1[[#This Row],[County]]="Devon",Table1[[#This Row],[income]],0)</f>
        <v>0</v>
      </c>
      <c r="BU274" s="20">
        <f ca="1">IF(Table1[[#This Row],[County]]="Berkshire",Table1[[#This Row],[income]],0)</f>
        <v>0</v>
      </c>
      <c r="BV274" s="20">
        <f ca="1">IF(Table1[[#This Row],[County]]="Staffordshire",Table1[[#This Row],[income]],0)</f>
        <v>0</v>
      </c>
      <c r="BW274" s="20">
        <f ca="1">IF(Table1[[#This Row],[County]]="Leicestershire",Table1[[#This Row],[income]],0)</f>
        <v>0</v>
      </c>
      <c r="BX274" s="20">
        <f ca="1">IF(Table1[[#This Row],[County]]="Cornwall",Table1[[#This Row],[income]],0)</f>
        <v>0</v>
      </c>
      <c r="BY274" s="20">
        <f ca="1">IF(Table1[[#This Row],[County]]="Isle of Wight",Table1[[#This Row],[income]],0)</f>
        <v>0</v>
      </c>
      <c r="BZ274" s="20">
        <f ca="1">IF(Table1[[#This Row],[County]]="Surrey",Table1[[#This Row],[income]],0)</f>
        <v>0</v>
      </c>
      <c r="CA274" s="20">
        <f ca="1">IF(Table1[[#This Row],[County]]="Derbyshire",Table1[[#This Row],[income]],0)</f>
        <v>0</v>
      </c>
      <c r="CB274" s="20">
        <f ca="1">IF(Table1[[#This Row],[County]]="City of London",Table1[[#This Row],[income]],0)</f>
        <v>0</v>
      </c>
      <c r="CC274" s="20">
        <f ca="1">IF(Table1[[#This Row],[County]]="Bedfordshire",Table1[[#This Row],[income]],0)</f>
        <v>0</v>
      </c>
      <c r="CD274" s="20">
        <f ca="1">IF(Table1[[#This Row],[County]]="County Durham",Table1[[#This Row],[income]],0)</f>
        <v>69298</v>
      </c>
      <c r="CE274" s="20">
        <f ca="1">IF(Table1[[#This Row],[County]]="East Riding of Yorkshire",Table1[[#This Row],[income]],0)</f>
        <v>0</v>
      </c>
      <c r="CF274" s="20">
        <f ca="1">IF(Table1[[#This Row],[County]]="West Yorkshire",Table1[[#This Row],[income]],0)</f>
        <v>0</v>
      </c>
      <c r="CG274" s="20">
        <f ca="1">IF(Table1[[#This Row],[County]]="Essex",Table1[[#This Row],[income]],0)</f>
        <v>0</v>
      </c>
      <c r="CH274" s="20">
        <f ca="1">IF(Table1[[#This Row],[County]]="East Sussex",Table1[[#This Row],[income]],0)</f>
        <v>0</v>
      </c>
      <c r="CI274" s="20">
        <f ca="1">IF(Table1[[#This Row],[County]]="Greater Manchester",Table1[[#This Row],[income]],0)</f>
        <v>0</v>
      </c>
      <c r="CJ274" s="20">
        <f ca="1">IF(Table1[[#This Row],[County]]="Hertfordshire",Table1[[#This Row],[income]],0)</f>
        <v>0</v>
      </c>
      <c r="CK274" s="20">
        <f ca="1">IF(Table1[[#This Row],[County]]="Herefordshire",Table1[[#This Row],[income]],0)</f>
        <v>0</v>
      </c>
      <c r="CL274" s="20">
        <f ca="1">IF(Table1[[#This Row],[County]]="Lancashire",Table1[[#This Row],[income]],0)</f>
        <v>0</v>
      </c>
      <c r="CM274" s="20">
        <f ca="1">IF(Table1[[#This Row],[County]]="Merseyside",Table1[[#This Row],[income]],0)</f>
        <v>0</v>
      </c>
      <c r="CN274" s="20">
        <f ca="1">IF(Table1[[#This Row],[County]]="Northamptonshire",Table1[[#This Row],[income]],0)</f>
        <v>0</v>
      </c>
      <c r="CO274" s="20">
        <f ca="1">IF(Table1[[#This Row],[County]]="Northumberland",Table1[[#This Row],[income]],0)</f>
        <v>0</v>
      </c>
      <c r="CP274" s="20">
        <f ca="1">IF(Table1[[#This Row],[County]]="Wiltshire",Table1[[#This Row],[income]],0)</f>
        <v>0</v>
      </c>
      <c r="CQ274" s="20">
        <f ca="1">IF(Table1[[#This Row],[County]]="West Midlands",Table1[[#This Row],[income]],0)</f>
        <v>0</v>
      </c>
      <c r="CR274" s="20">
        <f ca="1">IF(Table1[[#This Row],[County]]="Warwickshire",Table1[[#This Row],[income]],0)</f>
        <v>0</v>
      </c>
      <c r="CS274" s="20">
        <f ca="1">IF(Table1[[#This Row],[County]]="Tyne and Wear",Table1[[#This Row],[income]],0)</f>
        <v>0</v>
      </c>
      <c r="CT274" s="20">
        <f ca="1">IF(Table1[[#This Row],[County]]="Worcestershire",Table1[[#This Row],[income]],0)</f>
        <v>0</v>
      </c>
      <c r="CU274" s="20">
        <f ca="1">IF(Table1[[#This Row],[County]]="Rutland",Table1[[#This Row],[income]],0)</f>
        <v>0</v>
      </c>
      <c r="CV274" s="20">
        <f ca="1">IF(Table1[[#This Row],[County]]="Shropshire",Table1[[#This Row],[income]],0)</f>
        <v>0</v>
      </c>
      <c r="CW274" s="20">
        <f ca="1">IF(Table1[[#This Row],[County]]="Dorset",Table1[[#This Row],[income]],0)</f>
        <v>0</v>
      </c>
      <c r="CX274" s="20">
        <f ca="1">IF(Table1[[#This Row],[County]]="Buckinghamshire",Table1[[#This Row],[income]],0)</f>
        <v>0</v>
      </c>
      <c r="CY274" s="20">
        <f ca="1">IF(Table1[[#This Row],[County]]="Suffolk",Table1[[#This Row],[income]],0)</f>
        <v>0</v>
      </c>
      <c r="CZ274" s="20">
        <f ca="1">IF(Table1[[#This Row],[County]]="North Yorkshire",Table1[[#This Row],[income]],0)</f>
        <v>0</v>
      </c>
      <c r="DA274" s="20">
        <f ca="1">IF(Table1[[#This Row],[County]]="Kent",Table1[[#This Row],[income]],0)</f>
        <v>0</v>
      </c>
      <c r="DB274" s="5">
        <f ca="1">IF(Table1[[#This Row],[County]]="Derbyshire",Table1[[#This Row],[income]],0)</f>
        <v>0</v>
      </c>
      <c r="DD274" s="6">
        <f ca="1">IF(Table1[[#This Row],[Column1]]="Health",Table1[[#This Row],[income]],0)</f>
        <v>0</v>
      </c>
      <c r="DE274" s="20">
        <f ca="1">IF(Table1[[#This Row],[Column1]]="Agriculture",Table1[[#This Row],[income]],0)</f>
        <v>0</v>
      </c>
      <c r="DF274" s="20">
        <f ca="1">IF(Table1[[#This Row],[Column1]]="Technology",Table1[[#This Row],[income]],0)</f>
        <v>69298</v>
      </c>
      <c r="DG274" s="20">
        <f ca="1">IF(Table1[[#This Row],[Column1]]="Social Service",Table1[[#This Row],[income]],0)</f>
        <v>0</v>
      </c>
      <c r="DH274" s="20">
        <f ca="1">IF(Table1[[#This Row],[Column1]]="Education",Table1[[#This Row],[income]],0)</f>
        <v>0</v>
      </c>
      <c r="DI274" s="5">
        <f ca="1">IF(Table1[[#This Row],[Column1]]="Construction",Table1[[#This Row],[income]],0)</f>
        <v>0</v>
      </c>
      <c r="DK274" s="6">
        <f ca="1">IF(Table1[[#This Row],[Value of Debts]]&gt;Table1[[#This Row],[income]],1,0)</f>
        <v>1</v>
      </c>
      <c r="DL274" s="20"/>
      <c r="DM274" s="20"/>
      <c r="DN274" s="5"/>
      <c r="DP274" s="6">
        <f ca="1">IF(Table1[[#This Row],[Net Worth (£)]]&gt;$DS$5,C274,0)</f>
        <v>0</v>
      </c>
      <c r="DQ274" s="20"/>
      <c r="DR274" s="20"/>
      <c r="DS274" s="5"/>
    </row>
    <row r="275" spans="1:123" x14ac:dyDescent="0.2">
      <c r="A275">
        <f t="shared" ca="1" si="13"/>
        <v>1</v>
      </c>
      <c r="B275" s="1" t="str">
        <f ca="1">IF(A275=1, "men", "women")</f>
        <v>men</v>
      </c>
      <c r="C275" s="1">
        <f ca="1">RANDBETWEEN(25,50)</f>
        <v>37</v>
      </c>
      <c r="D275">
        <f ca="1">RANDBETWEEN(1,6)</f>
        <v>1</v>
      </c>
      <c r="E275" t="str">
        <f ca="1">VLOOKUP(D275,$W$5:$X$10,2)</f>
        <v>Health</v>
      </c>
      <c r="F275">
        <f ca="1">RANDBETWEEN(1,5)</f>
        <v>1</v>
      </c>
      <c r="G275" t="str">
        <f ca="1">VLOOKUP(F275,$Y$5:$Z$9,2)</f>
        <v>High School</v>
      </c>
      <c r="H275">
        <f ca="1">RANDBETWEEN(0,4)</f>
        <v>1</v>
      </c>
      <c r="I275">
        <f ca="1">RANDBETWEEN(1,3)</f>
        <v>2</v>
      </c>
      <c r="J275">
        <f ca="1">RANDBETWEEN(30000,100000)</f>
        <v>78686</v>
      </c>
      <c r="K275">
        <f ca="1">RANDBETWEEN(1,48)</f>
        <v>40</v>
      </c>
      <c r="L275" t="str">
        <f ca="1">VLOOKUP(K275,$AA$5:$AB$52,2)</f>
        <v>Suffolk</v>
      </c>
      <c r="M275">
        <f ca="1">J275*(RANDBETWEEN(2,5))</f>
        <v>314744</v>
      </c>
      <c r="N275">
        <f ca="1">RAND()*M275</f>
        <v>211449.25877714122</v>
      </c>
      <c r="O275">
        <f ca="1">I275*RAND()*J275</f>
        <v>115707.34011775682</v>
      </c>
      <c r="P275">
        <f ca="1">RANDBETWEEN(0,O275)</f>
        <v>95060</v>
      </c>
      <c r="Q275">
        <f ca="1">RAND()*J275*2</f>
        <v>155872.5269080828</v>
      </c>
      <c r="R275">
        <f ca="1">RAND()*J275*1.5</f>
        <v>100528.01738599125</v>
      </c>
      <c r="S275">
        <f ca="1">J275+R275+O275</f>
        <v>294921.35750374803</v>
      </c>
      <c r="T275">
        <f ca="1">N275+P275+Q275</f>
        <v>462381.78568522399</v>
      </c>
      <c r="U275">
        <f ca="1">S275-T275</f>
        <v>-167460.42818147596</v>
      </c>
      <c r="AC275" s="6">
        <f ca="1">IF(Table1[[#This Row],[gender]]="men",1,0)</f>
        <v>1</v>
      </c>
      <c r="AD275">
        <f ca="1">IF(Table1[[#This Row],[gender]]="women",1,0)</f>
        <v>0</v>
      </c>
      <c r="AH275" s="5"/>
      <c r="AJ275" s="6">
        <f ca="1">IF(Table1[[#This Row],[Column1]]="Health",1,0)</f>
        <v>1</v>
      </c>
      <c r="AK275">
        <f ca="1">IF(Table1[[#This Row],[Column1]]="Construction",1,0)</f>
        <v>0</v>
      </c>
      <c r="AL275">
        <f ca="1">IF(Table1[[#This Row],[Column1]]="Technology",1,0)</f>
        <v>0</v>
      </c>
      <c r="AM275">
        <f ca="1">IF(Table1[[#This Row],[Column1]]="Education",1,0)</f>
        <v>0</v>
      </c>
      <c r="AN275">
        <f ca="1">IF(Table1[[#This Row],[Column1]]="Agriculture",1,0)</f>
        <v>0</v>
      </c>
      <c r="AO275">
        <f ca="1">IF(Table1[[#This Row],[Column1]]="Social Service", 1, 0)</f>
        <v>0</v>
      </c>
      <c r="AT275" s="5"/>
      <c r="AV275" s="17">
        <f t="shared" ca="1" si="12"/>
        <v>34159.76868745227</v>
      </c>
      <c r="AW275" s="5"/>
      <c r="AX275" s="6">
        <f ca="1">IF(Table1[[#This Row],[Value of Debts]]&gt;$AY$4,1,0)</f>
        <v>1</v>
      </c>
      <c r="AY275" s="20"/>
      <c r="AZ275" s="20"/>
      <c r="BA275" s="5"/>
      <c r="BB275" s="25">
        <f ca="1">Table1[[#This Row],[Mortage Left]]/Table1[[#This Row],[Value of House]]</f>
        <v>0.67181346992203572</v>
      </c>
      <c r="BC275" s="20">
        <f t="shared" ca="1" si="14"/>
        <v>0</v>
      </c>
      <c r="BD275" s="20"/>
      <c r="BE275" s="20"/>
      <c r="BF275" s="20"/>
      <c r="BG275" s="6">
        <f ca="1">IF(Table1[[#This Row],[County]]="Cumbria",Table1[[#This Row],[income]],0)</f>
        <v>0</v>
      </c>
      <c r="BH275" s="20">
        <f ca="1">IF(Table1[[#This Row],[County]]="Cheshire",Table1[[#This Row],[income]],0)</f>
        <v>0</v>
      </c>
      <c r="BI275" s="20">
        <f ca="1">IF(Table1[[#This Row],[County]]="Bristol",Table1[[#This Row],[income]],0)</f>
        <v>0</v>
      </c>
      <c r="BJ275" s="20">
        <f ca="1">IF(Table1[[#This Row],[County]]="Surrey",Table1[[#This Row],[income]],0)</f>
        <v>0</v>
      </c>
      <c r="BK275" s="20">
        <f ca="1">IF(Table1[[#This Row],[County]]="Norfolk",Table1[[#This Row],[income]],0)</f>
        <v>0</v>
      </c>
      <c r="BL275" s="20">
        <f ca="1">IF(Table1[[#This Row],[County]]="Lincolnshire",Table1[[#This Row],[income]],0)</f>
        <v>0</v>
      </c>
      <c r="BM275" s="20">
        <f ca="1">IF(Table1[[#This Row],[County]]="Somerset",Table1[[#This Row],[income]],0)</f>
        <v>0</v>
      </c>
      <c r="BN275" s="20">
        <f ca="1">IF(Table1[[#This Row],[County]]="Cambridgeshire",Table1[[#This Row],[income]],0)</f>
        <v>0</v>
      </c>
      <c r="BO275" s="20">
        <f ca="1">IF(Table1[[#This Row],[County]]="South Yorkshire",Table1[[#This Row],[income]],0)</f>
        <v>0</v>
      </c>
      <c r="BP275" s="20">
        <f ca="1">IF(Table1[[#This Row],[County]]="Greater London",Table1[[#This Row],[income]],0)</f>
        <v>0</v>
      </c>
      <c r="BQ275" s="20">
        <f ca="1">IF(Table1[[#This Row],[County]]="Hampshire",Table1[[#This Row],[income]],0)</f>
        <v>0</v>
      </c>
      <c r="BR275" s="20">
        <f ca="1">IF(Table1[[#This Row],[County]]="Gloucestershire",Table1[[#This Row],[income]],0)</f>
        <v>0</v>
      </c>
      <c r="BS275" s="20">
        <f ca="1">IF(Table1[[#This Row],[County]]="West Sussex",Table1[[#This Row],[income]],0)</f>
        <v>0</v>
      </c>
      <c r="BT275" s="20">
        <f ca="1">IF(Table1[[#This Row],[County]]="Devon",Table1[[#This Row],[income]],0)</f>
        <v>0</v>
      </c>
      <c r="BU275" s="20">
        <f ca="1">IF(Table1[[#This Row],[County]]="Berkshire",Table1[[#This Row],[income]],0)</f>
        <v>0</v>
      </c>
      <c r="BV275" s="20">
        <f ca="1">IF(Table1[[#This Row],[County]]="Staffordshire",Table1[[#This Row],[income]],0)</f>
        <v>0</v>
      </c>
      <c r="BW275" s="20">
        <f ca="1">IF(Table1[[#This Row],[County]]="Leicestershire",Table1[[#This Row],[income]],0)</f>
        <v>0</v>
      </c>
      <c r="BX275" s="20">
        <f ca="1">IF(Table1[[#This Row],[County]]="Cornwall",Table1[[#This Row],[income]],0)</f>
        <v>0</v>
      </c>
      <c r="BY275" s="20">
        <f ca="1">IF(Table1[[#This Row],[County]]="Isle of Wight",Table1[[#This Row],[income]],0)</f>
        <v>0</v>
      </c>
      <c r="BZ275" s="20">
        <f ca="1">IF(Table1[[#This Row],[County]]="Surrey",Table1[[#This Row],[income]],0)</f>
        <v>0</v>
      </c>
      <c r="CA275" s="20">
        <f ca="1">IF(Table1[[#This Row],[County]]="Derbyshire",Table1[[#This Row],[income]],0)</f>
        <v>0</v>
      </c>
      <c r="CB275" s="20">
        <f ca="1">IF(Table1[[#This Row],[County]]="City of London",Table1[[#This Row],[income]],0)</f>
        <v>0</v>
      </c>
      <c r="CC275" s="20">
        <f ca="1">IF(Table1[[#This Row],[County]]="Bedfordshire",Table1[[#This Row],[income]],0)</f>
        <v>0</v>
      </c>
      <c r="CD275" s="20">
        <f ca="1">IF(Table1[[#This Row],[County]]="County Durham",Table1[[#This Row],[income]],0)</f>
        <v>0</v>
      </c>
      <c r="CE275" s="20">
        <f ca="1">IF(Table1[[#This Row],[County]]="East Riding of Yorkshire",Table1[[#This Row],[income]],0)</f>
        <v>0</v>
      </c>
      <c r="CF275" s="20">
        <f ca="1">IF(Table1[[#This Row],[County]]="West Yorkshire",Table1[[#This Row],[income]],0)</f>
        <v>0</v>
      </c>
      <c r="CG275" s="20">
        <f ca="1">IF(Table1[[#This Row],[County]]="Essex",Table1[[#This Row],[income]],0)</f>
        <v>0</v>
      </c>
      <c r="CH275" s="20">
        <f ca="1">IF(Table1[[#This Row],[County]]="East Sussex",Table1[[#This Row],[income]],0)</f>
        <v>0</v>
      </c>
      <c r="CI275" s="20">
        <f ca="1">IF(Table1[[#This Row],[County]]="Greater Manchester",Table1[[#This Row],[income]],0)</f>
        <v>0</v>
      </c>
      <c r="CJ275" s="20">
        <f ca="1">IF(Table1[[#This Row],[County]]="Hertfordshire",Table1[[#This Row],[income]],0)</f>
        <v>0</v>
      </c>
      <c r="CK275" s="20">
        <f ca="1">IF(Table1[[#This Row],[County]]="Herefordshire",Table1[[#This Row],[income]],0)</f>
        <v>0</v>
      </c>
      <c r="CL275" s="20">
        <f ca="1">IF(Table1[[#This Row],[County]]="Lancashire",Table1[[#This Row],[income]],0)</f>
        <v>0</v>
      </c>
      <c r="CM275" s="20">
        <f ca="1">IF(Table1[[#This Row],[County]]="Merseyside",Table1[[#This Row],[income]],0)</f>
        <v>0</v>
      </c>
      <c r="CN275" s="20">
        <f ca="1">IF(Table1[[#This Row],[County]]="Northamptonshire",Table1[[#This Row],[income]],0)</f>
        <v>0</v>
      </c>
      <c r="CO275" s="20">
        <f ca="1">IF(Table1[[#This Row],[County]]="Northumberland",Table1[[#This Row],[income]],0)</f>
        <v>0</v>
      </c>
      <c r="CP275" s="20">
        <f ca="1">IF(Table1[[#This Row],[County]]="Wiltshire",Table1[[#This Row],[income]],0)</f>
        <v>0</v>
      </c>
      <c r="CQ275" s="20">
        <f ca="1">IF(Table1[[#This Row],[County]]="West Midlands",Table1[[#This Row],[income]],0)</f>
        <v>0</v>
      </c>
      <c r="CR275" s="20">
        <f ca="1">IF(Table1[[#This Row],[County]]="Warwickshire",Table1[[#This Row],[income]],0)</f>
        <v>0</v>
      </c>
      <c r="CS275" s="20">
        <f ca="1">IF(Table1[[#This Row],[County]]="Tyne and Wear",Table1[[#This Row],[income]],0)</f>
        <v>0</v>
      </c>
      <c r="CT275" s="20">
        <f ca="1">IF(Table1[[#This Row],[County]]="Worcestershire",Table1[[#This Row],[income]],0)</f>
        <v>0</v>
      </c>
      <c r="CU275" s="20">
        <f ca="1">IF(Table1[[#This Row],[County]]="Rutland",Table1[[#This Row],[income]],0)</f>
        <v>0</v>
      </c>
      <c r="CV275" s="20">
        <f ca="1">IF(Table1[[#This Row],[County]]="Shropshire",Table1[[#This Row],[income]],0)</f>
        <v>0</v>
      </c>
      <c r="CW275" s="20">
        <f ca="1">IF(Table1[[#This Row],[County]]="Dorset",Table1[[#This Row],[income]],0)</f>
        <v>0</v>
      </c>
      <c r="CX275" s="20">
        <f ca="1">IF(Table1[[#This Row],[County]]="Buckinghamshire",Table1[[#This Row],[income]],0)</f>
        <v>0</v>
      </c>
      <c r="CY275" s="20">
        <f ca="1">IF(Table1[[#This Row],[County]]="Suffolk",Table1[[#This Row],[income]],0)</f>
        <v>78686</v>
      </c>
      <c r="CZ275" s="20">
        <f ca="1">IF(Table1[[#This Row],[County]]="North Yorkshire",Table1[[#This Row],[income]],0)</f>
        <v>0</v>
      </c>
      <c r="DA275" s="20">
        <f ca="1">IF(Table1[[#This Row],[County]]="Kent",Table1[[#This Row],[income]],0)</f>
        <v>0</v>
      </c>
      <c r="DB275" s="5">
        <f ca="1">IF(Table1[[#This Row],[County]]="Derbyshire",Table1[[#This Row],[income]],0)</f>
        <v>0</v>
      </c>
      <c r="DD275" s="6">
        <f ca="1">IF(Table1[[#This Row],[Column1]]="Health",Table1[[#This Row],[income]],0)</f>
        <v>78686</v>
      </c>
      <c r="DE275" s="20">
        <f ca="1">IF(Table1[[#This Row],[Column1]]="Agriculture",Table1[[#This Row],[income]],0)</f>
        <v>0</v>
      </c>
      <c r="DF275" s="20">
        <f ca="1">IF(Table1[[#This Row],[Column1]]="Technology",Table1[[#This Row],[income]],0)</f>
        <v>0</v>
      </c>
      <c r="DG275" s="20">
        <f ca="1">IF(Table1[[#This Row],[Column1]]="Social Service",Table1[[#This Row],[income]],0)</f>
        <v>0</v>
      </c>
      <c r="DH275" s="20">
        <f ca="1">IF(Table1[[#This Row],[Column1]]="Education",Table1[[#This Row],[income]],0)</f>
        <v>0</v>
      </c>
      <c r="DI275" s="5">
        <f ca="1">IF(Table1[[#This Row],[Column1]]="Construction",Table1[[#This Row],[income]],0)</f>
        <v>0</v>
      </c>
      <c r="DK275" s="6">
        <f ca="1">IF(Table1[[#This Row],[Value of Debts]]&gt;Table1[[#This Row],[income]],1,0)</f>
        <v>1</v>
      </c>
      <c r="DL275" s="20"/>
      <c r="DM275" s="20"/>
      <c r="DN275" s="5"/>
      <c r="DP275" s="6">
        <f ca="1">IF(Table1[[#This Row],[Net Worth (£)]]&gt;$DS$5,C275,0)</f>
        <v>0</v>
      </c>
      <c r="DQ275" s="20"/>
      <c r="DR275" s="20"/>
      <c r="DS275" s="5"/>
    </row>
    <row r="276" spans="1:123" x14ac:dyDescent="0.2">
      <c r="A276">
        <f t="shared" ca="1" si="13"/>
        <v>2</v>
      </c>
      <c r="B276" s="1" t="str">
        <f ca="1">IF(A276=1, "men", "women")</f>
        <v>women</v>
      </c>
      <c r="C276" s="1">
        <f ca="1">RANDBETWEEN(25,50)</f>
        <v>38</v>
      </c>
      <c r="D276">
        <f ca="1">RANDBETWEEN(1,6)</f>
        <v>1</v>
      </c>
      <c r="E276" t="str">
        <f ca="1">VLOOKUP(D276,$W$5:$X$10,2)</f>
        <v>Health</v>
      </c>
      <c r="F276">
        <f ca="1">RANDBETWEEN(1,5)</f>
        <v>5</v>
      </c>
      <c r="G276" t="str">
        <f ca="1">VLOOKUP(F276,$Y$5:$Z$9,2)</f>
        <v>Other</v>
      </c>
      <c r="H276">
        <f ca="1">RANDBETWEEN(0,4)</f>
        <v>4</v>
      </c>
      <c r="I276">
        <f ca="1">RANDBETWEEN(1,3)</f>
        <v>2</v>
      </c>
      <c r="J276">
        <f ca="1">RANDBETWEEN(30000,100000)</f>
        <v>71425</v>
      </c>
      <c r="K276">
        <f ca="1">RANDBETWEEN(1,48)</f>
        <v>7</v>
      </c>
      <c r="L276" t="str">
        <f ca="1">VLOOKUP(K276,$AA$5:$AB$52,2)</f>
        <v>City of London</v>
      </c>
      <c r="M276">
        <f ca="1">J276*(RANDBETWEEN(2,5))</f>
        <v>142850</v>
      </c>
      <c r="N276">
        <f ca="1">RAND()*M276</f>
        <v>3418.1216776699648</v>
      </c>
      <c r="O276">
        <f ca="1">I276*RAND()*J276</f>
        <v>68319.537374904539</v>
      </c>
      <c r="P276">
        <f ca="1">RANDBETWEEN(0,O276)</f>
        <v>13807</v>
      </c>
      <c r="Q276">
        <f ca="1">RAND()*J276*2</f>
        <v>117707.26776297532</v>
      </c>
      <c r="R276">
        <f ca="1">RAND()*J276*1.5</f>
        <v>59356.835125061931</v>
      </c>
      <c r="S276">
        <f ca="1">J276+R276+O276</f>
        <v>199101.37249996647</v>
      </c>
      <c r="T276">
        <f ca="1">N276+P276+Q276</f>
        <v>134932.38944064529</v>
      </c>
      <c r="U276">
        <f ca="1">S276-T276</f>
        <v>64168.983059321181</v>
      </c>
      <c r="AC276" s="6">
        <f ca="1">IF(Table1[[#This Row],[gender]]="men",1,0)</f>
        <v>0</v>
      </c>
      <c r="AD276">
        <f ca="1">IF(Table1[[#This Row],[gender]]="women",1,0)</f>
        <v>1</v>
      </c>
      <c r="AH276" s="5"/>
      <c r="AJ276" s="6">
        <f ca="1">IF(Table1[[#This Row],[Column1]]="Health",1,0)</f>
        <v>1</v>
      </c>
      <c r="AK276">
        <f ca="1">IF(Table1[[#This Row],[Column1]]="Construction",1,0)</f>
        <v>0</v>
      </c>
      <c r="AL276">
        <f ca="1">IF(Table1[[#This Row],[Column1]]="Technology",1,0)</f>
        <v>0</v>
      </c>
      <c r="AM276">
        <f ca="1">IF(Table1[[#This Row],[Column1]]="Education",1,0)</f>
        <v>0</v>
      </c>
      <c r="AN276">
        <f ca="1">IF(Table1[[#This Row],[Column1]]="Agriculture",1,0)</f>
        <v>0</v>
      </c>
      <c r="AO276">
        <f ca="1">IF(Table1[[#This Row],[Column1]]="Social Service", 1, 0)</f>
        <v>0</v>
      </c>
      <c r="AT276" s="5"/>
      <c r="AV276" s="17">
        <f t="shared" ca="1" si="12"/>
        <v>61623.55485288988</v>
      </c>
      <c r="AW276" s="5"/>
      <c r="AX276" s="6">
        <f ca="1">IF(Table1[[#This Row],[Value of Debts]]&gt;$AY$4,1,0)</f>
        <v>1</v>
      </c>
      <c r="AY276" s="20"/>
      <c r="AZ276" s="20"/>
      <c r="BA276" s="5"/>
      <c r="BB276" s="25">
        <f ca="1">Table1[[#This Row],[Mortage Left]]/Table1[[#This Row],[Value of House]]</f>
        <v>2.3928048146097058E-2</v>
      </c>
      <c r="BC276" s="20">
        <f t="shared" ca="1" si="14"/>
        <v>1</v>
      </c>
      <c r="BD276" s="20"/>
      <c r="BE276" s="20"/>
      <c r="BF276" s="20"/>
      <c r="BG276" s="6">
        <f ca="1">IF(Table1[[#This Row],[County]]="Cumbria",Table1[[#This Row],[income]],0)</f>
        <v>0</v>
      </c>
      <c r="BH276" s="20">
        <f ca="1">IF(Table1[[#This Row],[County]]="Cheshire",Table1[[#This Row],[income]],0)</f>
        <v>0</v>
      </c>
      <c r="BI276" s="20">
        <f ca="1">IF(Table1[[#This Row],[County]]="Bristol",Table1[[#This Row],[income]],0)</f>
        <v>0</v>
      </c>
      <c r="BJ276" s="20">
        <f ca="1">IF(Table1[[#This Row],[County]]="Surrey",Table1[[#This Row],[income]],0)</f>
        <v>0</v>
      </c>
      <c r="BK276" s="20">
        <f ca="1">IF(Table1[[#This Row],[County]]="Norfolk",Table1[[#This Row],[income]],0)</f>
        <v>0</v>
      </c>
      <c r="BL276" s="20">
        <f ca="1">IF(Table1[[#This Row],[County]]="Lincolnshire",Table1[[#This Row],[income]],0)</f>
        <v>0</v>
      </c>
      <c r="BM276" s="20">
        <f ca="1">IF(Table1[[#This Row],[County]]="Somerset",Table1[[#This Row],[income]],0)</f>
        <v>0</v>
      </c>
      <c r="BN276" s="20">
        <f ca="1">IF(Table1[[#This Row],[County]]="Cambridgeshire",Table1[[#This Row],[income]],0)</f>
        <v>0</v>
      </c>
      <c r="BO276" s="20">
        <f ca="1">IF(Table1[[#This Row],[County]]="South Yorkshire",Table1[[#This Row],[income]],0)</f>
        <v>0</v>
      </c>
      <c r="BP276" s="20">
        <f ca="1">IF(Table1[[#This Row],[County]]="Greater London",Table1[[#This Row],[income]],0)</f>
        <v>0</v>
      </c>
      <c r="BQ276" s="20">
        <f ca="1">IF(Table1[[#This Row],[County]]="Hampshire",Table1[[#This Row],[income]],0)</f>
        <v>0</v>
      </c>
      <c r="BR276" s="20">
        <f ca="1">IF(Table1[[#This Row],[County]]="Gloucestershire",Table1[[#This Row],[income]],0)</f>
        <v>0</v>
      </c>
      <c r="BS276" s="20">
        <f ca="1">IF(Table1[[#This Row],[County]]="West Sussex",Table1[[#This Row],[income]],0)</f>
        <v>0</v>
      </c>
      <c r="BT276" s="20">
        <f ca="1">IF(Table1[[#This Row],[County]]="Devon",Table1[[#This Row],[income]],0)</f>
        <v>0</v>
      </c>
      <c r="BU276" s="20">
        <f ca="1">IF(Table1[[#This Row],[County]]="Berkshire",Table1[[#This Row],[income]],0)</f>
        <v>0</v>
      </c>
      <c r="BV276" s="20">
        <f ca="1">IF(Table1[[#This Row],[County]]="Staffordshire",Table1[[#This Row],[income]],0)</f>
        <v>0</v>
      </c>
      <c r="BW276" s="20">
        <f ca="1">IF(Table1[[#This Row],[County]]="Leicestershire",Table1[[#This Row],[income]],0)</f>
        <v>0</v>
      </c>
      <c r="BX276" s="20">
        <f ca="1">IF(Table1[[#This Row],[County]]="Cornwall",Table1[[#This Row],[income]],0)</f>
        <v>0</v>
      </c>
      <c r="BY276" s="20">
        <f ca="1">IF(Table1[[#This Row],[County]]="Isle of Wight",Table1[[#This Row],[income]],0)</f>
        <v>0</v>
      </c>
      <c r="BZ276" s="20">
        <f ca="1">IF(Table1[[#This Row],[County]]="Surrey",Table1[[#This Row],[income]],0)</f>
        <v>0</v>
      </c>
      <c r="CA276" s="20">
        <f ca="1">IF(Table1[[#This Row],[County]]="Derbyshire",Table1[[#This Row],[income]],0)</f>
        <v>0</v>
      </c>
      <c r="CB276" s="20">
        <f ca="1">IF(Table1[[#This Row],[County]]="City of London",Table1[[#This Row],[income]],0)</f>
        <v>71425</v>
      </c>
      <c r="CC276" s="20">
        <f ca="1">IF(Table1[[#This Row],[County]]="Bedfordshire",Table1[[#This Row],[income]],0)</f>
        <v>0</v>
      </c>
      <c r="CD276" s="20">
        <f ca="1">IF(Table1[[#This Row],[County]]="County Durham",Table1[[#This Row],[income]],0)</f>
        <v>0</v>
      </c>
      <c r="CE276" s="20">
        <f ca="1">IF(Table1[[#This Row],[County]]="East Riding of Yorkshire",Table1[[#This Row],[income]],0)</f>
        <v>0</v>
      </c>
      <c r="CF276" s="20">
        <f ca="1">IF(Table1[[#This Row],[County]]="West Yorkshire",Table1[[#This Row],[income]],0)</f>
        <v>0</v>
      </c>
      <c r="CG276" s="20">
        <f ca="1">IF(Table1[[#This Row],[County]]="Essex",Table1[[#This Row],[income]],0)</f>
        <v>0</v>
      </c>
      <c r="CH276" s="20">
        <f ca="1">IF(Table1[[#This Row],[County]]="East Sussex",Table1[[#This Row],[income]],0)</f>
        <v>0</v>
      </c>
      <c r="CI276" s="20">
        <f ca="1">IF(Table1[[#This Row],[County]]="Greater Manchester",Table1[[#This Row],[income]],0)</f>
        <v>0</v>
      </c>
      <c r="CJ276" s="20">
        <f ca="1">IF(Table1[[#This Row],[County]]="Hertfordshire",Table1[[#This Row],[income]],0)</f>
        <v>0</v>
      </c>
      <c r="CK276" s="20">
        <f ca="1">IF(Table1[[#This Row],[County]]="Herefordshire",Table1[[#This Row],[income]],0)</f>
        <v>0</v>
      </c>
      <c r="CL276" s="20">
        <f ca="1">IF(Table1[[#This Row],[County]]="Lancashire",Table1[[#This Row],[income]],0)</f>
        <v>0</v>
      </c>
      <c r="CM276" s="20">
        <f ca="1">IF(Table1[[#This Row],[County]]="Merseyside",Table1[[#This Row],[income]],0)</f>
        <v>0</v>
      </c>
      <c r="CN276" s="20">
        <f ca="1">IF(Table1[[#This Row],[County]]="Northamptonshire",Table1[[#This Row],[income]],0)</f>
        <v>0</v>
      </c>
      <c r="CO276" s="20">
        <f ca="1">IF(Table1[[#This Row],[County]]="Northumberland",Table1[[#This Row],[income]],0)</f>
        <v>0</v>
      </c>
      <c r="CP276" s="20">
        <f ca="1">IF(Table1[[#This Row],[County]]="Wiltshire",Table1[[#This Row],[income]],0)</f>
        <v>0</v>
      </c>
      <c r="CQ276" s="20">
        <f ca="1">IF(Table1[[#This Row],[County]]="West Midlands",Table1[[#This Row],[income]],0)</f>
        <v>0</v>
      </c>
      <c r="CR276" s="20">
        <f ca="1">IF(Table1[[#This Row],[County]]="Warwickshire",Table1[[#This Row],[income]],0)</f>
        <v>0</v>
      </c>
      <c r="CS276" s="20">
        <f ca="1">IF(Table1[[#This Row],[County]]="Tyne and Wear",Table1[[#This Row],[income]],0)</f>
        <v>0</v>
      </c>
      <c r="CT276" s="20">
        <f ca="1">IF(Table1[[#This Row],[County]]="Worcestershire",Table1[[#This Row],[income]],0)</f>
        <v>0</v>
      </c>
      <c r="CU276" s="20">
        <f ca="1">IF(Table1[[#This Row],[County]]="Rutland",Table1[[#This Row],[income]],0)</f>
        <v>0</v>
      </c>
      <c r="CV276" s="20">
        <f ca="1">IF(Table1[[#This Row],[County]]="Shropshire",Table1[[#This Row],[income]],0)</f>
        <v>0</v>
      </c>
      <c r="CW276" s="20">
        <f ca="1">IF(Table1[[#This Row],[County]]="Dorset",Table1[[#This Row],[income]],0)</f>
        <v>0</v>
      </c>
      <c r="CX276" s="20">
        <f ca="1">IF(Table1[[#This Row],[County]]="Buckinghamshire",Table1[[#This Row],[income]],0)</f>
        <v>0</v>
      </c>
      <c r="CY276" s="20">
        <f ca="1">IF(Table1[[#This Row],[County]]="Suffolk",Table1[[#This Row],[income]],0)</f>
        <v>0</v>
      </c>
      <c r="CZ276" s="20">
        <f ca="1">IF(Table1[[#This Row],[County]]="North Yorkshire",Table1[[#This Row],[income]],0)</f>
        <v>0</v>
      </c>
      <c r="DA276" s="20">
        <f ca="1">IF(Table1[[#This Row],[County]]="Kent",Table1[[#This Row],[income]],0)</f>
        <v>0</v>
      </c>
      <c r="DB276" s="5">
        <f ca="1">IF(Table1[[#This Row],[County]]="Derbyshire",Table1[[#This Row],[income]],0)</f>
        <v>0</v>
      </c>
      <c r="DD276" s="6">
        <f ca="1">IF(Table1[[#This Row],[Column1]]="Health",Table1[[#This Row],[income]],0)</f>
        <v>71425</v>
      </c>
      <c r="DE276" s="20">
        <f ca="1">IF(Table1[[#This Row],[Column1]]="Agriculture",Table1[[#This Row],[income]],0)</f>
        <v>0</v>
      </c>
      <c r="DF276" s="20">
        <f ca="1">IF(Table1[[#This Row],[Column1]]="Technology",Table1[[#This Row],[income]],0)</f>
        <v>0</v>
      </c>
      <c r="DG276" s="20">
        <f ca="1">IF(Table1[[#This Row],[Column1]]="Social Service",Table1[[#This Row],[income]],0)</f>
        <v>0</v>
      </c>
      <c r="DH276" s="20">
        <f ca="1">IF(Table1[[#This Row],[Column1]]="Education",Table1[[#This Row],[income]],0)</f>
        <v>0</v>
      </c>
      <c r="DI276" s="5">
        <f ca="1">IF(Table1[[#This Row],[Column1]]="Construction",Table1[[#This Row],[income]],0)</f>
        <v>0</v>
      </c>
      <c r="DK276" s="6">
        <f ca="1">IF(Table1[[#This Row],[Value of Debts]]&gt;Table1[[#This Row],[income]],1,0)</f>
        <v>1</v>
      </c>
      <c r="DL276" s="20"/>
      <c r="DM276" s="20"/>
      <c r="DN276" s="5"/>
      <c r="DP276" s="6">
        <f ca="1">IF(Table1[[#This Row],[Net Worth (£)]]&gt;$DS$5,C276,0)</f>
        <v>38</v>
      </c>
      <c r="DQ276" s="20"/>
      <c r="DR276" s="20"/>
      <c r="DS276" s="5"/>
    </row>
    <row r="277" spans="1:123" x14ac:dyDescent="0.2">
      <c r="A277">
        <f t="shared" ca="1" si="13"/>
        <v>1</v>
      </c>
      <c r="B277" s="1" t="str">
        <f ca="1">IF(A277=1, "men", "women")</f>
        <v>men</v>
      </c>
      <c r="C277" s="1">
        <f ca="1">RANDBETWEEN(25,50)</f>
        <v>26</v>
      </c>
      <c r="D277">
        <f ca="1">RANDBETWEEN(1,6)</f>
        <v>4</v>
      </c>
      <c r="E277" t="str">
        <f ca="1">VLOOKUP(D277,$W$5:$X$10,2)</f>
        <v>Technology</v>
      </c>
      <c r="F277">
        <f ca="1">RANDBETWEEN(1,5)</f>
        <v>1</v>
      </c>
      <c r="G277" t="str">
        <f ca="1">VLOOKUP(F277,$Y$5:$Z$9,2)</f>
        <v>High School</v>
      </c>
      <c r="H277">
        <f ca="1">RANDBETWEEN(0,4)</f>
        <v>0</v>
      </c>
      <c r="I277">
        <f ca="1">RANDBETWEEN(1,3)</f>
        <v>1</v>
      </c>
      <c r="J277">
        <f ca="1">RANDBETWEEN(30000,100000)</f>
        <v>72747</v>
      </c>
      <c r="K277">
        <f ca="1">RANDBETWEEN(1,48)</f>
        <v>19</v>
      </c>
      <c r="L277" t="str">
        <f ca="1">VLOOKUP(K277,$AA$5:$AB$52,2)</f>
        <v>Greater Manchester</v>
      </c>
      <c r="M277">
        <f ca="1">J277*(RANDBETWEEN(2,5))</f>
        <v>363735</v>
      </c>
      <c r="N277">
        <f ca="1">RAND()*M277</f>
        <v>46285.925679625536</v>
      </c>
      <c r="O277">
        <f ca="1">I277*RAND()*J277</f>
        <v>61623.55485288988</v>
      </c>
      <c r="P277">
        <f ca="1">RANDBETWEEN(0,O277)</f>
        <v>23514</v>
      </c>
      <c r="Q277">
        <f ca="1">RAND()*J277*2</f>
        <v>69341.675902872332</v>
      </c>
      <c r="R277">
        <f ca="1">RAND()*J277*1.5</f>
        <v>39822.960005023793</v>
      </c>
      <c r="S277">
        <f ca="1">J277+R277+O277</f>
        <v>174193.51485791366</v>
      </c>
      <c r="T277">
        <f ca="1">N277+P277+Q277</f>
        <v>139141.60158249788</v>
      </c>
      <c r="U277">
        <f ca="1">S277-T277</f>
        <v>35051.913275415776</v>
      </c>
      <c r="AC277" s="6">
        <f ca="1">IF(Table1[[#This Row],[gender]]="men",1,0)</f>
        <v>1</v>
      </c>
      <c r="AD277">
        <f ca="1">IF(Table1[[#This Row],[gender]]="women",1,0)</f>
        <v>0</v>
      </c>
      <c r="AH277" s="5"/>
      <c r="AJ277" s="6">
        <f ca="1">IF(Table1[[#This Row],[Column1]]="Health",1,0)</f>
        <v>0</v>
      </c>
      <c r="AK277">
        <f ca="1">IF(Table1[[#This Row],[Column1]]="Construction",1,0)</f>
        <v>0</v>
      </c>
      <c r="AL277">
        <f ca="1">IF(Table1[[#This Row],[Column1]]="Technology",1,0)</f>
        <v>1</v>
      </c>
      <c r="AM277">
        <f ca="1">IF(Table1[[#This Row],[Column1]]="Education",1,0)</f>
        <v>0</v>
      </c>
      <c r="AN277">
        <f ca="1">IF(Table1[[#This Row],[Column1]]="Agriculture",1,0)</f>
        <v>0</v>
      </c>
      <c r="AO277">
        <f ca="1">IF(Table1[[#This Row],[Column1]]="Social Service", 1, 0)</f>
        <v>0</v>
      </c>
      <c r="AT277" s="5"/>
      <c r="AV277" s="17">
        <f t="shared" ca="1" si="12"/>
        <v>29019.639279763116</v>
      </c>
      <c r="AW277" s="5"/>
      <c r="AX277" s="6">
        <f ca="1">IF(Table1[[#This Row],[Value of Debts]]&gt;$AY$4,1,0)</f>
        <v>1</v>
      </c>
      <c r="AY277" s="20"/>
      <c r="AZ277" s="20"/>
      <c r="BA277" s="5"/>
      <c r="BB277" s="25">
        <f ca="1">Table1[[#This Row],[Mortage Left]]/Table1[[#This Row],[Value of House]]</f>
        <v>0.12725177857403203</v>
      </c>
      <c r="BC277" s="20">
        <f t="shared" ca="1" si="14"/>
        <v>1</v>
      </c>
      <c r="BD277" s="20"/>
      <c r="BE277" s="20"/>
      <c r="BF277" s="20"/>
      <c r="BG277" s="6">
        <f ca="1">IF(Table1[[#This Row],[County]]="Cumbria",Table1[[#This Row],[income]],0)</f>
        <v>0</v>
      </c>
      <c r="BH277" s="20">
        <f ca="1">IF(Table1[[#This Row],[County]]="Cheshire",Table1[[#This Row],[income]],0)</f>
        <v>0</v>
      </c>
      <c r="BI277" s="20">
        <f ca="1">IF(Table1[[#This Row],[County]]="Bristol",Table1[[#This Row],[income]],0)</f>
        <v>0</v>
      </c>
      <c r="BJ277" s="20">
        <f ca="1">IF(Table1[[#This Row],[County]]="Surrey",Table1[[#This Row],[income]],0)</f>
        <v>0</v>
      </c>
      <c r="BK277" s="20">
        <f ca="1">IF(Table1[[#This Row],[County]]="Norfolk",Table1[[#This Row],[income]],0)</f>
        <v>0</v>
      </c>
      <c r="BL277" s="20">
        <f ca="1">IF(Table1[[#This Row],[County]]="Lincolnshire",Table1[[#This Row],[income]],0)</f>
        <v>0</v>
      </c>
      <c r="BM277" s="20">
        <f ca="1">IF(Table1[[#This Row],[County]]="Somerset",Table1[[#This Row],[income]],0)</f>
        <v>0</v>
      </c>
      <c r="BN277" s="20">
        <f ca="1">IF(Table1[[#This Row],[County]]="Cambridgeshire",Table1[[#This Row],[income]],0)</f>
        <v>0</v>
      </c>
      <c r="BO277" s="20">
        <f ca="1">IF(Table1[[#This Row],[County]]="South Yorkshire",Table1[[#This Row],[income]],0)</f>
        <v>0</v>
      </c>
      <c r="BP277" s="20">
        <f ca="1">IF(Table1[[#This Row],[County]]="Greater London",Table1[[#This Row],[income]],0)</f>
        <v>0</v>
      </c>
      <c r="BQ277" s="20">
        <f ca="1">IF(Table1[[#This Row],[County]]="Hampshire",Table1[[#This Row],[income]],0)</f>
        <v>0</v>
      </c>
      <c r="BR277" s="20">
        <f ca="1">IF(Table1[[#This Row],[County]]="Gloucestershire",Table1[[#This Row],[income]],0)</f>
        <v>0</v>
      </c>
      <c r="BS277" s="20">
        <f ca="1">IF(Table1[[#This Row],[County]]="West Sussex",Table1[[#This Row],[income]],0)</f>
        <v>0</v>
      </c>
      <c r="BT277" s="20">
        <f ca="1">IF(Table1[[#This Row],[County]]="Devon",Table1[[#This Row],[income]],0)</f>
        <v>0</v>
      </c>
      <c r="BU277" s="20">
        <f ca="1">IF(Table1[[#This Row],[County]]="Berkshire",Table1[[#This Row],[income]],0)</f>
        <v>0</v>
      </c>
      <c r="BV277" s="20">
        <f ca="1">IF(Table1[[#This Row],[County]]="Staffordshire",Table1[[#This Row],[income]],0)</f>
        <v>0</v>
      </c>
      <c r="BW277" s="20">
        <f ca="1">IF(Table1[[#This Row],[County]]="Leicestershire",Table1[[#This Row],[income]],0)</f>
        <v>0</v>
      </c>
      <c r="BX277" s="20">
        <f ca="1">IF(Table1[[#This Row],[County]]="Cornwall",Table1[[#This Row],[income]],0)</f>
        <v>0</v>
      </c>
      <c r="BY277" s="20">
        <f ca="1">IF(Table1[[#This Row],[County]]="Isle of Wight",Table1[[#This Row],[income]],0)</f>
        <v>0</v>
      </c>
      <c r="BZ277" s="20">
        <f ca="1">IF(Table1[[#This Row],[County]]="Surrey",Table1[[#This Row],[income]],0)</f>
        <v>0</v>
      </c>
      <c r="CA277" s="20">
        <f ca="1">IF(Table1[[#This Row],[County]]="Derbyshire",Table1[[#This Row],[income]],0)</f>
        <v>0</v>
      </c>
      <c r="CB277" s="20">
        <f ca="1">IF(Table1[[#This Row],[County]]="City of London",Table1[[#This Row],[income]],0)</f>
        <v>0</v>
      </c>
      <c r="CC277" s="20">
        <f ca="1">IF(Table1[[#This Row],[County]]="Bedfordshire",Table1[[#This Row],[income]],0)</f>
        <v>0</v>
      </c>
      <c r="CD277" s="20">
        <f ca="1">IF(Table1[[#This Row],[County]]="County Durham",Table1[[#This Row],[income]],0)</f>
        <v>0</v>
      </c>
      <c r="CE277" s="20">
        <f ca="1">IF(Table1[[#This Row],[County]]="East Riding of Yorkshire",Table1[[#This Row],[income]],0)</f>
        <v>0</v>
      </c>
      <c r="CF277" s="20">
        <f ca="1">IF(Table1[[#This Row],[County]]="West Yorkshire",Table1[[#This Row],[income]],0)</f>
        <v>0</v>
      </c>
      <c r="CG277" s="20">
        <f ca="1">IF(Table1[[#This Row],[County]]="Essex",Table1[[#This Row],[income]],0)</f>
        <v>0</v>
      </c>
      <c r="CH277" s="20">
        <f ca="1">IF(Table1[[#This Row],[County]]="East Sussex",Table1[[#This Row],[income]],0)</f>
        <v>0</v>
      </c>
      <c r="CI277" s="20">
        <f ca="1">IF(Table1[[#This Row],[County]]="Greater Manchester",Table1[[#This Row],[income]],0)</f>
        <v>72747</v>
      </c>
      <c r="CJ277" s="20">
        <f ca="1">IF(Table1[[#This Row],[County]]="Hertfordshire",Table1[[#This Row],[income]],0)</f>
        <v>0</v>
      </c>
      <c r="CK277" s="20">
        <f ca="1">IF(Table1[[#This Row],[County]]="Herefordshire",Table1[[#This Row],[income]],0)</f>
        <v>0</v>
      </c>
      <c r="CL277" s="20">
        <f ca="1">IF(Table1[[#This Row],[County]]="Lancashire",Table1[[#This Row],[income]],0)</f>
        <v>0</v>
      </c>
      <c r="CM277" s="20">
        <f ca="1">IF(Table1[[#This Row],[County]]="Merseyside",Table1[[#This Row],[income]],0)</f>
        <v>0</v>
      </c>
      <c r="CN277" s="20">
        <f ca="1">IF(Table1[[#This Row],[County]]="Northamptonshire",Table1[[#This Row],[income]],0)</f>
        <v>0</v>
      </c>
      <c r="CO277" s="20">
        <f ca="1">IF(Table1[[#This Row],[County]]="Northumberland",Table1[[#This Row],[income]],0)</f>
        <v>0</v>
      </c>
      <c r="CP277" s="20">
        <f ca="1">IF(Table1[[#This Row],[County]]="Wiltshire",Table1[[#This Row],[income]],0)</f>
        <v>0</v>
      </c>
      <c r="CQ277" s="20">
        <f ca="1">IF(Table1[[#This Row],[County]]="West Midlands",Table1[[#This Row],[income]],0)</f>
        <v>0</v>
      </c>
      <c r="CR277" s="20">
        <f ca="1">IF(Table1[[#This Row],[County]]="Warwickshire",Table1[[#This Row],[income]],0)</f>
        <v>0</v>
      </c>
      <c r="CS277" s="20">
        <f ca="1">IF(Table1[[#This Row],[County]]="Tyne and Wear",Table1[[#This Row],[income]],0)</f>
        <v>0</v>
      </c>
      <c r="CT277" s="20">
        <f ca="1">IF(Table1[[#This Row],[County]]="Worcestershire",Table1[[#This Row],[income]],0)</f>
        <v>0</v>
      </c>
      <c r="CU277" s="20">
        <f ca="1">IF(Table1[[#This Row],[County]]="Rutland",Table1[[#This Row],[income]],0)</f>
        <v>0</v>
      </c>
      <c r="CV277" s="20">
        <f ca="1">IF(Table1[[#This Row],[County]]="Shropshire",Table1[[#This Row],[income]],0)</f>
        <v>0</v>
      </c>
      <c r="CW277" s="20">
        <f ca="1">IF(Table1[[#This Row],[County]]="Dorset",Table1[[#This Row],[income]],0)</f>
        <v>0</v>
      </c>
      <c r="CX277" s="20">
        <f ca="1">IF(Table1[[#This Row],[County]]="Buckinghamshire",Table1[[#This Row],[income]],0)</f>
        <v>0</v>
      </c>
      <c r="CY277" s="20">
        <f ca="1">IF(Table1[[#This Row],[County]]="Suffolk",Table1[[#This Row],[income]],0)</f>
        <v>0</v>
      </c>
      <c r="CZ277" s="20">
        <f ca="1">IF(Table1[[#This Row],[County]]="North Yorkshire",Table1[[#This Row],[income]],0)</f>
        <v>0</v>
      </c>
      <c r="DA277" s="20">
        <f ca="1">IF(Table1[[#This Row],[County]]="Kent",Table1[[#This Row],[income]],0)</f>
        <v>0</v>
      </c>
      <c r="DB277" s="5">
        <f ca="1">IF(Table1[[#This Row],[County]]="Derbyshire",Table1[[#This Row],[income]],0)</f>
        <v>0</v>
      </c>
      <c r="DD277" s="6">
        <f ca="1">IF(Table1[[#This Row],[Column1]]="Health",Table1[[#This Row],[income]],0)</f>
        <v>0</v>
      </c>
      <c r="DE277" s="20">
        <f ca="1">IF(Table1[[#This Row],[Column1]]="Agriculture",Table1[[#This Row],[income]],0)</f>
        <v>0</v>
      </c>
      <c r="DF277" s="20">
        <f ca="1">IF(Table1[[#This Row],[Column1]]="Technology",Table1[[#This Row],[income]],0)</f>
        <v>72747</v>
      </c>
      <c r="DG277" s="20">
        <f ca="1">IF(Table1[[#This Row],[Column1]]="Social Service",Table1[[#This Row],[income]],0)</f>
        <v>0</v>
      </c>
      <c r="DH277" s="20">
        <f ca="1">IF(Table1[[#This Row],[Column1]]="Education",Table1[[#This Row],[income]],0)</f>
        <v>0</v>
      </c>
      <c r="DI277" s="5">
        <f ca="1">IF(Table1[[#This Row],[Column1]]="Construction",Table1[[#This Row],[income]],0)</f>
        <v>0</v>
      </c>
      <c r="DK277" s="6">
        <f ca="1">IF(Table1[[#This Row],[Value of Debts]]&gt;Table1[[#This Row],[income]],1,0)</f>
        <v>1</v>
      </c>
      <c r="DL277" s="20"/>
      <c r="DM277" s="20"/>
      <c r="DN277" s="5"/>
      <c r="DP277" s="6">
        <f ca="1">IF(Table1[[#This Row],[Net Worth (£)]]&gt;$DS$5,C277,0)</f>
        <v>0</v>
      </c>
      <c r="DQ277" s="20"/>
      <c r="DR277" s="20"/>
      <c r="DS277" s="5"/>
    </row>
    <row r="278" spans="1:123" x14ac:dyDescent="0.2">
      <c r="A278">
        <f t="shared" ca="1" si="13"/>
        <v>2</v>
      </c>
      <c r="B278" s="1" t="str">
        <f ca="1">IF(A278=1, "men", "women")</f>
        <v>women</v>
      </c>
      <c r="C278" s="1">
        <f ca="1">RANDBETWEEN(25,50)</f>
        <v>42</v>
      </c>
      <c r="D278">
        <f ca="1">RANDBETWEEN(1,6)</f>
        <v>3</v>
      </c>
      <c r="E278" t="str">
        <f ca="1">VLOOKUP(D278,$W$5:$X$10,2)</f>
        <v>Education</v>
      </c>
      <c r="F278">
        <f ca="1">RANDBETWEEN(1,5)</f>
        <v>2</v>
      </c>
      <c r="G278" t="str">
        <f ca="1">VLOOKUP(F278,$Y$5:$Z$9,2)</f>
        <v>College</v>
      </c>
      <c r="H278">
        <f ca="1">RANDBETWEEN(0,4)</f>
        <v>4</v>
      </c>
      <c r="I278">
        <f ca="1">RANDBETWEEN(1,3)</f>
        <v>3</v>
      </c>
      <c r="J278">
        <f ca="1">RANDBETWEEN(30000,100000)</f>
        <v>65975</v>
      </c>
      <c r="K278">
        <f ca="1">RANDBETWEEN(1,48)</f>
        <v>11</v>
      </c>
      <c r="L278" t="str">
        <f ca="1">VLOOKUP(K278,$AA$5:$AB$52,2)</f>
        <v>Devon</v>
      </c>
      <c r="M278">
        <f ca="1">J278*(RANDBETWEEN(2,5))</f>
        <v>329875</v>
      </c>
      <c r="N278">
        <f ca="1">RAND()*M278</f>
        <v>260432.51413714245</v>
      </c>
      <c r="O278">
        <f ca="1">I278*RAND()*J278</f>
        <v>87058.917839289352</v>
      </c>
      <c r="P278">
        <f ca="1">RANDBETWEEN(0,O278)</f>
        <v>83450</v>
      </c>
      <c r="Q278">
        <f ca="1">RAND()*J278*2</f>
        <v>111344.04919632651</v>
      </c>
      <c r="R278">
        <f ca="1">RAND()*J278*1.5</f>
        <v>93288.843342476524</v>
      </c>
      <c r="S278">
        <f ca="1">J278+R278+O278</f>
        <v>246322.76118176588</v>
      </c>
      <c r="T278">
        <f ca="1">N278+P278+Q278</f>
        <v>455226.56333346898</v>
      </c>
      <c r="U278">
        <f ca="1">S278-T278</f>
        <v>-208903.8021517031</v>
      </c>
      <c r="AC278" s="6">
        <f ca="1">IF(Table1[[#This Row],[gender]]="men",1,0)</f>
        <v>0</v>
      </c>
      <c r="AD278">
        <f ca="1">IF(Table1[[#This Row],[gender]]="women",1,0)</f>
        <v>1</v>
      </c>
      <c r="AH278" s="5"/>
      <c r="AJ278" s="6">
        <f ca="1">IF(Table1[[#This Row],[Column1]]="Health",1,0)</f>
        <v>0</v>
      </c>
      <c r="AK278">
        <f ca="1">IF(Table1[[#This Row],[Column1]]="Construction",1,0)</f>
        <v>0</v>
      </c>
      <c r="AL278">
        <f ca="1">IF(Table1[[#This Row],[Column1]]="Technology",1,0)</f>
        <v>0</v>
      </c>
      <c r="AM278">
        <f ca="1">IF(Table1[[#This Row],[Column1]]="Education",1,0)</f>
        <v>1</v>
      </c>
      <c r="AN278">
        <f ca="1">IF(Table1[[#This Row],[Column1]]="Agriculture",1,0)</f>
        <v>0</v>
      </c>
      <c r="AO278">
        <f ca="1">IF(Table1[[#This Row],[Column1]]="Social Service", 1, 0)</f>
        <v>0</v>
      </c>
      <c r="AT278" s="5"/>
      <c r="AV278" s="17">
        <f t="shared" ca="1" si="12"/>
        <v>28999.266789690006</v>
      </c>
      <c r="AW278" s="5"/>
      <c r="AX278" s="6">
        <f ca="1">IF(Table1[[#This Row],[Value of Debts]]&gt;$AY$4,1,0)</f>
        <v>1</v>
      </c>
      <c r="AY278" s="20"/>
      <c r="AZ278" s="20"/>
      <c r="BA278" s="5"/>
      <c r="BB278" s="25">
        <f ca="1">Table1[[#This Row],[Mortage Left]]/Table1[[#This Row],[Value of House]]</f>
        <v>0.78948848544794981</v>
      </c>
      <c r="BC278" s="20">
        <f t="shared" ca="1" si="14"/>
        <v>0</v>
      </c>
      <c r="BD278" s="20"/>
      <c r="BE278" s="20"/>
      <c r="BF278" s="20"/>
      <c r="BG278" s="6">
        <f ca="1">IF(Table1[[#This Row],[County]]="Cumbria",Table1[[#This Row],[income]],0)</f>
        <v>0</v>
      </c>
      <c r="BH278" s="20">
        <f ca="1">IF(Table1[[#This Row],[County]]="Cheshire",Table1[[#This Row],[income]],0)</f>
        <v>0</v>
      </c>
      <c r="BI278" s="20">
        <f ca="1">IF(Table1[[#This Row],[County]]="Bristol",Table1[[#This Row],[income]],0)</f>
        <v>0</v>
      </c>
      <c r="BJ278" s="20">
        <f ca="1">IF(Table1[[#This Row],[County]]="Surrey",Table1[[#This Row],[income]],0)</f>
        <v>0</v>
      </c>
      <c r="BK278" s="20">
        <f ca="1">IF(Table1[[#This Row],[County]]="Norfolk",Table1[[#This Row],[income]],0)</f>
        <v>0</v>
      </c>
      <c r="BL278" s="20">
        <f ca="1">IF(Table1[[#This Row],[County]]="Lincolnshire",Table1[[#This Row],[income]],0)</f>
        <v>0</v>
      </c>
      <c r="BM278" s="20">
        <f ca="1">IF(Table1[[#This Row],[County]]="Somerset",Table1[[#This Row],[income]],0)</f>
        <v>0</v>
      </c>
      <c r="BN278" s="20">
        <f ca="1">IF(Table1[[#This Row],[County]]="Cambridgeshire",Table1[[#This Row],[income]],0)</f>
        <v>0</v>
      </c>
      <c r="BO278" s="20">
        <f ca="1">IF(Table1[[#This Row],[County]]="South Yorkshire",Table1[[#This Row],[income]],0)</f>
        <v>0</v>
      </c>
      <c r="BP278" s="20">
        <f ca="1">IF(Table1[[#This Row],[County]]="Greater London",Table1[[#This Row],[income]],0)</f>
        <v>0</v>
      </c>
      <c r="BQ278" s="20">
        <f ca="1">IF(Table1[[#This Row],[County]]="Hampshire",Table1[[#This Row],[income]],0)</f>
        <v>0</v>
      </c>
      <c r="BR278" s="20">
        <f ca="1">IF(Table1[[#This Row],[County]]="Gloucestershire",Table1[[#This Row],[income]],0)</f>
        <v>0</v>
      </c>
      <c r="BS278" s="20">
        <f ca="1">IF(Table1[[#This Row],[County]]="West Sussex",Table1[[#This Row],[income]],0)</f>
        <v>0</v>
      </c>
      <c r="BT278" s="20">
        <f ca="1">IF(Table1[[#This Row],[County]]="Devon",Table1[[#This Row],[income]],0)</f>
        <v>65975</v>
      </c>
      <c r="BU278" s="20">
        <f ca="1">IF(Table1[[#This Row],[County]]="Berkshire",Table1[[#This Row],[income]],0)</f>
        <v>0</v>
      </c>
      <c r="BV278" s="20">
        <f ca="1">IF(Table1[[#This Row],[County]]="Staffordshire",Table1[[#This Row],[income]],0)</f>
        <v>0</v>
      </c>
      <c r="BW278" s="20">
        <f ca="1">IF(Table1[[#This Row],[County]]="Leicestershire",Table1[[#This Row],[income]],0)</f>
        <v>0</v>
      </c>
      <c r="BX278" s="20">
        <f ca="1">IF(Table1[[#This Row],[County]]="Cornwall",Table1[[#This Row],[income]],0)</f>
        <v>0</v>
      </c>
      <c r="BY278" s="20">
        <f ca="1">IF(Table1[[#This Row],[County]]="Isle of Wight",Table1[[#This Row],[income]],0)</f>
        <v>0</v>
      </c>
      <c r="BZ278" s="20">
        <f ca="1">IF(Table1[[#This Row],[County]]="Surrey",Table1[[#This Row],[income]],0)</f>
        <v>0</v>
      </c>
      <c r="CA278" s="20">
        <f ca="1">IF(Table1[[#This Row],[County]]="Derbyshire",Table1[[#This Row],[income]],0)</f>
        <v>0</v>
      </c>
      <c r="CB278" s="20">
        <f ca="1">IF(Table1[[#This Row],[County]]="City of London",Table1[[#This Row],[income]],0)</f>
        <v>0</v>
      </c>
      <c r="CC278" s="20">
        <f ca="1">IF(Table1[[#This Row],[County]]="Bedfordshire",Table1[[#This Row],[income]],0)</f>
        <v>0</v>
      </c>
      <c r="CD278" s="20">
        <f ca="1">IF(Table1[[#This Row],[County]]="County Durham",Table1[[#This Row],[income]],0)</f>
        <v>0</v>
      </c>
      <c r="CE278" s="20">
        <f ca="1">IF(Table1[[#This Row],[County]]="East Riding of Yorkshire",Table1[[#This Row],[income]],0)</f>
        <v>0</v>
      </c>
      <c r="CF278" s="20">
        <f ca="1">IF(Table1[[#This Row],[County]]="West Yorkshire",Table1[[#This Row],[income]],0)</f>
        <v>0</v>
      </c>
      <c r="CG278" s="20">
        <f ca="1">IF(Table1[[#This Row],[County]]="Essex",Table1[[#This Row],[income]],0)</f>
        <v>0</v>
      </c>
      <c r="CH278" s="20">
        <f ca="1">IF(Table1[[#This Row],[County]]="East Sussex",Table1[[#This Row],[income]],0)</f>
        <v>0</v>
      </c>
      <c r="CI278" s="20">
        <f ca="1">IF(Table1[[#This Row],[County]]="Greater Manchester",Table1[[#This Row],[income]],0)</f>
        <v>0</v>
      </c>
      <c r="CJ278" s="20">
        <f ca="1">IF(Table1[[#This Row],[County]]="Hertfordshire",Table1[[#This Row],[income]],0)</f>
        <v>0</v>
      </c>
      <c r="CK278" s="20">
        <f ca="1">IF(Table1[[#This Row],[County]]="Herefordshire",Table1[[#This Row],[income]],0)</f>
        <v>0</v>
      </c>
      <c r="CL278" s="20">
        <f ca="1">IF(Table1[[#This Row],[County]]="Lancashire",Table1[[#This Row],[income]],0)</f>
        <v>0</v>
      </c>
      <c r="CM278" s="20">
        <f ca="1">IF(Table1[[#This Row],[County]]="Merseyside",Table1[[#This Row],[income]],0)</f>
        <v>0</v>
      </c>
      <c r="CN278" s="20">
        <f ca="1">IF(Table1[[#This Row],[County]]="Northamptonshire",Table1[[#This Row],[income]],0)</f>
        <v>0</v>
      </c>
      <c r="CO278" s="20">
        <f ca="1">IF(Table1[[#This Row],[County]]="Northumberland",Table1[[#This Row],[income]],0)</f>
        <v>0</v>
      </c>
      <c r="CP278" s="20">
        <f ca="1">IF(Table1[[#This Row],[County]]="Wiltshire",Table1[[#This Row],[income]],0)</f>
        <v>0</v>
      </c>
      <c r="CQ278" s="20">
        <f ca="1">IF(Table1[[#This Row],[County]]="West Midlands",Table1[[#This Row],[income]],0)</f>
        <v>0</v>
      </c>
      <c r="CR278" s="20">
        <f ca="1">IF(Table1[[#This Row],[County]]="Warwickshire",Table1[[#This Row],[income]],0)</f>
        <v>0</v>
      </c>
      <c r="CS278" s="20">
        <f ca="1">IF(Table1[[#This Row],[County]]="Tyne and Wear",Table1[[#This Row],[income]],0)</f>
        <v>0</v>
      </c>
      <c r="CT278" s="20">
        <f ca="1">IF(Table1[[#This Row],[County]]="Worcestershire",Table1[[#This Row],[income]],0)</f>
        <v>0</v>
      </c>
      <c r="CU278" s="20">
        <f ca="1">IF(Table1[[#This Row],[County]]="Rutland",Table1[[#This Row],[income]],0)</f>
        <v>0</v>
      </c>
      <c r="CV278" s="20">
        <f ca="1">IF(Table1[[#This Row],[County]]="Shropshire",Table1[[#This Row],[income]],0)</f>
        <v>0</v>
      </c>
      <c r="CW278" s="20">
        <f ca="1">IF(Table1[[#This Row],[County]]="Dorset",Table1[[#This Row],[income]],0)</f>
        <v>0</v>
      </c>
      <c r="CX278" s="20">
        <f ca="1">IF(Table1[[#This Row],[County]]="Buckinghamshire",Table1[[#This Row],[income]],0)</f>
        <v>0</v>
      </c>
      <c r="CY278" s="20">
        <f ca="1">IF(Table1[[#This Row],[County]]="Suffolk",Table1[[#This Row],[income]],0)</f>
        <v>0</v>
      </c>
      <c r="CZ278" s="20">
        <f ca="1">IF(Table1[[#This Row],[County]]="North Yorkshire",Table1[[#This Row],[income]],0)</f>
        <v>0</v>
      </c>
      <c r="DA278" s="20">
        <f ca="1">IF(Table1[[#This Row],[County]]="Kent",Table1[[#This Row],[income]],0)</f>
        <v>0</v>
      </c>
      <c r="DB278" s="5">
        <f ca="1">IF(Table1[[#This Row],[County]]="Derbyshire",Table1[[#This Row],[income]],0)</f>
        <v>0</v>
      </c>
      <c r="DD278" s="6">
        <f ca="1">IF(Table1[[#This Row],[Column1]]="Health",Table1[[#This Row],[income]],0)</f>
        <v>0</v>
      </c>
      <c r="DE278" s="20">
        <f ca="1">IF(Table1[[#This Row],[Column1]]="Agriculture",Table1[[#This Row],[income]],0)</f>
        <v>0</v>
      </c>
      <c r="DF278" s="20">
        <f ca="1">IF(Table1[[#This Row],[Column1]]="Technology",Table1[[#This Row],[income]],0)</f>
        <v>0</v>
      </c>
      <c r="DG278" s="20">
        <f ca="1">IF(Table1[[#This Row],[Column1]]="Social Service",Table1[[#This Row],[income]],0)</f>
        <v>0</v>
      </c>
      <c r="DH278" s="20">
        <f ca="1">IF(Table1[[#This Row],[Column1]]="Education",Table1[[#This Row],[income]],0)</f>
        <v>65975</v>
      </c>
      <c r="DI278" s="5">
        <f ca="1">IF(Table1[[#This Row],[Column1]]="Construction",Table1[[#This Row],[income]],0)</f>
        <v>0</v>
      </c>
      <c r="DK278" s="6">
        <f ca="1">IF(Table1[[#This Row],[Value of Debts]]&gt;Table1[[#This Row],[income]],1,0)</f>
        <v>1</v>
      </c>
      <c r="DL278" s="20"/>
      <c r="DM278" s="20"/>
      <c r="DN278" s="5"/>
      <c r="DP278" s="6">
        <f ca="1">IF(Table1[[#This Row],[Net Worth (£)]]&gt;$DS$5,C278,0)</f>
        <v>0</v>
      </c>
      <c r="DQ278" s="20"/>
      <c r="DR278" s="20"/>
      <c r="DS278" s="5"/>
    </row>
    <row r="279" spans="1:123" x14ac:dyDescent="0.2">
      <c r="A279">
        <f t="shared" ca="1" si="13"/>
        <v>1</v>
      </c>
      <c r="B279" s="1" t="str">
        <f ca="1">IF(A279=1, "men", "women")</f>
        <v>men</v>
      </c>
      <c r="C279" s="1">
        <f ca="1">RANDBETWEEN(25,50)</f>
        <v>26</v>
      </c>
      <c r="D279">
        <f ca="1">RANDBETWEEN(1,6)</f>
        <v>2</v>
      </c>
      <c r="E279" t="str">
        <f ca="1">VLOOKUP(D279,$W$5:$X$10,2)</f>
        <v>Construction</v>
      </c>
      <c r="F279">
        <f ca="1">RANDBETWEEN(1,5)</f>
        <v>1</v>
      </c>
      <c r="G279" t="str">
        <f ca="1">VLOOKUP(F279,$Y$5:$Z$9,2)</f>
        <v>High School</v>
      </c>
      <c r="H279">
        <f ca="1">RANDBETWEEN(0,4)</f>
        <v>3</v>
      </c>
      <c r="I279">
        <f ca="1">RANDBETWEEN(1,3)</f>
        <v>2</v>
      </c>
      <c r="J279">
        <f ca="1">RANDBETWEEN(30000,100000)</f>
        <v>56636</v>
      </c>
      <c r="K279">
        <f ca="1">RANDBETWEEN(1,48)</f>
        <v>44</v>
      </c>
      <c r="L279" t="str">
        <f ca="1">VLOOKUP(K279,$AA$5:$AB$52,2)</f>
        <v>West Midlands</v>
      </c>
      <c r="M279">
        <f ca="1">J279*(RANDBETWEEN(2,5))</f>
        <v>169908</v>
      </c>
      <c r="N279">
        <f ca="1">RAND()*M279</f>
        <v>105832.67933916289</v>
      </c>
      <c r="O279">
        <f ca="1">I279*RAND()*J279</f>
        <v>57998.533579380011</v>
      </c>
      <c r="P279">
        <f ca="1">RANDBETWEEN(0,O279)</f>
        <v>31621</v>
      </c>
      <c r="Q279">
        <f ca="1">RAND()*J279*2</f>
        <v>60087.071800167687</v>
      </c>
      <c r="R279">
        <f ca="1">RAND()*J279*1.5</f>
        <v>61687.730367730204</v>
      </c>
      <c r="S279">
        <f ca="1">J279+R279+O279</f>
        <v>176322.26394711022</v>
      </c>
      <c r="T279">
        <f ca="1">N279+P279+Q279</f>
        <v>197540.75113933056</v>
      </c>
      <c r="U279">
        <f ca="1">S279-T279</f>
        <v>-21218.487192220346</v>
      </c>
      <c r="AC279" s="6">
        <f ca="1">IF(Table1[[#This Row],[gender]]="men",1,0)</f>
        <v>1</v>
      </c>
      <c r="AD279">
        <f ca="1">IF(Table1[[#This Row],[gender]]="women",1,0)</f>
        <v>0</v>
      </c>
      <c r="AH279" s="5"/>
      <c r="AJ279" s="6">
        <f ca="1">IF(Table1[[#This Row],[Column1]]="Health",1,0)</f>
        <v>0</v>
      </c>
      <c r="AK279">
        <f ca="1">IF(Table1[[#This Row],[Column1]]="Construction",1,0)</f>
        <v>1</v>
      </c>
      <c r="AL279">
        <f ca="1">IF(Table1[[#This Row],[Column1]]="Technology",1,0)</f>
        <v>0</v>
      </c>
      <c r="AM279">
        <f ca="1">IF(Table1[[#This Row],[Column1]]="Education",1,0)</f>
        <v>0</v>
      </c>
      <c r="AN279">
        <f ca="1">IF(Table1[[#This Row],[Column1]]="Agriculture",1,0)</f>
        <v>0</v>
      </c>
      <c r="AO279">
        <f ca="1">IF(Table1[[#This Row],[Column1]]="Social Service", 1, 0)</f>
        <v>0</v>
      </c>
      <c r="AT279" s="5"/>
      <c r="AV279" s="17">
        <f t="shared" ca="1" si="12"/>
        <v>41990.314380125077</v>
      </c>
      <c r="AW279" s="5"/>
      <c r="AX279" s="6">
        <f ca="1">IF(Table1[[#This Row],[Value of Debts]]&gt;$AY$4,1,0)</f>
        <v>1</v>
      </c>
      <c r="AY279" s="20"/>
      <c r="AZ279" s="20"/>
      <c r="BA279" s="5"/>
      <c r="BB279" s="25">
        <f ca="1">Table1[[#This Row],[Mortage Left]]/Table1[[#This Row],[Value of House]]</f>
        <v>0.62288226180734807</v>
      </c>
      <c r="BC279" s="20">
        <f t="shared" ca="1" si="14"/>
        <v>0</v>
      </c>
      <c r="BD279" s="20"/>
      <c r="BE279" s="20"/>
      <c r="BF279" s="20"/>
      <c r="BG279" s="6">
        <f ca="1">IF(Table1[[#This Row],[County]]="Cumbria",Table1[[#This Row],[income]],0)</f>
        <v>0</v>
      </c>
      <c r="BH279" s="20">
        <f ca="1">IF(Table1[[#This Row],[County]]="Cheshire",Table1[[#This Row],[income]],0)</f>
        <v>0</v>
      </c>
      <c r="BI279" s="20">
        <f ca="1">IF(Table1[[#This Row],[County]]="Bristol",Table1[[#This Row],[income]],0)</f>
        <v>0</v>
      </c>
      <c r="BJ279" s="20">
        <f ca="1">IF(Table1[[#This Row],[County]]="Surrey",Table1[[#This Row],[income]],0)</f>
        <v>0</v>
      </c>
      <c r="BK279" s="20">
        <f ca="1">IF(Table1[[#This Row],[County]]="Norfolk",Table1[[#This Row],[income]],0)</f>
        <v>0</v>
      </c>
      <c r="BL279" s="20">
        <f ca="1">IF(Table1[[#This Row],[County]]="Lincolnshire",Table1[[#This Row],[income]],0)</f>
        <v>0</v>
      </c>
      <c r="BM279" s="20">
        <f ca="1">IF(Table1[[#This Row],[County]]="Somerset",Table1[[#This Row],[income]],0)</f>
        <v>0</v>
      </c>
      <c r="BN279" s="20">
        <f ca="1">IF(Table1[[#This Row],[County]]="Cambridgeshire",Table1[[#This Row],[income]],0)</f>
        <v>0</v>
      </c>
      <c r="BO279" s="20">
        <f ca="1">IF(Table1[[#This Row],[County]]="South Yorkshire",Table1[[#This Row],[income]],0)</f>
        <v>0</v>
      </c>
      <c r="BP279" s="20">
        <f ca="1">IF(Table1[[#This Row],[County]]="Greater London",Table1[[#This Row],[income]],0)</f>
        <v>0</v>
      </c>
      <c r="BQ279" s="20">
        <f ca="1">IF(Table1[[#This Row],[County]]="Hampshire",Table1[[#This Row],[income]],0)</f>
        <v>0</v>
      </c>
      <c r="BR279" s="20">
        <f ca="1">IF(Table1[[#This Row],[County]]="Gloucestershire",Table1[[#This Row],[income]],0)</f>
        <v>0</v>
      </c>
      <c r="BS279" s="20">
        <f ca="1">IF(Table1[[#This Row],[County]]="West Sussex",Table1[[#This Row],[income]],0)</f>
        <v>0</v>
      </c>
      <c r="BT279" s="20">
        <f ca="1">IF(Table1[[#This Row],[County]]="Devon",Table1[[#This Row],[income]],0)</f>
        <v>0</v>
      </c>
      <c r="BU279" s="20">
        <f ca="1">IF(Table1[[#This Row],[County]]="Berkshire",Table1[[#This Row],[income]],0)</f>
        <v>0</v>
      </c>
      <c r="BV279" s="20">
        <f ca="1">IF(Table1[[#This Row],[County]]="Staffordshire",Table1[[#This Row],[income]],0)</f>
        <v>0</v>
      </c>
      <c r="BW279" s="20">
        <f ca="1">IF(Table1[[#This Row],[County]]="Leicestershire",Table1[[#This Row],[income]],0)</f>
        <v>0</v>
      </c>
      <c r="BX279" s="20">
        <f ca="1">IF(Table1[[#This Row],[County]]="Cornwall",Table1[[#This Row],[income]],0)</f>
        <v>0</v>
      </c>
      <c r="BY279" s="20">
        <f ca="1">IF(Table1[[#This Row],[County]]="Isle of Wight",Table1[[#This Row],[income]],0)</f>
        <v>0</v>
      </c>
      <c r="BZ279" s="20">
        <f ca="1">IF(Table1[[#This Row],[County]]="Surrey",Table1[[#This Row],[income]],0)</f>
        <v>0</v>
      </c>
      <c r="CA279" s="20">
        <f ca="1">IF(Table1[[#This Row],[County]]="Derbyshire",Table1[[#This Row],[income]],0)</f>
        <v>0</v>
      </c>
      <c r="CB279" s="20">
        <f ca="1">IF(Table1[[#This Row],[County]]="City of London",Table1[[#This Row],[income]],0)</f>
        <v>0</v>
      </c>
      <c r="CC279" s="20">
        <f ca="1">IF(Table1[[#This Row],[County]]="Bedfordshire",Table1[[#This Row],[income]],0)</f>
        <v>0</v>
      </c>
      <c r="CD279" s="20">
        <f ca="1">IF(Table1[[#This Row],[County]]="County Durham",Table1[[#This Row],[income]],0)</f>
        <v>0</v>
      </c>
      <c r="CE279" s="20">
        <f ca="1">IF(Table1[[#This Row],[County]]="East Riding of Yorkshire",Table1[[#This Row],[income]],0)</f>
        <v>0</v>
      </c>
      <c r="CF279" s="20">
        <f ca="1">IF(Table1[[#This Row],[County]]="West Yorkshire",Table1[[#This Row],[income]],0)</f>
        <v>0</v>
      </c>
      <c r="CG279" s="20">
        <f ca="1">IF(Table1[[#This Row],[County]]="Essex",Table1[[#This Row],[income]],0)</f>
        <v>0</v>
      </c>
      <c r="CH279" s="20">
        <f ca="1">IF(Table1[[#This Row],[County]]="East Sussex",Table1[[#This Row],[income]],0)</f>
        <v>0</v>
      </c>
      <c r="CI279" s="20">
        <f ca="1">IF(Table1[[#This Row],[County]]="Greater Manchester",Table1[[#This Row],[income]],0)</f>
        <v>0</v>
      </c>
      <c r="CJ279" s="20">
        <f ca="1">IF(Table1[[#This Row],[County]]="Hertfordshire",Table1[[#This Row],[income]],0)</f>
        <v>0</v>
      </c>
      <c r="CK279" s="20">
        <f ca="1">IF(Table1[[#This Row],[County]]="Herefordshire",Table1[[#This Row],[income]],0)</f>
        <v>0</v>
      </c>
      <c r="CL279" s="20">
        <f ca="1">IF(Table1[[#This Row],[County]]="Lancashire",Table1[[#This Row],[income]],0)</f>
        <v>0</v>
      </c>
      <c r="CM279" s="20">
        <f ca="1">IF(Table1[[#This Row],[County]]="Merseyside",Table1[[#This Row],[income]],0)</f>
        <v>0</v>
      </c>
      <c r="CN279" s="20">
        <f ca="1">IF(Table1[[#This Row],[County]]="Northamptonshire",Table1[[#This Row],[income]],0)</f>
        <v>0</v>
      </c>
      <c r="CO279" s="20">
        <f ca="1">IF(Table1[[#This Row],[County]]="Northumberland",Table1[[#This Row],[income]],0)</f>
        <v>0</v>
      </c>
      <c r="CP279" s="20">
        <f ca="1">IF(Table1[[#This Row],[County]]="Wiltshire",Table1[[#This Row],[income]],0)</f>
        <v>0</v>
      </c>
      <c r="CQ279" s="20">
        <f ca="1">IF(Table1[[#This Row],[County]]="West Midlands",Table1[[#This Row],[income]],0)</f>
        <v>56636</v>
      </c>
      <c r="CR279" s="20">
        <f ca="1">IF(Table1[[#This Row],[County]]="Warwickshire",Table1[[#This Row],[income]],0)</f>
        <v>0</v>
      </c>
      <c r="CS279" s="20">
        <f ca="1">IF(Table1[[#This Row],[County]]="Tyne and Wear",Table1[[#This Row],[income]],0)</f>
        <v>0</v>
      </c>
      <c r="CT279" s="20">
        <f ca="1">IF(Table1[[#This Row],[County]]="Worcestershire",Table1[[#This Row],[income]],0)</f>
        <v>0</v>
      </c>
      <c r="CU279" s="20">
        <f ca="1">IF(Table1[[#This Row],[County]]="Rutland",Table1[[#This Row],[income]],0)</f>
        <v>0</v>
      </c>
      <c r="CV279" s="20">
        <f ca="1">IF(Table1[[#This Row],[County]]="Shropshire",Table1[[#This Row],[income]],0)</f>
        <v>0</v>
      </c>
      <c r="CW279" s="20">
        <f ca="1">IF(Table1[[#This Row],[County]]="Dorset",Table1[[#This Row],[income]],0)</f>
        <v>0</v>
      </c>
      <c r="CX279" s="20">
        <f ca="1">IF(Table1[[#This Row],[County]]="Buckinghamshire",Table1[[#This Row],[income]],0)</f>
        <v>0</v>
      </c>
      <c r="CY279" s="20">
        <f ca="1">IF(Table1[[#This Row],[County]]="Suffolk",Table1[[#This Row],[income]],0)</f>
        <v>0</v>
      </c>
      <c r="CZ279" s="20">
        <f ca="1">IF(Table1[[#This Row],[County]]="North Yorkshire",Table1[[#This Row],[income]],0)</f>
        <v>0</v>
      </c>
      <c r="DA279" s="20">
        <f ca="1">IF(Table1[[#This Row],[County]]="Kent",Table1[[#This Row],[income]],0)</f>
        <v>0</v>
      </c>
      <c r="DB279" s="5">
        <f ca="1">IF(Table1[[#This Row],[County]]="Derbyshire",Table1[[#This Row],[income]],0)</f>
        <v>0</v>
      </c>
      <c r="DD279" s="6">
        <f ca="1">IF(Table1[[#This Row],[Column1]]="Health",Table1[[#This Row],[income]],0)</f>
        <v>0</v>
      </c>
      <c r="DE279" s="20">
        <f ca="1">IF(Table1[[#This Row],[Column1]]="Agriculture",Table1[[#This Row],[income]],0)</f>
        <v>0</v>
      </c>
      <c r="DF279" s="20">
        <f ca="1">IF(Table1[[#This Row],[Column1]]="Technology",Table1[[#This Row],[income]],0)</f>
        <v>0</v>
      </c>
      <c r="DG279" s="20">
        <f ca="1">IF(Table1[[#This Row],[Column1]]="Social Service",Table1[[#This Row],[income]],0)</f>
        <v>0</v>
      </c>
      <c r="DH279" s="20">
        <f ca="1">IF(Table1[[#This Row],[Column1]]="Education",Table1[[#This Row],[income]],0)</f>
        <v>0</v>
      </c>
      <c r="DI279" s="5">
        <f ca="1">IF(Table1[[#This Row],[Column1]]="Construction",Table1[[#This Row],[income]],0)</f>
        <v>56636</v>
      </c>
      <c r="DK279" s="6">
        <f ca="1">IF(Table1[[#This Row],[Value of Debts]]&gt;Table1[[#This Row],[income]],1,0)</f>
        <v>1</v>
      </c>
      <c r="DL279" s="20"/>
      <c r="DM279" s="20"/>
      <c r="DN279" s="5"/>
      <c r="DP279" s="6">
        <f ca="1">IF(Table1[[#This Row],[Net Worth (£)]]&gt;$DS$5,C279,0)</f>
        <v>0</v>
      </c>
      <c r="DQ279" s="20"/>
      <c r="DR279" s="20"/>
      <c r="DS279" s="5"/>
    </row>
    <row r="280" spans="1:123" x14ac:dyDescent="0.2">
      <c r="A280">
        <f t="shared" ca="1" si="13"/>
        <v>2</v>
      </c>
      <c r="B280" s="1" t="str">
        <f ca="1">IF(A280=1, "men", "women")</f>
        <v>women</v>
      </c>
      <c r="C280" s="1">
        <f ca="1">RANDBETWEEN(25,50)</f>
        <v>47</v>
      </c>
      <c r="D280">
        <f ca="1">RANDBETWEEN(1,6)</f>
        <v>3</v>
      </c>
      <c r="E280" t="str">
        <f ca="1">VLOOKUP(D280,$W$5:$X$10,2)</f>
        <v>Education</v>
      </c>
      <c r="F280">
        <f ca="1">RANDBETWEEN(1,5)</f>
        <v>3</v>
      </c>
      <c r="G280" t="str">
        <f ca="1">VLOOKUP(F280,$Y$5:$Z$9,2)</f>
        <v>University</v>
      </c>
      <c r="H280">
        <f ca="1">RANDBETWEEN(0,4)</f>
        <v>1</v>
      </c>
      <c r="I280">
        <f ca="1">RANDBETWEEN(1,3)</f>
        <v>2</v>
      </c>
      <c r="J280">
        <f ca="1">RANDBETWEEN(30000,100000)</f>
        <v>64618</v>
      </c>
      <c r="K280">
        <f ca="1">RANDBETWEEN(1,48)</f>
        <v>6</v>
      </c>
      <c r="L280" t="str">
        <f ca="1">VLOOKUP(K280,$AA$5:$AB$52,2)</f>
        <v>Cheshire</v>
      </c>
      <c r="M280">
        <f ca="1">J280*(RANDBETWEEN(2,5))</f>
        <v>129236</v>
      </c>
      <c r="N280">
        <f ca="1">RAND()*M280</f>
        <v>76233.83831382425</v>
      </c>
      <c r="O280">
        <f ca="1">I280*RAND()*J280</f>
        <v>83980.628760250154</v>
      </c>
      <c r="P280">
        <f ca="1">RANDBETWEEN(0,O280)</f>
        <v>51925</v>
      </c>
      <c r="Q280">
        <f ca="1">RAND()*J280*2</f>
        <v>20608.775744425529</v>
      </c>
      <c r="R280">
        <f ca="1">RAND()*J280*1.5</f>
        <v>16315.416374605335</v>
      </c>
      <c r="S280">
        <f ca="1">J280+R280+O280</f>
        <v>164914.04513485549</v>
      </c>
      <c r="T280">
        <f ca="1">N280+P280+Q280</f>
        <v>148767.61405824978</v>
      </c>
      <c r="U280">
        <f ca="1">S280-T280</f>
        <v>16146.431076605717</v>
      </c>
      <c r="AC280" s="6">
        <f ca="1">IF(Table1[[#This Row],[gender]]="men",1,0)</f>
        <v>0</v>
      </c>
      <c r="AD280">
        <f ca="1">IF(Table1[[#This Row],[gender]]="women",1,0)</f>
        <v>1</v>
      </c>
      <c r="AH280" s="5"/>
      <c r="AJ280" s="6">
        <f ca="1">IF(Table1[[#This Row],[Column1]]="Health",1,0)</f>
        <v>0</v>
      </c>
      <c r="AK280">
        <f ca="1">IF(Table1[[#This Row],[Column1]]="Construction",1,0)</f>
        <v>0</v>
      </c>
      <c r="AL280">
        <f ca="1">IF(Table1[[#This Row],[Column1]]="Technology",1,0)</f>
        <v>0</v>
      </c>
      <c r="AM280">
        <f ca="1">IF(Table1[[#This Row],[Column1]]="Education",1,0)</f>
        <v>1</v>
      </c>
      <c r="AN280">
        <f ca="1">IF(Table1[[#This Row],[Column1]]="Agriculture",1,0)</f>
        <v>0</v>
      </c>
      <c r="AO280">
        <f ca="1">IF(Table1[[#This Row],[Column1]]="Social Service", 1, 0)</f>
        <v>0</v>
      </c>
      <c r="AT280" s="5"/>
      <c r="AV280" s="17">
        <f t="shared" ca="1" si="12"/>
        <v>8523.8571671762056</v>
      </c>
      <c r="AW280" s="5"/>
      <c r="AX280" s="6">
        <f ca="1">IF(Table1[[#This Row],[Value of Debts]]&gt;$AY$4,1,0)</f>
        <v>1</v>
      </c>
      <c r="AY280" s="20"/>
      <c r="AZ280" s="20"/>
      <c r="BA280" s="5"/>
      <c r="BB280" s="25">
        <f ca="1">Table1[[#This Row],[Mortage Left]]/Table1[[#This Row],[Value of House]]</f>
        <v>0.58988082510929041</v>
      </c>
      <c r="BC280" s="20">
        <f t="shared" ca="1" si="14"/>
        <v>0</v>
      </c>
      <c r="BD280" s="20"/>
      <c r="BE280" s="20"/>
      <c r="BF280" s="20"/>
      <c r="BG280" s="6">
        <f ca="1">IF(Table1[[#This Row],[County]]="Cumbria",Table1[[#This Row],[income]],0)</f>
        <v>0</v>
      </c>
      <c r="BH280" s="20">
        <f ca="1">IF(Table1[[#This Row],[County]]="Cheshire",Table1[[#This Row],[income]],0)</f>
        <v>64618</v>
      </c>
      <c r="BI280" s="20">
        <f ca="1">IF(Table1[[#This Row],[County]]="Bristol",Table1[[#This Row],[income]],0)</f>
        <v>0</v>
      </c>
      <c r="BJ280" s="20">
        <f ca="1">IF(Table1[[#This Row],[County]]="Surrey",Table1[[#This Row],[income]],0)</f>
        <v>0</v>
      </c>
      <c r="BK280" s="20">
        <f ca="1">IF(Table1[[#This Row],[County]]="Norfolk",Table1[[#This Row],[income]],0)</f>
        <v>0</v>
      </c>
      <c r="BL280" s="20">
        <f ca="1">IF(Table1[[#This Row],[County]]="Lincolnshire",Table1[[#This Row],[income]],0)</f>
        <v>0</v>
      </c>
      <c r="BM280" s="20">
        <f ca="1">IF(Table1[[#This Row],[County]]="Somerset",Table1[[#This Row],[income]],0)</f>
        <v>0</v>
      </c>
      <c r="BN280" s="20">
        <f ca="1">IF(Table1[[#This Row],[County]]="Cambridgeshire",Table1[[#This Row],[income]],0)</f>
        <v>0</v>
      </c>
      <c r="BO280" s="20">
        <f ca="1">IF(Table1[[#This Row],[County]]="South Yorkshire",Table1[[#This Row],[income]],0)</f>
        <v>0</v>
      </c>
      <c r="BP280" s="20">
        <f ca="1">IF(Table1[[#This Row],[County]]="Greater London",Table1[[#This Row],[income]],0)</f>
        <v>0</v>
      </c>
      <c r="BQ280" s="20">
        <f ca="1">IF(Table1[[#This Row],[County]]="Hampshire",Table1[[#This Row],[income]],0)</f>
        <v>0</v>
      </c>
      <c r="BR280" s="20">
        <f ca="1">IF(Table1[[#This Row],[County]]="Gloucestershire",Table1[[#This Row],[income]],0)</f>
        <v>0</v>
      </c>
      <c r="BS280" s="20">
        <f ca="1">IF(Table1[[#This Row],[County]]="West Sussex",Table1[[#This Row],[income]],0)</f>
        <v>0</v>
      </c>
      <c r="BT280" s="20">
        <f ca="1">IF(Table1[[#This Row],[County]]="Devon",Table1[[#This Row],[income]],0)</f>
        <v>0</v>
      </c>
      <c r="BU280" s="20">
        <f ca="1">IF(Table1[[#This Row],[County]]="Berkshire",Table1[[#This Row],[income]],0)</f>
        <v>0</v>
      </c>
      <c r="BV280" s="20">
        <f ca="1">IF(Table1[[#This Row],[County]]="Staffordshire",Table1[[#This Row],[income]],0)</f>
        <v>0</v>
      </c>
      <c r="BW280" s="20">
        <f ca="1">IF(Table1[[#This Row],[County]]="Leicestershire",Table1[[#This Row],[income]],0)</f>
        <v>0</v>
      </c>
      <c r="BX280" s="20">
        <f ca="1">IF(Table1[[#This Row],[County]]="Cornwall",Table1[[#This Row],[income]],0)</f>
        <v>0</v>
      </c>
      <c r="BY280" s="20">
        <f ca="1">IF(Table1[[#This Row],[County]]="Isle of Wight",Table1[[#This Row],[income]],0)</f>
        <v>0</v>
      </c>
      <c r="BZ280" s="20">
        <f ca="1">IF(Table1[[#This Row],[County]]="Surrey",Table1[[#This Row],[income]],0)</f>
        <v>0</v>
      </c>
      <c r="CA280" s="20">
        <f ca="1">IF(Table1[[#This Row],[County]]="Derbyshire",Table1[[#This Row],[income]],0)</f>
        <v>0</v>
      </c>
      <c r="CB280" s="20">
        <f ca="1">IF(Table1[[#This Row],[County]]="City of London",Table1[[#This Row],[income]],0)</f>
        <v>0</v>
      </c>
      <c r="CC280" s="20">
        <f ca="1">IF(Table1[[#This Row],[County]]="Bedfordshire",Table1[[#This Row],[income]],0)</f>
        <v>0</v>
      </c>
      <c r="CD280" s="20">
        <f ca="1">IF(Table1[[#This Row],[County]]="County Durham",Table1[[#This Row],[income]],0)</f>
        <v>0</v>
      </c>
      <c r="CE280" s="20">
        <f ca="1">IF(Table1[[#This Row],[County]]="East Riding of Yorkshire",Table1[[#This Row],[income]],0)</f>
        <v>0</v>
      </c>
      <c r="CF280" s="20">
        <f ca="1">IF(Table1[[#This Row],[County]]="West Yorkshire",Table1[[#This Row],[income]],0)</f>
        <v>0</v>
      </c>
      <c r="CG280" s="20">
        <f ca="1">IF(Table1[[#This Row],[County]]="Essex",Table1[[#This Row],[income]],0)</f>
        <v>0</v>
      </c>
      <c r="CH280" s="20">
        <f ca="1">IF(Table1[[#This Row],[County]]="East Sussex",Table1[[#This Row],[income]],0)</f>
        <v>0</v>
      </c>
      <c r="CI280" s="20">
        <f ca="1">IF(Table1[[#This Row],[County]]="Greater Manchester",Table1[[#This Row],[income]],0)</f>
        <v>0</v>
      </c>
      <c r="CJ280" s="20">
        <f ca="1">IF(Table1[[#This Row],[County]]="Hertfordshire",Table1[[#This Row],[income]],0)</f>
        <v>0</v>
      </c>
      <c r="CK280" s="20">
        <f ca="1">IF(Table1[[#This Row],[County]]="Herefordshire",Table1[[#This Row],[income]],0)</f>
        <v>0</v>
      </c>
      <c r="CL280" s="20">
        <f ca="1">IF(Table1[[#This Row],[County]]="Lancashire",Table1[[#This Row],[income]],0)</f>
        <v>0</v>
      </c>
      <c r="CM280" s="20">
        <f ca="1">IF(Table1[[#This Row],[County]]="Merseyside",Table1[[#This Row],[income]],0)</f>
        <v>0</v>
      </c>
      <c r="CN280" s="20">
        <f ca="1">IF(Table1[[#This Row],[County]]="Northamptonshire",Table1[[#This Row],[income]],0)</f>
        <v>0</v>
      </c>
      <c r="CO280" s="20">
        <f ca="1">IF(Table1[[#This Row],[County]]="Northumberland",Table1[[#This Row],[income]],0)</f>
        <v>0</v>
      </c>
      <c r="CP280" s="20">
        <f ca="1">IF(Table1[[#This Row],[County]]="Wiltshire",Table1[[#This Row],[income]],0)</f>
        <v>0</v>
      </c>
      <c r="CQ280" s="20">
        <f ca="1">IF(Table1[[#This Row],[County]]="West Midlands",Table1[[#This Row],[income]],0)</f>
        <v>0</v>
      </c>
      <c r="CR280" s="20">
        <f ca="1">IF(Table1[[#This Row],[County]]="Warwickshire",Table1[[#This Row],[income]],0)</f>
        <v>0</v>
      </c>
      <c r="CS280" s="20">
        <f ca="1">IF(Table1[[#This Row],[County]]="Tyne and Wear",Table1[[#This Row],[income]],0)</f>
        <v>0</v>
      </c>
      <c r="CT280" s="20">
        <f ca="1">IF(Table1[[#This Row],[County]]="Worcestershire",Table1[[#This Row],[income]],0)</f>
        <v>0</v>
      </c>
      <c r="CU280" s="20">
        <f ca="1">IF(Table1[[#This Row],[County]]="Rutland",Table1[[#This Row],[income]],0)</f>
        <v>0</v>
      </c>
      <c r="CV280" s="20">
        <f ca="1">IF(Table1[[#This Row],[County]]="Shropshire",Table1[[#This Row],[income]],0)</f>
        <v>0</v>
      </c>
      <c r="CW280" s="20">
        <f ca="1">IF(Table1[[#This Row],[County]]="Dorset",Table1[[#This Row],[income]],0)</f>
        <v>0</v>
      </c>
      <c r="CX280" s="20">
        <f ca="1">IF(Table1[[#This Row],[County]]="Buckinghamshire",Table1[[#This Row],[income]],0)</f>
        <v>0</v>
      </c>
      <c r="CY280" s="20">
        <f ca="1">IF(Table1[[#This Row],[County]]="Suffolk",Table1[[#This Row],[income]],0)</f>
        <v>0</v>
      </c>
      <c r="CZ280" s="20">
        <f ca="1">IF(Table1[[#This Row],[County]]="North Yorkshire",Table1[[#This Row],[income]],0)</f>
        <v>0</v>
      </c>
      <c r="DA280" s="20">
        <f ca="1">IF(Table1[[#This Row],[County]]="Kent",Table1[[#This Row],[income]],0)</f>
        <v>0</v>
      </c>
      <c r="DB280" s="5">
        <f ca="1">IF(Table1[[#This Row],[County]]="Derbyshire",Table1[[#This Row],[income]],0)</f>
        <v>0</v>
      </c>
      <c r="DD280" s="6">
        <f ca="1">IF(Table1[[#This Row],[Column1]]="Health",Table1[[#This Row],[income]],0)</f>
        <v>0</v>
      </c>
      <c r="DE280" s="20">
        <f ca="1">IF(Table1[[#This Row],[Column1]]="Agriculture",Table1[[#This Row],[income]],0)</f>
        <v>0</v>
      </c>
      <c r="DF280" s="20">
        <f ca="1">IF(Table1[[#This Row],[Column1]]="Technology",Table1[[#This Row],[income]],0)</f>
        <v>0</v>
      </c>
      <c r="DG280" s="20">
        <f ca="1">IF(Table1[[#This Row],[Column1]]="Social Service",Table1[[#This Row],[income]],0)</f>
        <v>0</v>
      </c>
      <c r="DH280" s="20">
        <f ca="1">IF(Table1[[#This Row],[Column1]]="Education",Table1[[#This Row],[income]],0)</f>
        <v>64618</v>
      </c>
      <c r="DI280" s="5">
        <f ca="1">IF(Table1[[#This Row],[Column1]]="Construction",Table1[[#This Row],[income]],0)</f>
        <v>0</v>
      </c>
      <c r="DK280" s="6">
        <f ca="1">IF(Table1[[#This Row],[Value of Debts]]&gt;Table1[[#This Row],[income]],1,0)</f>
        <v>1</v>
      </c>
      <c r="DL280" s="20"/>
      <c r="DM280" s="20"/>
      <c r="DN280" s="5"/>
      <c r="DP280" s="6">
        <f ca="1">IF(Table1[[#This Row],[Net Worth (£)]]&gt;$DS$5,C280,0)</f>
        <v>0</v>
      </c>
      <c r="DQ280" s="20"/>
      <c r="DR280" s="20"/>
      <c r="DS280" s="5"/>
    </row>
    <row r="281" spans="1:123" x14ac:dyDescent="0.2">
      <c r="A281">
        <f t="shared" ca="1" si="13"/>
        <v>1</v>
      </c>
      <c r="B281" s="1" t="str">
        <f ca="1">IF(A281=1, "men", "women")</f>
        <v>men</v>
      </c>
      <c r="C281" s="1">
        <f ca="1">RANDBETWEEN(25,50)</f>
        <v>38</v>
      </c>
      <c r="D281">
        <f ca="1">RANDBETWEEN(1,6)</f>
        <v>1</v>
      </c>
      <c r="E281" t="str">
        <f ca="1">VLOOKUP(D281,$W$5:$X$10,2)</f>
        <v>Health</v>
      </c>
      <c r="F281">
        <f ca="1">RANDBETWEEN(1,5)</f>
        <v>1</v>
      </c>
      <c r="G281" t="str">
        <f ca="1">VLOOKUP(F281,$Y$5:$Z$9,2)</f>
        <v>High School</v>
      </c>
      <c r="H281">
        <f ca="1">RANDBETWEEN(0,4)</f>
        <v>3</v>
      </c>
      <c r="I281">
        <f ca="1">RANDBETWEEN(1,3)</f>
        <v>2</v>
      </c>
      <c r="J281">
        <f ca="1">RANDBETWEEN(30000,100000)</f>
        <v>49461</v>
      </c>
      <c r="K281">
        <f ca="1">RANDBETWEEN(1,48)</f>
        <v>47</v>
      </c>
      <c r="L281" t="str">
        <f ca="1">VLOOKUP(K281,$AA$5:$AB$52,2)</f>
        <v>Wiltshire</v>
      </c>
      <c r="M281">
        <f ca="1">J281*(RANDBETWEEN(2,5))</f>
        <v>247305</v>
      </c>
      <c r="N281">
        <f ca="1">RAND()*M281</f>
        <v>104182.70977662067</v>
      </c>
      <c r="O281">
        <f ca="1">I281*RAND()*J281</f>
        <v>17047.714334352411</v>
      </c>
      <c r="P281">
        <f ca="1">RANDBETWEEN(0,O281)</f>
        <v>15873</v>
      </c>
      <c r="Q281">
        <f ca="1">RAND()*J281*2</f>
        <v>24097.874496743811</v>
      </c>
      <c r="R281">
        <f ca="1">RAND()*J281*1.5</f>
        <v>11020.809100796332</v>
      </c>
      <c r="S281">
        <f ca="1">J281+R281+O281</f>
        <v>77529.523435148745</v>
      </c>
      <c r="T281">
        <f ca="1">N281+P281+Q281</f>
        <v>144153.58427336448</v>
      </c>
      <c r="U281">
        <f ca="1">S281-T281</f>
        <v>-66624.060838215737</v>
      </c>
      <c r="AC281" s="6">
        <f ca="1">IF(Table1[[#This Row],[gender]]="men",1,0)</f>
        <v>1</v>
      </c>
      <c r="AD281">
        <f ca="1">IF(Table1[[#This Row],[gender]]="women",1,0)</f>
        <v>0</v>
      </c>
      <c r="AH281" s="5"/>
      <c r="AJ281" s="6">
        <f ca="1">IF(Table1[[#This Row],[Column1]]="Health",1,0)</f>
        <v>1</v>
      </c>
      <c r="AK281">
        <f ca="1">IF(Table1[[#This Row],[Column1]]="Construction",1,0)</f>
        <v>0</v>
      </c>
      <c r="AL281">
        <f ca="1">IF(Table1[[#This Row],[Column1]]="Technology",1,0)</f>
        <v>0</v>
      </c>
      <c r="AM281">
        <f ca="1">IF(Table1[[#This Row],[Column1]]="Education",1,0)</f>
        <v>0</v>
      </c>
      <c r="AN281">
        <f ca="1">IF(Table1[[#This Row],[Column1]]="Agriculture",1,0)</f>
        <v>0</v>
      </c>
      <c r="AO281">
        <f ca="1">IF(Table1[[#This Row],[Column1]]="Social Service", 1, 0)</f>
        <v>0</v>
      </c>
      <c r="AT281" s="5"/>
      <c r="AV281" s="17">
        <f t="shared" ca="1" si="12"/>
        <v>30976.844831734383</v>
      </c>
      <c r="AW281" s="5"/>
      <c r="AX281" s="6">
        <f ca="1">IF(Table1[[#This Row],[Value of Debts]]&gt;$AY$4,1,0)</f>
        <v>1</v>
      </c>
      <c r="AY281" s="20"/>
      <c r="AZ281" s="20"/>
      <c r="BA281" s="5"/>
      <c r="BB281" s="25">
        <f ca="1">Table1[[#This Row],[Mortage Left]]/Table1[[#This Row],[Value of House]]</f>
        <v>0.42127215291490538</v>
      </c>
      <c r="BC281" s="20">
        <f t="shared" ca="1" si="14"/>
        <v>0</v>
      </c>
      <c r="BD281" s="20"/>
      <c r="BE281" s="20"/>
      <c r="BF281" s="20"/>
      <c r="BG281" s="6">
        <f ca="1">IF(Table1[[#This Row],[County]]="Cumbria",Table1[[#This Row],[income]],0)</f>
        <v>0</v>
      </c>
      <c r="BH281" s="20">
        <f ca="1">IF(Table1[[#This Row],[County]]="Cheshire",Table1[[#This Row],[income]],0)</f>
        <v>0</v>
      </c>
      <c r="BI281" s="20">
        <f ca="1">IF(Table1[[#This Row],[County]]="Bristol",Table1[[#This Row],[income]],0)</f>
        <v>0</v>
      </c>
      <c r="BJ281" s="20">
        <f ca="1">IF(Table1[[#This Row],[County]]="Surrey",Table1[[#This Row],[income]],0)</f>
        <v>0</v>
      </c>
      <c r="BK281" s="20">
        <f ca="1">IF(Table1[[#This Row],[County]]="Norfolk",Table1[[#This Row],[income]],0)</f>
        <v>0</v>
      </c>
      <c r="BL281" s="20">
        <f ca="1">IF(Table1[[#This Row],[County]]="Lincolnshire",Table1[[#This Row],[income]],0)</f>
        <v>0</v>
      </c>
      <c r="BM281" s="20">
        <f ca="1">IF(Table1[[#This Row],[County]]="Somerset",Table1[[#This Row],[income]],0)</f>
        <v>0</v>
      </c>
      <c r="BN281" s="20">
        <f ca="1">IF(Table1[[#This Row],[County]]="Cambridgeshire",Table1[[#This Row],[income]],0)</f>
        <v>0</v>
      </c>
      <c r="BO281" s="20">
        <f ca="1">IF(Table1[[#This Row],[County]]="South Yorkshire",Table1[[#This Row],[income]],0)</f>
        <v>0</v>
      </c>
      <c r="BP281" s="20">
        <f ca="1">IF(Table1[[#This Row],[County]]="Greater London",Table1[[#This Row],[income]],0)</f>
        <v>0</v>
      </c>
      <c r="BQ281" s="20">
        <f ca="1">IF(Table1[[#This Row],[County]]="Hampshire",Table1[[#This Row],[income]],0)</f>
        <v>0</v>
      </c>
      <c r="BR281" s="20">
        <f ca="1">IF(Table1[[#This Row],[County]]="Gloucestershire",Table1[[#This Row],[income]],0)</f>
        <v>0</v>
      </c>
      <c r="BS281" s="20">
        <f ca="1">IF(Table1[[#This Row],[County]]="West Sussex",Table1[[#This Row],[income]],0)</f>
        <v>0</v>
      </c>
      <c r="BT281" s="20">
        <f ca="1">IF(Table1[[#This Row],[County]]="Devon",Table1[[#This Row],[income]],0)</f>
        <v>0</v>
      </c>
      <c r="BU281" s="20">
        <f ca="1">IF(Table1[[#This Row],[County]]="Berkshire",Table1[[#This Row],[income]],0)</f>
        <v>0</v>
      </c>
      <c r="BV281" s="20">
        <f ca="1">IF(Table1[[#This Row],[County]]="Staffordshire",Table1[[#This Row],[income]],0)</f>
        <v>0</v>
      </c>
      <c r="BW281" s="20">
        <f ca="1">IF(Table1[[#This Row],[County]]="Leicestershire",Table1[[#This Row],[income]],0)</f>
        <v>0</v>
      </c>
      <c r="BX281" s="20">
        <f ca="1">IF(Table1[[#This Row],[County]]="Cornwall",Table1[[#This Row],[income]],0)</f>
        <v>0</v>
      </c>
      <c r="BY281" s="20">
        <f ca="1">IF(Table1[[#This Row],[County]]="Isle of Wight",Table1[[#This Row],[income]],0)</f>
        <v>0</v>
      </c>
      <c r="BZ281" s="20">
        <f ca="1">IF(Table1[[#This Row],[County]]="Surrey",Table1[[#This Row],[income]],0)</f>
        <v>0</v>
      </c>
      <c r="CA281" s="20">
        <f ca="1">IF(Table1[[#This Row],[County]]="Derbyshire",Table1[[#This Row],[income]],0)</f>
        <v>0</v>
      </c>
      <c r="CB281" s="20">
        <f ca="1">IF(Table1[[#This Row],[County]]="City of London",Table1[[#This Row],[income]],0)</f>
        <v>0</v>
      </c>
      <c r="CC281" s="20">
        <f ca="1">IF(Table1[[#This Row],[County]]="Bedfordshire",Table1[[#This Row],[income]],0)</f>
        <v>0</v>
      </c>
      <c r="CD281" s="20">
        <f ca="1">IF(Table1[[#This Row],[County]]="County Durham",Table1[[#This Row],[income]],0)</f>
        <v>0</v>
      </c>
      <c r="CE281" s="20">
        <f ca="1">IF(Table1[[#This Row],[County]]="East Riding of Yorkshire",Table1[[#This Row],[income]],0)</f>
        <v>0</v>
      </c>
      <c r="CF281" s="20">
        <f ca="1">IF(Table1[[#This Row],[County]]="West Yorkshire",Table1[[#This Row],[income]],0)</f>
        <v>0</v>
      </c>
      <c r="CG281" s="20">
        <f ca="1">IF(Table1[[#This Row],[County]]="Essex",Table1[[#This Row],[income]],0)</f>
        <v>0</v>
      </c>
      <c r="CH281" s="20">
        <f ca="1">IF(Table1[[#This Row],[County]]="East Sussex",Table1[[#This Row],[income]],0)</f>
        <v>0</v>
      </c>
      <c r="CI281" s="20">
        <f ca="1">IF(Table1[[#This Row],[County]]="Greater Manchester",Table1[[#This Row],[income]],0)</f>
        <v>0</v>
      </c>
      <c r="CJ281" s="20">
        <f ca="1">IF(Table1[[#This Row],[County]]="Hertfordshire",Table1[[#This Row],[income]],0)</f>
        <v>0</v>
      </c>
      <c r="CK281" s="20">
        <f ca="1">IF(Table1[[#This Row],[County]]="Herefordshire",Table1[[#This Row],[income]],0)</f>
        <v>0</v>
      </c>
      <c r="CL281" s="20">
        <f ca="1">IF(Table1[[#This Row],[County]]="Lancashire",Table1[[#This Row],[income]],0)</f>
        <v>0</v>
      </c>
      <c r="CM281" s="20">
        <f ca="1">IF(Table1[[#This Row],[County]]="Merseyside",Table1[[#This Row],[income]],0)</f>
        <v>0</v>
      </c>
      <c r="CN281" s="20">
        <f ca="1">IF(Table1[[#This Row],[County]]="Northamptonshire",Table1[[#This Row],[income]],0)</f>
        <v>0</v>
      </c>
      <c r="CO281" s="20">
        <f ca="1">IF(Table1[[#This Row],[County]]="Northumberland",Table1[[#This Row],[income]],0)</f>
        <v>0</v>
      </c>
      <c r="CP281" s="20">
        <f ca="1">IF(Table1[[#This Row],[County]]="Wiltshire",Table1[[#This Row],[income]],0)</f>
        <v>49461</v>
      </c>
      <c r="CQ281" s="20">
        <f ca="1">IF(Table1[[#This Row],[County]]="West Midlands",Table1[[#This Row],[income]],0)</f>
        <v>0</v>
      </c>
      <c r="CR281" s="20">
        <f ca="1">IF(Table1[[#This Row],[County]]="Warwickshire",Table1[[#This Row],[income]],0)</f>
        <v>0</v>
      </c>
      <c r="CS281" s="20">
        <f ca="1">IF(Table1[[#This Row],[County]]="Tyne and Wear",Table1[[#This Row],[income]],0)</f>
        <v>0</v>
      </c>
      <c r="CT281" s="20">
        <f ca="1">IF(Table1[[#This Row],[County]]="Worcestershire",Table1[[#This Row],[income]],0)</f>
        <v>0</v>
      </c>
      <c r="CU281" s="20">
        <f ca="1">IF(Table1[[#This Row],[County]]="Rutland",Table1[[#This Row],[income]],0)</f>
        <v>0</v>
      </c>
      <c r="CV281" s="20">
        <f ca="1">IF(Table1[[#This Row],[County]]="Shropshire",Table1[[#This Row],[income]],0)</f>
        <v>0</v>
      </c>
      <c r="CW281" s="20">
        <f ca="1">IF(Table1[[#This Row],[County]]="Dorset",Table1[[#This Row],[income]],0)</f>
        <v>0</v>
      </c>
      <c r="CX281" s="20">
        <f ca="1">IF(Table1[[#This Row],[County]]="Buckinghamshire",Table1[[#This Row],[income]],0)</f>
        <v>0</v>
      </c>
      <c r="CY281" s="20">
        <f ca="1">IF(Table1[[#This Row],[County]]="Suffolk",Table1[[#This Row],[income]],0)</f>
        <v>0</v>
      </c>
      <c r="CZ281" s="20">
        <f ca="1">IF(Table1[[#This Row],[County]]="North Yorkshire",Table1[[#This Row],[income]],0)</f>
        <v>0</v>
      </c>
      <c r="DA281" s="20">
        <f ca="1">IF(Table1[[#This Row],[County]]="Kent",Table1[[#This Row],[income]],0)</f>
        <v>0</v>
      </c>
      <c r="DB281" s="5">
        <f ca="1">IF(Table1[[#This Row],[County]]="Derbyshire",Table1[[#This Row],[income]],0)</f>
        <v>0</v>
      </c>
      <c r="DD281" s="6">
        <f ca="1">IF(Table1[[#This Row],[Column1]]="Health",Table1[[#This Row],[income]],0)</f>
        <v>49461</v>
      </c>
      <c r="DE281" s="20">
        <f ca="1">IF(Table1[[#This Row],[Column1]]="Agriculture",Table1[[#This Row],[income]],0)</f>
        <v>0</v>
      </c>
      <c r="DF281" s="20">
        <f ca="1">IF(Table1[[#This Row],[Column1]]="Technology",Table1[[#This Row],[income]],0)</f>
        <v>0</v>
      </c>
      <c r="DG281" s="20">
        <f ca="1">IF(Table1[[#This Row],[Column1]]="Social Service",Table1[[#This Row],[income]],0)</f>
        <v>0</v>
      </c>
      <c r="DH281" s="20">
        <f ca="1">IF(Table1[[#This Row],[Column1]]="Education",Table1[[#This Row],[income]],0)</f>
        <v>0</v>
      </c>
      <c r="DI281" s="5">
        <f ca="1">IF(Table1[[#This Row],[Column1]]="Construction",Table1[[#This Row],[income]],0)</f>
        <v>0</v>
      </c>
      <c r="DK281" s="6">
        <f ca="1">IF(Table1[[#This Row],[Value of Debts]]&gt;Table1[[#This Row],[income]],1,0)</f>
        <v>1</v>
      </c>
      <c r="DL281" s="20"/>
      <c r="DM281" s="20"/>
      <c r="DN281" s="5"/>
      <c r="DP281" s="6">
        <f ca="1">IF(Table1[[#This Row],[Net Worth (£)]]&gt;$DS$5,C281,0)</f>
        <v>0</v>
      </c>
      <c r="DQ281" s="20"/>
      <c r="DR281" s="20"/>
      <c r="DS281" s="5"/>
    </row>
    <row r="282" spans="1:123" x14ac:dyDescent="0.2">
      <c r="A282">
        <f t="shared" ca="1" si="13"/>
        <v>1</v>
      </c>
      <c r="B282" s="1" t="str">
        <f ca="1">IF(A282=1, "men", "women")</f>
        <v>men</v>
      </c>
      <c r="C282" s="1">
        <f ca="1">RANDBETWEEN(25,50)</f>
        <v>28</v>
      </c>
      <c r="D282">
        <f ca="1">RANDBETWEEN(1,6)</f>
        <v>4</v>
      </c>
      <c r="E282" t="str">
        <f ca="1">VLOOKUP(D282,$W$5:$X$10,2)</f>
        <v>Technology</v>
      </c>
      <c r="F282">
        <f ca="1">RANDBETWEEN(1,5)</f>
        <v>5</v>
      </c>
      <c r="G282" t="str">
        <f ca="1">VLOOKUP(F282,$Y$5:$Z$9,2)</f>
        <v>Other</v>
      </c>
      <c r="H282">
        <f ca="1">RANDBETWEEN(0,4)</f>
        <v>0</v>
      </c>
      <c r="I282">
        <f ca="1">RANDBETWEEN(1,3)</f>
        <v>3</v>
      </c>
      <c r="J282">
        <f ca="1">RANDBETWEEN(30000,100000)</f>
        <v>46407</v>
      </c>
      <c r="K282">
        <f ca="1">RANDBETWEEN(1,48)</f>
        <v>9</v>
      </c>
      <c r="L282" t="str">
        <f ca="1">VLOOKUP(K282,$AA$5:$AB$52,2)</f>
        <v>Cumbria</v>
      </c>
      <c r="M282">
        <f ca="1">J282*(RANDBETWEEN(2,5))</f>
        <v>92814</v>
      </c>
      <c r="N282">
        <f ca="1">RAND()*M282</f>
        <v>85085.252020194719</v>
      </c>
      <c r="O282">
        <f ca="1">I282*RAND()*J282</f>
        <v>92930.534495203145</v>
      </c>
      <c r="P282">
        <f ca="1">RANDBETWEEN(0,O282)</f>
        <v>28405</v>
      </c>
      <c r="Q282">
        <f ca="1">RAND()*J282*2</f>
        <v>39825.371261494096</v>
      </c>
      <c r="R282">
        <f ca="1">RAND()*J282*1.5</f>
        <v>49277.121634454983</v>
      </c>
      <c r="S282">
        <f ca="1">J282+R282+O282</f>
        <v>188614.65612965813</v>
      </c>
      <c r="T282">
        <f ca="1">N282+P282+Q282</f>
        <v>153315.62328168881</v>
      </c>
      <c r="U282">
        <f ca="1">S282-T282</f>
        <v>35299.032847969327</v>
      </c>
      <c r="AC282" s="6">
        <f ca="1">IF(Table1[[#This Row],[gender]]="men",1,0)</f>
        <v>1</v>
      </c>
      <c r="AD282">
        <f ca="1">IF(Table1[[#This Row],[gender]]="women",1,0)</f>
        <v>0</v>
      </c>
      <c r="AH282" s="5"/>
      <c r="AJ282" s="6">
        <f ca="1">IF(Table1[[#This Row],[Column1]]="Health",1,0)</f>
        <v>0</v>
      </c>
      <c r="AK282">
        <f ca="1">IF(Table1[[#This Row],[Column1]]="Construction",1,0)</f>
        <v>0</v>
      </c>
      <c r="AL282">
        <f ca="1">IF(Table1[[#This Row],[Column1]]="Technology",1,0)</f>
        <v>1</v>
      </c>
      <c r="AM282">
        <f ca="1">IF(Table1[[#This Row],[Column1]]="Education",1,0)</f>
        <v>0</v>
      </c>
      <c r="AN282">
        <f ca="1">IF(Table1[[#This Row],[Column1]]="Agriculture",1,0)</f>
        <v>0</v>
      </c>
      <c r="AO282">
        <f ca="1">IF(Table1[[#This Row],[Column1]]="Social Service", 1, 0)</f>
        <v>0</v>
      </c>
      <c r="AT282" s="5"/>
      <c r="AV282" s="17">
        <f t="shared" ca="1" si="12"/>
        <v>46663.509827902053</v>
      </c>
      <c r="AW282" s="5"/>
      <c r="AX282" s="6">
        <f ca="1">IF(Table1[[#This Row],[Value of Debts]]&gt;$AY$4,1,0)</f>
        <v>1</v>
      </c>
      <c r="AY282" s="20"/>
      <c r="AZ282" s="20"/>
      <c r="BA282" s="5"/>
      <c r="BB282" s="25">
        <f ca="1">Table1[[#This Row],[Mortage Left]]/Table1[[#This Row],[Value of House]]</f>
        <v>0.91672864029343326</v>
      </c>
      <c r="BC282" s="20">
        <f t="shared" ca="1" si="14"/>
        <v>0</v>
      </c>
      <c r="BD282" s="20"/>
      <c r="BE282" s="20"/>
      <c r="BF282" s="20"/>
      <c r="BG282" s="6">
        <f ca="1">IF(Table1[[#This Row],[County]]="Cumbria",Table1[[#This Row],[income]],0)</f>
        <v>46407</v>
      </c>
      <c r="BH282" s="20">
        <f ca="1">IF(Table1[[#This Row],[County]]="Cheshire",Table1[[#This Row],[income]],0)</f>
        <v>0</v>
      </c>
      <c r="BI282" s="20">
        <f ca="1">IF(Table1[[#This Row],[County]]="Bristol",Table1[[#This Row],[income]],0)</f>
        <v>0</v>
      </c>
      <c r="BJ282" s="20">
        <f ca="1">IF(Table1[[#This Row],[County]]="Surrey",Table1[[#This Row],[income]],0)</f>
        <v>0</v>
      </c>
      <c r="BK282" s="20">
        <f ca="1">IF(Table1[[#This Row],[County]]="Norfolk",Table1[[#This Row],[income]],0)</f>
        <v>0</v>
      </c>
      <c r="BL282" s="20">
        <f ca="1">IF(Table1[[#This Row],[County]]="Lincolnshire",Table1[[#This Row],[income]],0)</f>
        <v>0</v>
      </c>
      <c r="BM282" s="20">
        <f ca="1">IF(Table1[[#This Row],[County]]="Somerset",Table1[[#This Row],[income]],0)</f>
        <v>0</v>
      </c>
      <c r="BN282" s="20">
        <f ca="1">IF(Table1[[#This Row],[County]]="Cambridgeshire",Table1[[#This Row],[income]],0)</f>
        <v>0</v>
      </c>
      <c r="BO282" s="20">
        <f ca="1">IF(Table1[[#This Row],[County]]="South Yorkshire",Table1[[#This Row],[income]],0)</f>
        <v>0</v>
      </c>
      <c r="BP282" s="20">
        <f ca="1">IF(Table1[[#This Row],[County]]="Greater London",Table1[[#This Row],[income]],0)</f>
        <v>0</v>
      </c>
      <c r="BQ282" s="20">
        <f ca="1">IF(Table1[[#This Row],[County]]="Hampshire",Table1[[#This Row],[income]],0)</f>
        <v>0</v>
      </c>
      <c r="BR282" s="20">
        <f ca="1">IF(Table1[[#This Row],[County]]="Gloucestershire",Table1[[#This Row],[income]],0)</f>
        <v>0</v>
      </c>
      <c r="BS282" s="20">
        <f ca="1">IF(Table1[[#This Row],[County]]="West Sussex",Table1[[#This Row],[income]],0)</f>
        <v>0</v>
      </c>
      <c r="BT282" s="20">
        <f ca="1">IF(Table1[[#This Row],[County]]="Devon",Table1[[#This Row],[income]],0)</f>
        <v>0</v>
      </c>
      <c r="BU282" s="20">
        <f ca="1">IF(Table1[[#This Row],[County]]="Berkshire",Table1[[#This Row],[income]],0)</f>
        <v>0</v>
      </c>
      <c r="BV282" s="20">
        <f ca="1">IF(Table1[[#This Row],[County]]="Staffordshire",Table1[[#This Row],[income]],0)</f>
        <v>0</v>
      </c>
      <c r="BW282" s="20">
        <f ca="1">IF(Table1[[#This Row],[County]]="Leicestershire",Table1[[#This Row],[income]],0)</f>
        <v>0</v>
      </c>
      <c r="BX282" s="20">
        <f ca="1">IF(Table1[[#This Row],[County]]="Cornwall",Table1[[#This Row],[income]],0)</f>
        <v>0</v>
      </c>
      <c r="BY282" s="20">
        <f ca="1">IF(Table1[[#This Row],[County]]="Isle of Wight",Table1[[#This Row],[income]],0)</f>
        <v>0</v>
      </c>
      <c r="BZ282" s="20">
        <f ca="1">IF(Table1[[#This Row],[County]]="Surrey",Table1[[#This Row],[income]],0)</f>
        <v>0</v>
      </c>
      <c r="CA282" s="20">
        <f ca="1">IF(Table1[[#This Row],[County]]="Derbyshire",Table1[[#This Row],[income]],0)</f>
        <v>0</v>
      </c>
      <c r="CB282" s="20">
        <f ca="1">IF(Table1[[#This Row],[County]]="City of London",Table1[[#This Row],[income]],0)</f>
        <v>0</v>
      </c>
      <c r="CC282" s="20">
        <f ca="1">IF(Table1[[#This Row],[County]]="Bedfordshire",Table1[[#This Row],[income]],0)</f>
        <v>0</v>
      </c>
      <c r="CD282" s="20">
        <f ca="1">IF(Table1[[#This Row],[County]]="County Durham",Table1[[#This Row],[income]],0)</f>
        <v>0</v>
      </c>
      <c r="CE282" s="20">
        <f ca="1">IF(Table1[[#This Row],[County]]="East Riding of Yorkshire",Table1[[#This Row],[income]],0)</f>
        <v>0</v>
      </c>
      <c r="CF282" s="20">
        <f ca="1">IF(Table1[[#This Row],[County]]="West Yorkshire",Table1[[#This Row],[income]],0)</f>
        <v>0</v>
      </c>
      <c r="CG282" s="20">
        <f ca="1">IF(Table1[[#This Row],[County]]="Essex",Table1[[#This Row],[income]],0)</f>
        <v>0</v>
      </c>
      <c r="CH282" s="20">
        <f ca="1">IF(Table1[[#This Row],[County]]="East Sussex",Table1[[#This Row],[income]],0)</f>
        <v>0</v>
      </c>
      <c r="CI282" s="20">
        <f ca="1">IF(Table1[[#This Row],[County]]="Greater Manchester",Table1[[#This Row],[income]],0)</f>
        <v>0</v>
      </c>
      <c r="CJ282" s="20">
        <f ca="1">IF(Table1[[#This Row],[County]]="Hertfordshire",Table1[[#This Row],[income]],0)</f>
        <v>0</v>
      </c>
      <c r="CK282" s="20">
        <f ca="1">IF(Table1[[#This Row],[County]]="Herefordshire",Table1[[#This Row],[income]],0)</f>
        <v>0</v>
      </c>
      <c r="CL282" s="20">
        <f ca="1">IF(Table1[[#This Row],[County]]="Lancashire",Table1[[#This Row],[income]],0)</f>
        <v>0</v>
      </c>
      <c r="CM282" s="20">
        <f ca="1">IF(Table1[[#This Row],[County]]="Merseyside",Table1[[#This Row],[income]],0)</f>
        <v>0</v>
      </c>
      <c r="CN282" s="20">
        <f ca="1">IF(Table1[[#This Row],[County]]="Northamptonshire",Table1[[#This Row],[income]],0)</f>
        <v>0</v>
      </c>
      <c r="CO282" s="20">
        <f ca="1">IF(Table1[[#This Row],[County]]="Northumberland",Table1[[#This Row],[income]],0)</f>
        <v>0</v>
      </c>
      <c r="CP282" s="20">
        <f ca="1">IF(Table1[[#This Row],[County]]="Wiltshire",Table1[[#This Row],[income]],0)</f>
        <v>0</v>
      </c>
      <c r="CQ282" s="20">
        <f ca="1">IF(Table1[[#This Row],[County]]="West Midlands",Table1[[#This Row],[income]],0)</f>
        <v>0</v>
      </c>
      <c r="CR282" s="20">
        <f ca="1">IF(Table1[[#This Row],[County]]="Warwickshire",Table1[[#This Row],[income]],0)</f>
        <v>0</v>
      </c>
      <c r="CS282" s="20">
        <f ca="1">IF(Table1[[#This Row],[County]]="Tyne and Wear",Table1[[#This Row],[income]],0)</f>
        <v>0</v>
      </c>
      <c r="CT282" s="20">
        <f ca="1">IF(Table1[[#This Row],[County]]="Worcestershire",Table1[[#This Row],[income]],0)</f>
        <v>0</v>
      </c>
      <c r="CU282" s="20">
        <f ca="1">IF(Table1[[#This Row],[County]]="Rutland",Table1[[#This Row],[income]],0)</f>
        <v>0</v>
      </c>
      <c r="CV282" s="20">
        <f ca="1">IF(Table1[[#This Row],[County]]="Shropshire",Table1[[#This Row],[income]],0)</f>
        <v>0</v>
      </c>
      <c r="CW282" s="20">
        <f ca="1">IF(Table1[[#This Row],[County]]="Dorset",Table1[[#This Row],[income]],0)</f>
        <v>0</v>
      </c>
      <c r="CX282" s="20">
        <f ca="1">IF(Table1[[#This Row],[County]]="Buckinghamshire",Table1[[#This Row],[income]],0)</f>
        <v>0</v>
      </c>
      <c r="CY282" s="20">
        <f ca="1">IF(Table1[[#This Row],[County]]="Suffolk",Table1[[#This Row],[income]],0)</f>
        <v>0</v>
      </c>
      <c r="CZ282" s="20">
        <f ca="1">IF(Table1[[#This Row],[County]]="North Yorkshire",Table1[[#This Row],[income]],0)</f>
        <v>0</v>
      </c>
      <c r="DA282" s="20">
        <f ca="1">IF(Table1[[#This Row],[County]]="Kent",Table1[[#This Row],[income]],0)</f>
        <v>0</v>
      </c>
      <c r="DB282" s="5">
        <f ca="1">IF(Table1[[#This Row],[County]]="Derbyshire",Table1[[#This Row],[income]],0)</f>
        <v>0</v>
      </c>
      <c r="DD282" s="6">
        <f ca="1">IF(Table1[[#This Row],[Column1]]="Health",Table1[[#This Row],[income]],0)</f>
        <v>0</v>
      </c>
      <c r="DE282" s="20">
        <f ca="1">IF(Table1[[#This Row],[Column1]]="Agriculture",Table1[[#This Row],[income]],0)</f>
        <v>0</v>
      </c>
      <c r="DF282" s="20">
        <f ca="1">IF(Table1[[#This Row],[Column1]]="Technology",Table1[[#This Row],[income]],0)</f>
        <v>46407</v>
      </c>
      <c r="DG282" s="20">
        <f ca="1">IF(Table1[[#This Row],[Column1]]="Social Service",Table1[[#This Row],[income]],0)</f>
        <v>0</v>
      </c>
      <c r="DH282" s="20">
        <f ca="1">IF(Table1[[#This Row],[Column1]]="Education",Table1[[#This Row],[income]],0)</f>
        <v>0</v>
      </c>
      <c r="DI282" s="5">
        <f ca="1">IF(Table1[[#This Row],[Column1]]="Construction",Table1[[#This Row],[income]],0)</f>
        <v>0</v>
      </c>
      <c r="DK282" s="6">
        <f ca="1">IF(Table1[[#This Row],[Value of Debts]]&gt;Table1[[#This Row],[income]],1,0)</f>
        <v>1</v>
      </c>
      <c r="DL282" s="20"/>
      <c r="DM282" s="20"/>
      <c r="DN282" s="5"/>
      <c r="DP282" s="6">
        <f ca="1">IF(Table1[[#This Row],[Net Worth (£)]]&gt;$DS$5,C282,0)</f>
        <v>0</v>
      </c>
      <c r="DQ282" s="20"/>
      <c r="DR282" s="20"/>
      <c r="DS282" s="5"/>
    </row>
    <row r="283" spans="1:123" x14ac:dyDescent="0.2">
      <c r="A283">
        <f t="shared" ca="1" si="13"/>
        <v>2</v>
      </c>
      <c r="B283" s="1" t="str">
        <f ca="1">IF(A283=1, "men", "women")</f>
        <v>women</v>
      </c>
      <c r="C283" s="1">
        <f ca="1">RANDBETWEEN(25,50)</f>
        <v>50</v>
      </c>
      <c r="D283">
        <f ca="1">RANDBETWEEN(1,6)</f>
        <v>5</v>
      </c>
      <c r="E283" t="str">
        <f ca="1">VLOOKUP(D283,$W$5:$X$10,2)</f>
        <v>Social Service</v>
      </c>
      <c r="F283">
        <f ca="1">RANDBETWEEN(1,5)</f>
        <v>4</v>
      </c>
      <c r="G283" t="str">
        <f ca="1">VLOOKUP(F283,$Y$5:$Z$9,2)</f>
        <v xml:space="preserve">Technical </v>
      </c>
      <c r="H283">
        <f ca="1">RANDBETWEEN(0,4)</f>
        <v>1</v>
      </c>
      <c r="I283">
        <f ca="1">RANDBETWEEN(1,3)</f>
        <v>1</v>
      </c>
      <c r="J283">
        <f ca="1">RANDBETWEEN(30000,100000)</f>
        <v>71052</v>
      </c>
      <c r="K283">
        <f ca="1">RANDBETWEEN(1,48)</f>
        <v>40</v>
      </c>
      <c r="L283" t="str">
        <f ca="1">VLOOKUP(K283,$AA$5:$AB$52,2)</f>
        <v>Suffolk</v>
      </c>
      <c r="M283">
        <f ca="1">J283*(RANDBETWEEN(2,5))</f>
        <v>142104</v>
      </c>
      <c r="N283">
        <f ca="1">RAND()*M283</f>
        <v>7815.4844923685887</v>
      </c>
      <c r="O283">
        <f ca="1">I283*RAND()*J283</f>
        <v>46663.509827902053</v>
      </c>
      <c r="P283">
        <f ca="1">RANDBETWEEN(0,O283)</f>
        <v>4039</v>
      </c>
      <c r="Q283">
        <f ca="1">RAND()*J283*2</f>
        <v>134537.58026461097</v>
      </c>
      <c r="R283">
        <f ca="1">RAND()*J283*1.5</f>
        <v>44999.78766314713</v>
      </c>
      <c r="S283">
        <f ca="1">J283+R283+O283</f>
        <v>162715.29749104919</v>
      </c>
      <c r="T283">
        <f ca="1">N283+P283+Q283</f>
        <v>146392.06475697955</v>
      </c>
      <c r="U283">
        <f ca="1">S283-T283</f>
        <v>16323.232734069636</v>
      </c>
      <c r="AC283" s="6">
        <f ca="1">IF(Table1[[#This Row],[gender]]="men",1,0)</f>
        <v>0</v>
      </c>
      <c r="AD283">
        <f ca="1">IF(Table1[[#This Row],[gender]]="women",1,0)</f>
        <v>1</v>
      </c>
      <c r="AH283" s="5"/>
      <c r="AJ283" s="6">
        <f ca="1">IF(Table1[[#This Row],[Column1]]="Health",1,0)</f>
        <v>0</v>
      </c>
      <c r="AK283">
        <f ca="1">IF(Table1[[#This Row],[Column1]]="Construction",1,0)</f>
        <v>0</v>
      </c>
      <c r="AL283">
        <f ca="1">IF(Table1[[#This Row],[Column1]]="Technology",1,0)</f>
        <v>0</v>
      </c>
      <c r="AM283">
        <f ca="1">IF(Table1[[#This Row],[Column1]]="Education",1,0)</f>
        <v>0</v>
      </c>
      <c r="AN283">
        <f ca="1">IF(Table1[[#This Row],[Column1]]="Agriculture",1,0)</f>
        <v>0</v>
      </c>
      <c r="AO283">
        <f ca="1">IF(Table1[[#This Row],[Column1]]="Social Service", 1, 0)</f>
        <v>1</v>
      </c>
      <c r="AT283" s="5"/>
      <c r="AV283" s="17">
        <f t="shared" ca="1" si="12"/>
        <v>33696.215266692547</v>
      </c>
      <c r="AW283" s="5"/>
      <c r="AX283" s="6">
        <f ca="1">IF(Table1[[#This Row],[Value of Debts]]&gt;$AY$4,1,0)</f>
        <v>1</v>
      </c>
      <c r="AY283" s="20"/>
      <c r="AZ283" s="20"/>
      <c r="BA283" s="5"/>
      <c r="BB283" s="25">
        <f ca="1">Table1[[#This Row],[Mortage Left]]/Table1[[#This Row],[Value of House]]</f>
        <v>5.4998342709343784E-2</v>
      </c>
      <c r="BC283" s="20">
        <f t="shared" ca="1" si="14"/>
        <v>1</v>
      </c>
      <c r="BD283" s="20"/>
      <c r="BE283" s="20"/>
      <c r="BF283" s="20"/>
      <c r="BG283" s="6">
        <f ca="1">IF(Table1[[#This Row],[County]]="Cumbria",Table1[[#This Row],[income]],0)</f>
        <v>0</v>
      </c>
      <c r="BH283" s="20">
        <f ca="1">IF(Table1[[#This Row],[County]]="Cheshire",Table1[[#This Row],[income]],0)</f>
        <v>0</v>
      </c>
      <c r="BI283" s="20">
        <f ca="1">IF(Table1[[#This Row],[County]]="Bristol",Table1[[#This Row],[income]],0)</f>
        <v>0</v>
      </c>
      <c r="BJ283" s="20">
        <f ca="1">IF(Table1[[#This Row],[County]]="Surrey",Table1[[#This Row],[income]],0)</f>
        <v>0</v>
      </c>
      <c r="BK283" s="20">
        <f ca="1">IF(Table1[[#This Row],[County]]="Norfolk",Table1[[#This Row],[income]],0)</f>
        <v>0</v>
      </c>
      <c r="BL283" s="20">
        <f ca="1">IF(Table1[[#This Row],[County]]="Lincolnshire",Table1[[#This Row],[income]],0)</f>
        <v>0</v>
      </c>
      <c r="BM283" s="20">
        <f ca="1">IF(Table1[[#This Row],[County]]="Somerset",Table1[[#This Row],[income]],0)</f>
        <v>0</v>
      </c>
      <c r="BN283" s="20">
        <f ca="1">IF(Table1[[#This Row],[County]]="Cambridgeshire",Table1[[#This Row],[income]],0)</f>
        <v>0</v>
      </c>
      <c r="BO283" s="20">
        <f ca="1">IF(Table1[[#This Row],[County]]="South Yorkshire",Table1[[#This Row],[income]],0)</f>
        <v>0</v>
      </c>
      <c r="BP283" s="20">
        <f ca="1">IF(Table1[[#This Row],[County]]="Greater London",Table1[[#This Row],[income]],0)</f>
        <v>0</v>
      </c>
      <c r="BQ283" s="20">
        <f ca="1">IF(Table1[[#This Row],[County]]="Hampshire",Table1[[#This Row],[income]],0)</f>
        <v>0</v>
      </c>
      <c r="BR283" s="20">
        <f ca="1">IF(Table1[[#This Row],[County]]="Gloucestershire",Table1[[#This Row],[income]],0)</f>
        <v>0</v>
      </c>
      <c r="BS283" s="20">
        <f ca="1">IF(Table1[[#This Row],[County]]="West Sussex",Table1[[#This Row],[income]],0)</f>
        <v>0</v>
      </c>
      <c r="BT283" s="20">
        <f ca="1">IF(Table1[[#This Row],[County]]="Devon",Table1[[#This Row],[income]],0)</f>
        <v>0</v>
      </c>
      <c r="BU283" s="20">
        <f ca="1">IF(Table1[[#This Row],[County]]="Berkshire",Table1[[#This Row],[income]],0)</f>
        <v>0</v>
      </c>
      <c r="BV283" s="20">
        <f ca="1">IF(Table1[[#This Row],[County]]="Staffordshire",Table1[[#This Row],[income]],0)</f>
        <v>0</v>
      </c>
      <c r="BW283" s="20">
        <f ca="1">IF(Table1[[#This Row],[County]]="Leicestershire",Table1[[#This Row],[income]],0)</f>
        <v>0</v>
      </c>
      <c r="BX283" s="20">
        <f ca="1">IF(Table1[[#This Row],[County]]="Cornwall",Table1[[#This Row],[income]],0)</f>
        <v>0</v>
      </c>
      <c r="BY283" s="20">
        <f ca="1">IF(Table1[[#This Row],[County]]="Isle of Wight",Table1[[#This Row],[income]],0)</f>
        <v>0</v>
      </c>
      <c r="BZ283" s="20">
        <f ca="1">IF(Table1[[#This Row],[County]]="Surrey",Table1[[#This Row],[income]],0)</f>
        <v>0</v>
      </c>
      <c r="CA283" s="20">
        <f ca="1">IF(Table1[[#This Row],[County]]="Derbyshire",Table1[[#This Row],[income]],0)</f>
        <v>0</v>
      </c>
      <c r="CB283" s="20">
        <f ca="1">IF(Table1[[#This Row],[County]]="City of London",Table1[[#This Row],[income]],0)</f>
        <v>0</v>
      </c>
      <c r="CC283" s="20">
        <f ca="1">IF(Table1[[#This Row],[County]]="Bedfordshire",Table1[[#This Row],[income]],0)</f>
        <v>0</v>
      </c>
      <c r="CD283" s="20">
        <f ca="1">IF(Table1[[#This Row],[County]]="County Durham",Table1[[#This Row],[income]],0)</f>
        <v>0</v>
      </c>
      <c r="CE283" s="20">
        <f ca="1">IF(Table1[[#This Row],[County]]="East Riding of Yorkshire",Table1[[#This Row],[income]],0)</f>
        <v>0</v>
      </c>
      <c r="CF283" s="20">
        <f ca="1">IF(Table1[[#This Row],[County]]="West Yorkshire",Table1[[#This Row],[income]],0)</f>
        <v>0</v>
      </c>
      <c r="CG283" s="20">
        <f ca="1">IF(Table1[[#This Row],[County]]="Essex",Table1[[#This Row],[income]],0)</f>
        <v>0</v>
      </c>
      <c r="CH283" s="20">
        <f ca="1">IF(Table1[[#This Row],[County]]="East Sussex",Table1[[#This Row],[income]],0)</f>
        <v>0</v>
      </c>
      <c r="CI283" s="20">
        <f ca="1">IF(Table1[[#This Row],[County]]="Greater Manchester",Table1[[#This Row],[income]],0)</f>
        <v>0</v>
      </c>
      <c r="CJ283" s="20">
        <f ca="1">IF(Table1[[#This Row],[County]]="Hertfordshire",Table1[[#This Row],[income]],0)</f>
        <v>0</v>
      </c>
      <c r="CK283" s="20">
        <f ca="1">IF(Table1[[#This Row],[County]]="Herefordshire",Table1[[#This Row],[income]],0)</f>
        <v>0</v>
      </c>
      <c r="CL283" s="20">
        <f ca="1">IF(Table1[[#This Row],[County]]="Lancashire",Table1[[#This Row],[income]],0)</f>
        <v>0</v>
      </c>
      <c r="CM283" s="20">
        <f ca="1">IF(Table1[[#This Row],[County]]="Merseyside",Table1[[#This Row],[income]],0)</f>
        <v>0</v>
      </c>
      <c r="CN283" s="20">
        <f ca="1">IF(Table1[[#This Row],[County]]="Northamptonshire",Table1[[#This Row],[income]],0)</f>
        <v>0</v>
      </c>
      <c r="CO283" s="20">
        <f ca="1">IF(Table1[[#This Row],[County]]="Northumberland",Table1[[#This Row],[income]],0)</f>
        <v>0</v>
      </c>
      <c r="CP283" s="20">
        <f ca="1">IF(Table1[[#This Row],[County]]="Wiltshire",Table1[[#This Row],[income]],0)</f>
        <v>0</v>
      </c>
      <c r="CQ283" s="20">
        <f ca="1">IF(Table1[[#This Row],[County]]="West Midlands",Table1[[#This Row],[income]],0)</f>
        <v>0</v>
      </c>
      <c r="CR283" s="20">
        <f ca="1">IF(Table1[[#This Row],[County]]="Warwickshire",Table1[[#This Row],[income]],0)</f>
        <v>0</v>
      </c>
      <c r="CS283" s="20">
        <f ca="1">IF(Table1[[#This Row],[County]]="Tyne and Wear",Table1[[#This Row],[income]],0)</f>
        <v>0</v>
      </c>
      <c r="CT283" s="20">
        <f ca="1">IF(Table1[[#This Row],[County]]="Worcestershire",Table1[[#This Row],[income]],0)</f>
        <v>0</v>
      </c>
      <c r="CU283" s="20">
        <f ca="1">IF(Table1[[#This Row],[County]]="Rutland",Table1[[#This Row],[income]],0)</f>
        <v>0</v>
      </c>
      <c r="CV283" s="20">
        <f ca="1">IF(Table1[[#This Row],[County]]="Shropshire",Table1[[#This Row],[income]],0)</f>
        <v>0</v>
      </c>
      <c r="CW283" s="20">
        <f ca="1">IF(Table1[[#This Row],[County]]="Dorset",Table1[[#This Row],[income]],0)</f>
        <v>0</v>
      </c>
      <c r="CX283" s="20">
        <f ca="1">IF(Table1[[#This Row],[County]]="Buckinghamshire",Table1[[#This Row],[income]],0)</f>
        <v>0</v>
      </c>
      <c r="CY283" s="20">
        <f ca="1">IF(Table1[[#This Row],[County]]="Suffolk",Table1[[#This Row],[income]],0)</f>
        <v>71052</v>
      </c>
      <c r="CZ283" s="20">
        <f ca="1">IF(Table1[[#This Row],[County]]="North Yorkshire",Table1[[#This Row],[income]],0)</f>
        <v>0</v>
      </c>
      <c r="DA283" s="20">
        <f ca="1">IF(Table1[[#This Row],[County]]="Kent",Table1[[#This Row],[income]],0)</f>
        <v>0</v>
      </c>
      <c r="DB283" s="5">
        <f ca="1">IF(Table1[[#This Row],[County]]="Derbyshire",Table1[[#This Row],[income]],0)</f>
        <v>0</v>
      </c>
      <c r="DD283" s="6">
        <f ca="1">IF(Table1[[#This Row],[Column1]]="Health",Table1[[#This Row],[income]],0)</f>
        <v>0</v>
      </c>
      <c r="DE283" s="20">
        <f ca="1">IF(Table1[[#This Row],[Column1]]="Agriculture",Table1[[#This Row],[income]],0)</f>
        <v>0</v>
      </c>
      <c r="DF283" s="20">
        <f ca="1">IF(Table1[[#This Row],[Column1]]="Technology",Table1[[#This Row],[income]],0)</f>
        <v>0</v>
      </c>
      <c r="DG283" s="20">
        <f ca="1">IF(Table1[[#This Row],[Column1]]="Social Service",Table1[[#This Row],[income]],0)</f>
        <v>71052</v>
      </c>
      <c r="DH283" s="20">
        <f ca="1">IF(Table1[[#This Row],[Column1]]="Education",Table1[[#This Row],[income]],0)</f>
        <v>0</v>
      </c>
      <c r="DI283" s="5">
        <f ca="1">IF(Table1[[#This Row],[Column1]]="Construction",Table1[[#This Row],[income]],0)</f>
        <v>0</v>
      </c>
      <c r="DK283" s="6">
        <f ca="1">IF(Table1[[#This Row],[Value of Debts]]&gt;Table1[[#This Row],[income]],1,0)</f>
        <v>1</v>
      </c>
      <c r="DL283" s="20"/>
      <c r="DM283" s="20"/>
      <c r="DN283" s="5"/>
      <c r="DP283" s="6">
        <f ca="1">IF(Table1[[#This Row],[Net Worth (£)]]&gt;$DS$5,C283,0)</f>
        <v>0</v>
      </c>
      <c r="DQ283" s="20"/>
      <c r="DR283" s="20"/>
      <c r="DS283" s="5"/>
    </row>
    <row r="284" spans="1:123" x14ac:dyDescent="0.2">
      <c r="A284">
        <f t="shared" ca="1" si="13"/>
        <v>2</v>
      </c>
      <c r="B284" s="1" t="str">
        <f ca="1">IF(A284=1, "men", "women")</f>
        <v>women</v>
      </c>
      <c r="C284" s="1">
        <f ca="1">RANDBETWEEN(25,50)</f>
        <v>37</v>
      </c>
      <c r="D284">
        <f ca="1">RANDBETWEEN(1,6)</f>
        <v>5</v>
      </c>
      <c r="E284" t="str">
        <f ca="1">VLOOKUP(D284,$W$5:$X$10,2)</f>
        <v>Social Service</v>
      </c>
      <c r="F284">
        <f ca="1">RANDBETWEEN(1,5)</f>
        <v>1</v>
      </c>
      <c r="G284" t="str">
        <f ca="1">VLOOKUP(F284,$Y$5:$Z$9,2)</f>
        <v>High School</v>
      </c>
      <c r="H284">
        <f ca="1">RANDBETWEEN(0,4)</f>
        <v>2</v>
      </c>
      <c r="I284">
        <f ca="1">RANDBETWEEN(1,3)</f>
        <v>2</v>
      </c>
      <c r="J284">
        <f ca="1">RANDBETWEEN(30000,100000)</f>
        <v>59629</v>
      </c>
      <c r="K284">
        <f ca="1">RANDBETWEEN(1,48)</f>
        <v>24</v>
      </c>
      <c r="L284" t="str">
        <f ca="1">VLOOKUP(K284,$AA$5:$AB$52,2)</f>
        <v>Kent</v>
      </c>
      <c r="M284">
        <f ca="1">J284*(RANDBETWEEN(2,5))</f>
        <v>298145</v>
      </c>
      <c r="N284">
        <f ca="1">RAND()*M284</f>
        <v>259769.7820722906</v>
      </c>
      <c r="O284">
        <f ca="1">I284*RAND()*J284</f>
        <v>67392.430533385093</v>
      </c>
      <c r="P284">
        <f ca="1">RANDBETWEEN(0,O284)</f>
        <v>52449</v>
      </c>
      <c r="Q284">
        <f ca="1">RAND()*J284*2</f>
        <v>11232.740160995772</v>
      </c>
      <c r="R284">
        <f ca="1">RAND()*J284*1.5</f>
        <v>45186.906897495886</v>
      </c>
      <c r="S284">
        <f ca="1">J284+R284+O284</f>
        <v>172208.33743088099</v>
      </c>
      <c r="T284">
        <f ca="1">N284+P284+Q284</f>
        <v>323451.52223328635</v>
      </c>
      <c r="U284">
        <f ca="1">S284-T284</f>
        <v>-151243.18480240536</v>
      </c>
      <c r="AC284" s="6">
        <f ca="1">IF(Table1[[#This Row],[gender]]="men",1,0)</f>
        <v>0</v>
      </c>
      <c r="AD284">
        <f ca="1">IF(Table1[[#This Row],[gender]]="women",1,0)</f>
        <v>1</v>
      </c>
      <c r="AH284" s="5"/>
      <c r="AJ284" s="6">
        <f ca="1">IF(Table1[[#This Row],[Column1]]="Health",1,0)</f>
        <v>0</v>
      </c>
      <c r="AK284">
        <f ca="1">IF(Table1[[#This Row],[Column1]]="Construction",1,0)</f>
        <v>0</v>
      </c>
      <c r="AL284">
        <f ca="1">IF(Table1[[#This Row],[Column1]]="Technology",1,0)</f>
        <v>0</v>
      </c>
      <c r="AM284">
        <f ca="1">IF(Table1[[#This Row],[Column1]]="Education",1,0)</f>
        <v>0</v>
      </c>
      <c r="AN284">
        <f ca="1">IF(Table1[[#This Row],[Column1]]="Agriculture",1,0)</f>
        <v>0</v>
      </c>
      <c r="AO284">
        <f ca="1">IF(Table1[[#This Row],[Column1]]="Social Service", 1, 0)</f>
        <v>1</v>
      </c>
      <c r="AT284" s="5"/>
      <c r="AV284" s="17">
        <f t="shared" ca="1" si="12"/>
        <v>4168.558575399933</v>
      </c>
      <c r="AW284" s="5"/>
      <c r="AX284" s="6">
        <f ca="1">IF(Table1[[#This Row],[Value of Debts]]&gt;$AY$4,1,0)</f>
        <v>1</v>
      </c>
      <c r="AY284" s="20"/>
      <c r="AZ284" s="20"/>
      <c r="BA284" s="5"/>
      <c r="BB284" s="25">
        <f ca="1">Table1[[#This Row],[Mortage Left]]/Table1[[#This Row],[Value of House]]</f>
        <v>0.87128672985389866</v>
      </c>
      <c r="BC284" s="20">
        <f t="shared" ca="1" si="14"/>
        <v>0</v>
      </c>
      <c r="BD284" s="20"/>
      <c r="BE284" s="20"/>
      <c r="BF284" s="20"/>
      <c r="BG284" s="6">
        <f ca="1">IF(Table1[[#This Row],[County]]="Cumbria",Table1[[#This Row],[income]],0)</f>
        <v>0</v>
      </c>
      <c r="BH284" s="20">
        <f ca="1">IF(Table1[[#This Row],[County]]="Cheshire",Table1[[#This Row],[income]],0)</f>
        <v>0</v>
      </c>
      <c r="BI284" s="20">
        <f ca="1">IF(Table1[[#This Row],[County]]="Bristol",Table1[[#This Row],[income]],0)</f>
        <v>0</v>
      </c>
      <c r="BJ284" s="20">
        <f ca="1">IF(Table1[[#This Row],[County]]="Surrey",Table1[[#This Row],[income]],0)</f>
        <v>0</v>
      </c>
      <c r="BK284" s="20">
        <f ca="1">IF(Table1[[#This Row],[County]]="Norfolk",Table1[[#This Row],[income]],0)</f>
        <v>0</v>
      </c>
      <c r="BL284" s="20">
        <f ca="1">IF(Table1[[#This Row],[County]]="Lincolnshire",Table1[[#This Row],[income]],0)</f>
        <v>0</v>
      </c>
      <c r="BM284" s="20">
        <f ca="1">IF(Table1[[#This Row],[County]]="Somerset",Table1[[#This Row],[income]],0)</f>
        <v>0</v>
      </c>
      <c r="BN284" s="20">
        <f ca="1">IF(Table1[[#This Row],[County]]="Cambridgeshire",Table1[[#This Row],[income]],0)</f>
        <v>0</v>
      </c>
      <c r="BO284" s="20">
        <f ca="1">IF(Table1[[#This Row],[County]]="South Yorkshire",Table1[[#This Row],[income]],0)</f>
        <v>0</v>
      </c>
      <c r="BP284" s="20">
        <f ca="1">IF(Table1[[#This Row],[County]]="Greater London",Table1[[#This Row],[income]],0)</f>
        <v>0</v>
      </c>
      <c r="BQ284" s="20">
        <f ca="1">IF(Table1[[#This Row],[County]]="Hampshire",Table1[[#This Row],[income]],0)</f>
        <v>0</v>
      </c>
      <c r="BR284" s="20">
        <f ca="1">IF(Table1[[#This Row],[County]]="Gloucestershire",Table1[[#This Row],[income]],0)</f>
        <v>0</v>
      </c>
      <c r="BS284" s="20">
        <f ca="1">IF(Table1[[#This Row],[County]]="West Sussex",Table1[[#This Row],[income]],0)</f>
        <v>0</v>
      </c>
      <c r="BT284" s="20">
        <f ca="1">IF(Table1[[#This Row],[County]]="Devon",Table1[[#This Row],[income]],0)</f>
        <v>0</v>
      </c>
      <c r="BU284" s="20">
        <f ca="1">IF(Table1[[#This Row],[County]]="Berkshire",Table1[[#This Row],[income]],0)</f>
        <v>0</v>
      </c>
      <c r="BV284" s="20">
        <f ca="1">IF(Table1[[#This Row],[County]]="Staffordshire",Table1[[#This Row],[income]],0)</f>
        <v>0</v>
      </c>
      <c r="BW284" s="20">
        <f ca="1">IF(Table1[[#This Row],[County]]="Leicestershire",Table1[[#This Row],[income]],0)</f>
        <v>0</v>
      </c>
      <c r="BX284" s="20">
        <f ca="1">IF(Table1[[#This Row],[County]]="Cornwall",Table1[[#This Row],[income]],0)</f>
        <v>0</v>
      </c>
      <c r="BY284" s="20">
        <f ca="1">IF(Table1[[#This Row],[County]]="Isle of Wight",Table1[[#This Row],[income]],0)</f>
        <v>0</v>
      </c>
      <c r="BZ284" s="20">
        <f ca="1">IF(Table1[[#This Row],[County]]="Surrey",Table1[[#This Row],[income]],0)</f>
        <v>0</v>
      </c>
      <c r="CA284" s="20">
        <f ca="1">IF(Table1[[#This Row],[County]]="Derbyshire",Table1[[#This Row],[income]],0)</f>
        <v>0</v>
      </c>
      <c r="CB284" s="20">
        <f ca="1">IF(Table1[[#This Row],[County]]="City of London",Table1[[#This Row],[income]],0)</f>
        <v>0</v>
      </c>
      <c r="CC284" s="20">
        <f ca="1">IF(Table1[[#This Row],[County]]="Bedfordshire",Table1[[#This Row],[income]],0)</f>
        <v>0</v>
      </c>
      <c r="CD284" s="20">
        <f ca="1">IF(Table1[[#This Row],[County]]="County Durham",Table1[[#This Row],[income]],0)</f>
        <v>0</v>
      </c>
      <c r="CE284" s="20">
        <f ca="1">IF(Table1[[#This Row],[County]]="East Riding of Yorkshire",Table1[[#This Row],[income]],0)</f>
        <v>0</v>
      </c>
      <c r="CF284" s="20">
        <f ca="1">IF(Table1[[#This Row],[County]]="West Yorkshire",Table1[[#This Row],[income]],0)</f>
        <v>0</v>
      </c>
      <c r="CG284" s="20">
        <f ca="1">IF(Table1[[#This Row],[County]]="Essex",Table1[[#This Row],[income]],0)</f>
        <v>0</v>
      </c>
      <c r="CH284" s="20">
        <f ca="1">IF(Table1[[#This Row],[County]]="East Sussex",Table1[[#This Row],[income]],0)</f>
        <v>0</v>
      </c>
      <c r="CI284" s="20">
        <f ca="1">IF(Table1[[#This Row],[County]]="Greater Manchester",Table1[[#This Row],[income]],0)</f>
        <v>0</v>
      </c>
      <c r="CJ284" s="20">
        <f ca="1">IF(Table1[[#This Row],[County]]="Hertfordshire",Table1[[#This Row],[income]],0)</f>
        <v>0</v>
      </c>
      <c r="CK284" s="20">
        <f ca="1">IF(Table1[[#This Row],[County]]="Herefordshire",Table1[[#This Row],[income]],0)</f>
        <v>0</v>
      </c>
      <c r="CL284" s="20">
        <f ca="1">IF(Table1[[#This Row],[County]]="Lancashire",Table1[[#This Row],[income]],0)</f>
        <v>0</v>
      </c>
      <c r="CM284" s="20">
        <f ca="1">IF(Table1[[#This Row],[County]]="Merseyside",Table1[[#This Row],[income]],0)</f>
        <v>0</v>
      </c>
      <c r="CN284" s="20">
        <f ca="1">IF(Table1[[#This Row],[County]]="Northamptonshire",Table1[[#This Row],[income]],0)</f>
        <v>0</v>
      </c>
      <c r="CO284" s="20">
        <f ca="1">IF(Table1[[#This Row],[County]]="Northumberland",Table1[[#This Row],[income]],0)</f>
        <v>0</v>
      </c>
      <c r="CP284" s="20">
        <f ca="1">IF(Table1[[#This Row],[County]]="Wiltshire",Table1[[#This Row],[income]],0)</f>
        <v>0</v>
      </c>
      <c r="CQ284" s="20">
        <f ca="1">IF(Table1[[#This Row],[County]]="West Midlands",Table1[[#This Row],[income]],0)</f>
        <v>0</v>
      </c>
      <c r="CR284" s="20">
        <f ca="1">IF(Table1[[#This Row],[County]]="Warwickshire",Table1[[#This Row],[income]],0)</f>
        <v>0</v>
      </c>
      <c r="CS284" s="20">
        <f ca="1">IF(Table1[[#This Row],[County]]="Tyne and Wear",Table1[[#This Row],[income]],0)</f>
        <v>0</v>
      </c>
      <c r="CT284" s="20">
        <f ca="1">IF(Table1[[#This Row],[County]]="Worcestershire",Table1[[#This Row],[income]],0)</f>
        <v>0</v>
      </c>
      <c r="CU284" s="20">
        <f ca="1">IF(Table1[[#This Row],[County]]="Rutland",Table1[[#This Row],[income]],0)</f>
        <v>0</v>
      </c>
      <c r="CV284" s="20">
        <f ca="1">IF(Table1[[#This Row],[County]]="Shropshire",Table1[[#This Row],[income]],0)</f>
        <v>0</v>
      </c>
      <c r="CW284" s="20">
        <f ca="1">IF(Table1[[#This Row],[County]]="Dorset",Table1[[#This Row],[income]],0)</f>
        <v>0</v>
      </c>
      <c r="CX284" s="20">
        <f ca="1">IF(Table1[[#This Row],[County]]="Buckinghamshire",Table1[[#This Row],[income]],0)</f>
        <v>0</v>
      </c>
      <c r="CY284" s="20">
        <f ca="1">IF(Table1[[#This Row],[County]]="Suffolk",Table1[[#This Row],[income]],0)</f>
        <v>0</v>
      </c>
      <c r="CZ284" s="20">
        <f ca="1">IF(Table1[[#This Row],[County]]="North Yorkshire",Table1[[#This Row],[income]],0)</f>
        <v>0</v>
      </c>
      <c r="DA284" s="20">
        <f ca="1">IF(Table1[[#This Row],[County]]="Kent",Table1[[#This Row],[income]],0)</f>
        <v>59629</v>
      </c>
      <c r="DB284" s="5">
        <f ca="1">IF(Table1[[#This Row],[County]]="Derbyshire",Table1[[#This Row],[income]],0)</f>
        <v>0</v>
      </c>
      <c r="DD284" s="6">
        <f ca="1">IF(Table1[[#This Row],[Column1]]="Health",Table1[[#This Row],[income]],0)</f>
        <v>0</v>
      </c>
      <c r="DE284" s="20">
        <f ca="1">IF(Table1[[#This Row],[Column1]]="Agriculture",Table1[[#This Row],[income]],0)</f>
        <v>0</v>
      </c>
      <c r="DF284" s="20">
        <f ca="1">IF(Table1[[#This Row],[Column1]]="Technology",Table1[[#This Row],[income]],0)</f>
        <v>0</v>
      </c>
      <c r="DG284" s="20">
        <f ca="1">IF(Table1[[#This Row],[Column1]]="Social Service",Table1[[#This Row],[income]],0)</f>
        <v>59629</v>
      </c>
      <c r="DH284" s="20">
        <f ca="1">IF(Table1[[#This Row],[Column1]]="Education",Table1[[#This Row],[income]],0)</f>
        <v>0</v>
      </c>
      <c r="DI284" s="5">
        <f ca="1">IF(Table1[[#This Row],[Column1]]="Construction",Table1[[#This Row],[income]],0)</f>
        <v>0</v>
      </c>
      <c r="DK284" s="6">
        <f ca="1">IF(Table1[[#This Row],[Value of Debts]]&gt;Table1[[#This Row],[income]],1,0)</f>
        <v>1</v>
      </c>
      <c r="DL284" s="20"/>
      <c r="DM284" s="20"/>
      <c r="DN284" s="5"/>
      <c r="DP284" s="6">
        <f ca="1">IF(Table1[[#This Row],[Net Worth (£)]]&gt;$DS$5,C284,0)</f>
        <v>0</v>
      </c>
      <c r="DQ284" s="20"/>
      <c r="DR284" s="20"/>
      <c r="DS284" s="5"/>
    </row>
    <row r="285" spans="1:123" hidden="1" x14ac:dyDescent="0.2">
      <c r="A285">
        <f t="shared" ca="1" si="13"/>
        <v>2</v>
      </c>
      <c r="B285" s="1" t="str">
        <f ca="1">IF(A285=1, "men", "women")</f>
        <v>women</v>
      </c>
      <c r="C285" s="1">
        <f ca="1">RANDBETWEEN(25,50)</f>
        <v>39</v>
      </c>
      <c r="D285">
        <f ca="1">RANDBETWEEN(1,6)</f>
        <v>5</v>
      </c>
      <c r="E285" t="str">
        <f ca="1">VLOOKUP(D285,$W$5:$X$10,2)</f>
        <v>Social Service</v>
      </c>
      <c r="F285">
        <f ca="1">RANDBETWEEN(1,5)</f>
        <v>1</v>
      </c>
      <c r="G285" t="str">
        <f ca="1">VLOOKUP(F285,$Y$5:$Z$9,2)</f>
        <v>High School</v>
      </c>
      <c r="H285">
        <f ca="1">RANDBETWEEN(0,4)</f>
        <v>0</v>
      </c>
      <c r="I285">
        <f ca="1">RANDBETWEEN(1,3)</f>
        <v>3</v>
      </c>
      <c r="J285">
        <f ca="1">RANDBETWEEN(30000,100000)</f>
        <v>56794</v>
      </c>
      <c r="K285">
        <f ca="1">RANDBETWEEN(1,48)</f>
        <v>43</v>
      </c>
      <c r="L285" t="str">
        <f ca="1">VLOOKUP(K285,$AA$5:$AB$52,2)</f>
        <v>Warwickshire</v>
      </c>
      <c r="M285">
        <f ca="1">J285*(RANDBETWEEN(2,5))</f>
        <v>227176</v>
      </c>
      <c r="N285">
        <f ca="1">RAND()*M285</f>
        <v>111378.48068715018</v>
      </c>
      <c r="O285">
        <f ca="1">I285*RAND()*J285</f>
        <v>12505.675726199799</v>
      </c>
      <c r="P285">
        <f ca="1">RANDBETWEEN(0,O285)</f>
        <v>7123</v>
      </c>
      <c r="Q285">
        <f ca="1">RAND()*J285*2</f>
        <v>19018.635686028869</v>
      </c>
      <c r="R285">
        <f ca="1">RAND()*J285*1.5</f>
        <v>37246.120294297114</v>
      </c>
      <c r="S285">
        <f ca="1">J285+R285+O285</f>
        <v>106545.79602049691</v>
      </c>
      <c r="T285">
        <f ca="1">N285+P285+Q285</f>
        <v>137520.11637317904</v>
      </c>
      <c r="U285">
        <f ca="1">S285-T285</f>
        <v>-30974.320352682131</v>
      </c>
      <c r="AC285" s="6">
        <f ca="1">IF(Table1[[#This Row],[gender]]="men",1,0)</f>
        <v>0</v>
      </c>
      <c r="AD285">
        <f ca="1">IF(Table1[[#This Row],[gender]]="women",1,0)</f>
        <v>1</v>
      </c>
      <c r="AH285" s="5"/>
      <c r="AJ285" s="6">
        <f ca="1">IF(Table1[[#This Row],[Column1]]="Health",1,0)</f>
        <v>0</v>
      </c>
      <c r="AK285">
        <f ca="1">IF(Table1[[#This Row],[Column1]]="Construction",1,0)</f>
        <v>0</v>
      </c>
      <c r="AL285">
        <f ca="1">IF(Table1[[#This Row],[Column1]]="Technology",1,0)</f>
        <v>0</v>
      </c>
      <c r="AM285">
        <f ca="1">IF(Table1[[#This Row],[Column1]]="Education",1,0)</f>
        <v>0</v>
      </c>
      <c r="AN285">
        <f ca="1">IF(Table1[[#This Row],[Column1]]="Agriculture",1,0)</f>
        <v>0</v>
      </c>
      <c r="AO285">
        <f ca="1">IF(Table1[[#This Row],[Column1]]="Social Service", 1, 0)</f>
        <v>1</v>
      </c>
      <c r="AT285" s="5"/>
      <c r="AV285" s="17">
        <f t="shared" ca="1" si="12"/>
        <v>41599.676205857853</v>
      </c>
      <c r="AW285" s="5"/>
      <c r="AX285" s="6">
        <f ca="1">IF(Table1[[#This Row],[Value of Debts]]&gt;$AY$4,1,0)</f>
        <v>1</v>
      </c>
      <c r="AY285" s="20"/>
      <c r="AZ285" s="20"/>
      <c r="BA285" s="5"/>
      <c r="BB285" s="25">
        <f ca="1">Table1[[#This Row],[Mortage Left]]/Table1[[#This Row],[Value of House]]</f>
        <v>0.49027397562748787</v>
      </c>
      <c r="BC285" s="20">
        <f t="shared" ca="1" si="14"/>
        <v>0</v>
      </c>
      <c r="BD285" s="20"/>
      <c r="BE285" s="20"/>
      <c r="BF285" s="20"/>
      <c r="BG285" s="6">
        <f ca="1">IF(Table1[[#This Row],[County]]="Cumbria",Table1[[#This Row],[income]],0)</f>
        <v>0</v>
      </c>
      <c r="BH285" s="20">
        <f ca="1">IF(Table1[[#This Row],[County]]="Cheshire",Table1[[#This Row],[income]],0)</f>
        <v>0</v>
      </c>
      <c r="BI285" s="20">
        <f ca="1">IF(Table1[[#This Row],[County]]="Bristol",Table1[[#This Row],[income]],0)</f>
        <v>0</v>
      </c>
      <c r="BJ285" s="20">
        <f ca="1">IF(Table1[[#This Row],[County]]="Surrey",Table1[[#This Row],[income]],0)</f>
        <v>0</v>
      </c>
      <c r="BK285" s="20">
        <f ca="1">IF(Table1[[#This Row],[County]]="Norfolk",Table1[[#This Row],[income]],0)</f>
        <v>0</v>
      </c>
      <c r="BL285" s="20">
        <f ca="1">IF(Table1[[#This Row],[County]]="Lincolnshire",Table1[[#This Row],[income]],0)</f>
        <v>0</v>
      </c>
      <c r="BM285" s="20">
        <f ca="1">IF(Table1[[#This Row],[County]]="Somerset",Table1[[#This Row],[income]],0)</f>
        <v>0</v>
      </c>
      <c r="BN285" s="20">
        <f ca="1">IF(Table1[[#This Row],[County]]="Cambridgeshire",Table1[[#This Row],[income]],0)</f>
        <v>0</v>
      </c>
      <c r="BO285" s="20">
        <f ca="1">IF(Table1[[#This Row],[County]]="South Yorkshire",Table1[[#This Row],[income]],0)</f>
        <v>0</v>
      </c>
      <c r="BP285" s="20">
        <f ca="1">IF(Table1[[#This Row],[County]]="Greater London",Table1[[#This Row],[income]],0)</f>
        <v>0</v>
      </c>
      <c r="BQ285" s="20">
        <f ca="1">IF(Table1[[#This Row],[County]]="Hampshire",Table1[[#This Row],[income]],0)</f>
        <v>0</v>
      </c>
      <c r="BR285" s="20">
        <f ca="1">IF(Table1[[#This Row],[County]]="Gloucestershire",Table1[[#This Row],[income]],0)</f>
        <v>0</v>
      </c>
      <c r="BS285" s="20">
        <f ca="1">IF(Table1[[#This Row],[County]]="West Sussex",Table1[[#This Row],[income]],0)</f>
        <v>0</v>
      </c>
      <c r="BT285" s="20">
        <f ca="1">IF(Table1[[#This Row],[County]]="Devon",Table1[[#This Row],[income]],0)</f>
        <v>0</v>
      </c>
      <c r="BU285" s="20">
        <f ca="1">IF(Table1[[#This Row],[County]]="Berkshire",Table1[[#This Row],[income]],0)</f>
        <v>0</v>
      </c>
      <c r="BV285" s="20">
        <f ca="1">IF(Table1[[#This Row],[County]]="Staffordshire",Table1[[#This Row],[income]],0)</f>
        <v>0</v>
      </c>
      <c r="BW285" s="20">
        <f ca="1">IF(Table1[[#This Row],[County]]="Leicestershire",Table1[[#This Row],[income]],0)</f>
        <v>0</v>
      </c>
      <c r="BX285" s="20">
        <f ca="1">IF(Table1[[#This Row],[County]]="Cornwall",Table1[[#This Row],[income]],0)</f>
        <v>0</v>
      </c>
      <c r="BY285" s="20">
        <f ca="1">IF(Table1[[#This Row],[County]]="Isle of Wight",Table1[[#This Row],[income]],0)</f>
        <v>0</v>
      </c>
      <c r="BZ285" s="20">
        <f ca="1">IF(Table1[[#This Row],[County]]="Surrey",Table1[[#This Row],[income]],0)</f>
        <v>0</v>
      </c>
      <c r="CA285" s="20">
        <f ca="1">IF(Table1[[#This Row],[County]]="Derbyshire",Table1[[#This Row],[income]],0)</f>
        <v>0</v>
      </c>
      <c r="CB285" s="20">
        <f ca="1">IF(Table1[[#This Row],[County]]="City of London",Table1[[#This Row],[income]],0)</f>
        <v>0</v>
      </c>
      <c r="CC285" s="20">
        <f ca="1">IF(Table1[[#This Row],[County]]="Bedfordshire",Table1[[#This Row],[income]],0)</f>
        <v>0</v>
      </c>
      <c r="CD285" s="20">
        <f ca="1">IF(Table1[[#This Row],[County]]="County Durham",Table1[[#This Row],[income]],0)</f>
        <v>0</v>
      </c>
      <c r="CE285" s="20">
        <f ca="1">IF(Table1[[#This Row],[County]]="East Riding of Yorkshire",Table1[[#This Row],[income]],0)</f>
        <v>0</v>
      </c>
      <c r="CF285" s="20">
        <f ca="1">IF(Table1[[#This Row],[County]]="West Yorkshire",Table1[[#This Row],[income]],0)</f>
        <v>0</v>
      </c>
      <c r="CG285" s="20">
        <f ca="1">IF(Table1[[#This Row],[County]]="Essex",Table1[[#This Row],[income]],0)</f>
        <v>0</v>
      </c>
      <c r="CH285" s="20">
        <f ca="1">IF(Table1[[#This Row],[County]]="East Sussex",Table1[[#This Row],[income]],0)</f>
        <v>0</v>
      </c>
      <c r="CI285" s="20">
        <f ca="1">IF(Table1[[#This Row],[County]]="Greater Manchester",Table1[[#This Row],[income]],0)</f>
        <v>0</v>
      </c>
      <c r="CJ285" s="20">
        <f ca="1">IF(Table1[[#This Row],[County]]="Hertfordshire",Table1[[#This Row],[income]],0)</f>
        <v>0</v>
      </c>
      <c r="CK285" s="20">
        <f ca="1">IF(Table1[[#This Row],[County]]="Herefordshire",Table1[[#This Row],[income]],0)</f>
        <v>0</v>
      </c>
      <c r="CL285" s="20">
        <f ca="1">IF(Table1[[#This Row],[County]]="Lancashire",Table1[[#This Row],[income]],0)</f>
        <v>0</v>
      </c>
      <c r="CM285" s="20">
        <f ca="1">IF(Table1[[#This Row],[County]]="Merseyside",Table1[[#This Row],[income]],0)</f>
        <v>0</v>
      </c>
      <c r="CN285" s="20">
        <f ca="1">IF(Table1[[#This Row],[County]]="Northamptonshire",Table1[[#This Row],[income]],0)</f>
        <v>0</v>
      </c>
      <c r="CO285" s="20">
        <f ca="1">IF(Table1[[#This Row],[County]]="Northumberland",Table1[[#This Row],[income]],0)</f>
        <v>0</v>
      </c>
      <c r="CP285" s="20">
        <f ca="1">IF(Table1[[#This Row],[County]]="Wiltshire",Table1[[#This Row],[income]],0)</f>
        <v>0</v>
      </c>
      <c r="CQ285" s="20">
        <f ca="1">IF(Table1[[#This Row],[County]]="West Midlands",Table1[[#This Row],[income]],0)</f>
        <v>0</v>
      </c>
      <c r="CR285" s="20">
        <f ca="1">IF(Table1[[#This Row],[County]]="Warwickshire",Table1[[#This Row],[income]],0)</f>
        <v>56794</v>
      </c>
      <c r="CS285" s="20">
        <f ca="1">IF(Table1[[#This Row],[County]]="Tyne and Wear",Table1[[#This Row],[income]],0)</f>
        <v>0</v>
      </c>
      <c r="CT285" s="20">
        <f ca="1">IF(Table1[[#This Row],[County]]="Worcestershire",Table1[[#This Row],[income]],0)</f>
        <v>0</v>
      </c>
      <c r="CU285" s="20">
        <f ca="1">IF(Table1[[#This Row],[County]]="Rutland",Table1[[#This Row],[income]],0)</f>
        <v>0</v>
      </c>
      <c r="CV285" s="20">
        <f ca="1">IF(Table1[[#This Row],[County]]="Shropshire",Table1[[#This Row],[income]],0)</f>
        <v>0</v>
      </c>
      <c r="CW285" s="20">
        <f ca="1">IF(Table1[[#This Row],[County]]="Dorset",Table1[[#This Row],[income]],0)</f>
        <v>0</v>
      </c>
      <c r="CX285" s="20">
        <f ca="1">IF(Table1[[#This Row],[County]]="Buckinghamshire",Table1[[#This Row],[income]],0)</f>
        <v>0</v>
      </c>
      <c r="CY285" s="20">
        <f ca="1">IF(Table1[[#This Row],[County]]="Suffolk",Table1[[#This Row],[income]],0)</f>
        <v>0</v>
      </c>
      <c r="CZ285" s="20">
        <f ca="1">IF(Table1[[#This Row],[County]]="North Yorkshire",Table1[[#This Row],[income]],0)</f>
        <v>0</v>
      </c>
      <c r="DA285" s="20">
        <f ca="1">IF(Table1[[#This Row],[County]]="Kent",Table1[[#This Row],[income]],0)</f>
        <v>0</v>
      </c>
      <c r="DB285" s="5">
        <f ca="1">IF(Table1[[#This Row],[County]]="Derbyshire",Table1[[#This Row],[income]],0)</f>
        <v>0</v>
      </c>
      <c r="DD285" s="6">
        <f ca="1">IF(Table1[[#This Row],[Column1]]="Health",Table1[[#This Row],[income]],0)</f>
        <v>0</v>
      </c>
      <c r="DE285" s="20">
        <f ca="1">IF(Table1[[#This Row],[Column1]]="Agriculture",Table1[[#This Row],[income]],0)</f>
        <v>0</v>
      </c>
      <c r="DF285" s="20">
        <f ca="1">IF(Table1[[#This Row],[Column1]]="Technology",Table1[[#This Row],[income]],0)</f>
        <v>0</v>
      </c>
      <c r="DG285" s="20">
        <f ca="1">IF(Table1[[#This Row],[Column1]]="Social Service",Table1[[#This Row],[income]],0)</f>
        <v>56794</v>
      </c>
      <c r="DH285" s="20">
        <f ca="1">IF(Table1[[#This Row],[Column1]]="Education",Table1[[#This Row],[income]],0)</f>
        <v>0</v>
      </c>
      <c r="DI285" s="5">
        <f ca="1">IF(Table1[[#This Row],[Column1]]="Construction",Table1[[#This Row],[income]],0)</f>
        <v>0</v>
      </c>
      <c r="DK285" s="6">
        <f ca="1">IF(Table1[[#This Row],[Value of Debts]]&gt;Table1[[#This Row],[income]],1,0)</f>
        <v>1</v>
      </c>
      <c r="DL285" s="20"/>
      <c r="DM285" s="20"/>
      <c r="DN285" s="5"/>
      <c r="DP285" s="6">
        <f ca="1">IF(Table1[[#This Row],[Net Worth (£)]]&gt;$DS$5,C285,0)</f>
        <v>0</v>
      </c>
      <c r="DQ285" s="20"/>
      <c r="DR285" s="20"/>
      <c r="DS285" s="5"/>
    </row>
    <row r="286" spans="1:123" x14ac:dyDescent="0.2">
      <c r="A286">
        <f t="shared" ca="1" si="13"/>
        <v>1</v>
      </c>
      <c r="B286" s="1" t="str">
        <f ca="1">IF(A286=1, "men", "women")</f>
        <v>men</v>
      </c>
      <c r="C286" s="1">
        <f ca="1">RANDBETWEEN(25,50)</f>
        <v>28</v>
      </c>
      <c r="D286">
        <f ca="1">RANDBETWEEN(1,6)</f>
        <v>4</v>
      </c>
      <c r="E286" t="str">
        <f ca="1">VLOOKUP(D286,$W$5:$X$10,2)</f>
        <v>Technology</v>
      </c>
      <c r="F286">
        <f ca="1">RANDBETWEEN(1,5)</f>
        <v>4</v>
      </c>
      <c r="G286" t="str">
        <f ca="1">VLOOKUP(F286,$Y$5:$Z$9,2)</f>
        <v xml:space="preserve">Technical </v>
      </c>
      <c r="H286">
        <f ca="1">RANDBETWEEN(0,4)</f>
        <v>4</v>
      </c>
      <c r="I286">
        <f ca="1">RANDBETWEEN(1,3)</f>
        <v>2</v>
      </c>
      <c r="J286">
        <f ca="1">RANDBETWEEN(30000,100000)</f>
        <v>62510</v>
      </c>
      <c r="K286">
        <f ca="1">RANDBETWEEN(1,48)</f>
        <v>15</v>
      </c>
      <c r="L286" t="str">
        <f ca="1">VLOOKUP(K286,$AA$5:$AB$52,2)</f>
        <v>East Sussex</v>
      </c>
      <c r="M286">
        <f ca="1">J286*(RANDBETWEEN(2,5))</f>
        <v>250040</v>
      </c>
      <c r="N286">
        <f ca="1">RAND()*M286</f>
        <v>168565.25227983721</v>
      </c>
      <c r="O286">
        <f ca="1">I286*RAND()*J286</f>
        <v>83199.352411715707</v>
      </c>
      <c r="P286">
        <f ca="1">RANDBETWEEN(0,O286)</f>
        <v>54369</v>
      </c>
      <c r="Q286">
        <f ca="1">RAND()*J286*2</f>
        <v>80384.154054820203</v>
      </c>
      <c r="R286">
        <f ca="1">RAND()*J286*1.5</f>
        <v>53576.891337601104</v>
      </c>
      <c r="S286">
        <f ca="1">J286+R286+O286</f>
        <v>199286.24374931681</v>
      </c>
      <c r="T286">
        <f ca="1">N286+P286+Q286</f>
        <v>303318.4063346574</v>
      </c>
      <c r="U286">
        <f ca="1">S286-T286</f>
        <v>-104032.16258534059</v>
      </c>
      <c r="AC286" s="6">
        <f ca="1">IF(Table1[[#This Row],[gender]]="men",1,0)</f>
        <v>1</v>
      </c>
      <c r="AD286">
        <f ca="1">IF(Table1[[#This Row],[gender]]="women",1,0)</f>
        <v>0</v>
      </c>
      <c r="AH286" s="5"/>
      <c r="AJ286" s="6">
        <f ca="1">IF(Table1[[#This Row],[Column1]]="Health",1,0)</f>
        <v>0</v>
      </c>
      <c r="AK286">
        <f ca="1">IF(Table1[[#This Row],[Column1]]="Construction",1,0)</f>
        <v>0</v>
      </c>
      <c r="AL286">
        <f ca="1">IF(Table1[[#This Row],[Column1]]="Technology",1,0)</f>
        <v>1</v>
      </c>
      <c r="AM286">
        <f ca="1">IF(Table1[[#This Row],[Column1]]="Education",1,0)</f>
        <v>0</v>
      </c>
      <c r="AN286">
        <f ca="1">IF(Table1[[#This Row],[Column1]]="Agriculture",1,0)</f>
        <v>0</v>
      </c>
      <c r="AO286">
        <f ca="1">IF(Table1[[#This Row],[Column1]]="Social Service", 1, 0)</f>
        <v>0</v>
      </c>
      <c r="AT286" s="5"/>
      <c r="AV286" s="17">
        <f t="shared" ca="1" si="12"/>
        <v>17225.011851347776</v>
      </c>
      <c r="AW286" s="5"/>
      <c r="AX286" s="6">
        <f ca="1">IF(Table1[[#This Row],[Value of Debts]]&gt;$AY$4,1,0)</f>
        <v>1</v>
      </c>
      <c r="AY286" s="20"/>
      <c r="AZ286" s="20"/>
      <c r="BA286" s="5"/>
      <c r="BB286" s="25">
        <f ca="1">Table1[[#This Row],[Mortage Left]]/Table1[[#This Row],[Value of House]]</f>
        <v>0.67415314461621023</v>
      </c>
      <c r="BC286" s="20">
        <f t="shared" ca="1" si="14"/>
        <v>0</v>
      </c>
      <c r="BD286" s="20"/>
      <c r="BE286" s="20"/>
      <c r="BF286" s="20"/>
      <c r="BG286" s="6">
        <f ca="1">IF(Table1[[#This Row],[County]]="Cumbria",Table1[[#This Row],[income]],0)</f>
        <v>0</v>
      </c>
      <c r="BH286" s="20">
        <f ca="1">IF(Table1[[#This Row],[County]]="Cheshire",Table1[[#This Row],[income]],0)</f>
        <v>0</v>
      </c>
      <c r="BI286" s="20">
        <f ca="1">IF(Table1[[#This Row],[County]]="Bristol",Table1[[#This Row],[income]],0)</f>
        <v>0</v>
      </c>
      <c r="BJ286" s="20">
        <f ca="1">IF(Table1[[#This Row],[County]]="Surrey",Table1[[#This Row],[income]],0)</f>
        <v>0</v>
      </c>
      <c r="BK286" s="20">
        <f ca="1">IF(Table1[[#This Row],[County]]="Norfolk",Table1[[#This Row],[income]],0)</f>
        <v>0</v>
      </c>
      <c r="BL286" s="20">
        <f ca="1">IF(Table1[[#This Row],[County]]="Lincolnshire",Table1[[#This Row],[income]],0)</f>
        <v>0</v>
      </c>
      <c r="BM286" s="20">
        <f ca="1">IF(Table1[[#This Row],[County]]="Somerset",Table1[[#This Row],[income]],0)</f>
        <v>0</v>
      </c>
      <c r="BN286" s="20">
        <f ca="1">IF(Table1[[#This Row],[County]]="Cambridgeshire",Table1[[#This Row],[income]],0)</f>
        <v>0</v>
      </c>
      <c r="BO286" s="20">
        <f ca="1">IF(Table1[[#This Row],[County]]="South Yorkshire",Table1[[#This Row],[income]],0)</f>
        <v>0</v>
      </c>
      <c r="BP286" s="20">
        <f ca="1">IF(Table1[[#This Row],[County]]="Greater London",Table1[[#This Row],[income]],0)</f>
        <v>0</v>
      </c>
      <c r="BQ286" s="20">
        <f ca="1">IF(Table1[[#This Row],[County]]="Hampshire",Table1[[#This Row],[income]],0)</f>
        <v>0</v>
      </c>
      <c r="BR286" s="20">
        <f ca="1">IF(Table1[[#This Row],[County]]="Gloucestershire",Table1[[#This Row],[income]],0)</f>
        <v>0</v>
      </c>
      <c r="BS286" s="20">
        <f ca="1">IF(Table1[[#This Row],[County]]="West Sussex",Table1[[#This Row],[income]],0)</f>
        <v>0</v>
      </c>
      <c r="BT286" s="20">
        <f ca="1">IF(Table1[[#This Row],[County]]="Devon",Table1[[#This Row],[income]],0)</f>
        <v>0</v>
      </c>
      <c r="BU286" s="20">
        <f ca="1">IF(Table1[[#This Row],[County]]="Berkshire",Table1[[#This Row],[income]],0)</f>
        <v>0</v>
      </c>
      <c r="BV286" s="20">
        <f ca="1">IF(Table1[[#This Row],[County]]="Staffordshire",Table1[[#This Row],[income]],0)</f>
        <v>0</v>
      </c>
      <c r="BW286" s="20">
        <f ca="1">IF(Table1[[#This Row],[County]]="Leicestershire",Table1[[#This Row],[income]],0)</f>
        <v>0</v>
      </c>
      <c r="BX286" s="20">
        <f ca="1">IF(Table1[[#This Row],[County]]="Cornwall",Table1[[#This Row],[income]],0)</f>
        <v>0</v>
      </c>
      <c r="BY286" s="20">
        <f ca="1">IF(Table1[[#This Row],[County]]="Isle of Wight",Table1[[#This Row],[income]],0)</f>
        <v>0</v>
      </c>
      <c r="BZ286" s="20">
        <f ca="1">IF(Table1[[#This Row],[County]]="Surrey",Table1[[#This Row],[income]],0)</f>
        <v>0</v>
      </c>
      <c r="CA286" s="20">
        <f ca="1">IF(Table1[[#This Row],[County]]="Derbyshire",Table1[[#This Row],[income]],0)</f>
        <v>0</v>
      </c>
      <c r="CB286" s="20">
        <f ca="1">IF(Table1[[#This Row],[County]]="City of London",Table1[[#This Row],[income]],0)</f>
        <v>0</v>
      </c>
      <c r="CC286" s="20">
        <f ca="1">IF(Table1[[#This Row],[County]]="Bedfordshire",Table1[[#This Row],[income]],0)</f>
        <v>0</v>
      </c>
      <c r="CD286" s="20">
        <f ca="1">IF(Table1[[#This Row],[County]]="County Durham",Table1[[#This Row],[income]],0)</f>
        <v>0</v>
      </c>
      <c r="CE286" s="20">
        <f ca="1">IF(Table1[[#This Row],[County]]="East Riding of Yorkshire",Table1[[#This Row],[income]],0)</f>
        <v>0</v>
      </c>
      <c r="CF286" s="20">
        <f ca="1">IF(Table1[[#This Row],[County]]="West Yorkshire",Table1[[#This Row],[income]],0)</f>
        <v>0</v>
      </c>
      <c r="CG286" s="20">
        <f ca="1">IF(Table1[[#This Row],[County]]="Essex",Table1[[#This Row],[income]],0)</f>
        <v>0</v>
      </c>
      <c r="CH286" s="20">
        <f ca="1">IF(Table1[[#This Row],[County]]="East Sussex",Table1[[#This Row],[income]],0)</f>
        <v>62510</v>
      </c>
      <c r="CI286" s="20">
        <f ca="1">IF(Table1[[#This Row],[County]]="Greater Manchester",Table1[[#This Row],[income]],0)</f>
        <v>0</v>
      </c>
      <c r="CJ286" s="20">
        <f ca="1">IF(Table1[[#This Row],[County]]="Hertfordshire",Table1[[#This Row],[income]],0)</f>
        <v>0</v>
      </c>
      <c r="CK286" s="20">
        <f ca="1">IF(Table1[[#This Row],[County]]="Herefordshire",Table1[[#This Row],[income]],0)</f>
        <v>0</v>
      </c>
      <c r="CL286" s="20">
        <f ca="1">IF(Table1[[#This Row],[County]]="Lancashire",Table1[[#This Row],[income]],0)</f>
        <v>0</v>
      </c>
      <c r="CM286" s="20">
        <f ca="1">IF(Table1[[#This Row],[County]]="Merseyside",Table1[[#This Row],[income]],0)</f>
        <v>0</v>
      </c>
      <c r="CN286" s="20">
        <f ca="1">IF(Table1[[#This Row],[County]]="Northamptonshire",Table1[[#This Row],[income]],0)</f>
        <v>0</v>
      </c>
      <c r="CO286" s="20">
        <f ca="1">IF(Table1[[#This Row],[County]]="Northumberland",Table1[[#This Row],[income]],0)</f>
        <v>0</v>
      </c>
      <c r="CP286" s="20">
        <f ca="1">IF(Table1[[#This Row],[County]]="Wiltshire",Table1[[#This Row],[income]],0)</f>
        <v>0</v>
      </c>
      <c r="CQ286" s="20">
        <f ca="1">IF(Table1[[#This Row],[County]]="West Midlands",Table1[[#This Row],[income]],0)</f>
        <v>0</v>
      </c>
      <c r="CR286" s="20">
        <f ca="1">IF(Table1[[#This Row],[County]]="Warwickshire",Table1[[#This Row],[income]],0)</f>
        <v>0</v>
      </c>
      <c r="CS286" s="20">
        <f ca="1">IF(Table1[[#This Row],[County]]="Tyne and Wear",Table1[[#This Row],[income]],0)</f>
        <v>0</v>
      </c>
      <c r="CT286" s="20">
        <f ca="1">IF(Table1[[#This Row],[County]]="Worcestershire",Table1[[#This Row],[income]],0)</f>
        <v>0</v>
      </c>
      <c r="CU286" s="20">
        <f ca="1">IF(Table1[[#This Row],[County]]="Rutland",Table1[[#This Row],[income]],0)</f>
        <v>0</v>
      </c>
      <c r="CV286" s="20">
        <f ca="1">IF(Table1[[#This Row],[County]]="Shropshire",Table1[[#This Row],[income]],0)</f>
        <v>0</v>
      </c>
      <c r="CW286" s="20">
        <f ca="1">IF(Table1[[#This Row],[County]]="Dorset",Table1[[#This Row],[income]],0)</f>
        <v>0</v>
      </c>
      <c r="CX286" s="20">
        <f ca="1">IF(Table1[[#This Row],[County]]="Buckinghamshire",Table1[[#This Row],[income]],0)</f>
        <v>0</v>
      </c>
      <c r="CY286" s="20">
        <f ca="1">IF(Table1[[#This Row],[County]]="Suffolk",Table1[[#This Row],[income]],0)</f>
        <v>0</v>
      </c>
      <c r="CZ286" s="20">
        <f ca="1">IF(Table1[[#This Row],[County]]="North Yorkshire",Table1[[#This Row],[income]],0)</f>
        <v>0</v>
      </c>
      <c r="DA286" s="20">
        <f ca="1">IF(Table1[[#This Row],[County]]="Kent",Table1[[#This Row],[income]],0)</f>
        <v>0</v>
      </c>
      <c r="DB286" s="5">
        <f ca="1">IF(Table1[[#This Row],[County]]="Derbyshire",Table1[[#This Row],[income]],0)</f>
        <v>0</v>
      </c>
      <c r="DD286" s="6">
        <f ca="1">IF(Table1[[#This Row],[Column1]]="Health",Table1[[#This Row],[income]],0)</f>
        <v>0</v>
      </c>
      <c r="DE286" s="20">
        <f ca="1">IF(Table1[[#This Row],[Column1]]="Agriculture",Table1[[#This Row],[income]],0)</f>
        <v>0</v>
      </c>
      <c r="DF286" s="20">
        <f ca="1">IF(Table1[[#This Row],[Column1]]="Technology",Table1[[#This Row],[income]],0)</f>
        <v>62510</v>
      </c>
      <c r="DG286" s="20">
        <f ca="1">IF(Table1[[#This Row],[Column1]]="Social Service",Table1[[#This Row],[income]],0)</f>
        <v>0</v>
      </c>
      <c r="DH286" s="20">
        <f ca="1">IF(Table1[[#This Row],[Column1]]="Education",Table1[[#This Row],[income]],0)</f>
        <v>0</v>
      </c>
      <c r="DI286" s="5">
        <f ca="1">IF(Table1[[#This Row],[Column1]]="Construction",Table1[[#This Row],[income]],0)</f>
        <v>0</v>
      </c>
      <c r="DK286" s="6">
        <f ca="1">IF(Table1[[#This Row],[Value of Debts]]&gt;Table1[[#This Row],[income]],1,0)</f>
        <v>1</v>
      </c>
      <c r="DL286" s="20"/>
      <c r="DM286" s="20"/>
      <c r="DN286" s="5"/>
      <c r="DP286" s="6">
        <f ca="1">IF(Table1[[#This Row],[Net Worth (£)]]&gt;$DS$5,C286,0)</f>
        <v>0</v>
      </c>
      <c r="DQ286" s="20"/>
      <c r="DR286" s="20"/>
      <c r="DS286" s="5"/>
    </row>
    <row r="287" spans="1:123" x14ac:dyDescent="0.2">
      <c r="A287">
        <f t="shared" ca="1" si="13"/>
        <v>1</v>
      </c>
      <c r="B287" s="1" t="str">
        <f ca="1">IF(A287=1, "men", "women")</f>
        <v>men</v>
      </c>
      <c r="C287" s="1">
        <f ca="1">RANDBETWEEN(25,50)</f>
        <v>27</v>
      </c>
      <c r="D287">
        <f ca="1">RANDBETWEEN(1,6)</f>
        <v>3</v>
      </c>
      <c r="E287" t="str">
        <f ca="1">VLOOKUP(D287,$W$5:$X$10,2)</f>
        <v>Education</v>
      </c>
      <c r="F287">
        <f ca="1">RANDBETWEEN(1,5)</f>
        <v>4</v>
      </c>
      <c r="G287" t="str">
        <f ca="1">VLOOKUP(F287,$Y$5:$Z$9,2)</f>
        <v xml:space="preserve">Technical </v>
      </c>
      <c r="H287">
        <f ca="1">RANDBETWEEN(0,4)</f>
        <v>4</v>
      </c>
      <c r="I287">
        <f ca="1">RANDBETWEEN(1,3)</f>
        <v>3</v>
      </c>
      <c r="J287">
        <f ca="1">RANDBETWEEN(30000,100000)</f>
        <v>33891</v>
      </c>
      <c r="K287">
        <f ca="1">RANDBETWEEN(1,48)</f>
        <v>6</v>
      </c>
      <c r="L287" t="str">
        <f ca="1">VLOOKUP(K287,$AA$5:$AB$52,2)</f>
        <v>Cheshire</v>
      </c>
      <c r="M287">
        <f ca="1">J287*(RANDBETWEEN(2,5))</f>
        <v>67782</v>
      </c>
      <c r="N287">
        <f ca="1">RAND()*M287</f>
        <v>67167.022822357569</v>
      </c>
      <c r="O287">
        <f ca="1">I287*RAND()*J287</f>
        <v>51675.03555404333</v>
      </c>
      <c r="P287">
        <f ca="1">RANDBETWEEN(0,O287)</f>
        <v>20476</v>
      </c>
      <c r="Q287">
        <f ca="1">RAND()*J287*2</f>
        <v>59618.913044640874</v>
      </c>
      <c r="R287">
        <f ca="1">RAND()*J287*1.5</f>
        <v>39708.465510619586</v>
      </c>
      <c r="S287">
        <f ca="1">J287+R287+O287</f>
        <v>125274.50106466291</v>
      </c>
      <c r="T287">
        <f ca="1">N287+P287+Q287</f>
        <v>147261.93586699845</v>
      </c>
      <c r="U287">
        <f ca="1">S287-T287</f>
        <v>-21987.434802335541</v>
      </c>
      <c r="AC287" s="6">
        <f ca="1">IF(Table1[[#This Row],[gender]]="men",1,0)</f>
        <v>1</v>
      </c>
      <c r="AD287">
        <f ca="1">IF(Table1[[#This Row],[gender]]="women",1,0)</f>
        <v>0</v>
      </c>
      <c r="AH287" s="5"/>
      <c r="AJ287" s="6">
        <f ca="1">IF(Table1[[#This Row],[Column1]]="Health",1,0)</f>
        <v>0</v>
      </c>
      <c r="AK287">
        <f ca="1">IF(Table1[[#This Row],[Column1]]="Construction",1,0)</f>
        <v>0</v>
      </c>
      <c r="AL287">
        <f ca="1">IF(Table1[[#This Row],[Column1]]="Technology",1,0)</f>
        <v>0</v>
      </c>
      <c r="AM287">
        <f ca="1">IF(Table1[[#This Row],[Column1]]="Education",1,0)</f>
        <v>1</v>
      </c>
      <c r="AN287">
        <f ca="1">IF(Table1[[#This Row],[Column1]]="Agriculture",1,0)</f>
        <v>0</v>
      </c>
      <c r="AO287">
        <f ca="1">IF(Table1[[#This Row],[Column1]]="Social Service", 1, 0)</f>
        <v>0</v>
      </c>
      <c r="AT287" s="5"/>
      <c r="AV287" s="17">
        <f t="shared" ca="1" si="12"/>
        <v>94260.471376090776</v>
      </c>
      <c r="AW287" s="5"/>
      <c r="AX287" s="6">
        <f ca="1">IF(Table1[[#This Row],[Value of Debts]]&gt;$AY$4,1,0)</f>
        <v>1</v>
      </c>
      <c r="AY287" s="20"/>
      <c r="AZ287" s="20"/>
      <c r="BA287" s="5"/>
      <c r="BB287" s="25">
        <f ca="1">Table1[[#This Row],[Mortage Left]]/Table1[[#This Row],[Value of House]]</f>
        <v>0.99092713142659661</v>
      </c>
      <c r="BC287" s="20">
        <f t="shared" ca="1" si="14"/>
        <v>0</v>
      </c>
      <c r="BD287" s="20"/>
      <c r="BE287" s="20"/>
      <c r="BF287" s="20"/>
      <c r="BG287" s="6">
        <f ca="1">IF(Table1[[#This Row],[County]]="Cumbria",Table1[[#This Row],[income]],0)</f>
        <v>0</v>
      </c>
      <c r="BH287" s="20">
        <f ca="1">IF(Table1[[#This Row],[County]]="Cheshire",Table1[[#This Row],[income]],0)</f>
        <v>33891</v>
      </c>
      <c r="BI287" s="20">
        <f ca="1">IF(Table1[[#This Row],[County]]="Bristol",Table1[[#This Row],[income]],0)</f>
        <v>0</v>
      </c>
      <c r="BJ287" s="20">
        <f ca="1">IF(Table1[[#This Row],[County]]="Surrey",Table1[[#This Row],[income]],0)</f>
        <v>0</v>
      </c>
      <c r="BK287" s="20">
        <f ca="1">IF(Table1[[#This Row],[County]]="Norfolk",Table1[[#This Row],[income]],0)</f>
        <v>0</v>
      </c>
      <c r="BL287" s="20">
        <f ca="1">IF(Table1[[#This Row],[County]]="Lincolnshire",Table1[[#This Row],[income]],0)</f>
        <v>0</v>
      </c>
      <c r="BM287" s="20">
        <f ca="1">IF(Table1[[#This Row],[County]]="Somerset",Table1[[#This Row],[income]],0)</f>
        <v>0</v>
      </c>
      <c r="BN287" s="20">
        <f ca="1">IF(Table1[[#This Row],[County]]="Cambridgeshire",Table1[[#This Row],[income]],0)</f>
        <v>0</v>
      </c>
      <c r="BO287" s="20">
        <f ca="1">IF(Table1[[#This Row],[County]]="South Yorkshire",Table1[[#This Row],[income]],0)</f>
        <v>0</v>
      </c>
      <c r="BP287" s="20">
        <f ca="1">IF(Table1[[#This Row],[County]]="Greater London",Table1[[#This Row],[income]],0)</f>
        <v>0</v>
      </c>
      <c r="BQ287" s="20">
        <f ca="1">IF(Table1[[#This Row],[County]]="Hampshire",Table1[[#This Row],[income]],0)</f>
        <v>0</v>
      </c>
      <c r="BR287" s="20">
        <f ca="1">IF(Table1[[#This Row],[County]]="Gloucestershire",Table1[[#This Row],[income]],0)</f>
        <v>0</v>
      </c>
      <c r="BS287" s="20">
        <f ca="1">IF(Table1[[#This Row],[County]]="West Sussex",Table1[[#This Row],[income]],0)</f>
        <v>0</v>
      </c>
      <c r="BT287" s="20">
        <f ca="1">IF(Table1[[#This Row],[County]]="Devon",Table1[[#This Row],[income]],0)</f>
        <v>0</v>
      </c>
      <c r="BU287" s="20">
        <f ca="1">IF(Table1[[#This Row],[County]]="Berkshire",Table1[[#This Row],[income]],0)</f>
        <v>0</v>
      </c>
      <c r="BV287" s="20">
        <f ca="1">IF(Table1[[#This Row],[County]]="Staffordshire",Table1[[#This Row],[income]],0)</f>
        <v>0</v>
      </c>
      <c r="BW287" s="20">
        <f ca="1">IF(Table1[[#This Row],[County]]="Leicestershire",Table1[[#This Row],[income]],0)</f>
        <v>0</v>
      </c>
      <c r="BX287" s="20">
        <f ca="1">IF(Table1[[#This Row],[County]]="Cornwall",Table1[[#This Row],[income]],0)</f>
        <v>0</v>
      </c>
      <c r="BY287" s="20">
        <f ca="1">IF(Table1[[#This Row],[County]]="Isle of Wight",Table1[[#This Row],[income]],0)</f>
        <v>0</v>
      </c>
      <c r="BZ287" s="20">
        <f ca="1">IF(Table1[[#This Row],[County]]="Surrey",Table1[[#This Row],[income]],0)</f>
        <v>0</v>
      </c>
      <c r="CA287" s="20">
        <f ca="1">IF(Table1[[#This Row],[County]]="Derbyshire",Table1[[#This Row],[income]],0)</f>
        <v>0</v>
      </c>
      <c r="CB287" s="20">
        <f ca="1">IF(Table1[[#This Row],[County]]="City of London",Table1[[#This Row],[income]],0)</f>
        <v>0</v>
      </c>
      <c r="CC287" s="20">
        <f ca="1">IF(Table1[[#This Row],[County]]="Bedfordshire",Table1[[#This Row],[income]],0)</f>
        <v>0</v>
      </c>
      <c r="CD287" s="20">
        <f ca="1">IF(Table1[[#This Row],[County]]="County Durham",Table1[[#This Row],[income]],0)</f>
        <v>0</v>
      </c>
      <c r="CE287" s="20">
        <f ca="1">IF(Table1[[#This Row],[County]]="East Riding of Yorkshire",Table1[[#This Row],[income]],0)</f>
        <v>0</v>
      </c>
      <c r="CF287" s="20">
        <f ca="1">IF(Table1[[#This Row],[County]]="West Yorkshire",Table1[[#This Row],[income]],0)</f>
        <v>0</v>
      </c>
      <c r="CG287" s="20">
        <f ca="1">IF(Table1[[#This Row],[County]]="Essex",Table1[[#This Row],[income]],0)</f>
        <v>0</v>
      </c>
      <c r="CH287" s="20">
        <f ca="1">IF(Table1[[#This Row],[County]]="East Sussex",Table1[[#This Row],[income]],0)</f>
        <v>0</v>
      </c>
      <c r="CI287" s="20">
        <f ca="1">IF(Table1[[#This Row],[County]]="Greater Manchester",Table1[[#This Row],[income]],0)</f>
        <v>0</v>
      </c>
      <c r="CJ287" s="20">
        <f ca="1">IF(Table1[[#This Row],[County]]="Hertfordshire",Table1[[#This Row],[income]],0)</f>
        <v>0</v>
      </c>
      <c r="CK287" s="20">
        <f ca="1">IF(Table1[[#This Row],[County]]="Herefordshire",Table1[[#This Row],[income]],0)</f>
        <v>0</v>
      </c>
      <c r="CL287" s="20">
        <f ca="1">IF(Table1[[#This Row],[County]]="Lancashire",Table1[[#This Row],[income]],0)</f>
        <v>0</v>
      </c>
      <c r="CM287" s="20">
        <f ca="1">IF(Table1[[#This Row],[County]]="Merseyside",Table1[[#This Row],[income]],0)</f>
        <v>0</v>
      </c>
      <c r="CN287" s="20">
        <f ca="1">IF(Table1[[#This Row],[County]]="Northamptonshire",Table1[[#This Row],[income]],0)</f>
        <v>0</v>
      </c>
      <c r="CO287" s="20">
        <f ca="1">IF(Table1[[#This Row],[County]]="Northumberland",Table1[[#This Row],[income]],0)</f>
        <v>0</v>
      </c>
      <c r="CP287" s="20">
        <f ca="1">IF(Table1[[#This Row],[County]]="Wiltshire",Table1[[#This Row],[income]],0)</f>
        <v>0</v>
      </c>
      <c r="CQ287" s="20">
        <f ca="1">IF(Table1[[#This Row],[County]]="West Midlands",Table1[[#This Row],[income]],0)</f>
        <v>0</v>
      </c>
      <c r="CR287" s="20">
        <f ca="1">IF(Table1[[#This Row],[County]]="Warwickshire",Table1[[#This Row],[income]],0)</f>
        <v>0</v>
      </c>
      <c r="CS287" s="20">
        <f ca="1">IF(Table1[[#This Row],[County]]="Tyne and Wear",Table1[[#This Row],[income]],0)</f>
        <v>0</v>
      </c>
      <c r="CT287" s="20">
        <f ca="1">IF(Table1[[#This Row],[County]]="Worcestershire",Table1[[#This Row],[income]],0)</f>
        <v>0</v>
      </c>
      <c r="CU287" s="20">
        <f ca="1">IF(Table1[[#This Row],[County]]="Rutland",Table1[[#This Row],[income]],0)</f>
        <v>0</v>
      </c>
      <c r="CV287" s="20">
        <f ca="1">IF(Table1[[#This Row],[County]]="Shropshire",Table1[[#This Row],[income]],0)</f>
        <v>0</v>
      </c>
      <c r="CW287" s="20">
        <f ca="1">IF(Table1[[#This Row],[County]]="Dorset",Table1[[#This Row],[income]],0)</f>
        <v>0</v>
      </c>
      <c r="CX287" s="20">
        <f ca="1">IF(Table1[[#This Row],[County]]="Buckinghamshire",Table1[[#This Row],[income]],0)</f>
        <v>0</v>
      </c>
      <c r="CY287" s="20">
        <f ca="1">IF(Table1[[#This Row],[County]]="Suffolk",Table1[[#This Row],[income]],0)</f>
        <v>0</v>
      </c>
      <c r="CZ287" s="20">
        <f ca="1">IF(Table1[[#This Row],[County]]="North Yorkshire",Table1[[#This Row],[income]],0)</f>
        <v>0</v>
      </c>
      <c r="DA287" s="20">
        <f ca="1">IF(Table1[[#This Row],[County]]="Kent",Table1[[#This Row],[income]],0)</f>
        <v>0</v>
      </c>
      <c r="DB287" s="5">
        <f ca="1">IF(Table1[[#This Row],[County]]="Derbyshire",Table1[[#This Row],[income]],0)</f>
        <v>0</v>
      </c>
      <c r="DD287" s="6">
        <f ca="1">IF(Table1[[#This Row],[Column1]]="Health",Table1[[#This Row],[income]],0)</f>
        <v>0</v>
      </c>
      <c r="DE287" s="20">
        <f ca="1">IF(Table1[[#This Row],[Column1]]="Agriculture",Table1[[#This Row],[income]],0)</f>
        <v>0</v>
      </c>
      <c r="DF287" s="20">
        <f ca="1">IF(Table1[[#This Row],[Column1]]="Technology",Table1[[#This Row],[income]],0)</f>
        <v>0</v>
      </c>
      <c r="DG287" s="20">
        <f ca="1">IF(Table1[[#This Row],[Column1]]="Social Service",Table1[[#This Row],[income]],0)</f>
        <v>0</v>
      </c>
      <c r="DH287" s="20">
        <f ca="1">IF(Table1[[#This Row],[Column1]]="Education",Table1[[#This Row],[income]],0)</f>
        <v>33891</v>
      </c>
      <c r="DI287" s="5">
        <f ca="1">IF(Table1[[#This Row],[Column1]]="Construction",Table1[[#This Row],[income]],0)</f>
        <v>0</v>
      </c>
      <c r="DK287" s="6">
        <f ca="1">IF(Table1[[#This Row],[Value of Debts]]&gt;Table1[[#This Row],[income]],1,0)</f>
        <v>1</v>
      </c>
      <c r="DL287" s="20"/>
      <c r="DM287" s="20"/>
      <c r="DN287" s="5"/>
      <c r="DP287" s="6">
        <f ca="1">IF(Table1[[#This Row],[Net Worth (£)]]&gt;$DS$5,C287,0)</f>
        <v>0</v>
      </c>
      <c r="DQ287" s="20"/>
      <c r="DR287" s="20"/>
      <c r="DS287" s="5"/>
    </row>
    <row r="288" spans="1:123" x14ac:dyDescent="0.2">
      <c r="A288">
        <f t="shared" ca="1" si="13"/>
        <v>1</v>
      </c>
      <c r="B288" s="1" t="str">
        <f ca="1">IF(A288=1, "men", "women")</f>
        <v>men</v>
      </c>
      <c r="C288" s="1">
        <f ca="1">RANDBETWEEN(25,50)</f>
        <v>40</v>
      </c>
      <c r="D288">
        <f ca="1">RANDBETWEEN(1,6)</f>
        <v>3</v>
      </c>
      <c r="E288" t="str">
        <f ca="1">VLOOKUP(D288,$W$5:$X$10,2)</f>
        <v>Education</v>
      </c>
      <c r="F288">
        <f ca="1">RANDBETWEEN(1,5)</f>
        <v>3</v>
      </c>
      <c r="G288" t="str">
        <f ca="1">VLOOKUP(F288,$Y$5:$Z$9,2)</f>
        <v>University</v>
      </c>
      <c r="H288">
        <f ca="1">RANDBETWEEN(0,4)</f>
        <v>2</v>
      </c>
      <c r="I288">
        <f ca="1">RANDBETWEEN(1,3)</f>
        <v>3</v>
      </c>
      <c r="J288">
        <f ca="1">RANDBETWEEN(30000,100000)</f>
        <v>98379</v>
      </c>
      <c r="K288">
        <f ca="1">RANDBETWEEN(1,48)</f>
        <v>26</v>
      </c>
      <c r="L288" t="str">
        <f ca="1">VLOOKUP(K288,$AA$5:$AB$52,2)</f>
        <v>Leicestershire</v>
      </c>
      <c r="M288">
        <f ca="1">J288*(RANDBETWEEN(2,5))</f>
        <v>295137</v>
      </c>
      <c r="N288">
        <f ca="1">RAND()*M288</f>
        <v>226513.23265008681</v>
      </c>
      <c r="O288">
        <f ca="1">I288*RAND()*J288</f>
        <v>282781.41412827233</v>
      </c>
      <c r="P288">
        <f ca="1">RANDBETWEEN(0,O288)</f>
        <v>174264</v>
      </c>
      <c r="Q288">
        <f ca="1">RAND()*J288*2</f>
        <v>132168.37909983861</v>
      </c>
      <c r="R288">
        <f ca="1">RAND()*J288*1.5</f>
        <v>66038.711327606812</v>
      </c>
      <c r="S288">
        <f ca="1">J288+R288+O288</f>
        <v>447199.12545587914</v>
      </c>
      <c r="T288">
        <f ca="1">N288+P288+Q288</f>
        <v>532945.61174992542</v>
      </c>
      <c r="U288">
        <f ca="1">S288-T288</f>
        <v>-85746.486294046277</v>
      </c>
      <c r="AC288" s="6">
        <f ca="1">IF(Table1[[#This Row],[gender]]="men",1,0)</f>
        <v>1</v>
      </c>
      <c r="AD288">
        <f ca="1">IF(Table1[[#This Row],[gender]]="women",1,0)</f>
        <v>0</v>
      </c>
      <c r="AH288" s="5"/>
      <c r="AJ288" s="6">
        <f ca="1">IF(Table1[[#This Row],[Column1]]="Health",1,0)</f>
        <v>0</v>
      </c>
      <c r="AK288">
        <f ca="1">IF(Table1[[#This Row],[Column1]]="Construction",1,0)</f>
        <v>0</v>
      </c>
      <c r="AL288">
        <f ca="1">IF(Table1[[#This Row],[Column1]]="Technology",1,0)</f>
        <v>0</v>
      </c>
      <c r="AM288">
        <f ca="1">IF(Table1[[#This Row],[Column1]]="Education",1,0)</f>
        <v>1</v>
      </c>
      <c r="AN288">
        <f ca="1">IF(Table1[[#This Row],[Column1]]="Agriculture",1,0)</f>
        <v>0</v>
      </c>
      <c r="AO288">
        <f ca="1">IF(Table1[[#This Row],[Column1]]="Social Service", 1, 0)</f>
        <v>0</v>
      </c>
      <c r="AT288" s="5"/>
      <c r="AV288" s="17">
        <f t="shared" ca="1" si="12"/>
        <v>30659.251118132444</v>
      </c>
      <c r="AW288" s="5"/>
      <c r="AX288" s="6">
        <f ca="1">IF(Table1[[#This Row],[Value of Debts]]&gt;$AY$4,1,0)</f>
        <v>1</v>
      </c>
      <c r="AY288" s="20"/>
      <c r="AZ288" s="20"/>
      <c r="BA288" s="5"/>
      <c r="BB288" s="25">
        <f ca="1">Table1[[#This Row],[Mortage Left]]/Table1[[#This Row],[Value of House]]</f>
        <v>0.76748504135397055</v>
      </c>
      <c r="BC288" s="20">
        <f t="shared" ca="1" si="14"/>
        <v>0</v>
      </c>
      <c r="BD288" s="20"/>
      <c r="BE288" s="20"/>
      <c r="BF288" s="20"/>
      <c r="BG288" s="6">
        <f ca="1">IF(Table1[[#This Row],[County]]="Cumbria",Table1[[#This Row],[income]],0)</f>
        <v>0</v>
      </c>
      <c r="BH288" s="20">
        <f ca="1">IF(Table1[[#This Row],[County]]="Cheshire",Table1[[#This Row],[income]],0)</f>
        <v>0</v>
      </c>
      <c r="BI288" s="20">
        <f ca="1">IF(Table1[[#This Row],[County]]="Bristol",Table1[[#This Row],[income]],0)</f>
        <v>0</v>
      </c>
      <c r="BJ288" s="20">
        <f ca="1">IF(Table1[[#This Row],[County]]="Surrey",Table1[[#This Row],[income]],0)</f>
        <v>0</v>
      </c>
      <c r="BK288" s="20">
        <f ca="1">IF(Table1[[#This Row],[County]]="Norfolk",Table1[[#This Row],[income]],0)</f>
        <v>0</v>
      </c>
      <c r="BL288" s="20">
        <f ca="1">IF(Table1[[#This Row],[County]]="Lincolnshire",Table1[[#This Row],[income]],0)</f>
        <v>0</v>
      </c>
      <c r="BM288" s="20">
        <f ca="1">IF(Table1[[#This Row],[County]]="Somerset",Table1[[#This Row],[income]],0)</f>
        <v>0</v>
      </c>
      <c r="BN288" s="20">
        <f ca="1">IF(Table1[[#This Row],[County]]="Cambridgeshire",Table1[[#This Row],[income]],0)</f>
        <v>0</v>
      </c>
      <c r="BO288" s="20">
        <f ca="1">IF(Table1[[#This Row],[County]]="South Yorkshire",Table1[[#This Row],[income]],0)</f>
        <v>0</v>
      </c>
      <c r="BP288" s="20">
        <f ca="1">IF(Table1[[#This Row],[County]]="Greater London",Table1[[#This Row],[income]],0)</f>
        <v>0</v>
      </c>
      <c r="BQ288" s="20">
        <f ca="1">IF(Table1[[#This Row],[County]]="Hampshire",Table1[[#This Row],[income]],0)</f>
        <v>0</v>
      </c>
      <c r="BR288" s="20">
        <f ca="1">IF(Table1[[#This Row],[County]]="Gloucestershire",Table1[[#This Row],[income]],0)</f>
        <v>0</v>
      </c>
      <c r="BS288" s="20">
        <f ca="1">IF(Table1[[#This Row],[County]]="West Sussex",Table1[[#This Row],[income]],0)</f>
        <v>0</v>
      </c>
      <c r="BT288" s="20">
        <f ca="1">IF(Table1[[#This Row],[County]]="Devon",Table1[[#This Row],[income]],0)</f>
        <v>0</v>
      </c>
      <c r="BU288" s="20">
        <f ca="1">IF(Table1[[#This Row],[County]]="Berkshire",Table1[[#This Row],[income]],0)</f>
        <v>0</v>
      </c>
      <c r="BV288" s="20">
        <f ca="1">IF(Table1[[#This Row],[County]]="Staffordshire",Table1[[#This Row],[income]],0)</f>
        <v>0</v>
      </c>
      <c r="BW288" s="20">
        <f ca="1">IF(Table1[[#This Row],[County]]="Leicestershire",Table1[[#This Row],[income]],0)</f>
        <v>98379</v>
      </c>
      <c r="BX288" s="20">
        <f ca="1">IF(Table1[[#This Row],[County]]="Cornwall",Table1[[#This Row],[income]],0)</f>
        <v>0</v>
      </c>
      <c r="BY288" s="20">
        <f ca="1">IF(Table1[[#This Row],[County]]="Isle of Wight",Table1[[#This Row],[income]],0)</f>
        <v>0</v>
      </c>
      <c r="BZ288" s="20">
        <f ca="1">IF(Table1[[#This Row],[County]]="Surrey",Table1[[#This Row],[income]],0)</f>
        <v>0</v>
      </c>
      <c r="CA288" s="20">
        <f ca="1">IF(Table1[[#This Row],[County]]="Derbyshire",Table1[[#This Row],[income]],0)</f>
        <v>0</v>
      </c>
      <c r="CB288" s="20">
        <f ca="1">IF(Table1[[#This Row],[County]]="City of London",Table1[[#This Row],[income]],0)</f>
        <v>0</v>
      </c>
      <c r="CC288" s="20">
        <f ca="1">IF(Table1[[#This Row],[County]]="Bedfordshire",Table1[[#This Row],[income]],0)</f>
        <v>0</v>
      </c>
      <c r="CD288" s="20">
        <f ca="1">IF(Table1[[#This Row],[County]]="County Durham",Table1[[#This Row],[income]],0)</f>
        <v>0</v>
      </c>
      <c r="CE288" s="20">
        <f ca="1">IF(Table1[[#This Row],[County]]="East Riding of Yorkshire",Table1[[#This Row],[income]],0)</f>
        <v>0</v>
      </c>
      <c r="CF288" s="20">
        <f ca="1">IF(Table1[[#This Row],[County]]="West Yorkshire",Table1[[#This Row],[income]],0)</f>
        <v>0</v>
      </c>
      <c r="CG288" s="20">
        <f ca="1">IF(Table1[[#This Row],[County]]="Essex",Table1[[#This Row],[income]],0)</f>
        <v>0</v>
      </c>
      <c r="CH288" s="20">
        <f ca="1">IF(Table1[[#This Row],[County]]="East Sussex",Table1[[#This Row],[income]],0)</f>
        <v>0</v>
      </c>
      <c r="CI288" s="20">
        <f ca="1">IF(Table1[[#This Row],[County]]="Greater Manchester",Table1[[#This Row],[income]],0)</f>
        <v>0</v>
      </c>
      <c r="CJ288" s="20">
        <f ca="1">IF(Table1[[#This Row],[County]]="Hertfordshire",Table1[[#This Row],[income]],0)</f>
        <v>0</v>
      </c>
      <c r="CK288" s="20">
        <f ca="1">IF(Table1[[#This Row],[County]]="Herefordshire",Table1[[#This Row],[income]],0)</f>
        <v>0</v>
      </c>
      <c r="CL288" s="20">
        <f ca="1">IF(Table1[[#This Row],[County]]="Lancashire",Table1[[#This Row],[income]],0)</f>
        <v>0</v>
      </c>
      <c r="CM288" s="20">
        <f ca="1">IF(Table1[[#This Row],[County]]="Merseyside",Table1[[#This Row],[income]],0)</f>
        <v>0</v>
      </c>
      <c r="CN288" s="20">
        <f ca="1">IF(Table1[[#This Row],[County]]="Northamptonshire",Table1[[#This Row],[income]],0)</f>
        <v>0</v>
      </c>
      <c r="CO288" s="20">
        <f ca="1">IF(Table1[[#This Row],[County]]="Northumberland",Table1[[#This Row],[income]],0)</f>
        <v>0</v>
      </c>
      <c r="CP288" s="20">
        <f ca="1">IF(Table1[[#This Row],[County]]="Wiltshire",Table1[[#This Row],[income]],0)</f>
        <v>0</v>
      </c>
      <c r="CQ288" s="20">
        <f ca="1">IF(Table1[[#This Row],[County]]="West Midlands",Table1[[#This Row],[income]],0)</f>
        <v>0</v>
      </c>
      <c r="CR288" s="20">
        <f ca="1">IF(Table1[[#This Row],[County]]="Warwickshire",Table1[[#This Row],[income]],0)</f>
        <v>0</v>
      </c>
      <c r="CS288" s="20">
        <f ca="1">IF(Table1[[#This Row],[County]]="Tyne and Wear",Table1[[#This Row],[income]],0)</f>
        <v>0</v>
      </c>
      <c r="CT288" s="20">
        <f ca="1">IF(Table1[[#This Row],[County]]="Worcestershire",Table1[[#This Row],[income]],0)</f>
        <v>0</v>
      </c>
      <c r="CU288" s="20">
        <f ca="1">IF(Table1[[#This Row],[County]]="Rutland",Table1[[#This Row],[income]],0)</f>
        <v>0</v>
      </c>
      <c r="CV288" s="20">
        <f ca="1">IF(Table1[[#This Row],[County]]="Shropshire",Table1[[#This Row],[income]],0)</f>
        <v>0</v>
      </c>
      <c r="CW288" s="20">
        <f ca="1">IF(Table1[[#This Row],[County]]="Dorset",Table1[[#This Row],[income]],0)</f>
        <v>0</v>
      </c>
      <c r="CX288" s="20">
        <f ca="1">IF(Table1[[#This Row],[County]]="Buckinghamshire",Table1[[#This Row],[income]],0)</f>
        <v>0</v>
      </c>
      <c r="CY288" s="20">
        <f ca="1">IF(Table1[[#This Row],[County]]="Suffolk",Table1[[#This Row],[income]],0)</f>
        <v>0</v>
      </c>
      <c r="CZ288" s="20">
        <f ca="1">IF(Table1[[#This Row],[County]]="North Yorkshire",Table1[[#This Row],[income]],0)</f>
        <v>0</v>
      </c>
      <c r="DA288" s="20">
        <f ca="1">IF(Table1[[#This Row],[County]]="Kent",Table1[[#This Row],[income]],0)</f>
        <v>0</v>
      </c>
      <c r="DB288" s="5">
        <f ca="1">IF(Table1[[#This Row],[County]]="Derbyshire",Table1[[#This Row],[income]],0)</f>
        <v>0</v>
      </c>
      <c r="DD288" s="6">
        <f ca="1">IF(Table1[[#This Row],[Column1]]="Health",Table1[[#This Row],[income]],0)</f>
        <v>0</v>
      </c>
      <c r="DE288" s="20">
        <f ca="1">IF(Table1[[#This Row],[Column1]]="Agriculture",Table1[[#This Row],[income]],0)</f>
        <v>0</v>
      </c>
      <c r="DF288" s="20">
        <f ca="1">IF(Table1[[#This Row],[Column1]]="Technology",Table1[[#This Row],[income]],0)</f>
        <v>0</v>
      </c>
      <c r="DG288" s="20">
        <f ca="1">IF(Table1[[#This Row],[Column1]]="Social Service",Table1[[#This Row],[income]],0)</f>
        <v>0</v>
      </c>
      <c r="DH288" s="20">
        <f ca="1">IF(Table1[[#This Row],[Column1]]="Education",Table1[[#This Row],[income]],0)</f>
        <v>98379</v>
      </c>
      <c r="DI288" s="5">
        <f ca="1">IF(Table1[[#This Row],[Column1]]="Construction",Table1[[#This Row],[income]],0)</f>
        <v>0</v>
      </c>
      <c r="DK288" s="6">
        <f ca="1">IF(Table1[[#This Row],[Value of Debts]]&gt;Table1[[#This Row],[income]],1,0)</f>
        <v>1</v>
      </c>
      <c r="DL288" s="20"/>
      <c r="DM288" s="20"/>
      <c r="DN288" s="5"/>
      <c r="DP288" s="6">
        <f ca="1">IF(Table1[[#This Row],[Net Worth (£)]]&gt;$DS$5,C288,0)</f>
        <v>0</v>
      </c>
      <c r="DQ288" s="20"/>
      <c r="DR288" s="20"/>
      <c r="DS288" s="5"/>
    </row>
    <row r="289" spans="1:123" x14ac:dyDescent="0.2">
      <c r="A289">
        <f t="shared" ca="1" si="13"/>
        <v>1</v>
      </c>
      <c r="B289" s="1" t="str">
        <f ca="1">IF(A289=1, "men", "women")</f>
        <v>men</v>
      </c>
      <c r="C289" s="1">
        <f ca="1">RANDBETWEEN(25,50)</f>
        <v>40</v>
      </c>
      <c r="D289">
        <f ca="1">RANDBETWEEN(1,6)</f>
        <v>1</v>
      </c>
      <c r="E289" t="str">
        <f ca="1">VLOOKUP(D289,$W$5:$X$10,2)</f>
        <v>Health</v>
      </c>
      <c r="F289">
        <f ca="1">RANDBETWEEN(1,5)</f>
        <v>3</v>
      </c>
      <c r="G289" t="str">
        <f ca="1">VLOOKUP(F289,$Y$5:$Z$9,2)</f>
        <v>University</v>
      </c>
      <c r="H289">
        <f ca="1">RANDBETWEEN(0,4)</f>
        <v>0</v>
      </c>
      <c r="I289">
        <f ca="1">RANDBETWEEN(1,3)</f>
        <v>2</v>
      </c>
      <c r="J289">
        <f ca="1">RANDBETWEEN(30000,100000)</f>
        <v>41686</v>
      </c>
      <c r="K289">
        <f ca="1">RANDBETWEEN(1,48)</f>
        <v>28</v>
      </c>
      <c r="L289" t="str">
        <f ca="1">VLOOKUP(K289,$AA$5:$AB$52,2)</f>
        <v>Lincolnshire</v>
      </c>
      <c r="M289">
        <f ca="1">J289*(RANDBETWEEN(2,5))</f>
        <v>208430</v>
      </c>
      <c r="N289">
        <f ca="1">RAND()*M289</f>
        <v>133061.55302261072</v>
      </c>
      <c r="O289">
        <f ca="1">I289*RAND()*J289</f>
        <v>61318.502236264889</v>
      </c>
      <c r="P289">
        <f ca="1">RANDBETWEEN(0,O289)</f>
        <v>3684</v>
      </c>
      <c r="Q289">
        <f ca="1">RAND()*J289*2</f>
        <v>34986.020492228032</v>
      </c>
      <c r="R289">
        <f ca="1">RAND()*J289*1.5</f>
        <v>60315.173603569972</v>
      </c>
      <c r="S289">
        <f ca="1">J289+R289+O289</f>
        <v>163319.67583983485</v>
      </c>
      <c r="T289">
        <f ca="1">N289+P289+Q289</f>
        <v>171731.57351483876</v>
      </c>
      <c r="U289">
        <f ca="1">S289-T289</f>
        <v>-8411.8976750039146</v>
      </c>
      <c r="AC289" s="6">
        <f ca="1">IF(Table1[[#This Row],[gender]]="men",1,0)</f>
        <v>1</v>
      </c>
      <c r="AD289">
        <f ca="1">IF(Table1[[#This Row],[gender]]="women",1,0)</f>
        <v>0</v>
      </c>
      <c r="AH289" s="5"/>
      <c r="AJ289" s="6">
        <f ca="1">IF(Table1[[#This Row],[Column1]]="Health",1,0)</f>
        <v>1</v>
      </c>
      <c r="AK289">
        <f ca="1">IF(Table1[[#This Row],[Column1]]="Construction",1,0)</f>
        <v>0</v>
      </c>
      <c r="AL289">
        <f ca="1">IF(Table1[[#This Row],[Column1]]="Technology",1,0)</f>
        <v>0</v>
      </c>
      <c r="AM289">
        <f ca="1">IF(Table1[[#This Row],[Column1]]="Education",1,0)</f>
        <v>0</v>
      </c>
      <c r="AN289">
        <f ca="1">IF(Table1[[#This Row],[Column1]]="Agriculture",1,0)</f>
        <v>0</v>
      </c>
      <c r="AO289">
        <f ca="1">IF(Table1[[#This Row],[Column1]]="Social Service", 1, 0)</f>
        <v>0</v>
      </c>
      <c r="AT289" s="5"/>
      <c r="AV289" s="17">
        <f t="shared" ca="1" si="12"/>
        <v>10787.902357299939</v>
      </c>
      <c r="AW289" s="5"/>
      <c r="AX289" s="6">
        <f ca="1">IF(Table1[[#This Row],[Value of Debts]]&gt;$AY$4,1,0)</f>
        <v>1</v>
      </c>
      <c r="AY289" s="20"/>
      <c r="AZ289" s="20"/>
      <c r="BA289" s="5"/>
      <c r="BB289" s="25">
        <f ca="1">Table1[[#This Row],[Mortage Left]]/Table1[[#This Row],[Value of House]]</f>
        <v>0.63839923726244174</v>
      </c>
      <c r="BC289" s="20">
        <f t="shared" ca="1" si="14"/>
        <v>0</v>
      </c>
      <c r="BD289" s="20"/>
      <c r="BE289" s="20"/>
      <c r="BF289" s="20"/>
      <c r="BG289" s="6">
        <f ca="1">IF(Table1[[#This Row],[County]]="Cumbria",Table1[[#This Row],[income]],0)</f>
        <v>0</v>
      </c>
      <c r="BH289" s="20">
        <f ca="1">IF(Table1[[#This Row],[County]]="Cheshire",Table1[[#This Row],[income]],0)</f>
        <v>0</v>
      </c>
      <c r="BI289" s="20">
        <f ca="1">IF(Table1[[#This Row],[County]]="Bristol",Table1[[#This Row],[income]],0)</f>
        <v>0</v>
      </c>
      <c r="BJ289" s="20">
        <f ca="1">IF(Table1[[#This Row],[County]]="Surrey",Table1[[#This Row],[income]],0)</f>
        <v>0</v>
      </c>
      <c r="BK289" s="20">
        <f ca="1">IF(Table1[[#This Row],[County]]="Norfolk",Table1[[#This Row],[income]],0)</f>
        <v>0</v>
      </c>
      <c r="BL289" s="20">
        <f ca="1">IF(Table1[[#This Row],[County]]="Lincolnshire",Table1[[#This Row],[income]],0)</f>
        <v>41686</v>
      </c>
      <c r="BM289" s="20">
        <f ca="1">IF(Table1[[#This Row],[County]]="Somerset",Table1[[#This Row],[income]],0)</f>
        <v>0</v>
      </c>
      <c r="BN289" s="20">
        <f ca="1">IF(Table1[[#This Row],[County]]="Cambridgeshire",Table1[[#This Row],[income]],0)</f>
        <v>0</v>
      </c>
      <c r="BO289" s="20">
        <f ca="1">IF(Table1[[#This Row],[County]]="South Yorkshire",Table1[[#This Row],[income]],0)</f>
        <v>0</v>
      </c>
      <c r="BP289" s="20">
        <f ca="1">IF(Table1[[#This Row],[County]]="Greater London",Table1[[#This Row],[income]],0)</f>
        <v>0</v>
      </c>
      <c r="BQ289" s="20">
        <f ca="1">IF(Table1[[#This Row],[County]]="Hampshire",Table1[[#This Row],[income]],0)</f>
        <v>0</v>
      </c>
      <c r="BR289" s="20">
        <f ca="1">IF(Table1[[#This Row],[County]]="Gloucestershire",Table1[[#This Row],[income]],0)</f>
        <v>0</v>
      </c>
      <c r="BS289" s="20">
        <f ca="1">IF(Table1[[#This Row],[County]]="West Sussex",Table1[[#This Row],[income]],0)</f>
        <v>0</v>
      </c>
      <c r="BT289" s="20">
        <f ca="1">IF(Table1[[#This Row],[County]]="Devon",Table1[[#This Row],[income]],0)</f>
        <v>0</v>
      </c>
      <c r="BU289" s="20">
        <f ca="1">IF(Table1[[#This Row],[County]]="Berkshire",Table1[[#This Row],[income]],0)</f>
        <v>0</v>
      </c>
      <c r="BV289" s="20">
        <f ca="1">IF(Table1[[#This Row],[County]]="Staffordshire",Table1[[#This Row],[income]],0)</f>
        <v>0</v>
      </c>
      <c r="BW289" s="20">
        <f ca="1">IF(Table1[[#This Row],[County]]="Leicestershire",Table1[[#This Row],[income]],0)</f>
        <v>0</v>
      </c>
      <c r="BX289" s="20">
        <f ca="1">IF(Table1[[#This Row],[County]]="Cornwall",Table1[[#This Row],[income]],0)</f>
        <v>0</v>
      </c>
      <c r="BY289" s="20">
        <f ca="1">IF(Table1[[#This Row],[County]]="Isle of Wight",Table1[[#This Row],[income]],0)</f>
        <v>0</v>
      </c>
      <c r="BZ289" s="20">
        <f ca="1">IF(Table1[[#This Row],[County]]="Surrey",Table1[[#This Row],[income]],0)</f>
        <v>0</v>
      </c>
      <c r="CA289" s="20">
        <f ca="1">IF(Table1[[#This Row],[County]]="Derbyshire",Table1[[#This Row],[income]],0)</f>
        <v>0</v>
      </c>
      <c r="CB289" s="20">
        <f ca="1">IF(Table1[[#This Row],[County]]="City of London",Table1[[#This Row],[income]],0)</f>
        <v>0</v>
      </c>
      <c r="CC289" s="20">
        <f ca="1">IF(Table1[[#This Row],[County]]="Bedfordshire",Table1[[#This Row],[income]],0)</f>
        <v>0</v>
      </c>
      <c r="CD289" s="20">
        <f ca="1">IF(Table1[[#This Row],[County]]="County Durham",Table1[[#This Row],[income]],0)</f>
        <v>0</v>
      </c>
      <c r="CE289" s="20">
        <f ca="1">IF(Table1[[#This Row],[County]]="East Riding of Yorkshire",Table1[[#This Row],[income]],0)</f>
        <v>0</v>
      </c>
      <c r="CF289" s="20">
        <f ca="1">IF(Table1[[#This Row],[County]]="West Yorkshire",Table1[[#This Row],[income]],0)</f>
        <v>0</v>
      </c>
      <c r="CG289" s="20">
        <f ca="1">IF(Table1[[#This Row],[County]]="Essex",Table1[[#This Row],[income]],0)</f>
        <v>0</v>
      </c>
      <c r="CH289" s="20">
        <f ca="1">IF(Table1[[#This Row],[County]]="East Sussex",Table1[[#This Row],[income]],0)</f>
        <v>0</v>
      </c>
      <c r="CI289" s="20">
        <f ca="1">IF(Table1[[#This Row],[County]]="Greater Manchester",Table1[[#This Row],[income]],0)</f>
        <v>0</v>
      </c>
      <c r="CJ289" s="20">
        <f ca="1">IF(Table1[[#This Row],[County]]="Hertfordshire",Table1[[#This Row],[income]],0)</f>
        <v>0</v>
      </c>
      <c r="CK289" s="20">
        <f ca="1">IF(Table1[[#This Row],[County]]="Herefordshire",Table1[[#This Row],[income]],0)</f>
        <v>0</v>
      </c>
      <c r="CL289" s="20">
        <f ca="1">IF(Table1[[#This Row],[County]]="Lancashire",Table1[[#This Row],[income]],0)</f>
        <v>0</v>
      </c>
      <c r="CM289" s="20">
        <f ca="1">IF(Table1[[#This Row],[County]]="Merseyside",Table1[[#This Row],[income]],0)</f>
        <v>0</v>
      </c>
      <c r="CN289" s="20">
        <f ca="1">IF(Table1[[#This Row],[County]]="Northamptonshire",Table1[[#This Row],[income]],0)</f>
        <v>0</v>
      </c>
      <c r="CO289" s="20">
        <f ca="1">IF(Table1[[#This Row],[County]]="Northumberland",Table1[[#This Row],[income]],0)</f>
        <v>0</v>
      </c>
      <c r="CP289" s="20">
        <f ca="1">IF(Table1[[#This Row],[County]]="Wiltshire",Table1[[#This Row],[income]],0)</f>
        <v>0</v>
      </c>
      <c r="CQ289" s="20">
        <f ca="1">IF(Table1[[#This Row],[County]]="West Midlands",Table1[[#This Row],[income]],0)</f>
        <v>0</v>
      </c>
      <c r="CR289" s="20">
        <f ca="1">IF(Table1[[#This Row],[County]]="Warwickshire",Table1[[#This Row],[income]],0)</f>
        <v>0</v>
      </c>
      <c r="CS289" s="20">
        <f ca="1">IF(Table1[[#This Row],[County]]="Tyne and Wear",Table1[[#This Row],[income]],0)</f>
        <v>0</v>
      </c>
      <c r="CT289" s="20">
        <f ca="1">IF(Table1[[#This Row],[County]]="Worcestershire",Table1[[#This Row],[income]],0)</f>
        <v>0</v>
      </c>
      <c r="CU289" s="20">
        <f ca="1">IF(Table1[[#This Row],[County]]="Rutland",Table1[[#This Row],[income]],0)</f>
        <v>0</v>
      </c>
      <c r="CV289" s="20">
        <f ca="1">IF(Table1[[#This Row],[County]]="Shropshire",Table1[[#This Row],[income]],0)</f>
        <v>0</v>
      </c>
      <c r="CW289" s="20">
        <f ca="1">IF(Table1[[#This Row],[County]]="Dorset",Table1[[#This Row],[income]],0)</f>
        <v>0</v>
      </c>
      <c r="CX289" s="20">
        <f ca="1">IF(Table1[[#This Row],[County]]="Buckinghamshire",Table1[[#This Row],[income]],0)</f>
        <v>0</v>
      </c>
      <c r="CY289" s="20">
        <f ca="1">IF(Table1[[#This Row],[County]]="Suffolk",Table1[[#This Row],[income]],0)</f>
        <v>0</v>
      </c>
      <c r="CZ289" s="20">
        <f ca="1">IF(Table1[[#This Row],[County]]="North Yorkshire",Table1[[#This Row],[income]],0)</f>
        <v>0</v>
      </c>
      <c r="DA289" s="20">
        <f ca="1">IF(Table1[[#This Row],[County]]="Kent",Table1[[#This Row],[income]],0)</f>
        <v>0</v>
      </c>
      <c r="DB289" s="5">
        <f ca="1">IF(Table1[[#This Row],[County]]="Derbyshire",Table1[[#This Row],[income]],0)</f>
        <v>0</v>
      </c>
      <c r="DD289" s="6">
        <f ca="1">IF(Table1[[#This Row],[Column1]]="Health",Table1[[#This Row],[income]],0)</f>
        <v>41686</v>
      </c>
      <c r="DE289" s="20">
        <f ca="1">IF(Table1[[#This Row],[Column1]]="Agriculture",Table1[[#This Row],[income]],0)</f>
        <v>0</v>
      </c>
      <c r="DF289" s="20">
        <f ca="1">IF(Table1[[#This Row],[Column1]]="Technology",Table1[[#This Row],[income]],0)</f>
        <v>0</v>
      </c>
      <c r="DG289" s="20">
        <f ca="1">IF(Table1[[#This Row],[Column1]]="Social Service",Table1[[#This Row],[income]],0)</f>
        <v>0</v>
      </c>
      <c r="DH289" s="20">
        <f ca="1">IF(Table1[[#This Row],[Column1]]="Education",Table1[[#This Row],[income]],0)</f>
        <v>0</v>
      </c>
      <c r="DI289" s="5">
        <f ca="1">IF(Table1[[#This Row],[Column1]]="Construction",Table1[[#This Row],[income]],0)</f>
        <v>0</v>
      </c>
      <c r="DK289" s="6">
        <f ca="1">IF(Table1[[#This Row],[Value of Debts]]&gt;Table1[[#This Row],[income]],1,0)</f>
        <v>1</v>
      </c>
      <c r="DL289" s="20"/>
      <c r="DM289" s="20"/>
      <c r="DN289" s="5"/>
      <c r="DP289" s="6">
        <f ca="1">IF(Table1[[#This Row],[Net Worth (£)]]&gt;$DS$5,C289,0)</f>
        <v>0</v>
      </c>
      <c r="DQ289" s="20"/>
      <c r="DR289" s="20"/>
      <c r="DS289" s="5"/>
    </row>
    <row r="290" spans="1:123" x14ac:dyDescent="0.2">
      <c r="A290">
        <f t="shared" ca="1" si="13"/>
        <v>1</v>
      </c>
      <c r="B290" s="1" t="str">
        <f ca="1">IF(A290=1, "men", "women")</f>
        <v>men</v>
      </c>
      <c r="C290" s="1">
        <f ca="1">RANDBETWEEN(25,50)</f>
        <v>31</v>
      </c>
      <c r="D290">
        <f ca="1">RANDBETWEEN(1,6)</f>
        <v>3</v>
      </c>
      <c r="E290" t="str">
        <f ca="1">VLOOKUP(D290,$W$5:$X$10,2)</f>
        <v>Education</v>
      </c>
      <c r="F290">
        <f ca="1">RANDBETWEEN(1,5)</f>
        <v>1</v>
      </c>
      <c r="G290" t="str">
        <f ca="1">VLOOKUP(F290,$Y$5:$Z$9,2)</f>
        <v>High School</v>
      </c>
      <c r="H290">
        <f ca="1">RANDBETWEEN(0,4)</f>
        <v>3</v>
      </c>
      <c r="I290">
        <f ca="1">RANDBETWEEN(1,3)</f>
        <v>3</v>
      </c>
      <c r="J290">
        <f ca="1">RANDBETWEEN(30000,100000)</f>
        <v>36771</v>
      </c>
      <c r="K290">
        <f ca="1">RANDBETWEEN(1,48)</f>
        <v>23</v>
      </c>
      <c r="L290" t="str">
        <f ca="1">VLOOKUP(K290,$AA$5:$AB$52,2)</f>
        <v>Isle of Wight</v>
      </c>
      <c r="M290">
        <f ca="1">J290*(RANDBETWEEN(2,5))</f>
        <v>110313</v>
      </c>
      <c r="N290">
        <f ca="1">RAND()*M290</f>
        <v>75482.252876235958</v>
      </c>
      <c r="O290">
        <f ca="1">I290*RAND()*J290</f>
        <v>32363.707071899818</v>
      </c>
      <c r="P290">
        <f ca="1">RANDBETWEEN(0,O290)</f>
        <v>25176</v>
      </c>
      <c r="Q290">
        <f ca="1">RAND()*J290*2</f>
        <v>49954.043570270405</v>
      </c>
      <c r="R290">
        <f ca="1">RAND()*J290*1.5</f>
        <v>31584.062638206087</v>
      </c>
      <c r="S290">
        <f ca="1">J290+R290+O290</f>
        <v>100718.7697101059</v>
      </c>
      <c r="T290">
        <f ca="1">N290+P290+Q290</f>
        <v>150612.29644650637</v>
      </c>
      <c r="U290">
        <f ca="1">S290-T290</f>
        <v>-49893.526736400469</v>
      </c>
      <c r="AC290" s="6">
        <f ca="1">IF(Table1[[#This Row],[gender]]="men",1,0)</f>
        <v>1</v>
      </c>
      <c r="AD290">
        <f ca="1">IF(Table1[[#This Row],[gender]]="women",1,0)</f>
        <v>0</v>
      </c>
      <c r="AH290" s="5"/>
      <c r="AJ290" s="6">
        <f ca="1">IF(Table1[[#This Row],[Column1]]="Health",1,0)</f>
        <v>0</v>
      </c>
      <c r="AK290">
        <f ca="1">IF(Table1[[#This Row],[Column1]]="Construction",1,0)</f>
        <v>0</v>
      </c>
      <c r="AL290">
        <f ca="1">IF(Table1[[#This Row],[Column1]]="Technology",1,0)</f>
        <v>0</v>
      </c>
      <c r="AM290">
        <f ca="1">IF(Table1[[#This Row],[Column1]]="Education",1,0)</f>
        <v>1</v>
      </c>
      <c r="AN290">
        <f ca="1">IF(Table1[[#This Row],[Column1]]="Agriculture",1,0)</f>
        <v>0</v>
      </c>
      <c r="AO290">
        <f ca="1">IF(Table1[[#This Row],[Column1]]="Social Service", 1, 0)</f>
        <v>0</v>
      </c>
      <c r="AT290" s="5"/>
      <c r="AV290" s="17">
        <f t="shared" ca="1" si="12"/>
        <v>31205.55586436735</v>
      </c>
      <c r="AW290" s="5"/>
      <c r="AX290" s="6">
        <f ca="1">IF(Table1[[#This Row],[Value of Debts]]&gt;$AY$4,1,0)</f>
        <v>1</v>
      </c>
      <c r="AY290" s="20"/>
      <c r="AZ290" s="20"/>
      <c r="BA290" s="5"/>
      <c r="BB290" s="25">
        <f ca="1">Table1[[#This Row],[Mortage Left]]/Table1[[#This Row],[Value of House]]</f>
        <v>0.68425528157366733</v>
      </c>
      <c r="BC290" s="20">
        <f t="shared" ca="1" si="14"/>
        <v>0</v>
      </c>
      <c r="BD290" s="20"/>
      <c r="BE290" s="20"/>
      <c r="BF290" s="20"/>
      <c r="BG290" s="6">
        <f ca="1">IF(Table1[[#This Row],[County]]="Cumbria",Table1[[#This Row],[income]],0)</f>
        <v>0</v>
      </c>
      <c r="BH290" s="20">
        <f ca="1">IF(Table1[[#This Row],[County]]="Cheshire",Table1[[#This Row],[income]],0)</f>
        <v>0</v>
      </c>
      <c r="BI290" s="20">
        <f ca="1">IF(Table1[[#This Row],[County]]="Bristol",Table1[[#This Row],[income]],0)</f>
        <v>0</v>
      </c>
      <c r="BJ290" s="20">
        <f ca="1">IF(Table1[[#This Row],[County]]="Surrey",Table1[[#This Row],[income]],0)</f>
        <v>0</v>
      </c>
      <c r="BK290" s="20">
        <f ca="1">IF(Table1[[#This Row],[County]]="Norfolk",Table1[[#This Row],[income]],0)</f>
        <v>0</v>
      </c>
      <c r="BL290" s="20">
        <f ca="1">IF(Table1[[#This Row],[County]]="Lincolnshire",Table1[[#This Row],[income]],0)</f>
        <v>0</v>
      </c>
      <c r="BM290" s="20">
        <f ca="1">IF(Table1[[#This Row],[County]]="Somerset",Table1[[#This Row],[income]],0)</f>
        <v>0</v>
      </c>
      <c r="BN290" s="20">
        <f ca="1">IF(Table1[[#This Row],[County]]="Cambridgeshire",Table1[[#This Row],[income]],0)</f>
        <v>0</v>
      </c>
      <c r="BO290" s="20">
        <f ca="1">IF(Table1[[#This Row],[County]]="South Yorkshire",Table1[[#This Row],[income]],0)</f>
        <v>0</v>
      </c>
      <c r="BP290" s="20">
        <f ca="1">IF(Table1[[#This Row],[County]]="Greater London",Table1[[#This Row],[income]],0)</f>
        <v>0</v>
      </c>
      <c r="BQ290" s="20">
        <f ca="1">IF(Table1[[#This Row],[County]]="Hampshire",Table1[[#This Row],[income]],0)</f>
        <v>0</v>
      </c>
      <c r="BR290" s="20">
        <f ca="1">IF(Table1[[#This Row],[County]]="Gloucestershire",Table1[[#This Row],[income]],0)</f>
        <v>0</v>
      </c>
      <c r="BS290" s="20">
        <f ca="1">IF(Table1[[#This Row],[County]]="West Sussex",Table1[[#This Row],[income]],0)</f>
        <v>0</v>
      </c>
      <c r="BT290" s="20">
        <f ca="1">IF(Table1[[#This Row],[County]]="Devon",Table1[[#This Row],[income]],0)</f>
        <v>0</v>
      </c>
      <c r="BU290" s="20">
        <f ca="1">IF(Table1[[#This Row],[County]]="Berkshire",Table1[[#This Row],[income]],0)</f>
        <v>0</v>
      </c>
      <c r="BV290" s="20">
        <f ca="1">IF(Table1[[#This Row],[County]]="Staffordshire",Table1[[#This Row],[income]],0)</f>
        <v>0</v>
      </c>
      <c r="BW290" s="20">
        <f ca="1">IF(Table1[[#This Row],[County]]="Leicestershire",Table1[[#This Row],[income]],0)</f>
        <v>0</v>
      </c>
      <c r="BX290" s="20">
        <f ca="1">IF(Table1[[#This Row],[County]]="Cornwall",Table1[[#This Row],[income]],0)</f>
        <v>0</v>
      </c>
      <c r="BY290" s="20">
        <f ca="1">IF(Table1[[#This Row],[County]]="Isle of Wight",Table1[[#This Row],[income]],0)</f>
        <v>36771</v>
      </c>
      <c r="BZ290" s="20">
        <f ca="1">IF(Table1[[#This Row],[County]]="Surrey",Table1[[#This Row],[income]],0)</f>
        <v>0</v>
      </c>
      <c r="CA290" s="20">
        <f ca="1">IF(Table1[[#This Row],[County]]="Derbyshire",Table1[[#This Row],[income]],0)</f>
        <v>0</v>
      </c>
      <c r="CB290" s="20">
        <f ca="1">IF(Table1[[#This Row],[County]]="City of London",Table1[[#This Row],[income]],0)</f>
        <v>0</v>
      </c>
      <c r="CC290" s="20">
        <f ca="1">IF(Table1[[#This Row],[County]]="Bedfordshire",Table1[[#This Row],[income]],0)</f>
        <v>0</v>
      </c>
      <c r="CD290" s="20">
        <f ca="1">IF(Table1[[#This Row],[County]]="County Durham",Table1[[#This Row],[income]],0)</f>
        <v>0</v>
      </c>
      <c r="CE290" s="20">
        <f ca="1">IF(Table1[[#This Row],[County]]="East Riding of Yorkshire",Table1[[#This Row],[income]],0)</f>
        <v>0</v>
      </c>
      <c r="CF290" s="20">
        <f ca="1">IF(Table1[[#This Row],[County]]="West Yorkshire",Table1[[#This Row],[income]],0)</f>
        <v>0</v>
      </c>
      <c r="CG290" s="20">
        <f ca="1">IF(Table1[[#This Row],[County]]="Essex",Table1[[#This Row],[income]],0)</f>
        <v>0</v>
      </c>
      <c r="CH290" s="20">
        <f ca="1">IF(Table1[[#This Row],[County]]="East Sussex",Table1[[#This Row],[income]],0)</f>
        <v>0</v>
      </c>
      <c r="CI290" s="20">
        <f ca="1">IF(Table1[[#This Row],[County]]="Greater Manchester",Table1[[#This Row],[income]],0)</f>
        <v>0</v>
      </c>
      <c r="CJ290" s="20">
        <f ca="1">IF(Table1[[#This Row],[County]]="Hertfordshire",Table1[[#This Row],[income]],0)</f>
        <v>0</v>
      </c>
      <c r="CK290" s="20">
        <f ca="1">IF(Table1[[#This Row],[County]]="Herefordshire",Table1[[#This Row],[income]],0)</f>
        <v>0</v>
      </c>
      <c r="CL290" s="20">
        <f ca="1">IF(Table1[[#This Row],[County]]="Lancashire",Table1[[#This Row],[income]],0)</f>
        <v>0</v>
      </c>
      <c r="CM290" s="20">
        <f ca="1">IF(Table1[[#This Row],[County]]="Merseyside",Table1[[#This Row],[income]],0)</f>
        <v>0</v>
      </c>
      <c r="CN290" s="20">
        <f ca="1">IF(Table1[[#This Row],[County]]="Northamptonshire",Table1[[#This Row],[income]],0)</f>
        <v>0</v>
      </c>
      <c r="CO290" s="20">
        <f ca="1">IF(Table1[[#This Row],[County]]="Northumberland",Table1[[#This Row],[income]],0)</f>
        <v>0</v>
      </c>
      <c r="CP290" s="20">
        <f ca="1">IF(Table1[[#This Row],[County]]="Wiltshire",Table1[[#This Row],[income]],0)</f>
        <v>0</v>
      </c>
      <c r="CQ290" s="20">
        <f ca="1">IF(Table1[[#This Row],[County]]="West Midlands",Table1[[#This Row],[income]],0)</f>
        <v>0</v>
      </c>
      <c r="CR290" s="20">
        <f ca="1">IF(Table1[[#This Row],[County]]="Warwickshire",Table1[[#This Row],[income]],0)</f>
        <v>0</v>
      </c>
      <c r="CS290" s="20">
        <f ca="1">IF(Table1[[#This Row],[County]]="Tyne and Wear",Table1[[#This Row],[income]],0)</f>
        <v>0</v>
      </c>
      <c r="CT290" s="20">
        <f ca="1">IF(Table1[[#This Row],[County]]="Worcestershire",Table1[[#This Row],[income]],0)</f>
        <v>0</v>
      </c>
      <c r="CU290" s="20">
        <f ca="1">IF(Table1[[#This Row],[County]]="Rutland",Table1[[#This Row],[income]],0)</f>
        <v>0</v>
      </c>
      <c r="CV290" s="20">
        <f ca="1">IF(Table1[[#This Row],[County]]="Shropshire",Table1[[#This Row],[income]],0)</f>
        <v>0</v>
      </c>
      <c r="CW290" s="20">
        <f ca="1">IF(Table1[[#This Row],[County]]="Dorset",Table1[[#This Row],[income]],0)</f>
        <v>0</v>
      </c>
      <c r="CX290" s="20">
        <f ca="1">IF(Table1[[#This Row],[County]]="Buckinghamshire",Table1[[#This Row],[income]],0)</f>
        <v>0</v>
      </c>
      <c r="CY290" s="20">
        <f ca="1">IF(Table1[[#This Row],[County]]="Suffolk",Table1[[#This Row],[income]],0)</f>
        <v>0</v>
      </c>
      <c r="CZ290" s="20">
        <f ca="1">IF(Table1[[#This Row],[County]]="North Yorkshire",Table1[[#This Row],[income]],0)</f>
        <v>0</v>
      </c>
      <c r="DA290" s="20">
        <f ca="1">IF(Table1[[#This Row],[County]]="Kent",Table1[[#This Row],[income]],0)</f>
        <v>0</v>
      </c>
      <c r="DB290" s="5">
        <f ca="1">IF(Table1[[#This Row],[County]]="Derbyshire",Table1[[#This Row],[income]],0)</f>
        <v>0</v>
      </c>
      <c r="DD290" s="6">
        <f ca="1">IF(Table1[[#This Row],[Column1]]="Health",Table1[[#This Row],[income]],0)</f>
        <v>0</v>
      </c>
      <c r="DE290" s="20">
        <f ca="1">IF(Table1[[#This Row],[Column1]]="Agriculture",Table1[[#This Row],[income]],0)</f>
        <v>0</v>
      </c>
      <c r="DF290" s="20">
        <f ca="1">IF(Table1[[#This Row],[Column1]]="Technology",Table1[[#This Row],[income]],0)</f>
        <v>0</v>
      </c>
      <c r="DG290" s="20">
        <f ca="1">IF(Table1[[#This Row],[Column1]]="Social Service",Table1[[#This Row],[income]],0)</f>
        <v>0</v>
      </c>
      <c r="DH290" s="20">
        <f ca="1">IF(Table1[[#This Row],[Column1]]="Education",Table1[[#This Row],[income]],0)</f>
        <v>36771</v>
      </c>
      <c r="DI290" s="5">
        <f ca="1">IF(Table1[[#This Row],[Column1]]="Construction",Table1[[#This Row],[income]],0)</f>
        <v>0</v>
      </c>
      <c r="DK290" s="6">
        <f ca="1">IF(Table1[[#This Row],[Value of Debts]]&gt;Table1[[#This Row],[income]],1,0)</f>
        <v>1</v>
      </c>
      <c r="DL290" s="20"/>
      <c r="DM290" s="20"/>
      <c r="DN290" s="5"/>
      <c r="DP290" s="6">
        <f ca="1">IF(Table1[[#This Row],[Net Worth (£)]]&gt;$DS$5,C290,0)</f>
        <v>0</v>
      </c>
      <c r="DQ290" s="20"/>
      <c r="DR290" s="20"/>
      <c r="DS290" s="5"/>
    </row>
    <row r="291" spans="1:123" x14ac:dyDescent="0.2">
      <c r="A291">
        <f t="shared" ca="1" si="13"/>
        <v>2</v>
      </c>
      <c r="B291" s="1" t="str">
        <f ca="1">IF(A291=1, "men", "women")</f>
        <v>women</v>
      </c>
      <c r="C291" s="1">
        <f ca="1">RANDBETWEEN(25,50)</f>
        <v>44</v>
      </c>
      <c r="D291">
        <f ca="1">RANDBETWEEN(1,6)</f>
        <v>4</v>
      </c>
      <c r="E291" t="str">
        <f ca="1">VLOOKUP(D291,$W$5:$X$10,2)</f>
        <v>Technology</v>
      </c>
      <c r="F291">
        <f ca="1">RANDBETWEEN(1,5)</f>
        <v>4</v>
      </c>
      <c r="G291" t="str">
        <f ca="1">VLOOKUP(F291,$Y$5:$Z$9,2)</f>
        <v xml:space="preserve">Technical </v>
      </c>
      <c r="H291">
        <f ca="1">RANDBETWEEN(0,4)</f>
        <v>0</v>
      </c>
      <c r="I291">
        <f ca="1">RANDBETWEEN(1,3)</f>
        <v>1</v>
      </c>
      <c r="J291">
        <f ca="1">RANDBETWEEN(30000,100000)</f>
        <v>39652</v>
      </c>
      <c r="K291">
        <f ca="1">RANDBETWEEN(1,48)</f>
        <v>30</v>
      </c>
      <c r="L291" t="str">
        <f ca="1">VLOOKUP(K291,$AA$5:$AB$52,2)</f>
        <v>North Yorkshire</v>
      </c>
      <c r="M291">
        <f ca="1">J291*(RANDBETWEEN(2,5))</f>
        <v>198260</v>
      </c>
      <c r="N291">
        <f ca="1">RAND()*M291</f>
        <v>162127.75543327053</v>
      </c>
      <c r="O291">
        <f ca="1">I291*RAND()*J291</f>
        <v>31205.55586436735</v>
      </c>
      <c r="P291">
        <f ca="1">RANDBETWEEN(0,O291)</f>
        <v>28561</v>
      </c>
      <c r="Q291">
        <f ca="1">RAND()*J291*2</f>
        <v>48274.849615374427</v>
      </c>
      <c r="R291">
        <f ca="1">RAND()*J291*1.5</f>
        <v>50016.417419427627</v>
      </c>
      <c r="S291">
        <f ca="1">J291+R291+O291</f>
        <v>120873.97328379497</v>
      </c>
      <c r="T291">
        <f ca="1">N291+P291+Q291</f>
        <v>238963.60504864497</v>
      </c>
      <c r="U291">
        <f ca="1">S291-T291</f>
        <v>-118089.63176485</v>
      </c>
      <c r="AC291" s="6">
        <f ca="1">IF(Table1[[#This Row],[gender]]="men",1,0)</f>
        <v>0</v>
      </c>
      <c r="AD291">
        <f ca="1">IF(Table1[[#This Row],[gender]]="women",1,0)</f>
        <v>1</v>
      </c>
      <c r="AH291" s="5"/>
      <c r="AJ291" s="6">
        <f ca="1">IF(Table1[[#This Row],[Column1]]="Health",1,0)</f>
        <v>0</v>
      </c>
      <c r="AK291">
        <f ca="1">IF(Table1[[#This Row],[Column1]]="Construction",1,0)</f>
        <v>0</v>
      </c>
      <c r="AL291">
        <f ca="1">IF(Table1[[#This Row],[Column1]]="Technology",1,0)</f>
        <v>1</v>
      </c>
      <c r="AM291">
        <f ca="1">IF(Table1[[#This Row],[Column1]]="Education",1,0)</f>
        <v>0</v>
      </c>
      <c r="AN291">
        <f ca="1">IF(Table1[[#This Row],[Column1]]="Agriculture",1,0)</f>
        <v>0</v>
      </c>
      <c r="AO291">
        <f ca="1">IF(Table1[[#This Row],[Column1]]="Social Service", 1, 0)</f>
        <v>0</v>
      </c>
      <c r="AT291" s="5"/>
      <c r="AV291" s="17">
        <f t="shared" ca="1" si="12"/>
        <v>13942.751403619193</v>
      </c>
      <c r="AW291" s="5"/>
      <c r="AX291" s="6">
        <f ca="1">IF(Table1[[#This Row],[Value of Debts]]&gt;$AY$4,1,0)</f>
        <v>1</v>
      </c>
      <c r="AY291" s="20"/>
      <c r="AZ291" s="20"/>
      <c r="BA291" s="5"/>
      <c r="BB291" s="25">
        <f ca="1">Table1[[#This Row],[Mortage Left]]/Table1[[#This Row],[Value of House]]</f>
        <v>0.81775323026969904</v>
      </c>
      <c r="BC291" s="20">
        <f t="shared" ca="1" si="14"/>
        <v>0</v>
      </c>
      <c r="BD291" s="20"/>
      <c r="BE291" s="20"/>
      <c r="BF291" s="20"/>
      <c r="BG291" s="6">
        <f ca="1">IF(Table1[[#This Row],[County]]="Cumbria",Table1[[#This Row],[income]],0)</f>
        <v>0</v>
      </c>
      <c r="BH291" s="20">
        <f ca="1">IF(Table1[[#This Row],[County]]="Cheshire",Table1[[#This Row],[income]],0)</f>
        <v>0</v>
      </c>
      <c r="BI291" s="20">
        <f ca="1">IF(Table1[[#This Row],[County]]="Bristol",Table1[[#This Row],[income]],0)</f>
        <v>0</v>
      </c>
      <c r="BJ291" s="20">
        <f ca="1">IF(Table1[[#This Row],[County]]="Surrey",Table1[[#This Row],[income]],0)</f>
        <v>0</v>
      </c>
      <c r="BK291" s="20">
        <f ca="1">IF(Table1[[#This Row],[County]]="Norfolk",Table1[[#This Row],[income]],0)</f>
        <v>0</v>
      </c>
      <c r="BL291" s="20">
        <f ca="1">IF(Table1[[#This Row],[County]]="Lincolnshire",Table1[[#This Row],[income]],0)</f>
        <v>0</v>
      </c>
      <c r="BM291" s="20">
        <f ca="1">IF(Table1[[#This Row],[County]]="Somerset",Table1[[#This Row],[income]],0)</f>
        <v>0</v>
      </c>
      <c r="BN291" s="20">
        <f ca="1">IF(Table1[[#This Row],[County]]="Cambridgeshire",Table1[[#This Row],[income]],0)</f>
        <v>0</v>
      </c>
      <c r="BO291" s="20">
        <f ca="1">IF(Table1[[#This Row],[County]]="South Yorkshire",Table1[[#This Row],[income]],0)</f>
        <v>0</v>
      </c>
      <c r="BP291" s="20">
        <f ca="1">IF(Table1[[#This Row],[County]]="Greater London",Table1[[#This Row],[income]],0)</f>
        <v>0</v>
      </c>
      <c r="BQ291" s="20">
        <f ca="1">IF(Table1[[#This Row],[County]]="Hampshire",Table1[[#This Row],[income]],0)</f>
        <v>0</v>
      </c>
      <c r="BR291" s="20">
        <f ca="1">IF(Table1[[#This Row],[County]]="Gloucestershire",Table1[[#This Row],[income]],0)</f>
        <v>0</v>
      </c>
      <c r="BS291" s="20">
        <f ca="1">IF(Table1[[#This Row],[County]]="West Sussex",Table1[[#This Row],[income]],0)</f>
        <v>0</v>
      </c>
      <c r="BT291" s="20">
        <f ca="1">IF(Table1[[#This Row],[County]]="Devon",Table1[[#This Row],[income]],0)</f>
        <v>0</v>
      </c>
      <c r="BU291" s="20">
        <f ca="1">IF(Table1[[#This Row],[County]]="Berkshire",Table1[[#This Row],[income]],0)</f>
        <v>0</v>
      </c>
      <c r="BV291" s="20">
        <f ca="1">IF(Table1[[#This Row],[County]]="Staffordshire",Table1[[#This Row],[income]],0)</f>
        <v>0</v>
      </c>
      <c r="BW291" s="20">
        <f ca="1">IF(Table1[[#This Row],[County]]="Leicestershire",Table1[[#This Row],[income]],0)</f>
        <v>0</v>
      </c>
      <c r="BX291" s="20">
        <f ca="1">IF(Table1[[#This Row],[County]]="Cornwall",Table1[[#This Row],[income]],0)</f>
        <v>0</v>
      </c>
      <c r="BY291" s="20">
        <f ca="1">IF(Table1[[#This Row],[County]]="Isle of Wight",Table1[[#This Row],[income]],0)</f>
        <v>0</v>
      </c>
      <c r="BZ291" s="20">
        <f ca="1">IF(Table1[[#This Row],[County]]="Surrey",Table1[[#This Row],[income]],0)</f>
        <v>0</v>
      </c>
      <c r="CA291" s="20">
        <f ca="1">IF(Table1[[#This Row],[County]]="Derbyshire",Table1[[#This Row],[income]],0)</f>
        <v>0</v>
      </c>
      <c r="CB291" s="20">
        <f ca="1">IF(Table1[[#This Row],[County]]="City of London",Table1[[#This Row],[income]],0)</f>
        <v>0</v>
      </c>
      <c r="CC291" s="20">
        <f ca="1">IF(Table1[[#This Row],[County]]="Bedfordshire",Table1[[#This Row],[income]],0)</f>
        <v>0</v>
      </c>
      <c r="CD291" s="20">
        <f ca="1">IF(Table1[[#This Row],[County]]="County Durham",Table1[[#This Row],[income]],0)</f>
        <v>0</v>
      </c>
      <c r="CE291" s="20">
        <f ca="1">IF(Table1[[#This Row],[County]]="East Riding of Yorkshire",Table1[[#This Row],[income]],0)</f>
        <v>0</v>
      </c>
      <c r="CF291" s="20">
        <f ca="1">IF(Table1[[#This Row],[County]]="West Yorkshire",Table1[[#This Row],[income]],0)</f>
        <v>0</v>
      </c>
      <c r="CG291" s="20">
        <f ca="1">IF(Table1[[#This Row],[County]]="Essex",Table1[[#This Row],[income]],0)</f>
        <v>0</v>
      </c>
      <c r="CH291" s="20">
        <f ca="1">IF(Table1[[#This Row],[County]]="East Sussex",Table1[[#This Row],[income]],0)</f>
        <v>0</v>
      </c>
      <c r="CI291" s="20">
        <f ca="1">IF(Table1[[#This Row],[County]]="Greater Manchester",Table1[[#This Row],[income]],0)</f>
        <v>0</v>
      </c>
      <c r="CJ291" s="20">
        <f ca="1">IF(Table1[[#This Row],[County]]="Hertfordshire",Table1[[#This Row],[income]],0)</f>
        <v>0</v>
      </c>
      <c r="CK291" s="20">
        <f ca="1">IF(Table1[[#This Row],[County]]="Herefordshire",Table1[[#This Row],[income]],0)</f>
        <v>0</v>
      </c>
      <c r="CL291" s="20">
        <f ca="1">IF(Table1[[#This Row],[County]]="Lancashire",Table1[[#This Row],[income]],0)</f>
        <v>0</v>
      </c>
      <c r="CM291" s="20">
        <f ca="1">IF(Table1[[#This Row],[County]]="Merseyside",Table1[[#This Row],[income]],0)</f>
        <v>0</v>
      </c>
      <c r="CN291" s="20">
        <f ca="1">IF(Table1[[#This Row],[County]]="Northamptonshire",Table1[[#This Row],[income]],0)</f>
        <v>0</v>
      </c>
      <c r="CO291" s="20">
        <f ca="1">IF(Table1[[#This Row],[County]]="Northumberland",Table1[[#This Row],[income]],0)</f>
        <v>0</v>
      </c>
      <c r="CP291" s="20">
        <f ca="1">IF(Table1[[#This Row],[County]]="Wiltshire",Table1[[#This Row],[income]],0)</f>
        <v>0</v>
      </c>
      <c r="CQ291" s="20">
        <f ca="1">IF(Table1[[#This Row],[County]]="West Midlands",Table1[[#This Row],[income]],0)</f>
        <v>0</v>
      </c>
      <c r="CR291" s="20">
        <f ca="1">IF(Table1[[#This Row],[County]]="Warwickshire",Table1[[#This Row],[income]],0)</f>
        <v>0</v>
      </c>
      <c r="CS291" s="20">
        <f ca="1">IF(Table1[[#This Row],[County]]="Tyne and Wear",Table1[[#This Row],[income]],0)</f>
        <v>0</v>
      </c>
      <c r="CT291" s="20">
        <f ca="1">IF(Table1[[#This Row],[County]]="Worcestershire",Table1[[#This Row],[income]],0)</f>
        <v>0</v>
      </c>
      <c r="CU291" s="20">
        <f ca="1">IF(Table1[[#This Row],[County]]="Rutland",Table1[[#This Row],[income]],0)</f>
        <v>0</v>
      </c>
      <c r="CV291" s="20">
        <f ca="1">IF(Table1[[#This Row],[County]]="Shropshire",Table1[[#This Row],[income]],0)</f>
        <v>0</v>
      </c>
      <c r="CW291" s="20">
        <f ca="1">IF(Table1[[#This Row],[County]]="Dorset",Table1[[#This Row],[income]],0)</f>
        <v>0</v>
      </c>
      <c r="CX291" s="20">
        <f ca="1">IF(Table1[[#This Row],[County]]="Buckinghamshire",Table1[[#This Row],[income]],0)</f>
        <v>0</v>
      </c>
      <c r="CY291" s="20">
        <f ca="1">IF(Table1[[#This Row],[County]]="Suffolk",Table1[[#This Row],[income]],0)</f>
        <v>0</v>
      </c>
      <c r="CZ291" s="20">
        <f ca="1">IF(Table1[[#This Row],[County]]="North Yorkshire",Table1[[#This Row],[income]],0)</f>
        <v>39652</v>
      </c>
      <c r="DA291" s="20">
        <f ca="1">IF(Table1[[#This Row],[County]]="Kent",Table1[[#This Row],[income]],0)</f>
        <v>0</v>
      </c>
      <c r="DB291" s="5">
        <f ca="1">IF(Table1[[#This Row],[County]]="Derbyshire",Table1[[#This Row],[income]],0)</f>
        <v>0</v>
      </c>
      <c r="DD291" s="6">
        <f ca="1">IF(Table1[[#This Row],[Column1]]="Health",Table1[[#This Row],[income]],0)</f>
        <v>0</v>
      </c>
      <c r="DE291" s="20">
        <f ca="1">IF(Table1[[#This Row],[Column1]]="Agriculture",Table1[[#This Row],[income]],0)</f>
        <v>0</v>
      </c>
      <c r="DF291" s="20">
        <f ca="1">IF(Table1[[#This Row],[Column1]]="Technology",Table1[[#This Row],[income]],0)</f>
        <v>39652</v>
      </c>
      <c r="DG291" s="20">
        <f ca="1">IF(Table1[[#This Row],[Column1]]="Social Service",Table1[[#This Row],[income]],0)</f>
        <v>0</v>
      </c>
      <c r="DH291" s="20">
        <f ca="1">IF(Table1[[#This Row],[Column1]]="Education",Table1[[#This Row],[income]],0)</f>
        <v>0</v>
      </c>
      <c r="DI291" s="5">
        <f ca="1">IF(Table1[[#This Row],[Column1]]="Construction",Table1[[#This Row],[income]],0)</f>
        <v>0</v>
      </c>
      <c r="DK291" s="6">
        <f ca="1">IF(Table1[[#This Row],[Value of Debts]]&gt;Table1[[#This Row],[income]],1,0)</f>
        <v>1</v>
      </c>
      <c r="DL291" s="20"/>
      <c r="DM291" s="20"/>
      <c r="DN291" s="5"/>
      <c r="DP291" s="6">
        <f ca="1">IF(Table1[[#This Row],[Net Worth (£)]]&gt;$DS$5,C291,0)</f>
        <v>0</v>
      </c>
      <c r="DQ291" s="20"/>
      <c r="DR291" s="20"/>
      <c r="DS291" s="5"/>
    </row>
    <row r="292" spans="1:123" x14ac:dyDescent="0.2">
      <c r="A292">
        <f t="shared" ca="1" si="13"/>
        <v>1</v>
      </c>
      <c r="B292" s="1" t="str">
        <f ca="1">IF(A292=1, "men", "women")</f>
        <v>men</v>
      </c>
      <c r="C292" s="1">
        <f ca="1">RANDBETWEEN(25,50)</f>
        <v>33</v>
      </c>
      <c r="D292">
        <f ca="1">RANDBETWEEN(1,6)</f>
        <v>1</v>
      </c>
      <c r="E292" t="str">
        <f ca="1">VLOOKUP(D292,$W$5:$X$10,2)</f>
        <v>Health</v>
      </c>
      <c r="F292">
        <f ca="1">RANDBETWEEN(1,5)</f>
        <v>5</v>
      </c>
      <c r="G292" t="str">
        <f ca="1">VLOOKUP(F292,$Y$5:$Z$9,2)</f>
        <v>Other</v>
      </c>
      <c r="H292">
        <f ca="1">RANDBETWEEN(0,4)</f>
        <v>3</v>
      </c>
      <c r="I292">
        <f ca="1">RANDBETWEEN(1,3)</f>
        <v>3</v>
      </c>
      <c r="J292">
        <f ca="1">RANDBETWEEN(30000,100000)</f>
        <v>49168</v>
      </c>
      <c r="K292">
        <f ca="1">RANDBETWEEN(1,48)</f>
        <v>8</v>
      </c>
      <c r="L292" t="str">
        <f ca="1">VLOOKUP(K292,$AA$5:$AB$52,2)</f>
        <v>Cornwall</v>
      </c>
      <c r="M292">
        <f ca="1">J292*(RANDBETWEEN(2,5))</f>
        <v>196672</v>
      </c>
      <c r="N292">
        <f ca="1">RAND()*M292</f>
        <v>62859.084370645774</v>
      </c>
      <c r="O292">
        <f ca="1">I292*RAND()*J292</f>
        <v>41828.25421085758</v>
      </c>
      <c r="P292">
        <f ca="1">RANDBETWEEN(0,O292)</f>
        <v>8989</v>
      </c>
      <c r="Q292">
        <f ca="1">RAND()*J292*2</f>
        <v>80252.821108047734</v>
      </c>
      <c r="R292">
        <f ca="1">RAND()*J292*1.5</f>
        <v>70351.720992121933</v>
      </c>
      <c r="S292">
        <f ca="1">J292+R292+O292</f>
        <v>161347.97520297952</v>
      </c>
      <c r="T292">
        <f ca="1">N292+P292+Q292</f>
        <v>152100.90547869352</v>
      </c>
      <c r="U292">
        <f ca="1">S292-T292</f>
        <v>9247.0697242860042</v>
      </c>
      <c r="AC292" s="6">
        <f ca="1">IF(Table1[[#This Row],[gender]]="men",1,0)</f>
        <v>1</v>
      </c>
      <c r="AD292">
        <f ca="1">IF(Table1[[#This Row],[gender]]="women",1,0)</f>
        <v>0</v>
      </c>
      <c r="AH292" s="5"/>
      <c r="AJ292" s="6">
        <f ca="1">IF(Table1[[#This Row],[Column1]]="Health",1,0)</f>
        <v>1</v>
      </c>
      <c r="AK292">
        <f ca="1">IF(Table1[[#This Row],[Column1]]="Construction",1,0)</f>
        <v>0</v>
      </c>
      <c r="AL292">
        <f ca="1">IF(Table1[[#This Row],[Column1]]="Technology",1,0)</f>
        <v>0</v>
      </c>
      <c r="AM292">
        <f ca="1">IF(Table1[[#This Row],[Column1]]="Education",1,0)</f>
        <v>0</v>
      </c>
      <c r="AN292">
        <f ca="1">IF(Table1[[#This Row],[Column1]]="Agriculture",1,0)</f>
        <v>0</v>
      </c>
      <c r="AO292">
        <f ca="1">IF(Table1[[#This Row],[Column1]]="Social Service", 1, 0)</f>
        <v>0</v>
      </c>
      <c r="AT292" s="5"/>
      <c r="AV292" s="17">
        <f t="shared" ca="1" si="12"/>
        <v>16399.862252060138</v>
      </c>
      <c r="AW292" s="5"/>
      <c r="AX292" s="6">
        <f ca="1">IF(Table1[[#This Row],[Value of Debts]]&gt;$AY$4,1,0)</f>
        <v>1</v>
      </c>
      <c r="AY292" s="20"/>
      <c r="AZ292" s="20"/>
      <c r="BA292" s="5"/>
      <c r="BB292" s="25">
        <f ca="1">Table1[[#This Row],[Mortage Left]]/Table1[[#This Row],[Value of House]]</f>
        <v>0.31961379540883184</v>
      </c>
      <c r="BC292" s="20">
        <f t="shared" ca="1" si="14"/>
        <v>0</v>
      </c>
      <c r="BD292" s="20"/>
      <c r="BE292" s="20"/>
      <c r="BF292" s="20"/>
      <c r="BG292" s="6">
        <f ca="1">IF(Table1[[#This Row],[County]]="Cumbria",Table1[[#This Row],[income]],0)</f>
        <v>0</v>
      </c>
      <c r="BH292" s="20">
        <f ca="1">IF(Table1[[#This Row],[County]]="Cheshire",Table1[[#This Row],[income]],0)</f>
        <v>0</v>
      </c>
      <c r="BI292" s="20">
        <f ca="1">IF(Table1[[#This Row],[County]]="Bristol",Table1[[#This Row],[income]],0)</f>
        <v>0</v>
      </c>
      <c r="BJ292" s="20">
        <f ca="1">IF(Table1[[#This Row],[County]]="Surrey",Table1[[#This Row],[income]],0)</f>
        <v>0</v>
      </c>
      <c r="BK292" s="20">
        <f ca="1">IF(Table1[[#This Row],[County]]="Norfolk",Table1[[#This Row],[income]],0)</f>
        <v>0</v>
      </c>
      <c r="BL292" s="20">
        <f ca="1">IF(Table1[[#This Row],[County]]="Lincolnshire",Table1[[#This Row],[income]],0)</f>
        <v>0</v>
      </c>
      <c r="BM292" s="20">
        <f ca="1">IF(Table1[[#This Row],[County]]="Somerset",Table1[[#This Row],[income]],0)</f>
        <v>0</v>
      </c>
      <c r="BN292" s="20">
        <f ca="1">IF(Table1[[#This Row],[County]]="Cambridgeshire",Table1[[#This Row],[income]],0)</f>
        <v>0</v>
      </c>
      <c r="BO292" s="20">
        <f ca="1">IF(Table1[[#This Row],[County]]="South Yorkshire",Table1[[#This Row],[income]],0)</f>
        <v>0</v>
      </c>
      <c r="BP292" s="20">
        <f ca="1">IF(Table1[[#This Row],[County]]="Greater London",Table1[[#This Row],[income]],0)</f>
        <v>0</v>
      </c>
      <c r="BQ292" s="20">
        <f ca="1">IF(Table1[[#This Row],[County]]="Hampshire",Table1[[#This Row],[income]],0)</f>
        <v>0</v>
      </c>
      <c r="BR292" s="20">
        <f ca="1">IF(Table1[[#This Row],[County]]="Gloucestershire",Table1[[#This Row],[income]],0)</f>
        <v>0</v>
      </c>
      <c r="BS292" s="20">
        <f ca="1">IF(Table1[[#This Row],[County]]="West Sussex",Table1[[#This Row],[income]],0)</f>
        <v>0</v>
      </c>
      <c r="BT292" s="20">
        <f ca="1">IF(Table1[[#This Row],[County]]="Devon",Table1[[#This Row],[income]],0)</f>
        <v>0</v>
      </c>
      <c r="BU292" s="20">
        <f ca="1">IF(Table1[[#This Row],[County]]="Berkshire",Table1[[#This Row],[income]],0)</f>
        <v>0</v>
      </c>
      <c r="BV292" s="20">
        <f ca="1">IF(Table1[[#This Row],[County]]="Staffordshire",Table1[[#This Row],[income]],0)</f>
        <v>0</v>
      </c>
      <c r="BW292" s="20">
        <f ca="1">IF(Table1[[#This Row],[County]]="Leicestershire",Table1[[#This Row],[income]],0)</f>
        <v>0</v>
      </c>
      <c r="BX292" s="20">
        <f ca="1">IF(Table1[[#This Row],[County]]="Cornwall",Table1[[#This Row],[income]],0)</f>
        <v>49168</v>
      </c>
      <c r="BY292" s="20">
        <f ca="1">IF(Table1[[#This Row],[County]]="Isle of Wight",Table1[[#This Row],[income]],0)</f>
        <v>0</v>
      </c>
      <c r="BZ292" s="20">
        <f ca="1">IF(Table1[[#This Row],[County]]="Surrey",Table1[[#This Row],[income]],0)</f>
        <v>0</v>
      </c>
      <c r="CA292" s="20">
        <f ca="1">IF(Table1[[#This Row],[County]]="Derbyshire",Table1[[#This Row],[income]],0)</f>
        <v>0</v>
      </c>
      <c r="CB292" s="20">
        <f ca="1">IF(Table1[[#This Row],[County]]="City of London",Table1[[#This Row],[income]],0)</f>
        <v>0</v>
      </c>
      <c r="CC292" s="20">
        <f ca="1">IF(Table1[[#This Row],[County]]="Bedfordshire",Table1[[#This Row],[income]],0)</f>
        <v>0</v>
      </c>
      <c r="CD292" s="20">
        <f ca="1">IF(Table1[[#This Row],[County]]="County Durham",Table1[[#This Row],[income]],0)</f>
        <v>0</v>
      </c>
      <c r="CE292" s="20">
        <f ca="1">IF(Table1[[#This Row],[County]]="East Riding of Yorkshire",Table1[[#This Row],[income]],0)</f>
        <v>0</v>
      </c>
      <c r="CF292" s="20">
        <f ca="1">IF(Table1[[#This Row],[County]]="West Yorkshire",Table1[[#This Row],[income]],0)</f>
        <v>0</v>
      </c>
      <c r="CG292" s="20">
        <f ca="1">IF(Table1[[#This Row],[County]]="Essex",Table1[[#This Row],[income]],0)</f>
        <v>0</v>
      </c>
      <c r="CH292" s="20">
        <f ca="1">IF(Table1[[#This Row],[County]]="East Sussex",Table1[[#This Row],[income]],0)</f>
        <v>0</v>
      </c>
      <c r="CI292" s="20">
        <f ca="1">IF(Table1[[#This Row],[County]]="Greater Manchester",Table1[[#This Row],[income]],0)</f>
        <v>0</v>
      </c>
      <c r="CJ292" s="20">
        <f ca="1">IF(Table1[[#This Row],[County]]="Hertfordshire",Table1[[#This Row],[income]],0)</f>
        <v>0</v>
      </c>
      <c r="CK292" s="20">
        <f ca="1">IF(Table1[[#This Row],[County]]="Herefordshire",Table1[[#This Row],[income]],0)</f>
        <v>0</v>
      </c>
      <c r="CL292" s="20">
        <f ca="1">IF(Table1[[#This Row],[County]]="Lancashire",Table1[[#This Row],[income]],0)</f>
        <v>0</v>
      </c>
      <c r="CM292" s="20">
        <f ca="1">IF(Table1[[#This Row],[County]]="Merseyside",Table1[[#This Row],[income]],0)</f>
        <v>0</v>
      </c>
      <c r="CN292" s="20">
        <f ca="1">IF(Table1[[#This Row],[County]]="Northamptonshire",Table1[[#This Row],[income]],0)</f>
        <v>0</v>
      </c>
      <c r="CO292" s="20">
        <f ca="1">IF(Table1[[#This Row],[County]]="Northumberland",Table1[[#This Row],[income]],0)</f>
        <v>0</v>
      </c>
      <c r="CP292" s="20">
        <f ca="1">IF(Table1[[#This Row],[County]]="Wiltshire",Table1[[#This Row],[income]],0)</f>
        <v>0</v>
      </c>
      <c r="CQ292" s="20">
        <f ca="1">IF(Table1[[#This Row],[County]]="West Midlands",Table1[[#This Row],[income]],0)</f>
        <v>0</v>
      </c>
      <c r="CR292" s="20">
        <f ca="1">IF(Table1[[#This Row],[County]]="Warwickshire",Table1[[#This Row],[income]],0)</f>
        <v>0</v>
      </c>
      <c r="CS292" s="20">
        <f ca="1">IF(Table1[[#This Row],[County]]="Tyne and Wear",Table1[[#This Row],[income]],0)</f>
        <v>0</v>
      </c>
      <c r="CT292" s="20">
        <f ca="1">IF(Table1[[#This Row],[County]]="Worcestershire",Table1[[#This Row],[income]],0)</f>
        <v>0</v>
      </c>
      <c r="CU292" s="20">
        <f ca="1">IF(Table1[[#This Row],[County]]="Rutland",Table1[[#This Row],[income]],0)</f>
        <v>0</v>
      </c>
      <c r="CV292" s="20">
        <f ca="1">IF(Table1[[#This Row],[County]]="Shropshire",Table1[[#This Row],[income]],0)</f>
        <v>0</v>
      </c>
      <c r="CW292" s="20">
        <f ca="1">IF(Table1[[#This Row],[County]]="Dorset",Table1[[#This Row],[income]],0)</f>
        <v>0</v>
      </c>
      <c r="CX292" s="20">
        <f ca="1">IF(Table1[[#This Row],[County]]="Buckinghamshire",Table1[[#This Row],[income]],0)</f>
        <v>0</v>
      </c>
      <c r="CY292" s="20">
        <f ca="1">IF(Table1[[#This Row],[County]]="Suffolk",Table1[[#This Row],[income]],0)</f>
        <v>0</v>
      </c>
      <c r="CZ292" s="20">
        <f ca="1">IF(Table1[[#This Row],[County]]="North Yorkshire",Table1[[#This Row],[income]],0)</f>
        <v>0</v>
      </c>
      <c r="DA292" s="20">
        <f ca="1">IF(Table1[[#This Row],[County]]="Kent",Table1[[#This Row],[income]],0)</f>
        <v>0</v>
      </c>
      <c r="DB292" s="5">
        <f ca="1">IF(Table1[[#This Row],[County]]="Derbyshire",Table1[[#This Row],[income]],0)</f>
        <v>0</v>
      </c>
      <c r="DD292" s="6">
        <f ca="1">IF(Table1[[#This Row],[Column1]]="Health",Table1[[#This Row],[income]],0)</f>
        <v>49168</v>
      </c>
      <c r="DE292" s="20">
        <f ca="1">IF(Table1[[#This Row],[Column1]]="Agriculture",Table1[[#This Row],[income]],0)</f>
        <v>0</v>
      </c>
      <c r="DF292" s="20">
        <f ca="1">IF(Table1[[#This Row],[Column1]]="Technology",Table1[[#This Row],[income]],0)</f>
        <v>0</v>
      </c>
      <c r="DG292" s="20">
        <f ca="1">IF(Table1[[#This Row],[Column1]]="Social Service",Table1[[#This Row],[income]],0)</f>
        <v>0</v>
      </c>
      <c r="DH292" s="20">
        <f ca="1">IF(Table1[[#This Row],[Column1]]="Education",Table1[[#This Row],[income]],0)</f>
        <v>0</v>
      </c>
      <c r="DI292" s="5">
        <f ca="1">IF(Table1[[#This Row],[Column1]]="Construction",Table1[[#This Row],[income]],0)</f>
        <v>0</v>
      </c>
      <c r="DK292" s="6">
        <f ca="1">IF(Table1[[#This Row],[Value of Debts]]&gt;Table1[[#This Row],[income]],1,0)</f>
        <v>1</v>
      </c>
      <c r="DL292" s="20"/>
      <c r="DM292" s="20"/>
      <c r="DN292" s="5"/>
      <c r="DP292" s="6">
        <f ca="1">IF(Table1[[#This Row],[Net Worth (£)]]&gt;$DS$5,C292,0)</f>
        <v>0</v>
      </c>
      <c r="DQ292" s="20"/>
      <c r="DR292" s="20"/>
      <c r="DS292" s="5"/>
    </row>
    <row r="293" spans="1:123" x14ac:dyDescent="0.2">
      <c r="A293">
        <f t="shared" ca="1" si="13"/>
        <v>1</v>
      </c>
      <c r="B293" s="1" t="str">
        <f ca="1">IF(A293=1, "men", "women")</f>
        <v>men</v>
      </c>
      <c r="C293" s="1">
        <f ca="1">RANDBETWEEN(25,50)</f>
        <v>43</v>
      </c>
      <c r="D293">
        <f ca="1">RANDBETWEEN(1,6)</f>
        <v>5</v>
      </c>
      <c r="E293" t="str">
        <f ca="1">VLOOKUP(D293,$W$5:$X$10,2)</f>
        <v>Social Service</v>
      </c>
      <c r="F293">
        <f ca="1">RANDBETWEEN(1,5)</f>
        <v>4</v>
      </c>
      <c r="G293" t="str">
        <f ca="1">VLOOKUP(F293,$Y$5:$Z$9,2)</f>
        <v xml:space="preserve">Technical </v>
      </c>
      <c r="H293">
        <f ca="1">RANDBETWEEN(0,4)</f>
        <v>1</v>
      </c>
      <c r="I293">
        <f ca="1">RANDBETWEEN(1,3)</f>
        <v>1</v>
      </c>
      <c r="J293">
        <f ca="1">RANDBETWEEN(30000,100000)</f>
        <v>37949</v>
      </c>
      <c r="K293">
        <f ca="1">RANDBETWEEN(1,48)</f>
        <v>9</v>
      </c>
      <c r="L293" t="str">
        <f ca="1">VLOOKUP(K293,$AA$5:$AB$52,2)</f>
        <v>Cumbria</v>
      </c>
      <c r="M293">
        <f ca="1">J293*(RANDBETWEEN(2,5))</f>
        <v>189745</v>
      </c>
      <c r="N293">
        <f ca="1">RAND()*M293</f>
        <v>24278.5026288095</v>
      </c>
      <c r="O293">
        <f ca="1">I293*RAND()*J293</f>
        <v>16399.862252060138</v>
      </c>
      <c r="P293">
        <f ca="1">RANDBETWEEN(0,O293)</f>
        <v>2076</v>
      </c>
      <c r="Q293">
        <f ca="1">RAND()*J293*2</f>
        <v>57136.041547242174</v>
      </c>
      <c r="R293">
        <f ca="1">RAND()*J293*1.5</f>
        <v>7955.9347645989674</v>
      </c>
      <c r="S293">
        <f ca="1">J293+R293+O293</f>
        <v>62304.797016659111</v>
      </c>
      <c r="T293">
        <f ca="1">N293+P293+Q293</f>
        <v>83490.54417605167</v>
      </c>
      <c r="U293">
        <f ca="1">S293-T293</f>
        <v>-21185.747159392558</v>
      </c>
      <c r="AC293" s="6">
        <f ca="1">IF(Table1[[#This Row],[gender]]="men",1,0)</f>
        <v>1</v>
      </c>
      <c r="AD293">
        <f ca="1">IF(Table1[[#This Row],[gender]]="women",1,0)</f>
        <v>0</v>
      </c>
      <c r="AH293" s="5"/>
      <c r="AJ293" s="6">
        <f ca="1">IF(Table1[[#This Row],[Column1]]="Health",1,0)</f>
        <v>0</v>
      </c>
      <c r="AK293">
        <f ca="1">IF(Table1[[#This Row],[Column1]]="Construction",1,0)</f>
        <v>0</v>
      </c>
      <c r="AL293">
        <f ca="1">IF(Table1[[#This Row],[Column1]]="Technology",1,0)</f>
        <v>0</v>
      </c>
      <c r="AM293">
        <f ca="1">IF(Table1[[#This Row],[Column1]]="Education",1,0)</f>
        <v>0</v>
      </c>
      <c r="AN293">
        <f ca="1">IF(Table1[[#This Row],[Column1]]="Agriculture",1,0)</f>
        <v>0</v>
      </c>
      <c r="AO293">
        <f ca="1">IF(Table1[[#This Row],[Column1]]="Social Service", 1, 0)</f>
        <v>1</v>
      </c>
      <c r="AT293" s="5"/>
      <c r="AV293" s="17">
        <f t="shared" ca="1" si="12"/>
        <v>9097.8833178639616</v>
      </c>
      <c r="AW293" s="5"/>
      <c r="AX293" s="6">
        <f ca="1">IF(Table1[[#This Row],[Value of Debts]]&gt;$AY$4,1,0)</f>
        <v>0</v>
      </c>
      <c r="AY293" s="20"/>
      <c r="AZ293" s="20"/>
      <c r="BA293" s="5"/>
      <c r="BB293" s="25">
        <f ca="1">Table1[[#This Row],[Mortage Left]]/Table1[[#This Row],[Value of House]]</f>
        <v>0.12795331960689083</v>
      </c>
      <c r="BC293" s="20">
        <f t="shared" ca="1" si="14"/>
        <v>1</v>
      </c>
      <c r="BD293" s="20"/>
      <c r="BE293" s="20"/>
      <c r="BF293" s="20"/>
      <c r="BG293" s="6">
        <f ca="1">IF(Table1[[#This Row],[County]]="Cumbria",Table1[[#This Row],[income]],0)</f>
        <v>37949</v>
      </c>
      <c r="BH293" s="20">
        <f ca="1">IF(Table1[[#This Row],[County]]="Cheshire",Table1[[#This Row],[income]],0)</f>
        <v>0</v>
      </c>
      <c r="BI293" s="20">
        <f ca="1">IF(Table1[[#This Row],[County]]="Bristol",Table1[[#This Row],[income]],0)</f>
        <v>0</v>
      </c>
      <c r="BJ293" s="20">
        <f ca="1">IF(Table1[[#This Row],[County]]="Surrey",Table1[[#This Row],[income]],0)</f>
        <v>0</v>
      </c>
      <c r="BK293" s="20">
        <f ca="1">IF(Table1[[#This Row],[County]]="Norfolk",Table1[[#This Row],[income]],0)</f>
        <v>0</v>
      </c>
      <c r="BL293" s="20">
        <f ca="1">IF(Table1[[#This Row],[County]]="Lincolnshire",Table1[[#This Row],[income]],0)</f>
        <v>0</v>
      </c>
      <c r="BM293" s="20">
        <f ca="1">IF(Table1[[#This Row],[County]]="Somerset",Table1[[#This Row],[income]],0)</f>
        <v>0</v>
      </c>
      <c r="BN293" s="20">
        <f ca="1">IF(Table1[[#This Row],[County]]="Cambridgeshire",Table1[[#This Row],[income]],0)</f>
        <v>0</v>
      </c>
      <c r="BO293" s="20">
        <f ca="1">IF(Table1[[#This Row],[County]]="South Yorkshire",Table1[[#This Row],[income]],0)</f>
        <v>0</v>
      </c>
      <c r="BP293" s="20">
        <f ca="1">IF(Table1[[#This Row],[County]]="Greater London",Table1[[#This Row],[income]],0)</f>
        <v>0</v>
      </c>
      <c r="BQ293" s="20">
        <f ca="1">IF(Table1[[#This Row],[County]]="Hampshire",Table1[[#This Row],[income]],0)</f>
        <v>0</v>
      </c>
      <c r="BR293" s="20">
        <f ca="1">IF(Table1[[#This Row],[County]]="Gloucestershire",Table1[[#This Row],[income]],0)</f>
        <v>0</v>
      </c>
      <c r="BS293" s="20">
        <f ca="1">IF(Table1[[#This Row],[County]]="West Sussex",Table1[[#This Row],[income]],0)</f>
        <v>0</v>
      </c>
      <c r="BT293" s="20">
        <f ca="1">IF(Table1[[#This Row],[County]]="Devon",Table1[[#This Row],[income]],0)</f>
        <v>0</v>
      </c>
      <c r="BU293" s="20">
        <f ca="1">IF(Table1[[#This Row],[County]]="Berkshire",Table1[[#This Row],[income]],0)</f>
        <v>0</v>
      </c>
      <c r="BV293" s="20">
        <f ca="1">IF(Table1[[#This Row],[County]]="Staffordshire",Table1[[#This Row],[income]],0)</f>
        <v>0</v>
      </c>
      <c r="BW293" s="20">
        <f ca="1">IF(Table1[[#This Row],[County]]="Leicestershire",Table1[[#This Row],[income]],0)</f>
        <v>0</v>
      </c>
      <c r="BX293" s="20">
        <f ca="1">IF(Table1[[#This Row],[County]]="Cornwall",Table1[[#This Row],[income]],0)</f>
        <v>0</v>
      </c>
      <c r="BY293" s="20">
        <f ca="1">IF(Table1[[#This Row],[County]]="Isle of Wight",Table1[[#This Row],[income]],0)</f>
        <v>0</v>
      </c>
      <c r="BZ293" s="20">
        <f ca="1">IF(Table1[[#This Row],[County]]="Surrey",Table1[[#This Row],[income]],0)</f>
        <v>0</v>
      </c>
      <c r="CA293" s="20">
        <f ca="1">IF(Table1[[#This Row],[County]]="Derbyshire",Table1[[#This Row],[income]],0)</f>
        <v>0</v>
      </c>
      <c r="CB293" s="20">
        <f ca="1">IF(Table1[[#This Row],[County]]="City of London",Table1[[#This Row],[income]],0)</f>
        <v>0</v>
      </c>
      <c r="CC293" s="20">
        <f ca="1">IF(Table1[[#This Row],[County]]="Bedfordshire",Table1[[#This Row],[income]],0)</f>
        <v>0</v>
      </c>
      <c r="CD293" s="20">
        <f ca="1">IF(Table1[[#This Row],[County]]="County Durham",Table1[[#This Row],[income]],0)</f>
        <v>0</v>
      </c>
      <c r="CE293" s="20">
        <f ca="1">IF(Table1[[#This Row],[County]]="East Riding of Yorkshire",Table1[[#This Row],[income]],0)</f>
        <v>0</v>
      </c>
      <c r="CF293" s="20">
        <f ca="1">IF(Table1[[#This Row],[County]]="West Yorkshire",Table1[[#This Row],[income]],0)</f>
        <v>0</v>
      </c>
      <c r="CG293" s="20">
        <f ca="1">IF(Table1[[#This Row],[County]]="Essex",Table1[[#This Row],[income]],0)</f>
        <v>0</v>
      </c>
      <c r="CH293" s="20">
        <f ca="1">IF(Table1[[#This Row],[County]]="East Sussex",Table1[[#This Row],[income]],0)</f>
        <v>0</v>
      </c>
      <c r="CI293" s="20">
        <f ca="1">IF(Table1[[#This Row],[County]]="Greater Manchester",Table1[[#This Row],[income]],0)</f>
        <v>0</v>
      </c>
      <c r="CJ293" s="20">
        <f ca="1">IF(Table1[[#This Row],[County]]="Hertfordshire",Table1[[#This Row],[income]],0)</f>
        <v>0</v>
      </c>
      <c r="CK293" s="20">
        <f ca="1">IF(Table1[[#This Row],[County]]="Herefordshire",Table1[[#This Row],[income]],0)</f>
        <v>0</v>
      </c>
      <c r="CL293" s="20">
        <f ca="1">IF(Table1[[#This Row],[County]]="Lancashire",Table1[[#This Row],[income]],0)</f>
        <v>0</v>
      </c>
      <c r="CM293" s="20">
        <f ca="1">IF(Table1[[#This Row],[County]]="Merseyside",Table1[[#This Row],[income]],0)</f>
        <v>0</v>
      </c>
      <c r="CN293" s="20">
        <f ca="1">IF(Table1[[#This Row],[County]]="Northamptonshire",Table1[[#This Row],[income]],0)</f>
        <v>0</v>
      </c>
      <c r="CO293" s="20">
        <f ca="1">IF(Table1[[#This Row],[County]]="Northumberland",Table1[[#This Row],[income]],0)</f>
        <v>0</v>
      </c>
      <c r="CP293" s="20">
        <f ca="1">IF(Table1[[#This Row],[County]]="Wiltshire",Table1[[#This Row],[income]],0)</f>
        <v>0</v>
      </c>
      <c r="CQ293" s="20">
        <f ca="1">IF(Table1[[#This Row],[County]]="West Midlands",Table1[[#This Row],[income]],0)</f>
        <v>0</v>
      </c>
      <c r="CR293" s="20">
        <f ca="1">IF(Table1[[#This Row],[County]]="Warwickshire",Table1[[#This Row],[income]],0)</f>
        <v>0</v>
      </c>
      <c r="CS293" s="20">
        <f ca="1">IF(Table1[[#This Row],[County]]="Tyne and Wear",Table1[[#This Row],[income]],0)</f>
        <v>0</v>
      </c>
      <c r="CT293" s="20">
        <f ca="1">IF(Table1[[#This Row],[County]]="Worcestershire",Table1[[#This Row],[income]],0)</f>
        <v>0</v>
      </c>
      <c r="CU293" s="20">
        <f ca="1">IF(Table1[[#This Row],[County]]="Rutland",Table1[[#This Row],[income]],0)</f>
        <v>0</v>
      </c>
      <c r="CV293" s="20">
        <f ca="1">IF(Table1[[#This Row],[County]]="Shropshire",Table1[[#This Row],[income]],0)</f>
        <v>0</v>
      </c>
      <c r="CW293" s="20">
        <f ca="1">IF(Table1[[#This Row],[County]]="Dorset",Table1[[#This Row],[income]],0)</f>
        <v>0</v>
      </c>
      <c r="CX293" s="20">
        <f ca="1">IF(Table1[[#This Row],[County]]="Buckinghamshire",Table1[[#This Row],[income]],0)</f>
        <v>0</v>
      </c>
      <c r="CY293" s="20">
        <f ca="1">IF(Table1[[#This Row],[County]]="Suffolk",Table1[[#This Row],[income]],0)</f>
        <v>0</v>
      </c>
      <c r="CZ293" s="20">
        <f ca="1">IF(Table1[[#This Row],[County]]="North Yorkshire",Table1[[#This Row],[income]],0)</f>
        <v>0</v>
      </c>
      <c r="DA293" s="20">
        <f ca="1">IF(Table1[[#This Row],[County]]="Kent",Table1[[#This Row],[income]],0)</f>
        <v>0</v>
      </c>
      <c r="DB293" s="5">
        <f ca="1">IF(Table1[[#This Row],[County]]="Derbyshire",Table1[[#This Row],[income]],0)</f>
        <v>0</v>
      </c>
      <c r="DD293" s="6">
        <f ca="1">IF(Table1[[#This Row],[Column1]]="Health",Table1[[#This Row],[income]],0)</f>
        <v>0</v>
      </c>
      <c r="DE293" s="20">
        <f ca="1">IF(Table1[[#This Row],[Column1]]="Agriculture",Table1[[#This Row],[income]],0)</f>
        <v>0</v>
      </c>
      <c r="DF293" s="20">
        <f ca="1">IF(Table1[[#This Row],[Column1]]="Technology",Table1[[#This Row],[income]],0)</f>
        <v>0</v>
      </c>
      <c r="DG293" s="20">
        <f ca="1">IF(Table1[[#This Row],[Column1]]="Social Service",Table1[[#This Row],[income]],0)</f>
        <v>37949</v>
      </c>
      <c r="DH293" s="20">
        <f ca="1">IF(Table1[[#This Row],[Column1]]="Education",Table1[[#This Row],[income]],0)</f>
        <v>0</v>
      </c>
      <c r="DI293" s="5">
        <f ca="1">IF(Table1[[#This Row],[Column1]]="Construction",Table1[[#This Row],[income]],0)</f>
        <v>0</v>
      </c>
      <c r="DK293" s="6">
        <f ca="1">IF(Table1[[#This Row],[Value of Debts]]&gt;Table1[[#This Row],[income]],1,0)</f>
        <v>1</v>
      </c>
      <c r="DL293" s="20"/>
      <c r="DM293" s="20"/>
      <c r="DN293" s="5"/>
      <c r="DP293" s="6">
        <f ca="1">IF(Table1[[#This Row],[Net Worth (£)]]&gt;$DS$5,C293,0)</f>
        <v>0</v>
      </c>
      <c r="DQ293" s="20"/>
      <c r="DR293" s="20"/>
      <c r="DS293" s="5"/>
    </row>
    <row r="294" spans="1:123" x14ac:dyDescent="0.2">
      <c r="A294">
        <f t="shared" ca="1" si="13"/>
        <v>1</v>
      </c>
      <c r="B294" s="1" t="str">
        <f ca="1">IF(A294=1, "men", "women")</f>
        <v>men</v>
      </c>
      <c r="C294" s="1">
        <f ca="1">RANDBETWEEN(25,50)</f>
        <v>32</v>
      </c>
      <c r="D294">
        <f ca="1">RANDBETWEEN(1,6)</f>
        <v>5</v>
      </c>
      <c r="E294" t="str">
        <f ca="1">VLOOKUP(D294,$W$5:$X$10,2)</f>
        <v>Social Service</v>
      </c>
      <c r="F294">
        <f ca="1">RANDBETWEEN(1,5)</f>
        <v>3</v>
      </c>
      <c r="G294" t="str">
        <f ca="1">VLOOKUP(F294,$Y$5:$Z$9,2)</f>
        <v>University</v>
      </c>
      <c r="H294">
        <f ca="1">RANDBETWEEN(0,4)</f>
        <v>2</v>
      </c>
      <c r="I294">
        <f ca="1">RANDBETWEEN(1,3)</f>
        <v>3</v>
      </c>
      <c r="J294">
        <f ca="1">RANDBETWEEN(30000,100000)</f>
        <v>37384</v>
      </c>
      <c r="K294">
        <f ca="1">RANDBETWEEN(1,48)</f>
        <v>32</v>
      </c>
      <c r="L294" t="str">
        <f ca="1">VLOOKUP(K294,$AA$5:$AB$52,2)</f>
        <v>Northumberland</v>
      </c>
      <c r="M294">
        <f ca="1">J294*(RANDBETWEEN(2,5))</f>
        <v>149536</v>
      </c>
      <c r="N294">
        <f ca="1">RAND()*M294</f>
        <v>83713.538508120502</v>
      </c>
      <c r="O294">
        <f ca="1">I294*RAND()*J294</f>
        <v>27293.649953591885</v>
      </c>
      <c r="P294">
        <f ca="1">RANDBETWEEN(0,O294)</f>
        <v>11228</v>
      </c>
      <c r="Q294">
        <f ca="1">RAND()*J294*2</f>
        <v>41393.215639130569</v>
      </c>
      <c r="R294">
        <f ca="1">RAND()*J294*1.5</f>
        <v>51157.027542604337</v>
      </c>
      <c r="S294">
        <f ca="1">J294+R294+O294</f>
        <v>115834.67749619622</v>
      </c>
      <c r="T294">
        <f ca="1">N294+P294+Q294</f>
        <v>136334.75414725108</v>
      </c>
      <c r="U294">
        <f ca="1">S294-T294</f>
        <v>-20500.076651054856</v>
      </c>
      <c r="AC294" s="6">
        <f ca="1">IF(Table1[[#This Row],[gender]]="men",1,0)</f>
        <v>1</v>
      </c>
      <c r="AD294">
        <f ca="1">IF(Table1[[#This Row],[gender]]="women",1,0)</f>
        <v>0</v>
      </c>
      <c r="AH294" s="5"/>
      <c r="AJ294" s="6">
        <f ca="1">IF(Table1[[#This Row],[Column1]]="Health",1,0)</f>
        <v>0</v>
      </c>
      <c r="AK294">
        <f ca="1">IF(Table1[[#This Row],[Column1]]="Construction",1,0)</f>
        <v>0</v>
      </c>
      <c r="AL294">
        <f ca="1">IF(Table1[[#This Row],[Column1]]="Technology",1,0)</f>
        <v>0</v>
      </c>
      <c r="AM294">
        <f ca="1">IF(Table1[[#This Row],[Column1]]="Education",1,0)</f>
        <v>0</v>
      </c>
      <c r="AN294">
        <f ca="1">IF(Table1[[#This Row],[Column1]]="Agriculture",1,0)</f>
        <v>0</v>
      </c>
      <c r="AO294">
        <f ca="1">IF(Table1[[#This Row],[Column1]]="Social Service", 1, 0)</f>
        <v>1</v>
      </c>
      <c r="AT294" s="5"/>
      <c r="AV294" s="17">
        <f t="shared" ca="1" si="12"/>
        <v>2583.4416151219052</v>
      </c>
      <c r="AW294" s="5"/>
      <c r="AX294" s="6">
        <f ca="1">IF(Table1[[#This Row],[Value of Debts]]&gt;$AY$4,1,0)</f>
        <v>1</v>
      </c>
      <c r="AY294" s="20"/>
      <c r="AZ294" s="20"/>
      <c r="BA294" s="5"/>
      <c r="BB294" s="25">
        <f ca="1">Table1[[#This Row],[Mortage Left]]/Table1[[#This Row],[Value of House]]</f>
        <v>0.55982197268965672</v>
      </c>
      <c r="BC294" s="20">
        <f t="shared" ca="1" si="14"/>
        <v>0</v>
      </c>
      <c r="BD294" s="20"/>
      <c r="BE294" s="20"/>
      <c r="BF294" s="20"/>
      <c r="BG294" s="6">
        <f ca="1">IF(Table1[[#This Row],[County]]="Cumbria",Table1[[#This Row],[income]],0)</f>
        <v>0</v>
      </c>
      <c r="BH294" s="20">
        <f ca="1">IF(Table1[[#This Row],[County]]="Cheshire",Table1[[#This Row],[income]],0)</f>
        <v>0</v>
      </c>
      <c r="BI294" s="20">
        <f ca="1">IF(Table1[[#This Row],[County]]="Bristol",Table1[[#This Row],[income]],0)</f>
        <v>0</v>
      </c>
      <c r="BJ294" s="20">
        <f ca="1">IF(Table1[[#This Row],[County]]="Surrey",Table1[[#This Row],[income]],0)</f>
        <v>0</v>
      </c>
      <c r="BK294" s="20">
        <f ca="1">IF(Table1[[#This Row],[County]]="Norfolk",Table1[[#This Row],[income]],0)</f>
        <v>0</v>
      </c>
      <c r="BL294" s="20">
        <f ca="1">IF(Table1[[#This Row],[County]]="Lincolnshire",Table1[[#This Row],[income]],0)</f>
        <v>0</v>
      </c>
      <c r="BM294" s="20">
        <f ca="1">IF(Table1[[#This Row],[County]]="Somerset",Table1[[#This Row],[income]],0)</f>
        <v>0</v>
      </c>
      <c r="BN294" s="20">
        <f ca="1">IF(Table1[[#This Row],[County]]="Cambridgeshire",Table1[[#This Row],[income]],0)</f>
        <v>0</v>
      </c>
      <c r="BO294" s="20">
        <f ca="1">IF(Table1[[#This Row],[County]]="South Yorkshire",Table1[[#This Row],[income]],0)</f>
        <v>0</v>
      </c>
      <c r="BP294" s="20">
        <f ca="1">IF(Table1[[#This Row],[County]]="Greater London",Table1[[#This Row],[income]],0)</f>
        <v>0</v>
      </c>
      <c r="BQ294" s="20">
        <f ca="1">IF(Table1[[#This Row],[County]]="Hampshire",Table1[[#This Row],[income]],0)</f>
        <v>0</v>
      </c>
      <c r="BR294" s="20">
        <f ca="1">IF(Table1[[#This Row],[County]]="Gloucestershire",Table1[[#This Row],[income]],0)</f>
        <v>0</v>
      </c>
      <c r="BS294" s="20">
        <f ca="1">IF(Table1[[#This Row],[County]]="West Sussex",Table1[[#This Row],[income]],0)</f>
        <v>0</v>
      </c>
      <c r="BT294" s="20">
        <f ca="1">IF(Table1[[#This Row],[County]]="Devon",Table1[[#This Row],[income]],0)</f>
        <v>0</v>
      </c>
      <c r="BU294" s="20">
        <f ca="1">IF(Table1[[#This Row],[County]]="Berkshire",Table1[[#This Row],[income]],0)</f>
        <v>0</v>
      </c>
      <c r="BV294" s="20">
        <f ca="1">IF(Table1[[#This Row],[County]]="Staffordshire",Table1[[#This Row],[income]],0)</f>
        <v>0</v>
      </c>
      <c r="BW294" s="20">
        <f ca="1">IF(Table1[[#This Row],[County]]="Leicestershire",Table1[[#This Row],[income]],0)</f>
        <v>0</v>
      </c>
      <c r="BX294" s="20">
        <f ca="1">IF(Table1[[#This Row],[County]]="Cornwall",Table1[[#This Row],[income]],0)</f>
        <v>0</v>
      </c>
      <c r="BY294" s="20">
        <f ca="1">IF(Table1[[#This Row],[County]]="Isle of Wight",Table1[[#This Row],[income]],0)</f>
        <v>0</v>
      </c>
      <c r="BZ294" s="20">
        <f ca="1">IF(Table1[[#This Row],[County]]="Surrey",Table1[[#This Row],[income]],0)</f>
        <v>0</v>
      </c>
      <c r="CA294" s="20">
        <f ca="1">IF(Table1[[#This Row],[County]]="Derbyshire",Table1[[#This Row],[income]],0)</f>
        <v>0</v>
      </c>
      <c r="CB294" s="20">
        <f ca="1">IF(Table1[[#This Row],[County]]="City of London",Table1[[#This Row],[income]],0)</f>
        <v>0</v>
      </c>
      <c r="CC294" s="20">
        <f ca="1">IF(Table1[[#This Row],[County]]="Bedfordshire",Table1[[#This Row],[income]],0)</f>
        <v>0</v>
      </c>
      <c r="CD294" s="20">
        <f ca="1">IF(Table1[[#This Row],[County]]="County Durham",Table1[[#This Row],[income]],0)</f>
        <v>0</v>
      </c>
      <c r="CE294" s="20">
        <f ca="1">IF(Table1[[#This Row],[County]]="East Riding of Yorkshire",Table1[[#This Row],[income]],0)</f>
        <v>0</v>
      </c>
      <c r="CF294" s="20">
        <f ca="1">IF(Table1[[#This Row],[County]]="West Yorkshire",Table1[[#This Row],[income]],0)</f>
        <v>0</v>
      </c>
      <c r="CG294" s="20">
        <f ca="1">IF(Table1[[#This Row],[County]]="Essex",Table1[[#This Row],[income]],0)</f>
        <v>0</v>
      </c>
      <c r="CH294" s="20">
        <f ca="1">IF(Table1[[#This Row],[County]]="East Sussex",Table1[[#This Row],[income]],0)</f>
        <v>0</v>
      </c>
      <c r="CI294" s="20">
        <f ca="1">IF(Table1[[#This Row],[County]]="Greater Manchester",Table1[[#This Row],[income]],0)</f>
        <v>0</v>
      </c>
      <c r="CJ294" s="20">
        <f ca="1">IF(Table1[[#This Row],[County]]="Hertfordshire",Table1[[#This Row],[income]],0)</f>
        <v>0</v>
      </c>
      <c r="CK294" s="20">
        <f ca="1">IF(Table1[[#This Row],[County]]="Herefordshire",Table1[[#This Row],[income]],0)</f>
        <v>0</v>
      </c>
      <c r="CL294" s="20">
        <f ca="1">IF(Table1[[#This Row],[County]]="Lancashire",Table1[[#This Row],[income]],0)</f>
        <v>0</v>
      </c>
      <c r="CM294" s="20">
        <f ca="1">IF(Table1[[#This Row],[County]]="Merseyside",Table1[[#This Row],[income]],0)</f>
        <v>0</v>
      </c>
      <c r="CN294" s="20">
        <f ca="1">IF(Table1[[#This Row],[County]]="Northamptonshire",Table1[[#This Row],[income]],0)</f>
        <v>0</v>
      </c>
      <c r="CO294" s="20">
        <f ca="1">IF(Table1[[#This Row],[County]]="Northumberland",Table1[[#This Row],[income]],0)</f>
        <v>37384</v>
      </c>
      <c r="CP294" s="20">
        <f ca="1">IF(Table1[[#This Row],[County]]="Wiltshire",Table1[[#This Row],[income]],0)</f>
        <v>0</v>
      </c>
      <c r="CQ294" s="20">
        <f ca="1">IF(Table1[[#This Row],[County]]="West Midlands",Table1[[#This Row],[income]],0)</f>
        <v>0</v>
      </c>
      <c r="CR294" s="20">
        <f ca="1">IF(Table1[[#This Row],[County]]="Warwickshire",Table1[[#This Row],[income]],0)</f>
        <v>0</v>
      </c>
      <c r="CS294" s="20">
        <f ca="1">IF(Table1[[#This Row],[County]]="Tyne and Wear",Table1[[#This Row],[income]],0)</f>
        <v>0</v>
      </c>
      <c r="CT294" s="20">
        <f ca="1">IF(Table1[[#This Row],[County]]="Worcestershire",Table1[[#This Row],[income]],0)</f>
        <v>0</v>
      </c>
      <c r="CU294" s="20">
        <f ca="1">IF(Table1[[#This Row],[County]]="Rutland",Table1[[#This Row],[income]],0)</f>
        <v>0</v>
      </c>
      <c r="CV294" s="20">
        <f ca="1">IF(Table1[[#This Row],[County]]="Shropshire",Table1[[#This Row],[income]],0)</f>
        <v>0</v>
      </c>
      <c r="CW294" s="20">
        <f ca="1">IF(Table1[[#This Row],[County]]="Dorset",Table1[[#This Row],[income]],0)</f>
        <v>0</v>
      </c>
      <c r="CX294" s="20">
        <f ca="1">IF(Table1[[#This Row],[County]]="Buckinghamshire",Table1[[#This Row],[income]],0)</f>
        <v>0</v>
      </c>
      <c r="CY294" s="20">
        <f ca="1">IF(Table1[[#This Row],[County]]="Suffolk",Table1[[#This Row],[income]],0)</f>
        <v>0</v>
      </c>
      <c r="CZ294" s="20">
        <f ca="1">IF(Table1[[#This Row],[County]]="North Yorkshire",Table1[[#This Row],[income]],0)</f>
        <v>0</v>
      </c>
      <c r="DA294" s="20">
        <f ca="1">IF(Table1[[#This Row],[County]]="Kent",Table1[[#This Row],[income]],0)</f>
        <v>0</v>
      </c>
      <c r="DB294" s="5">
        <f ca="1">IF(Table1[[#This Row],[County]]="Derbyshire",Table1[[#This Row],[income]],0)</f>
        <v>0</v>
      </c>
      <c r="DD294" s="6">
        <f ca="1">IF(Table1[[#This Row],[Column1]]="Health",Table1[[#This Row],[income]],0)</f>
        <v>0</v>
      </c>
      <c r="DE294" s="20">
        <f ca="1">IF(Table1[[#This Row],[Column1]]="Agriculture",Table1[[#This Row],[income]],0)</f>
        <v>0</v>
      </c>
      <c r="DF294" s="20">
        <f ca="1">IF(Table1[[#This Row],[Column1]]="Technology",Table1[[#This Row],[income]],0)</f>
        <v>0</v>
      </c>
      <c r="DG294" s="20">
        <f ca="1">IF(Table1[[#This Row],[Column1]]="Social Service",Table1[[#This Row],[income]],0)</f>
        <v>37384</v>
      </c>
      <c r="DH294" s="20">
        <f ca="1">IF(Table1[[#This Row],[Column1]]="Education",Table1[[#This Row],[income]],0)</f>
        <v>0</v>
      </c>
      <c r="DI294" s="5">
        <f ca="1">IF(Table1[[#This Row],[Column1]]="Construction",Table1[[#This Row],[income]],0)</f>
        <v>0</v>
      </c>
      <c r="DK294" s="6">
        <f ca="1">IF(Table1[[#This Row],[Value of Debts]]&gt;Table1[[#This Row],[income]],1,0)</f>
        <v>1</v>
      </c>
      <c r="DL294" s="20"/>
      <c r="DM294" s="20"/>
      <c r="DN294" s="5"/>
      <c r="DP294" s="6">
        <f ca="1">IF(Table1[[#This Row],[Net Worth (£)]]&gt;$DS$5,C294,0)</f>
        <v>0</v>
      </c>
      <c r="DQ294" s="20"/>
      <c r="DR294" s="20"/>
      <c r="DS294" s="5"/>
    </row>
    <row r="295" spans="1:123" x14ac:dyDescent="0.2">
      <c r="A295">
        <f t="shared" ca="1" si="13"/>
        <v>2</v>
      </c>
      <c r="B295" s="1" t="str">
        <f ca="1">IF(A295=1, "men", "women")</f>
        <v>women</v>
      </c>
      <c r="C295" s="1">
        <f ca="1">RANDBETWEEN(25,50)</f>
        <v>43</v>
      </c>
      <c r="D295">
        <f ca="1">RANDBETWEEN(1,6)</f>
        <v>1</v>
      </c>
      <c r="E295" t="str">
        <f ca="1">VLOOKUP(D295,$W$5:$X$10,2)</f>
        <v>Health</v>
      </c>
      <c r="F295">
        <f ca="1">RANDBETWEEN(1,5)</f>
        <v>2</v>
      </c>
      <c r="G295" t="str">
        <f ca="1">VLOOKUP(F295,$Y$5:$Z$9,2)</f>
        <v>College</v>
      </c>
      <c r="H295">
        <f ca="1">RANDBETWEEN(0,4)</f>
        <v>3</v>
      </c>
      <c r="I295">
        <f ca="1">RANDBETWEEN(1,3)</f>
        <v>1</v>
      </c>
      <c r="J295">
        <f ca="1">RANDBETWEEN(30000,100000)</f>
        <v>76208</v>
      </c>
      <c r="K295">
        <f ca="1">RANDBETWEEN(1,48)</f>
        <v>39</v>
      </c>
      <c r="L295" t="str">
        <f ca="1">VLOOKUP(K295,$AA$5:$AB$52,2)</f>
        <v>Staffordshire</v>
      </c>
      <c r="M295">
        <f ca="1">J295*(RANDBETWEEN(2,5))</f>
        <v>381040</v>
      </c>
      <c r="N295">
        <f ca="1">RAND()*M295</f>
        <v>17360.491061723216</v>
      </c>
      <c r="O295">
        <f ca="1">I295*RAND()*J295</f>
        <v>2583.4416151219052</v>
      </c>
      <c r="P295">
        <f ca="1">RANDBETWEEN(0,O295)</f>
        <v>762</v>
      </c>
      <c r="Q295">
        <f ca="1">RAND()*J295*2</f>
        <v>110633.19528824867</v>
      </c>
      <c r="R295">
        <f ca="1">RAND()*J295*1.5</f>
        <v>104506.52530278004</v>
      </c>
      <c r="S295">
        <f ca="1">J295+R295+O295</f>
        <v>183297.96691790194</v>
      </c>
      <c r="T295">
        <f ca="1">N295+P295+Q295</f>
        <v>128755.68634997189</v>
      </c>
      <c r="U295">
        <f ca="1">S295-T295</f>
        <v>54542.280567930051</v>
      </c>
      <c r="AC295" s="6">
        <f ca="1">IF(Table1[[#This Row],[gender]]="men",1,0)</f>
        <v>0</v>
      </c>
      <c r="AD295">
        <f ca="1">IF(Table1[[#This Row],[gender]]="women",1,0)</f>
        <v>1</v>
      </c>
      <c r="AH295" s="5"/>
      <c r="AJ295" s="6">
        <f ca="1">IF(Table1[[#This Row],[Column1]]="Health",1,0)</f>
        <v>1</v>
      </c>
      <c r="AK295">
        <f ca="1">IF(Table1[[#This Row],[Column1]]="Construction",1,0)</f>
        <v>0</v>
      </c>
      <c r="AL295">
        <f ca="1">IF(Table1[[#This Row],[Column1]]="Technology",1,0)</f>
        <v>0</v>
      </c>
      <c r="AM295">
        <f ca="1">IF(Table1[[#This Row],[Column1]]="Education",1,0)</f>
        <v>0</v>
      </c>
      <c r="AN295">
        <f ca="1">IF(Table1[[#This Row],[Column1]]="Agriculture",1,0)</f>
        <v>0</v>
      </c>
      <c r="AO295">
        <f ca="1">IF(Table1[[#This Row],[Column1]]="Social Service", 1, 0)</f>
        <v>0</v>
      </c>
      <c r="AT295" s="5"/>
      <c r="AV295" s="17">
        <f t="shared" ca="1" si="12"/>
        <v>1599.9886074262308</v>
      </c>
      <c r="AW295" s="5"/>
      <c r="AX295" s="6">
        <f ca="1">IF(Table1[[#This Row],[Value of Debts]]&gt;$AY$4,1,0)</f>
        <v>1</v>
      </c>
      <c r="AY295" s="20"/>
      <c r="AZ295" s="20"/>
      <c r="BA295" s="5"/>
      <c r="BB295" s="25">
        <f ca="1">Table1[[#This Row],[Mortage Left]]/Table1[[#This Row],[Value of House]]</f>
        <v>4.5560810050711782E-2</v>
      </c>
      <c r="BC295" s="20">
        <f t="shared" ca="1" si="14"/>
        <v>1</v>
      </c>
      <c r="BD295" s="20"/>
      <c r="BE295" s="20"/>
      <c r="BF295" s="20"/>
      <c r="BG295" s="6">
        <f ca="1">IF(Table1[[#This Row],[County]]="Cumbria",Table1[[#This Row],[income]],0)</f>
        <v>0</v>
      </c>
      <c r="BH295" s="20">
        <f ca="1">IF(Table1[[#This Row],[County]]="Cheshire",Table1[[#This Row],[income]],0)</f>
        <v>0</v>
      </c>
      <c r="BI295" s="20">
        <f ca="1">IF(Table1[[#This Row],[County]]="Bristol",Table1[[#This Row],[income]],0)</f>
        <v>0</v>
      </c>
      <c r="BJ295" s="20">
        <f ca="1">IF(Table1[[#This Row],[County]]="Surrey",Table1[[#This Row],[income]],0)</f>
        <v>0</v>
      </c>
      <c r="BK295" s="20">
        <f ca="1">IF(Table1[[#This Row],[County]]="Norfolk",Table1[[#This Row],[income]],0)</f>
        <v>0</v>
      </c>
      <c r="BL295" s="20">
        <f ca="1">IF(Table1[[#This Row],[County]]="Lincolnshire",Table1[[#This Row],[income]],0)</f>
        <v>0</v>
      </c>
      <c r="BM295" s="20">
        <f ca="1">IF(Table1[[#This Row],[County]]="Somerset",Table1[[#This Row],[income]],0)</f>
        <v>0</v>
      </c>
      <c r="BN295" s="20">
        <f ca="1">IF(Table1[[#This Row],[County]]="Cambridgeshire",Table1[[#This Row],[income]],0)</f>
        <v>0</v>
      </c>
      <c r="BO295" s="20">
        <f ca="1">IF(Table1[[#This Row],[County]]="South Yorkshire",Table1[[#This Row],[income]],0)</f>
        <v>0</v>
      </c>
      <c r="BP295" s="20">
        <f ca="1">IF(Table1[[#This Row],[County]]="Greater London",Table1[[#This Row],[income]],0)</f>
        <v>0</v>
      </c>
      <c r="BQ295" s="20">
        <f ca="1">IF(Table1[[#This Row],[County]]="Hampshire",Table1[[#This Row],[income]],0)</f>
        <v>0</v>
      </c>
      <c r="BR295" s="20">
        <f ca="1">IF(Table1[[#This Row],[County]]="Gloucestershire",Table1[[#This Row],[income]],0)</f>
        <v>0</v>
      </c>
      <c r="BS295" s="20">
        <f ca="1">IF(Table1[[#This Row],[County]]="West Sussex",Table1[[#This Row],[income]],0)</f>
        <v>0</v>
      </c>
      <c r="BT295" s="20">
        <f ca="1">IF(Table1[[#This Row],[County]]="Devon",Table1[[#This Row],[income]],0)</f>
        <v>0</v>
      </c>
      <c r="BU295" s="20">
        <f ca="1">IF(Table1[[#This Row],[County]]="Berkshire",Table1[[#This Row],[income]],0)</f>
        <v>0</v>
      </c>
      <c r="BV295" s="20">
        <f ca="1">IF(Table1[[#This Row],[County]]="Staffordshire",Table1[[#This Row],[income]],0)</f>
        <v>76208</v>
      </c>
      <c r="BW295" s="20">
        <f ca="1">IF(Table1[[#This Row],[County]]="Leicestershire",Table1[[#This Row],[income]],0)</f>
        <v>0</v>
      </c>
      <c r="BX295" s="20">
        <f ca="1">IF(Table1[[#This Row],[County]]="Cornwall",Table1[[#This Row],[income]],0)</f>
        <v>0</v>
      </c>
      <c r="BY295" s="20">
        <f ca="1">IF(Table1[[#This Row],[County]]="Isle of Wight",Table1[[#This Row],[income]],0)</f>
        <v>0</v>
      </c>
      <c r="BZ295" s="20">
        <f ca="1">IF(Table1[[#This Row],[County]]="Surrey",Table1[[#This Row],[income]],0)</f>
        <v>0</v>
      </c>
      <c r="CA295" s="20">
        <f ca="1">IF(Table1[[#This Row],[County]]="Derbyshire",Table1[[#This Row],[income]],0)</f>
        <v>0</v>
      </c>
      <c r="CB295" s="20">
        <f ca="1">IF(Table1[[#This Row],[County]]="City of London",Table1[[#This Row],[income]],0)</f>
        <v>0</v>
      </c>
      <c r="CC295" s="20">
        <f ca="1">IF(Table1[[#This Row],[County]]="Bedfordshire",Table1[[#This Row],[income]],0)</f>
        <v>0</v>
      </c>
      <c r="CD295" s="20">
        <f ca="1">IF(Table1[[#This Row],[County]]="County Durham",Table1[[#This Row],[income]],0)</f>
        <v>0</v>
      </c>
      <c r="CE295" s="20">
        <f ca="1">IF(Table1[[#This Row],[County]]="East Riding of Yorkshire",Table1[[#This Row],[income]],0)</f>
        <v>0</v>
      </c>
      <c r="CF295" s="20">
        <f ca="1">IF(Table1[[#This Row],[County]]="West Yorkshire",Table1[[#This Row],[income]],0)</f>
        <v>0</v>
      </c>
      <c r="CG295" s="20">
        <f ca="1">IF(Table1[[#This Row],[County]]="Essex",Table1[[#This Row],[income]],0)</f>
        <v>0</v>
      </c>
      <c r="CH295" s="20">
        <f ca="1">IF(Table1[[#This Row],[County]]="East Sussex",Table1[[#This Row],[income]],0)</f>
        <v>0</v>
      </c>
      <c r="CI295" s="20">
        <f ca="1">IF(Table1[[#This Row],[County]]="Greater Manchester",Table1[[#This Row],[income]],0)</f>
        <v>0</v>
      </c>
      <c r="CJ295" s="20">
        <f ca="1">IF(Table1[[#This Row],[County]]="Hertfordshire",Table1[[#This Row],[income]],0)</f>
        <v>0</v>
      </c>
      <c r="CK295" s="20">
        <f ca="1">IF(Table1[[#This Row],[County]]="Herefordshire",Table1[[#This Row],[income]],0)</f>
        <v>0</v>
      </c>
      <c r="CL295" s="20">
        <f ca="1">IF(Table1[[#This Row],[County]]="Lancashire",Table1[[#This Row],[income]],0)</f>
        <v>0</v>
      </c>
      <c r="CM295" s="20">
        <f ca="1">IF(Table1[[#This Row],[County]]="Merseyside",Table1[[#This Row],[income]],0)</f>
        <v>0</v>
      </c>
      <c r="CN295" s="20">
        <f ca="1">IF(Table1[[#This Row],[County]]="Northamptonshire",Table1[[#This Row],[income]],0)</f>
        <v>0</v>
      </c>
      <c r="CO295" s="20">
        <f ca="1">IF(Table1[[#This Row],[County]]="Northumberland",Table1[[#This Row],[income]],0)</f>
        <v>0</v>
      </c>
      <c r="CP295" s="20">
        <f ca="1">IF(Table1[[#This Row],[County]]="Wiltshire",Table1[[#This Row],[income]],0)</f>
        <v>0</v>
      </c>
      <c r="CQ295" s="20">
        <f ca="1">IF(Table1[[#This Row],[County]]="West Midlands",Table1[[#This Row],[income]],0)</f>
        <v>0</v>
      </c>
      <c r="CR295" s="20">
        <f ca="1">IF(Table1[[#This Row],[County]]="Warwickshire",Table1[[#This Row],[income]],0)</f>
        <v>0</v>
      </c>
      <c r="CS295" s="20">
        <f ca="1">IF(Table1[[#This Row],[County]]="Tyne and Wear",Table1[[#This Row],[income]],0)</f>
        <v>0</v>
      </c>
      <c r="CT295" s="20">
        <f ca="1">IF(Table1[[#This Row],[County]]="Worcestershire",Table1[[#This Row],[income]],0)</f>
        <v>0</v>
      </c>
      <c r="CU295" s="20">
        <f ca="1">IF(Table1[[#This Row],[County]]="Rutland",Table1[[#This Row],[income]],0)</f>
        <v>0</v>
      </c>
      <c r="CV295" s="20">
        <f ca="1">IF(Table1[[#This Row],[County]]="Shropshire",Table1[[#This Row],[income]],0)</f>
        <v>0</v>
      </c>
      <c r="CW295" s="20">
        <f ca="1">IF(Table1[[#This Row],[County]]="Dorset",Table1[[#This Row],[income]],0)</f>
        <v>0</v>
      </c>
      <c r="CX295" s="20">
        <f ca="1">IF(Table1[[#This Row],[County]]="Buckinghamshire",Table1[[#This Row],[income]],0)</f>
        <v>0</v>
      </c>
      <c r="CY295" s="20">
        <f ca="1">IF(Table1[[#This Row],[County]]="Suffolk",Table1[[#This Row],[income]],0)</f>
        <v>0</v>
      </c>
      <c r="CZ295" s="20">
        <f ca="1">IF(Table1[[#This Row],[County]]="North Yorkshire",Table1[[#This Row],[income]],0)</f>
        <v>0</v>
      </c>
      <c r="DA295" s="20">
        <f ca="1">IF(Table1[[#This Row],[County]]="Kent",Table1[[#This Row],[income]],0)</f>
        <v>0</v>
      </c>
      <c r="DB295" s="5">
        <f ca="1">IF(Table1[[#This Row],[County]]="Derbyshire",Table1[[#This Row],[income]],0)</f>
        <v>0</v>
      </c>
      <c r="DD295" s="6">
        <f ca="1">IF(Table1[[#This Row],[Column1]]="Health",Table1[[#This Row],[income]],0)</f>
        <v>76208</v>
      </c>
      <c r="DE295" s="20">
        <f ca="1">IF(Table1[[#This Row],[Column1]]="Agriculture",Table1[[#This Row],[income]],0)</f>
        <v>0</v>
      </c>
      <c r="DF295" s="20">
        <f ca="1">IF(Table1[[#This Row],[Column1]]="Technology",Table1[[#This Row],[income]],0)</f>
        <v>0</v>
      </c>
      <c r="DG295" s="20">
        <f ca="1">IF(Table1[[#This Row],[Column1]]="Social Service",Table1[[#This Row],[income]],0)</f>
        <v>0</v>
      </c>
      <c r="DH295" s="20">
        <f ca="1">IF(Table1[[#This Row],[Column1]]="Education",Table1[[#This Row],[income]],0)</f>
        <v>0</v>
      </c>
      <c r="DI295" s="5">
        <f ca="1">IF(Table1[[#This Row],[Column1]]="Construction",Table1[[#This Row],[income]],0)</f>
        <v>0</v>
      </c>
      <c r="DK295" s="6">
        <f ca="1">IF(Table1[[#This Row],[Value of Debts]]&gt;Table1[[#This Row],[income]],1,0)</f>
        <v>1</v>
      </c>
      <c r="DL295" s="20"/>
      <c r="DM295" s="20"/>
      <c r="DN295" s="5"/>
      <c r="DP295" s="6">
        <f ca="1">IF(Table1[[#This Row],[Net Worth (£)]]&gt;$DS$5,C295,0)</f>
        <v>43</v>
      </c>
      <c r="DQ295" s="20"/>
      <c r="DR295" s="20"/>
      <c r="DS295" s="5"/>
    </row>
    <row r="296" spans="1:123" x14ac:dyDescent="0.2">
      <c r="A296">
        <f t="shared" ca="1" si="13"/>
        <v>1</v>
      </c>
      <c r="B296" s="1" t="str">
        <f ca="1">IF(A296=1, "men", "women")</f>
        <v>men</v>
      </c>
      <c r="C296" s="1">
        <f ca="1">RANDBETWEEN(25,50)</f>
        <v>37</v>
      </c>
      <c r="D296">
        <f ca="1">RANDBETWEEN(1,6)</f>
        <v>5</v>
      </c>
      <c r="E296" t="str">
        <f ca="1">VLOOKUP(D296,$W$5:$X$10,2)</f>
        <v>Social Service</v>
      </c>
      <c r="F296">
        <f ca="1">RANDBETWEEN(1,5)</f>
        <v>4</v>
      </c>
      <c r="G296" t="str">
        <f ca="1">VLOOKUP(F296,$Y$5:$Z$9,2)</f>
        <v xml:space="preserve">Technical </v>
      </c>
      <c r="H296">
        <f ca="1">RANDBETWEEN(0,4)</f>
        <v>1</v>
      </c>
      <c r="I296">
        <f ca="1">RANDBETWEEN(1,3)</f>
        <v>1</v>
      </c>
      <c r="J296">
        <f ca="1">RANDBETWEEN(30000,100000)</f>
        <v>45121</v>
      </c>
      <c r="K296">
        <f ca="1">RANDBETWEEN(1,48)</f>
        <v>33</v>
      </c>
      <c r="L296" t="str">
        <f ca="1">VLOOKUP(K296,$AA$5:$AB$52,2)</f>
        <v>Nottinghamshire</v>
      </c>
      <c r="M296">
        <f ca="1">J296*(RANDBETWEEN(2,5))</f>
        <v>225605</v>
      </c>
      <c r="N296">
        <f ca="1">RAND()*M296</f>
        <v>124163.31103279564</v>
      </c>
      <c r="O296">
        <f ca="1">I296*RAND()*J296</f>
        <v>1599.9886074262308</v>
      </c>
      <c r="P296">
        <f ca="1">RANDBETWEEN(0,O296)</f>
        <v>301</v>
      </c>
      <c r="Q296">
        <f ca="1">RAND()*J296*2</f>
        <v>76425.135927622672</v>
      </c>
      <c r="R296">
        <f ca="1">RAND()*J296*1.5</f>
        <v>62965.172515670638</v>
      </c>
      <c r="S296">
        <f ca="1">J296+R296+O296</f>
        <v>109686.16112309687</v>
      </c>
      <c r="T296">
        <f ca="1">N296+P296+Q296</f>
        <v>200889.44696041831</v>
      </c>
      <c r="U296">
        <f ca="1">S296-T296</f>
        <v>-91203.28583732144</v>
      </c>
      <c r="AC296" s="6">
        <f ca="1">IF(Table1[[#This Row],[gender]]="men",1,0)</f>
        <v>1</v>
      </c>
      <c r="AD296">
        <f ca="1">IF(Table1[[#This Row],[gender]]="women",1,0)</f>
        <v>0</v>
      </c>
      <c r="AH296" s="5"/>
      <c r="AJ296" s="6">
        <f ca="1">IF(Table1[[#This Row],[Column1]]="Health",1,0)</f>
        <v>0</v>
      </c>
      <c r="AK296">
        <f ca="1">IF(Table1[[#This Row],[Column1]]="Construction",1,0)</f>
        <v>0</v>
      </c>
      <c r="AL296">
        <f ca="1">IF(Table1[[#This Row],[Column1]]="Technology",1,0)</f>
        <v>0</v>
      </c>
      <c r="AM296">
        <f ca="1">IF(Table1[[#This Row],[Column1]]="Education",1,0)</f>
        <v>0</v>
      </c>
      <c r="AN296">
        <f ca="1">IF(Table1[[#This Row],[Column1]]="Agriculture",1,0)</f>
        <v>0</v>
      </c>
      <c r="AO296">
        <f ca="1">IF(Table1[[#This Row],[Column1]]="Social Service", 1, 0)</f>
        <v>1</v>
      </c>
      <c r="AT296" s="5"/>
      <c r="AV296" s="17">
        <f t="shared" ca="1" si="12"/>
        <v>56352.762637537475</v>
      </c>
      <c r="AW296" s="5"/>
      <c r="AX296" s="6">
        <f ca="1">IF(Table1[[#This Row],[Value of Debts]]&gt;$AY$4,1,0)</f>
        <v>1</v>
      </c>
      <c r="AY296" s="20"/>
      <c r="AZ296" s="20"/>
      <c r="BA296" s="5"/>
      <c r="BB296" s="25">
        <f ca="1">Table1[[#This Row],[Mortage Left]]/Table1[[#This Row],[Value of House]]</f>
        <v>0.55035708886237289</v>
      </c>
      <c r="BC296" s="20">
        <f t="shared" ca="1" si="14"/>
        <v>0</v>
      </c>
      <c r="BD296" s="20"/>
      <c r="BE296" s="20"/>
      <c r="BF296" s="20"/>
      <c r="BG296" s="6">
        <f ca="1">IF(Table1[[#This Row],[County]]="Cumbria",Table1[[#This Row],[income]],0)</f>
        <v>0</v>
      </c>
      <c r="BH296" s="20">
        <f ca="1">IF(Table1[[#This Row],[County]]="Cheshire",Table1[[#This Row],[income]],0)</f>
        <v>0</v>
      </c>
      <c r="BI296" s="20">
        <f ca="1">IF(Table1[[#This Row],[County]]="Bristol",Table1[[#This Row],[income]],0)</f>
        <v>0</v>
      </c>
      <c r="BJ296" s="20">
        <f ca="1">IF(Table1[[#This Row],[County]]="Surrey",Table1[[#This Row],[income]],0)</f>
        <v>0</v>
      </c>
      <c r="BK296" s="20">
        <f ca="1">IF(Table1[[#This Row],[County]]="Norfolk",Table1[[#This Row],[income]],0)</f>
        <v>0</v>
      </c>
      <c r="BL296" s="20">
        <f ca="1">IF(Table1[[#This Row],[County]]="Lincolnshire",Table1[[#This Row],[income]],0)</f>
        <v>0</v>
      </c>
      <c r="BM296" s="20">
        <f ca="1">IF(Table1[[#This Row],[County]]="Somerset",Table1[[#This Row],[income]],0)</f>
        <v>0</v>
      </c>
      <c r="BN296" s="20">
        <f ca="1">IF(Table1[[#This Row],[County]]="Cambridgeshire",Table1[[#This Row],[income]],0)</f>
        <v>0</v>
      </c>
      <c r="BO296" s="20">
        <f ca="1">IF(Table1[[#This Row],[County]]="South Yorkshire",Table1[[#This Row],[income]],0)</f>
        <v>0</v>
      </c>
      <c r="BP296" s="20">
        <f ca="1">IF(Table1[[#This Row],[County]]="Greater London",Table1[[#This Row],[income]],0)</f>
        <v>0</v>
      </c>
      <c r="BQ296" s="20">
        <f ca="1">IF(Table1[[#This Row],[County]]="Hampshire",Table1[[#This Row],[income]],0)</f>
        <v>0</v>
      </c>
      <c r="BR296" s="20">
        <f ca="1">IF(Table1[[#This Row],[County]]="Gloucestershire",Table1[[#This Row],[income]],0)</f>
        <v>0</v>
      </c>
      <c r="BS296" s="20">
        <f ca="1">IF(Table1[[#This Row],[County]]="West Sussex",Table1[[#This Row],[income]],0)</f>
        <v>0</v>
      </c>
      <c r="BT296" s="20">
        <f ca="1">IF(Table1[[#This Row],[County]]="Devon",Table1[[#This Row],[income]],0)</f>
        <v>0</v>
      </c>
      <c r="BU296" s="20">
        <f ca="1">IF(Table1[[#This Row],[County]]="Berkshire",Table1[[#This Row],[income]],0)</f>
        <v>0</v>
      </c>
      <c r="BV296" s="20">
        <f ca="1">IF(Table1[[#This Row],[County]]="Staffordshire",Table1[[#This Row],[income]],0)</f>
        <v>0</v>
      </c>
      <c r="BW296" s="20">
        <f ca="1">IF(Table1[[#This Row],[County]]="Leicestershire",Table1[[#This Row],[income]],0)</f>
        <v>0</v>
      </c>
      <c r="BX296" s="20">
        <f ca="1">IF(Table1[[#This Row],[County]]="Cornwall",Table1[[#This Row],[income]],0)</f>
        <v>0</v>
      </c>
      <c r="BY296" s="20">
        <f ca="1">IF(Table1[[#This Row],[County]]="Isle of Wight",Table1[[#This Row],[income]],0)</f>
        <v>0</v>
      </c>
      <c r="BZ296" s="20">
        <f ca="1">IF(Table1[[#This Row],[County]]="Surrey",Table1[[#This Row],[income]],0)</f>
        <v>0</v>
      </c>
      <c r="CA296" s="20">
        <f ca="1">IF(Table1[[#This Row],[County]]="Derbyshire",Table1[[#This Row],[income]],0)</f>
        <v>0</v>
      </c>
      <c r="CB296" s="20">
        <f ca="1">IF(Table1[[#This Row],[County]]="City of London",Table1[[#This Row],[income]],0)</f>
        <v>0</v>
      </c>
      <c r="CC296" s="20">
        <f ca="1">IF(Table1[[#This Row],[County]]="Bedfordshire",Table1[[#This Row],[income]],0)</f>
        <v>0</v>
      </c>
      <c r="CD296" s="20">
        <f ca="1">IF(Table1[[#This Row],[County]]="County Durham",Table1[[#This Row],[income]],0)</f>
        <v>0</v>
      </c>
      <c r="CE296" s="20">
        <f ca="1">IF(Table1[[#This Row],[County]]="East Riding of Yorkshire",Table1[[#This Row],[income]],0)</f>
        <v>0</v>
      </c>
      <c r="CF296" s="20">
        <f ca="1">IF(Table1[[#This Row],[County]]="West Yorkshire",Table1[[#This Row],[income]],0)</f>
        <v>0</v>
      </c>
      <c r="CG296" s="20">
        <f ca="1">IF(Table1[[#This Row],[County]]="Essex",Table1[[#This Row],[income]],0)</f>
        <v>0</v>
      </c>
      <c r="CH296" s="20">
        <f ca="1">IF(Table1[[#This Row],[County]]="East Sussex",Table1[[#This Row],[income]],0)</f>
        <v>0</v>
      </c>
      <c r="CI296" s="20">
        <f ca="1">IF(Table1[[#This Row],[County]]="Greater Manchester",Table1[[#This Row],[income]],0)</f>
        <v>0</v>
      </c>
      <c r="CJ296" s="20">
        <f ca="1">IF(Table1[[#This Row],[County]]="Hertfordshire",Table1[[#This Row],[income]],0)</f>
        <v>0</v>
      </c>
      <c r="CK296" s="20">
        <f ca="1">IF(Table1[[#This Row],[County]]="Herefordshire",Table1[[#This Row],[income]],0)</f>
        <v>0</v>
      </c>
      <c r="CL296" s="20">
        <f ca="1">IF(Table1[[#This Row],[County]]="Lancashire",Table1[[#This Row],[income]],0)</f>
        <v>0</v>
      </c>
      <c r="CM296" s="20">
        <f ca="1">IF(Table1[[#This Row],[County]]="Merseyside",Table1[[#This Row],[income]],0)</f>
        <v>0</v>
      </c>
      <c r="CN296" s="20">
        <f ca="1">IF(Table1[[#This Row],[County]]="Northamptonshire",Table1[[#This Row],[income]],0)</f>
        <v>0</v>
      </c>
      <c r="CO296" s="20">
        <f ca="1">IF(Table1[[#This Row],[County]]="Northumberland",Table1[[#This Row],[income]],0)</f>
        <v>0</v>
      </c>
      <c r="CP296" s="20">
        <f ca="1">IF(Table1[[#This Row],[County]]="Wiltshire",Table1[[#This Row],[income]],0)</f>
        <v>0</v>
      </c>
      <c r="CQ296" s="20">
        <f ca="1">IF(Table1[[#This Row],[County]]="West Midlands",Table1[[#This Row],[income]],0)</f>
        <v>0</v>
      </c>
      <c r="CR296" s="20">
        <f ca="1">IF(Table1[[#This Row],[County]]="Warwickshire",Table1[[#This Row],[income]],0)</f>
        <v>0</v>
      </c>
      <c r="CS296" s="20">
        <f ca="1">IF(Table1[[#This Row],[County]]="Tyne and Wear",Table1[[#This Row],[income]],0)</f>
        <v>0</v>
      </c>
      <c r="CT296" s="20">
        <f ca="1">IF(Table1[[#This Row],[County]]="Worcestershire",Table1[[#This Row],[income]],0)</f>
        <v>0</v>
      </c>
      <c r="CU296" s="20">
        <f ca="1">IF(Table1[[#This Row],[County]]="Rutland",Table1[[#This Row],[income]],0)</f>
        <v>0</v>
      </c>
      <c r="CV296" s="20">
        <f ca="1">IF(Table1[[#This Row],[County]]="Shropshire",Table1[[#This Row],[income]],0)</f>
        <v>0</v>
      </c>
      <c r="CW296" s="20">
        <f ca="1">IF(Table1[[#This Row],[County]]="Dorset",Table1[[#This Row],[income]],0)</f>
        <v>0</v>
      </c>
      <c r="CX296" s="20">
        <f ca="1">IF(Table1[[#This Row],[County]]="Buckinghamshire",Table1[[#This Row],[income]],0)</f>
        <v>0</v>
      </c>
      <c r="CY296" s="20">
        <f ca="1">IF(Table1[[#This Row],[County]]="Suffolk",Table1[[#This Row],[income]],0)</f>
        <v>0</v>
      </c>
      <c r="CZ296" s="20">
        <f ca="1">IF(Table1[[#This Row],[County]]="North Yorkshire",Table1[[#This Row],[income]],0)</f>
        <v>0</v>
      </c>
      <c r="DA296" s="20">
        <f ca="1">IF(Table1[[#This Row],[County]]="Kent",Table1[[#This Row],[income]],0)</f>
        <v>0</v>
      </c>
      <c r="DB296" s="5">
        <f ca="1">IF(Table1[[#This Row],[County]]="Derbyshire",Table1[[#This Row],[income]],0)</f>
        <v>0</v>
      </c>
      <c r="DD296" s="6">
        <f ca="1">IF(Table1[[#This Row],[Column1]]="Health",Table1[[#This Row],[income]],0)</f>
        <v>0</v>
      </c>
      <c r="DE296" s="20">
        <f ca="1">IF(Table1[[#This Row],[Column1]]="Agriculture",Table1[[#This Row],[income]],0)</f>
        <v>0</v>
      </c>
      <c r="DF296" s="20">
        <f ca="1">IF(Table1[[#This Row],[Column1]]="Technology",Table1[[#This Row],[income]],0)</f>
        <v>0</v>
      </c>
      <c r="DG296" s="20">
        <f ca="1">IF(Table1[[#This Row],[Column1]]="Social Service",Table1[[#This Row],[income]],0)</f>
        <v>45121</v>
      </c>
      <c r="DH296" s="20">
        <f ca="1">IF(Table1[[#This Row],[Column1]]="Education",Table1[[#This Row],[income]],0)</f>
        <v>0</v>
      </c>
      <c r="DI296" s="5">
        <f ca="1">IF(Table1[[#This Row],[Column1]]="Construction",Table1[[#This Row],[income]],0)</f>
        <v>0</v>
      </c>
      <c r="DK296" s="6">
        <f ca="1">IF(Table1[[#This Row],[Value of Debts]]&gt;Table1[[#This Row],[income]],1,0)</f>
        <v>1</v>
      </c>
      <c r="DL296" s="20"/>
      <c r="DM296" s="20"/>
      <c r="DN296" s="5"/>
      <c r="DP296" s="6">
        <f ca="1">IF(Table1[[#This Row],[Net Worth (£)]]&gt;$DS$5,C296,0)</f>
        <v>0</v>
      </c>
      <c r="DQ296" s="20"/>
      <c r="DR296" s="20"/>
      <c r="DS296" s="5"/>
    </row>
    <row r="297" spans="1:123" x14ac:dyDescent="0.2">
      <c r="A297">
        <f t="shared" ca="1" si="13"/>
        <v>2</v>
      </c>
      <c r="B297" s="1" t="str">
        <f ca="1">IF(A297=1, "men", "women")</f>
        <v>women</v>
      </c>
      <c r="C297" s="1">
        <f ca="1">RANDBETWEEN(25,50)</f>
        <v>46</v>
      </c>
      <c r="D297">
        <f ca="1">RANDBETWEEN(1,6)</f>
        <v>3</v>
      </c>
      <c r="E297" t="str">
        <f ca="1">VLOOKUP(D297,$W$5:$X$10,2)</f>
        <v>Education</v>
      </c>
      <c r="F297">
        <f ca="1">RANDBETWEEN(1,5)</f>
        <v>4</v>
      </c>
      <c r="G297" t="str">
        <f ca="1">VLOOKUP(F297,$Y$5:$Z$9,2)</f>
        <v xml:space="preserve">Technical </v>
      </c>
      <c r="H297">
        <f ca="1">RANDBETWEEN(0,4)</f>
        <v>4</v>
      </c>
      <c r="I297">
        <f ca="1">RANDBETWEEN(1,3)</f>
        <v>3</v>
      </c>
      <c r="J297">
        <f ca="1">RANDBETWEEN(30000,100000)</f>
        <v>72415</v>
      </c>
      <c r="K297">
        <f ca="1">RANDBETWEEN(1,48)</f>
        <v>16</v>
      </c>
      <c r="L297" t="str">
        <f ca="1">VLOOKUP(K297,$AA$5:$AB$52,2)</f>
        <v>Essex</v>
      </c>
      <c r="M297">
        <f ca="1">J297*(RANDBETWEEN(2,5))</f>
        <v>289660</v>
      </c>
      <c r="N297">
        <f ca="1">RAND()*M297</f>
        <v>281559.18547408102</v>
      </c>
      <c r="O297">
        <f ca="1">I297*RAND()*J297</f>
        <v>169058.28791261243</v>
      </c>
      <c r="P297">
        <f ca="1">RANDBETWEEN(0,O297)</f>
        <v>132986</v>
      </c>
      <c r="Q297">
        <f ca="1">RAND()*J297*2</f>
        <v>70613.764055982741</v>
      </c>
      <c r="R297">
        <f ca="1">RAND()*J297*1.5</f>
        <v>13746.755127554467</v>
      </c>
      <c r="S297">
        <f ca="1">J297+R297+O297</f>
        <v>255220.0430401669</v>
      </c>
      <c r="T297">
        <f ca="1">N297+P297+Q297</f>
        <v>485158.94953006378</v>
      </c>
      <c r="U297">
        <f ca="1">S297-T297</f>
        <v>-229938.90648989688</v>
      </c>
      <c r="AC297" s="6">
        <f ca="1">IF(Table1[[#This Row],[gender]]="men",1,0)</f>
        <v>0</v>
      </c>
      <c r="AD297">
        <f ca="1">IF(Table1[[#This Row],[gender]]="women",1,0)</f>
        <v>1</v>
      </c>
      <c r="AH297" s="5"/>
      <c r="AJ297" s="6">
        <f ca="1">IF(Table1[[#This Row],[Column1]]="Health",1,0)</f>
        <v>0</v>
      </c>
      <c r="AK297">
        <f ca="1">IF(Table1[[#This Row],[Column1]]="Construction",1,0)</f>
        <v>0</v>
      </c>
      <c r="AL297">
        <f ca="1">IF(Table1[[#This Row],[Column1]]="Technology",1,0)</f>
        <v>0</v>
      </c>
      <c r="AM297">
        <f ca="1">IF(Table1[[#This Row],[Column1]]="Education",1,0)</f>
        <v>1</v>
      </c>
      <c r="AN297">
        <f ca="1">IF(Table1[[#This Row],[Column1]]="Agriculture",1,0)</f>
        <v>0</v>
      </c>
      <c r="AO297">
        <f ca="1">IF(Table1[[#This Row],[Column1]]="Social Service", 1, 0)</f>
        <v>0</v>
      </c>
      <c r="AT297" s="5"/>
      <c r="AV297" s="17">
        <f t="shared" ca="1" si="12"/>
        <v>28788.574105642088</v>
      </c>
      <c r="AW297" s="5"/>
      <c r="AX297" s="6">
        <f ca="1">IF(Table1[[#This Row],[Value of Debts]]&gt;$AY$4,1,0)</f>
        <v>1</v>
      </c>
      <c r="AY297" s="20"/>
      <c r="AZ297" s="20"/>
      <c r="BA297" s="5"/>
      <c r="BB297" s="25">
        <f ca="1">Table1[[#This Row],[Mortage Left]]/Table1[[#This Row],[Value of House]]</f>
        <v>0.972033368342474</v>
      </c>
      <c r="BC297" s="20">
        <f t="shared" ca="1" si="14"/>
        <v>0</v>
      </c>
      <c r="BD297" s="20"/>
      <c r="BE297" s="20"/>
      <c r="BF297" s="20"/>
      <c r="BG297" s="6">
        <f ca="1">IF(Table1[[#This Row],[County]]="Cumbria",Table1[[#This Row],[income]],0)</f>
        <v>0</v>
      </c>
      <c r="BH297" s="20">
        <f ca="1">IF(Table1[[#This Row],[County]]="Cheshire",Table1[[#This Row],[income]],0)</f>
        <v>0</v>
      </c>
      <c r="BI297" s="20">
        <f ca="1">IF(Table1[[#This Row],[County]]="Bristol",Table1[[#This Row],[income]],0)</f>
        <v>0</v>
      </c>
      <c r="BJ297" s="20">
        <f ca="1">IF(Table1[[#This Row],[County]]="Surrey",Table1[[#This Row],[income]],0)</f>
        <v>0</v>
      </c>
      <c r="BK297" s="20">
        <f ca="1">IF(Table1[[#This Row],[County]]="Norfolk",Table1[[#This Row],[income]],0)</f>
        <v>0</v>
      </c>
      <c r="BL297" s="20">
        <f ca="1">IF(Table1[[#This Row],[County]]="Lincolnshire",Table1[[#This Row],[income]],0)</f>
        <v>0</v>
      </c>
      <c r="BM297" s="20">
        <f ca="1">IF(Table1[[#This Row],[County]]="Somerset",Table1[[#This Row],[income]],0)</f>
        <v>0</v>
      </c>
      <c r="BN297" s="20">
        <f ca="1">IF(Table1[[#This Row],[County]]="Cambridgeshire",Table1[[#This Row],[income]],0)</f>
        <v>0</v>
      </c>
      <c r="BO297" s="20">
        <f ca="1">IF(Table1[[#This Row],[County]]="South Yorkshire",Table1[[#This Row],[income]],0)</f>
        <v>0</v>
      </c>
      <c r="BP297" s="20">
        <f ca="1">IF(Table1[[#This Row],[County]]="Greater London",Table1[[#This Row],[income]],0)</f>
        <v>0</v>
      </c>
      <c r="BQ297" s="20">
        <f ca="1">IF(Table1[[#This Row],[County]]="Hampshire",Table1[[#This Row],[income]],0)</f>
        <v>0</v>
      </c>
      <c r="BR297" s="20">
        <f ca="1">IF(Table1[[#This Row],[County]]="Gloucestershire",Table1[[#This Row],[income]],0)</f>
        <v>0</v>
      </c>
      <c r="BS297" s="20">
        <f ca="1">IF(Table1[[#This Row],[County]]="West Sussex",Table1[[#This Row],[income]],0)</f>
        <v>0</v>
      </c>
      <c r="BT297" s="20">
        <f ca="1">IF(Table1[[#This Row],[County]]="Devon",Table1[[#This Row],[income]],0)</f>
        <v>0</v>
      </c>
      <c r="BU297" s="20">
        <f ca="1">IF(Table1[[#This Row],[County]]="Berkshire",Table1[[#This Row],[income]],0)</f>
        <v>0</v>
      </c>
      <c r="BV297" s="20">
        <f ca="1">IF(Table1[[#This Row],[County]]="Staffordshire",Table1[[#This Row],[income]],0)</f>
        <v>0</v>
      </c>
      <c r="BW297" s="20">
        <f ca="1">IF(Table1[[#This Row],[County]]="Leicestershire",Table1[[#This Row],[income]],0)</f>
        <v>0</v>
      </c>
      <c r="BX297" s="20">
        <f ca="1">IF(Table1[[#This Row],[County]]="Cornwall",Table1[[#This Row],[income]],0)</f>
        <v>0</v>
      </c>
      <c r="BY297" s="20">
        <f ca="1">IF(Table1[[#This Row],[County]]="Isle of Wight",Table1[[#This Row],[income]],0)</f>
        <v>0</v>
      </c>
      <c r="BZ297" s="20">
        <f ca="1">IF(Table1[[#This Row],[County]]="Surrey",Table1[[#This Row],[income]],0)</f>
        <v>0</v>
      </c>
      <c r="CA297" s="20">
        <f ca="1">IF(Table1[[#This Row],[County]]="Derbyshire",Table1[[#This Row],[income]],0)</f>
        <v>0</v>
      </c>
      <c r="CB297" s="20">
        <f ca="1">IF(Table1[[#This Row],[County]]="City of London",Table1[[#This Row],[income]],0)</f>
        <v>0</v>
      </c>
      <c r="CC297" s="20">
        <f ca="1">IF(Table1[[#This Row],[County]]="Bedfordshire",Table1[[#This Row],[income]],0)</f>
        <v>0</v>
      </c>
      <c r="CD297" s="20">
        <f ca="1">IF(Table1[[#This Row],[County]]="County Durham",Table1[[#This Row],[income]],0)</f>
        <v>0</v>
      </c>
      <c r="CE297" s="20">
        <f ca="1">IF(Table1[[#This Row],[County]]="East Riding of Yorkshire",Table1[[#This Row],[income]],0)</f>
        <v>0</v>
      </c>
      <c r="CF297" s="20">
        <f ca="1">IF(Table1[[#This Row],[County]]="West Yorkshire",Table1[[#This Row],[income]],0)</f>
        <v>0</v>
      </c>
      <c r="CG297" s="20">
        <f ca="1">IF(Table1[[#This Row],[County]]="Essex",Table1[[#This Row],[income]],0)</f>
        <v>72415</v>
      </c>
      <c r="CH297" s="20">
        <f ca="1">IF(Table1[[#This Row],[County]]="East Sussex",Table1[[#This Row],[income]],0)</f>
        <v>0</v>
      </c>
      <c r="CI297" s="20">
        <f ca="1">IF(Table1[[#This Row],[County]]="Greater Manchester",Table1[[#This Row],[income]],0)</f>
        <v>0</v>
      </c>
      <c r="CJ297" s="20">
        <f ca="1">IF(Table1[[#This Row],[County]]="Hertfordshire",Table1[[#This Row],[income]],0)</f>
        <v>0</v>
      </c>
      <c r="CK297" s="20">
        <f ca="1">IF(Table1[[#This Row],[County]]="Herefordshire",Table1[[#This Row],[income]],0)</f>
        <v>0</v>
      </c>
      <c r="CL297" s="20">
        <f ca="1">IF(Table1[[#This Row],[County]]="Lancashire",Table1[[#This Row],[income]],0)</f>
        <v>0</v>
      </c>
      <c r="CM297" s="20">
        <f ca="1">IF(Table1[[#This Row],[County]]="Merseyside",Table1[[#This Row],[income]],0)</f>
        <v>0</v>
      </c>
      <c r="CN297" s="20">
        <f ca="1">IF(Table1[[#This Row],[County]]="Northamptonshire",Table1[[#This Row],[income]],0)</f>
        <v>0</v>
      </c>
      <c r="CO297" s="20">
        <f ca="1">IF(Table1[[#This Row],[County]]="Northumberland",Table1[[#This Row],[income]],0)</f>
        <v>0</v>
      </c>
      <c r="CP297" s="20">
        <f ca="1">IF(Table1[[#This Row],[County]]="Wiltshire",Table1[[#This Row],[income]],0)</f>
        <v>0</v>
      </c>
      <c r="CQ297" s="20">
        <f ca="1">IF(Table1[[#This Row],[County]]="West Midlands",Table1[[#This Row],[income]],0)</f>
        <v>0</v>
      </c>
      <c r="CR297" s="20">
        <f ca="1">IF(Table1[[#This Row],[County]]="Warwickshire",Table1[[#This Row],[income]],0)</f>
        <v>0</v>
      </c>
      <c r="CS297" s="20">
        <f ca="1">IF(Table1[[#This Row],[County]]="Tyne and Wear",Table1[[#This Row],[income]],0)</f>
        <v>0</v>
      </c>
      <c r="CT297" s="20">
        <f ca="1">IF(Table1[[#This Row],[County]]="Worcestershire",Table1[[#This Row],[income]],0)</f>
        <v>0</v>
      </c>
      <c r="CU297" s="20">
        <f ca="1">IF(Table1[[#This Row],[County]]="Rutland",Table1[[#This Row],[income]],0)</f>
        <v>0</v>
      </c>
      <c r="CV297" s="20">
        <f ca="1">IF(Table1[[#This Row],[County]]="Shropshire",Table1[[#This Row],[income]],0)</f>
        <v>0</v>
      </c>
      <c r="CW297" s="20">
        <f ca="1">IF(Table1[[#This Row],[County]]="Dorset",Table1[[#This Row],[income]],0)</f>
        <v>0</v>
      </c>
      <c r="CX297" s="20">
        <f ca="1">IF(Table1[[#This Row],[County]]="Buckinghamshire",Table1[[#This Row],[income]],0)</f>
        <v>0</v>
      </c>
      <c r="CY297" s="20">
        <f ca="1">IF(Table1[[#This Row],[County]]="Suffolk",Table1[[#This Row],[income]],0)</f>
        <v>0</v>
      </c>
      <c r="CZ297" s="20">
        <f ca="1">IF(Table1[[#This Row],[County]]="North Yorkshire",Table1[[#This Row],[income]],0)</f>
        <v>0</v>
      </c>
      <c r="DA297" s="20">
        <f ca="1">IF(Table1[[#This Row],[County]]="Kent",Table1[[#This Row],[income]],0)</f>
        <v>0</v>
      </c>
      <c r="DB297" s="5">
        <f ca="1">IF(Table1[[#This Row],[County]]="Derbyshire",Table1[[#This Row],[income]],0)</f>
        <v>0</v>
      </c>
      <c r="DD297" s="6">
        <f ca="1">IF(Table1[[#This Row],[Column1]]="Health",Table1[[#This Row],[income]],0)</f>
        <v>0</v>
      </c>
      <c r="DE297" s="20">
        <f ca="1">IF(Table1[[#This Row],[Column1]]="Agriculture",Table1[[#This Row],[income]],0)</f>
        <v>0</v>
      </c>
      <c r="DF297" s="20">
        <f ca="1">IF(Table1[[#This Row],[Column1]]="Technology",Table1[[#This Row],[income]],0)</f>
        <v>0</v>
      </c>
      <c r="DG297" s="20">
        <f ca="1">IF(Table1[[#This Row],[Column1]]="Social Service",Table1[[#This Row],[income]],0)</f>
        <v>0</v>
      </c>
      <c r="DH297" s="20">
        <f ca="1">IF(Table1[[#This Row],[Column1]]="Education",Table1[[#This Row],[income]],0)</f>
        <v>72415</v>
      </c>
      <c r="DI297" s="5">
        <f ca="1">IF(Table1[[#This Row],[Column1]]="Construction",Table1[[#This Row],[income]],0)</f>
        <v>0</v>
      </c>
      <c r="DK297" s="6">
        <f ca="1">IF(Table1[[#This Row],[Value of Debts]]&gt;Table1[[#This Row],[income]],1,0)</f>
        <v>1</v>
      </c>
      <c r="DL297" s="20"/>
      <c r="DM297" s="20"/>
      <c r="DN297" s="5"/>
      <c r="DP297" s="6">
        <f ca="1">IF(Table1[[#This Row],[Net Worth (£)]]&gt;$DS$5,C297,0)</f>
        <v>0</v>
      </c>
      <c r="DQ297" s="20"/>
      <c r="DR297" s="20"/>
      <c r="DS297" s="5"/>
    </row>
    <row r="298" spans="1:123" x14ac:dyDescent="0.2">
      <c r="A298">
        <f t="shared" ca="1" si="13"/>
        <v>2</v>
      </c>
      <c r="B298" s="1" t="str">
        <f ca="1">IF(A298=1, "men", "women")</f>
        <v>women</v>
      </c>
      <c r="C298" s="1">
        <f ca="1">RANDBETWEEN(25,50)</f>
        <v>25</v>
      </c>
      <c r="D298">
        <f ca="1">RANDBETWEEN(1,6)</f>
        <v>4</v>
      </c>
      <c r="E298" t="str">
        <f ca="1">VLOOKUP(D298,$W$5:$X$10,2)</f>
        <v>Technology</v>
      </c>
      <c r="F298">
        <f ca="1">RANDBETWEEN(1,5)</f>
        <v>2</v>
      </c>
      <c r="G298" t="str">
        <f ca="1">VLOOKUP(F298,$Y$5:$Z$9,2)</f>
        <v>College</v>
      </c>
      <c r="H298">
        <f ca="1">RANDBETWEEN(0,4)</f>
        <v>4</v>
      </c>
      <c r="I298">
        <f ca="1">RANDBETWEEN(1,3)</f>
        <v>2</v>
      </c>
      <c r="J298">
        <f ca="1">RANDBETWEEN(30000,100000)</f>
        <v>41528</v>
      </c>
      <c r="K298">
        <f ca="1">RANDBETWEEN(1,48)</f>
        <v>19</v>
      </c>
      <c r="L298" t="str">
        <f ca="1">VLOOKUP(K298,$AA$5:$AB$52,2)</f>
        <v>Greater Manchester</v>
      </c>
      <c r="M298">
        <f ca="1">J298*(RANDBETWEEN(2,5))</f>
        <v>207640</v>
      </c>
      <c r="N298">
        <f ca="1">RAND()*M298</f>
        <v>61863.187402697986</v>
      </c>
      <c r="O298">
        <f ca="1">I298*RAND()*J298</f>
        <v>57577.148211284177</v>
      </c>
      <c r="P298">
        <f ca="1">RANDBETWEEN(0,O298)</f>
        <v>55401</v>
      </c>
      <c r="Q298">
        <f ca="1">RAND()*J298*2</f>
        <v>82326.554999970569</v>
      </c>
      <c r="R298">
        <f ca="1">RAND()*J298*1.5</f>
        <v>53276.674465832977</v>
      </c>
      <c r="S298">
        <f ca="1">J298+R298+O298</f>
        <v>152381.82267711713</v>
      </c>
      <c r="T298">
        <f ca="1">N298+P298+Q298</f>
        <v>199590.74240266855</v>
      </c>
      <c r="U298">
        <f ca="1">S298-T298</f>
        <v>-47208.919725551415</v>
      </c>
      <c r="AC298" s="6">
        <f ca="1">IF(Table1[[#This Row],[gender]]="men",1,0)</f>
        <v>0</v>
      </c>
      <c r="AD298">
        <f ca="1">IF(Table1[[#This Row],[gender]]="women",1,0)</f>
        <v>1</v>
      </c>
      <c r="AH298" s="5"/>
      <c r="AJ298" s="6">
        <f ca="1">IF(Table1[[#This Row],[Column1]]="Health",1,0)</f>
        <v>0</v>
      </c>
      <c r="AK298">
        <f ca="1">IF(Table1[[#This Row],[Column1]]="Construction",1,0)</f>
        <v>0</v>
      </c>
      <c r="AL298">
        <f ca="1">IF(Table1[[#This Row],[Column1]]="Technology",1,0)</f>
        <v>1</v>
      </c>
      <c r="AM298">
        <f ca="1">IF(Table1[[#This Row],[Column1]]="Education",1,0)</f>
        <v>0</v>
      </c>
      <c r="AN298">
        <f ca="1">IF(Table1[[#This Row],[Column1]]="Agriculture",1,0)</f>
        <v>0</v>
      </c>
      <c r="AO298">
        <f ca="1">IF(Table1[[#This Row],[Column1]]="Social Service", 1, 0)</f>
        <v>0</v>
      </c>
      <c r="AT298" s="5"/>
      <c r="AV298" s="17">
        <f t="shared" ca="1" si="12"/>
        <v>99302.816359452307</v>
      </c>
      <c r="AW298" s="5"/>
      <c r="AX298" s="6">
        <f ca="1">IF(Table1[[#This Row],[Value of Debts]]&gt;$AY$4,1,0)</f>
        <v>1</v>
      </c>
      <c r="AY298" s="20"/>
      <c r="AZ298" s="20"/>
      <c r="BA298" s="5"/>
      <c r="BB298" s="25">
        <f ca="1">Table1[[#This Row],[Mortage Left]]/Table1[[#This Row],[Value of House]]</f>
        <v>0.29793482663599491</v>
      </c>
      <c r="BC298" s="20">
        <f t="shared" ca="1" si="14"/>
        <v>1</v>
      </c>
      <c r="BD298" s="20"/>
      <c r="BE298" s="20"/>
      <c r="BF298" s="20"/>
      <c r="BG298" s="6">
        <f ca="1">IF(Table1[[#This Row],[County]]="Cumbria",Table1[[#This Row],[income]],0)</f>
        <v>0</v>
      </c>
      <c r="BH298" s="20">
        <f ca="1">IF(Table1[[#This Row],[County]]="Cheshire",Table1[[#This Row],[income]],0)</f>
        <v>0</v>
      </c>
      <c r="BI298" s="20">
        <f ca="1">IF(Table1[[#This Row],[County]]="Bristol",Table1[[#This Row],[income]],0)</f>
        <v>0</v>
      </c>
      <c r="BJ298" s="20">
        <f ca="1">IF(Table1[[#This Row],[County]]="Surrey",Table1[[#This Row],[income]],0)</f>
        <v>0</v>
      </c>
      <c r="BK298" s="20">
        <f ca="1">IF(Table1[[#This Row],[County]]="Norfolk",Table1[[#This Row],[income]],0)</f>
        <v>0</v>
      </c>
      <c r="BL298" s="20">
        <f ca="1">IF(Table1[[#This Row],[County]]="Lincolnshire",Table1[[#This Row],[income]],0)</f>
        <v>0</v>
      </c>
      <c r="BM298" s="20">
        <f ca="1">IF(Table1[[#This Row],[County]]="Somerset",Table1[[#This Row],[income]],0)</f>
        <v>0</v>
      </c>
      <c r="BN298" s="20">
        <f ca="1">IF(Table1[[#This Row],[County]]="Cambridgeshire",Table1[[#This Row],[income]],0)</f>
        <v>0</v>
      </c>
      <c r="BO298" s="20">
        <f ca="1">IF(Table1[[#This Row],[County]]="South Yorkshire",Table1[[#This Row],[income]],0)</f>
        <v>0</v>
      </c>
      <c r="BP298" s="20">
        <f ca="1">IF(Table1[[#This Row],[County]]="Greater London",Table1[[#This Row],[income]],0)</f>
        <v>0</v>
      </c>
      <c r="BQ298" s="20">
        <f ca="1">IF(Table1[[#This Row],[County]]="Hampshire",Table1[[#This Row],[income]],0)</f>
        <v>0</v>
      </c>
      <c r="BR298" s="20">
        <f ca="1">IF(Table1[[#This Row],[County]]="Gloucestershire",Table1[[#This Row],[income]],0)</f>
        <v>0</v>
      </c>
      <c r="BS298" s="20">
        <f ca="1">IF(Table1[[#This Row],[County]]="West Sussex",Table1[[#This Row],[income]],0)</f>
        <v>0</v>
      </c>
      <c r="BT298" s="20">
        <f ca="1">IF(Table1[[#This Row],[County]]="Devon",Table1[[#This Row],[income]],0)</f>
        <v>0</v>
      </c>
      <c r="BU298" s="20">
        <f ca="1">IF(Table1[[#This Row],[County]]="Berkshire",Table1[[#This Row],[income]],0)</f>
        <v>0</v>
      </c>
      <c r="BV298" s="20">
        <f ca="1">IF(Table1[[#This Row],[County]]="Staffordshire",Table1[[#This Row],[income]],0)</f>
        <v>0</v>
      </c>
      <c r="BW298" s="20">
        <f ca="1">IF(Table1[[#This Row],[County]]="Leicestershire",Table1[[#This Row],[income]],0)</f>
        <v>0</v>
      </c>
      <c r="BX298" s="20">
        <f ca="1">IF(Table1[[#This Row],[County]]="Cornwall",Table1[[#This Row],[income]],0)</f>
        <v>0</v>
      </c>
      <c r="BY298" s="20">
        <f ca="1">IF(Table1[[#This Row],[County]]="Isle of Wight",Table1[[#This Row],[income]],0)</f>
        <v>0</v>
      </c>
      <c r="BZ298" s="20">
        <f ca="1">IF(Table1[[#This Row],[County]]="Surrey",Table1[[#This Row],[income]],0)</f>
        <v>0</v>
      </c>
      <c r="CA298" s="20">
        <f ca="1">IF(Table1[[#This Row],[County]]="Derbyshire",Table1[[#This Row],[income]],0)</f>
        <v>0</v>
      </c>
      <c r="CB298" s="20">
        <f ca="1">IF(Table1[[#This Row],[County]]="City of London",Table1[[#This Row],[income]],0)</f>
        <v>0</v>
      </c>
      <c r="CC298" s="20">
        <f ca="1">IF(Table1[[#This Row],[County]]="Bedfordshire",Table1[[#This Row],[income]],0)</f>
        <v>0</v>
      </c>
      <c r="CD298" s="20">
        <f ca="1">IF(Table1[[#This Row],[County]]="County Durham",Table1[[#This Row],[income]],0)</f>
        <v>0</v>
      </c>
      <c r="CE298" s="20">
        <f ca="1">IF(Table1[[#This Row],[County]]="East Riding of Yorkshire",Table1[[#This Row],[income]],0)</f>
        <v>0</v>
      </c>
      <c r="CF298" s="20">
        <f ca="1">IF(Table1[[#This Row],[County]]="West Yorkshire",Table1[[#This Row],[income]],0)</f>
        <v>0</v>
      </c>
      <c r="CG298" s="20">
        <f ca="1">IF(Table1[[#This Row],[County]]="Essex",Table1[[#This Row],[income]],0)</f>
        <v>0</v>
      </c>
      <c r="CH298" s="20">
        <f ca="1">IF(Table1[[#This Row],[County]]="East Sussex",Table1[[#This Row],[income]],0)</f>
        <v>0</v>
      </c>
      <c r="CI298" s="20">
        <f ca="1">IF(Table1[[#This Row],[County]]="Greater Manchester",Table1[[#This Row],[income]],0)</f>
        <v>41528</v>
      </c>
      <c r="CJ298" s="20">
        <f ca="1">IF(Table1[[#This Row],[County]]="Hertfordshire",Table1[[#This Row],[income]],0)</f>
        <v>0</v>
      </c>
      <c r="CK298" s="20">
        <f ca="1">IF(Table1[[#This Row],[County]]="Herefordshire",Table1[[#This Row],[income]],0)</f>
        <v>0</v>
      </c>
      <c r="CL298" s="20">
        <f ca="1">IF(Table1[[#This Row],[County]]="Lancashire",Table1[[#This Row],[income]],0)</f>
        <v>0</v>
      </c>
      <c r="CM298" s="20">
        <f ca="1">IF(Table1[[#This Row],[County]]="Merseyside",Table1[[#This Row],[income]],0)</f>
        <v>0</v>
      </c>
      <c r="CN298" s="20">
        <f ca="1">IF(Table1[[#This Row],[County]]="Northamptonshire",Table1[[#This Row],[income]],0)</f>
        <v>0</v>
      </c>
      <c r="CO298" s="20">
        <f ca="1">IF(Table1[[#This Row],[County]]="Northumberland",Table1[[#This Row],[income]],0)</f>
        <v>0</v>
      </c>
      <c r="CP298" s="20">
        <f ca="1">IF(Table1[[#This Row],[County]]="Wiltshire",Table1[[#This Row],[income]],0)</f>
        <v>0</v>
      </c>
      <c r="CQ298" s="20">
        <f ca="1">IF(Table1[[#This Row],[County]]="West Midlands",Table1[[#This Row],[income]],0)</f>
        <v>0</v>
      </c>
      <c r="CR298" s="20">
        <f ca="1">IF(Table1[[#This Row],[County]]="Warwickshire",Table1[[#This Row],[income]],0)</f>
        <v>0</v>
      </c>
      <c r="CS298" s="20">
        <f ca="1">IF(Table1[[#This Row],[County]]="Tyne and Wear",Table1[[#This Row],[income]],0)</f>
        <v>0</v>
      </c>
      <c r="CT298" s="20">
        <f ca="1">IF(Table1[[#This Row],[County]]="Worcestershire",Table1[[#This Row],[income]],0)</f>
        <v>0</v>
      </c>
      <c r="CU298" s="20">
        <f ca="1">IF(Table1[[#This Row],[County]]="Rutland",Table1[[#This Row],[income]],0)</f>
        <v>0</v>
      </c>
      <c r="CV298" s="20">
        <f ca="1">IF(Table1[[#This Row],[County]]="Shropshire",Table1[[#This Row],[income]],0)</f>
        <v>0</v>
      </c>
      <c r="CW298" s="20">
        <f ca="1">IF(Table1[[#This Row],[County]]="Dorset",Table1[[#This Row],[income]],0)</f>
        <v>0</v>
      </c>
      <c r="CX298" s="20">
        <f ca="1">IF(Table1[[#This Row],[County]]="Buckinghamshire",Table1[[#This Row],[income]],0)</f>
        <v>0</v>
      </c>
      <c r="CY298" s="20">
        <f ca="1">IF(Table1[[#This Row],[County]]="Suffolk",Table1[[#This Row],[income]],0)</f>
        <v>0</v>
      </c>
      <c r="CZ298" s="20">
        <f ca="1">IF(Table1[[#This Row],[County]]="North Yorkshire",Table1[[#This Row],[income]],0)</f>
        <v>0</v>
      </c>
      <c r="DA298" s="20">
        <f ca="1">IF(Table1[[#This Row],[County]]="Kent",Table1[[#This Row],[income]],0)</f>
        <v>0</v>
      </c>
      <c r="DB298" s="5">
        <f ca="1">IF(Table1[[#This Row],[County]]="Derbyshire",Table1[[#This Row],[income]],0)</f>
        <v>0</v>
      </c>
      <c r="DD298" s="6">
        <f ca="1">IF(Table1[[#This Row],[Column1]]="Health",Table1[[#This Row],[income]],0)</f>
        <v>0</v>
      </c>
      <c r="DE298" s="20">
        <f ca="1">IF(Table1[[#This Row],[Column1]]="Agriculture",Table1[[#This Row],[income]],0)</f>
        <v>0</v>
      </c>
      <c r="DF298" s="20">
        <f ca="1">IF(Table1[[#This Row],[Column1]]="Technology",Table1[[#This Row],[income]],0)</f>
        <v>41528</v>
      </c>
      <c r="DG298" s="20">
        <f ca="1">IF(Table1[[#This Row],[Column1]]="Social Service",Table1[[#This Row],[income]],0)</f>
        <v>0</v>
      </c>
      <c r="DH298" s="20">
        <f ca="1">IF(Table1[[#This Row],[Column1]]="Education",Table1[[#This Row],[income]],0)</f>
        <v>0</v>
      </c>
      <c r="DI298" s="5">
        <f ca="1">IF(Table1[[#This Row],[Column1]]="Construction",Table1[[#This Row],[income]],0)</f>
        <v>0</v>
      </c>
      <c r="DK298" s="6">
        <f ca="1">IF(Table1[[#This Row],[Value of Debts]]&gt;Table1[[#This Row],[income]],1,0)</f>
        <v>1</v>
      </c>
      <c r="DL298" s="20"/>
      <c r="DM298" s="20"/>
      <c r="DN298" s="5"/>
      <c r="DP298" s="6">
        <f ca="1">IF(Table1[[#This Row],[Net Worth (£)]]&gt;$DS$5,C298,0)</f>
        <v>0</v>
      </c>
      <c r="DQ298" s="20"/>
      <c r="DR298" s="20"/>
      <c r="DS298" s="5"/>
    </row>
    <row r="299" spans="1:123" x14ac:dyDescent="0.2">
      <c r="A299">
        <f t="shared" ca="1" si="13"/>
        <v>1</v>
      </c>
      <c r="B299" s="1" t="str">
        <f ca="1">IF(A299=1, "men", "women")</f>
        <v>men</v>
      </c>
      <c r="C299" s="1">
        <f ca="1">RANDBETWEEN(25,50)</f>
        <v>46</v>
      </c>
      <c r="D299">
        <f ca="1">RANDBETWEEN(1,6)</f>
        <v>4</v>
      </c>
      <c r="E299" t="str">
        <f ca="1">VLOOKUP(D299,$W$5:$X$10,2)</f>
        <v>Technology</v>
      </c>
      <c r="F299">
        <f ca="1">RANDBETWEEN(1,5)</f>
        <v>4</v>
      </c>
      <c r="G299" t="str">
        <f ca="1">VLOOKUP(F299,$Y$5:$Z$9,2)</f>
        <v xml:space="preserve">Technical </v>
      </c>
      <c r="H299">
        <f ca="1">RANDBETWEEN(0,4)</f>
        <v>2</v>
      </c>
      <c r="I299">
        <f ca="1">RANDBETWEEN(1,3)</f>
        <v>2</v>
      </c>
      <c r="J299">
        <f ca="1">RANDBETWEEN(30000,100000)</f>
        <v>99721</v>
      </c>
      <c r="K299">
        <f ca="1">RANDBETWEEN(1,48)</f>
        <v>44</v>
      </c>
      <c r="L299" t="str">
        <f ca="1">VLOOKUP(K299,$AA$5:$AB$52,2)</f>
        <v>West Midlands</v>
      </c>
      <c r="M299">
        <f ca="1">J299*(RANDBETWEEN(2,5))</f>
        <v>199442</v>
      </c>
      <c r="N299">
        <f ca="1">RAND()*M299</f>
        <v>117039.77763079676</v>
      </c>
      <c r="O299">
        <f ca="1">I299*RAND()*J299</f>
        <v>198605.63271890461</v>
      </c>
      <c r="P299">
        <f ca="1">RANDBETWEEN(0,O299)</f>
        <v>4113</v>
      </c>
      <c r="Q299">
        <f ca="1">RAND()*J299*2</f>
        <v>92961.310833737225</v>
      </c>
      <c r="R299">
        <f ca="1">RAND()*J299*1.5</f>
        <v>54290.239138088233</v>
      </c>
      <c r="S299">
        <f ca="1">J299+R299+O299</f>
        <v>352616.87185699283</v>
      </c>
      <c r="T299">
        <f ca="1">N299+P299+Q299</f>
        <v>214114.08846453397</v>
      </c>
      <c r="U299">
        <f ca="1">S299-T299</f>
        <v>138502.78339245886</v>
      </c>
      <c r="AC299" s="6">
        <f ca="1">IF(Table1[[#This Row],[gender]]="men",1,0)</f>
        <v>1</v>
      </c>
      <c r="AD299">
        <f ca="1">IF(Table1[[#This Row],[gender]]="women",1,0)</f>
        <v>0</v>
      </c>
      <c r="AH299" s="5"/>
      <c r="AJ299" s="6">
        <f ca="1">IF(Table1[[#This Row],[Column1]]="Health",1,0)</f>
        <v>0</v>
      </c>
      <c r="AK299">
        <f ca="1">IF(Table1[[#This Row],[Column1]]="Construction",1,0)</f>
        <v>0</v>
      </c>
      <c r="AL299">
        <f ca="1">IF(Table1[[#This Row],[Column1]]="Technology",1,0)</f>
        <v>1</v>
      </c>
      <c r="AM299">
        <f ca="1">IF(Table1[[#This Row],[Column1]]="Education",1,0)</f>
        <v>0</v>
      </c>
      <c r="AN299">
        <f ca="1">IF(Table1[[#This Row],[Column1]]="Agriculture",1,0)</f>
        <v>0</v>
      </c>
      <c r="AO299">
        <f ca="1">IF(Table1[[#This Row],[Column1]]="Social Service", 1, 0)</f>
        <v>0</v>
      </c>
      <c r="AT299" s="5"/>
      <c r="AV299" s="17">
        <f t="shared" ca="1" si="12"/>
        <v>32357.856665965399</v>
      </c>
      <c r="AW299" s="5"/>
      <c r="AX299" s="6">
        <f ca="1">IF(Table1[[#This Row],[Value of Debts]]&gt;$AY$4,1,0)</f>
        <v>1</v>
      </c>
      <c r="AY299" s="20"/>
      <c r="AZ299" s="20"/>
      <c r="BA299" s="5"/>
      <c r="BB299" s="25">
        <f ca="1">Table1[[#This Row],[Mortage Left]]/Table1[[#This Row],[Value of House]]</f>
        <v>0.58683616104329461</v>
      </c>
      <c r="BC299" s="20">
        <f t="shared" ca="1" si="14"/>
        <v>0</v>
      </c>
      <c r="BD299" s="20"/>
      <c r="BE299" s="20"/>
      <c r="BF299" s="20"/>
      <c r="BG299" s="6">
        <f ca="1">IF(Table1[[#This Row],[County]]="Cumbria",Table1[[#This Row],[income]],0)</f>
        <v>0</v>
      </c>
      <c r="BH299" s="20">
        <f ca="1">IF(Table1[[#This Row],[County]]="Cheshire",Table1[[#This Row],[income]],0)</f>
        <v>0</v>
      </c>
      <c r="BI299" s="20">
        <f ca="1">IF(Table1[[#This Row],[County]]="Bristol",Table1[[#This Row],[income]],0)</f>
        <v>0</v>
      </c>
      <c r="BJ299" s="20">
        <f ca="1">IF(Table1[[#This Row],[County]]="Surrey",Table1[[#This Row],[income]],0)</f>
        <v>0</v>
      </c>
      <c r="BK299" s="20">
        <f ca="1">IF(Table1[[#This Row],[County]]="Norfolk",Table1[[#This Row],[income]],0)</f>
        <v>0</v>
      </c>
      <c r="BL299" s="20">
        <f ca="1">IF(Table1[[#This Row],[County]]="Lincolnshire",Table1[[#This Row],[income]],0)</f>
        <v>0</v>
      </c>
      <c r="BM299" s="20">
        <f ca="1">IF(Table1[[#This Row],[County]]="Somerset",Table1[[#This Row],[income]],0)</f>
        <v>0</v>
      </c>
      <c r="BN299" s="20">
        <f ca="1">IF(Table1[[#This Row],[County]]="Cambridgeshire",Table1[[#This Row],[income]],0)</f>
        <v>0</v>
      </c>
      <c r="BO299" s="20">
        <f ca="1">IF(Table1[[#This Row],[County]]="South Yorkshire",Table1[[#This Row],[income]],0)</f>
        <v>0</v>
      </c>
      <c r="BP299" s="20">
        <f ca="1">IF(Table1[[#This Row],[County]]="Greater London",Table1[[#This Row],[income]],0)</f>
        <v>0</v>
      </c>
      <c r="BQ299" s="20">
        <f ca="1">IF(Table1[[#This Row],[County]]="Hampshire",Table1[[#This Row],[income]],0)</f>
        <v>0</v>
      </c>
      <c r="BR299" s="20">
        <f ca="1">IF(Table1[[#This Row],[County]]="Gloucestershire",Table1[[#This Row],[income]],0)</f>
        <v>0</v>
      </c>
      <c r="BS299" s="20">
        <f ca="1">IF(Table1[[#This Row],[County]]="West Sussex",Table1[[#This Row],[income]],0)</f>
        <v>0</v>
      </c>
      <c r="BT299" s="20">
        <f ca="1">IF(Table1[[#This Row],[County]]="Devon",Table1[[#This Row],[income]],0)</f>
        <v>0</v>
      </c>
      <c r="BU299" s="20">
        <f ca="1">IF(Table1[[#This Row],[County]]="Berkshire",Table1[[#This Row],[income]],0)</f>
        <v>0</v>
      </c>
      <c r="BV299" s="20">
        <f ca="1">IF(Table1[[#This Row],[County]]="Staffordshire",Table1[[#This Row],[income]],0)</f>
        <v>0</v>
      </c>
      <c r="BW299" s="20">
        <f ca="1">IF(Table1[[#This Row],[County]]="Leicestershire",Table1[[#This Row],[income]],0)</f>
        <v>0</v>
      </c>
      <c r="BX299" s="20">
        <f ca="1">IF(Table1[[#This Row],[County]]="Cornwall",Table1[[#This Row],[income]],0)</f>
        <v>0</v>
      </c>
      <c r="BY299" s="20">
        <f ca="1">IF(Table1[[#This Row],[County]]="Isle of Wight",Table1[[#This Row],[income]],0)</f>
        <v>0</v>
      </c>
      <c r="BZ299" s="20">
        <f ca="1">IF(Table1[[#This Row],[County]]="Surrey",Table1[[#This Row],[income]],0)</f>
        <v>0</v>
      </c>
      <c r="CA299" s="20">
        <f ca="1">IF(Table1[[#This Row],[County]]="Derbyshire",Table1[[#This Row],[income]],0)</f>
        <v>0</v>
      </c>
      <c r="CB299" s="20">
        <f ca="1">IF(Table1[[#This Row],[County]]="City of London",Table1[[#This Row],[income]],0)</f>
        <v>0</v>
      </c>
      <c r="CC299" s="20">
        <f ca="1">IF(Table1[[#This Row],[County]]="Bedfordshire",Table1[[#This Row],[income]],0)</f>
        <v>0</v>
      </c>
      <c r="CD299" s="20">
        <f ca="1">IF(Table1[[#This Row],[County]]="County Durham",Table1[[#This Row],[income]],0)</f>
        <v>0</v>
      </c>
      <c r="CE299" s="20">
        <f ca="1">IF(Table1[[#This Row],[County]]="East Riding of Yorkshire",Table1[[#This Row],[income]],0)</f>
        <v>0</v>
      </c>
      <c r="CF299" s="20">
        <f ca="1">IF(Table1[[#This Row],[County]]="West Yorkshire",Table1[[#This Row],[income]],0)</f>
        <v>0</v>
      </c>
      <c r="CG299" s="20">
        <f ca="1">IF(Table1[[#This Row],[County]]="Essex",Table1[[#This Row],[income]],0)</f>
        <v>0</v>
      </c>
      <c r="CH299" s="20">
        <f ca="1">IF(Table1[[#This Row],[County]]="East Sussex",Table1[[#This Row],[income]],0)</f>
        <v>0</v>
      </c>
      <c r="CI299" s="20">
        <f ca="1">IF(Table1[[#This Row],[County]]="Greater Manchester",Table1[[#This Row],[income]],0)</f>
        <v>0</v>
      </c>
      <c r="CJ299" s="20">
        <f ca="1">IF(Table1[[#This Row],[County]]="Hertfordshire",Table1[[#This Row],[income]],0)</f>
        <v>0</v>
      </c>
      <c r="CK299" s="20">
        <f ca="1">IF(Table1[[#This Row],[County]]="Herefordshire",Table1[[#This Row],[income]],0)</f>
        <v>0</v>
      </c>
      <c r="CL299" s="20">
        <f ca="1">IF(Table1[[#This Row],[County]]="Lancashire",Table1[[#This Row],[income]],0)</f>
        <v>0</v>
      </c>
      <c r="CM299" s="20">
        <f ca="1">IF(Table1[[#This Row],[County]]="Merseyside",Table1[[#This Row],[income]],0)</f>
        <v>0</v>
      </c>
      <c r="CN299" s="20">
        <f ca="1">IF(Table1[[#This Row],[County]]="Northamptonshire",Table1[[#This Row],[income]],0)</f>
        <v>0</v>
      </c>
      <c r="CO299" s="20">
        <f ca="1">IF(Table1[[#This Row],[County]]="Northumberland",Table1[[#This Row],[income]],0)</f>
        <v>0</v>
      </c>
      <c r="CP299" s="20">
        <f ca="1">IF(Table1[[#This Row],[County]]="Wiltshire",Table1[[#This Row],[income]],0)</f>
        <v>0</v>
      </c>
      <c r="CQ299" s="20">
        <f ca="1">IF(Table1[[#This Row],[County]]="West Midlands",Table1[[#This Row],[income]],0)</f>
        <v>99721</v>
      </c>
      <c r="CR299" s="20">
        <f ca="1">IF(Table1[[#This Row],[County]]="Warwickshire",Table1[[#This Row],[income]],0)</f>
        <v>0</v>
      </c>
      <c r="CS299" s="20">
        <f ca="1">IF(Table1[[#This Row],[County]]="Tyne and Wear",Table1[[#This Row],[income]],0)</f>
        <v>0</v>
      </c>
      <c r="CT299" s="20">
        <f ca="1">IF(Table1[[#This Row],[County]]="Worcestershire",Table1[[#This Row],[income]],0)</f>
        <v>0</v>
      </c>
      <c r="CU299" s="20">
        <f ca="1">IF(Table1[[#This Row],[County]]="Rutland",Table1[[#This Row],[income]],0)</f>
        <v>0</v>
      </c>
      <c r="CV299" s="20">
        <f ca="1">IF(Table1[[#This Row],[County]]="Shropshire",Table1[[#This Row],[income]],0)</f>
        <v>0</v>
      </c>
      <c r="CW299" s="20">
        <f ca="1">IF(Table1[[#This Row],[County]]="Dorset",Table1[[#This Row],[income]],0)</f>
        <v>0</v>
      </c>
      <c r="CX299" s="20">
        <f ca="1">IF(Table1[[#This Row],[County]]="Buckinghamshire",Table1[[#This Row],[income]],0)</f>
        <v>0</v>
      </c>
      <c r="CY299" s="20">
        <f ca="1">IF(Table1[[#This Row],[County]]="Suffolk",Table1[[#This Row],[income]],0)</f>
        <v>0</v>
      </c>
      <c r="CZ299" s="20">
        <f ca="1">IF(Table1[[#This Row],[County]]="North Yorkshire",Table1[[#This Row],[income]],0)</f>
        <v>0</v>
      </c>
      <c r="DA299" s="20">
        <f ca="1">IF(Table1[[#This Row],[County]]="Kent",Table1[[#This Row],[income]],0)</f>
        <v>0</v>
      </c>
      <c r="DB299" s="5">
        <f ca="1">IF(Table1[[#This Row],[County]]="Derbyshire",Table1[[#This Row],[income]],0)</f>
        <v>0</v>
      </c>
      <c r="DD299" s="6">
        <f ca="1">IF(Table1[[#This Row],[Column1]]="Health",Table1[[#This Row],[income]],0)</f>
        <v>0</v>
      </c>
      <c r="DE299" s="20">
        <f ca="1">IF(Table1[[#This Row],[Column1]]="Agriculture",Table1[[#This Row],[income]],0)</f>
        <v>0</v>
      </c>
      <c r="DF299" s="20">
        <f ca="1">IF(Table1[[#This Row],[Column1]]="Technology",Table1[[#This Row],[income]],0)</f>
        <v>99721</v>
      </c>
      <c r="DG299" s="20">
        <f ca="1">IF(Table1[[#This Row],[Column1]]="Social Service",Table1[[#This Row],[income]],0)</f>
        <v>0</v>
      </c>
      <c r="DH299" s="20">
        <f ca="1">IF(Table1[[#This Row],[Column1]]="Education",Table1[[#This Row],[income]],0)</f>
        <v>0</v>
      </c>
      <c r="DI299" s="5">
        <f ca="1">IF(Table1[[#This Row],[Column1]]="Construction",Table1[[#This Row],[income]],0)</f>
        <v>0</v>
      </c>
      <c r="DK299" s="6">
        <f ca="1">IF(Table1[[#This Row],[Value of Debts]]&gt;Table1[[#This Row],[income]],1,0)</f>
        <v>1</v>
      </c>
      <c r="DL299" s="20"/>
      <c r="DM299" s="20"/>
      <c r="DN299" s="5"/>
      <c r="DP299" s="6">
        <f ca="1">IF(Table1[[#This Row],[Net Worth (£)]]&gt;$DS$5,C299,0)</f>
        <v>46</v>
      </c>
      <c r="DQ299" s="20"/>
      <c r="DR299" s="20"/>
      <c r="DS299" s="5"/>
    </row>
    <row r="300" spans="1:123" x14ac:dyDescent="0.2">
      <c r="A300">
        <f t="shared" ca="1" si="13"/>
        <v>2</v>
      </c>
      <c r="B300" s="1" t="str">
        <f ca="1">IF(A300=1, "men", "women")</f>
        <v>women</v>
      </c>
      <c r="C300" s="1">
        <f ca="1">RANDBETWEEN(25,50)</f>
        <v>46</v>
      </c>
      <c r="D300">
        <f ca="1">RANDBETWEEN(1,6)</f>
        <v>5</v>
      </c>
      <c r="E300" t="str">
        <f ca="1">VLOOKUP(D300,$W$5:$X$10,2)</f>
        <v>Social Service</v>
      </c>
      <c r="F300">
        <f ca="1">RANDBETWEEN(1,5)</f>
        <v>3</v>
      </c>
      <c r="G300" t="str">
        <f ca="1">VLOOKUP(F300,$Y$5:$Z$9,2)</f>
        <v>University</v>
      </c>
      <c r="H300">
        <f ca="1">RANDBETWEEN(0,4)</f>
        <v>3</v>
      </c>
      <c r="I300">
        <f ca="1">RANDBETWEEN(1,3)</f>
        <v>2</v>
      </c>
      <c r="J300">
        <f ca="1">RANDBETWEEN(30000,100000)</f>
        <v>46088</v>
      </c>
      <c r="K300">
        <f ca="1">RANDBETWEEN(1,48)</f>
        <v>4</v>
      </c>
      <c r="L300" t="str">
        <f ca="1">VLOOKUP(K300,$AA$5:$AB$52,2)</f>
        <v>Buckinghamshire</v>
      </c>
      <c r="M300">
        <f ca="1">J300*(RANDBETWEEN(2,5))</f>
        <v>184352</v>
      </c>
      <c r="N300">
        <f ca="1">RAND()*M300</f>
        <v>56454.252277464722</v>
      </c>
      <c r="O300">
        <f ca="1">I300*RAND()*J300</f>
        <v>64715.713331930798</v>
      </c>
      <c r="P300">
        <f ca="1">RANDBETWEEN(0,O300)</f>
        <v>45258</v>
      </c>
      <c r="Q300">
        <f ca="1">RAND()*J300*2</f>
        <v>30508.593247179051</v>
      </c>
      <c r="R300">
        <f ca="1">RAND()*J300*1.5</f>
        <v>11558.30749574475</v>
      </c>
      <c r="S300">
        <f ca="1">J300+R300+O300</f>
        <v>122362.02082767556</v>
      </c>
      <c r="T300">
        <f ca="1">N300+P300+Q300</f>
        <v>132220.84552464378</v>
      </c>
      <c r="U300">
        <f ca="1">S300-T300</f>
        <v>-9858.8246969682223</v>
      </c>
      <c r="AC300" s="6">
        <f ca="1">IF(Table1[[#This Row],[gender]]="men",1,0)</f>
        <v>0</v>
      </c>
      <c r="AD300">
        <f ca="1">IF(Table1[[#This Row],[gender]]="women",1,0)</f>
        <v>1</v>
      </c>
      <c r="AH300" s="5"/>
      <c r="AJ300" s="6">
        <f ca="1">IF(Table1[[#This Row],[Column1]]="Health",1,0)</f>
        <v>0</v>
      </c>
      <c r="AK300">
        <f ca="1">IF(Table1[[#This Row],[Column1]]="Construction",1,0)</f>
        <v>0</v>
      </c>
      <c r="AL300">
        <f ca="1">IF(Table1[[#This Row],[Column1]]="Technology",1,0)</f>
        <v>0</v>
      </c>
      <c r="AM300">
        <f ca="1">IF(Table1[[#This Row],[Column1]]="Education",1,0)</f>
        <v>0</v>
      </c>
      <c r="AN300">
        <f ca="1">IF(Table1[[#This Row],[Column1]]="Agriculture",1,0)</f>
        <v>0</v>
      </c>
      <c r="AO300">
        <f ca="1">IF(Table1[[#This Row],[Column1]]="Social Service", 1, 0)</f>
        <v>1</v>
      </c>
      <c r="AT300" s="5"/>
      <c r="AV300" s="17">
        <f t="shared" ca="1" si="12"/>
        <v>1113.3275111319592</v>
      </c>
      <c r="AW300" s="5"/>
      <c r="AX300" s="6">
        <f ca="1">IF(Table1[[#This Row],[Value of Debts]]&gt;$AY$4,1,0)</f>
        <v>1</v>
      </c>
      <c r="AY300" s="20"/>
      <c r="AZ300" s="20"/>
      <c r="BA300" s="5"/>
      <c r="BB300" s="25">
        <f ca="1">Table1[[#This Row],[Mortage Left]]/Table1[[#This Row],[Value of House]]</f>
        <v>0.30623075571441982</v>
      </c>
      <c r="BC300" s="20">
        <f t="shared" ca="1" si="14"/>
        <v>0</v>
      </c>
      <c r="BD300" s="20"/>
      <c r="BE300" s="20"/>
      <c r="BF300" s="20"/>
      <c r="BG300" s="6">
        <f ca="1">IF(Table1[[#This Row],[County]]="Cumbria",Table1[[#This Row],[income]],0)</f>
        <v>0</v>
      </c>
      <c r="BH300" s="20">
        <f ca="1">IF(Table1[[#This Row],[County]]="Cheshire",Table1[[#This Row],[income]],0)</f>
        <v>0</v>
      </c>
      <c r="BI300" s="20">
        <f ca="1">IF(Table1[[#This Row],[County]]="Bristol",Table1[[#This Row],[income]],0)</f>
        <v>0</v>
      </c>
      <c r="BJ300" s="20">
        <f ca="1">IF(Table1[[#This Row],[County]]="Surrey",Table1[[#This Row],[income]],0)</f>
        <v>0</v>
      </c>
      <c r="BK300" s="20">
        <f ca="1">IF(Table1[[#This Row],[County]]="Norfolk",Table1[[#This Row],[income]],0)</f>
        <v>0</v>
      </c>
      <c r="BL300" s="20">
        <f ca="1">IF(Table1[[#This Row],[County]]="Lincolnshire",Table1[[#This Row],[income]],0)</f>
        <v>0</v>
      </c>
      <c r="BM300" s="20">
        <f ca="1">IF(Table1[[#This Row],[County]]="Somerset",Table1[[#This Row],[income]],0)</f>
        <v>0</v>
      </c>
      <c r="BN300" s="20">
        <f ca="1">IF(Table1[[#This Row],[County]]="Cambridgeshire",Table1[[#This Row],[income]],0)</f>
        <v>0</v>
      </c>
      <c r="BO300" s="20">
        <f ca="1">IF(Table1[[#This Row],[County]]="South Yorkshire",Table1[[#This Row],[income]],0)</f>
        <v>0</v>
      </c>
      <c r="BP300" s="20">
        <f ca="1">IF(Table1[[#This Row],[County]]="Greater London",Table1[[#This Row],[income]],0)</f>
        <v>0</v>
      </c>
      <c r="BQ300" s="20">
        <f ca="1">IF(Table1[[#This Row],[County]]="Hampshire",Table1[[#This Row],[income]],0)</f>
        <v>0</v>
      </c>
      <c r="BR300" s="20">
        <f ca="1">IF(Table1[[#This Row],[County]]="Gloucestershire",Table1[[#This Row],[income]],0)</f>
        <v>0</v>
      </c>
      <c r="BS300" s="20">
        <f ca="1">IF(Table1[[#This Row],[County]]="West Sussex",Table1[[#This Row],[income]],0)</f>
        <v>0</v>
      </c>
      <c r="BT300" s="20">
        <f ca="1">IF(Table1[[#This Row],[County]]="Devon",Table1[[#This Row],[income]],0)</f>
        <v>0</v>
      </c>
      <c r="BU300" s="20">
        <f ca="1">IF(Table1[[#This Row],[County]]="Berkshire",Table1[[#This Row],[income]],0)</f>
        <v>0</v>
      </c>
      <c r="BV300" s="20">
        <f ca="1">IF(Table1[[#This Row],[County]]="Staffordshire",Table1[[#This Row],[income]],0)</f>
        <v>0</v>
      </c>
      <c r="BW300" s="20">
        <f ca="1">IF(Table1[[#This Row],[County]]="Leicestershire",Table1[[#This Row],[income]],0)</f>
        <v>0</v>
      </c>
      <c r="BX300" s="20">
        <f ca="1">IF(Table1[[#This Row],[County]]="Cornwall",Table1[[#This Row],[income]],0)</f>
        <v>0</v>
      </c>
      <c r="BY300" s="20">
        <f ca="1">IF(Table1[[#This Row],[County]]="Isle of Wight",Table1[[#This Row],[income]],0)</f>
        <v>0</v>
      </c>
      <c r="BZ300" s="20">
        <f ca="1">IF(Table1[[#This Row],[County]]="Surrey",Table1[[#This Row],[income]],0)</f>
        <v>0</v>
      </c>
      <c r="CA300" s="20">
        <f ca="1">IF(Table1[[#This Row],[County]]="Derbyshire",Table1[[#This Row],[income]],0)</f>
        <v>0</v>
      </c>
      <c r="CB300" s="20">
        <f ca="1">IF(Table1[[#This Row],[County]]="City of London",Table1[[#This Row],[income]],0)</f>
        <v>0</v>
      </c>
      <c r="CC300" s="20">
        <f ca="1">IF(Table1[[#This Row],[County]]="Bedfordshire",Table1[[#This Row],[income]],0)</f>
        <v>0</v>
      </c>
      <c r="CD300" s="20">
        <f ca="1">IF(Table1[[#This Row],[County]]="County Durham",Table1[[#This Row],[income]],0)</f>
        <v>0</v>
      </c>
      <c r="CE300" s="20">
        <f ca="1">IF(Table1[[#This Row],[County]]="East Riding of Yorkshire",Table1[[#This Row],[income]],0)</f>
        <v>0</v>
      </c>
      <c r="CF300" s="20">
        <f ca="1">IF(Table1[[#This Row],[County]]="West Yorkshire",Table1[[#This Row],[income]],0)</f>
        <v>0</v>
      </c>
      <c r="CG300" s="20">
        <f ca="1">IF(Table1[[#This Row],[County]]="Essex",Table1[[#This Row],[income]],0)</f>
        <v>0</v>
      </c>
      <c r="CH300" s="20">
        <f ca="1">IF(Table1[[#This Row],[County]]="East Sussex",Table1[[#This Row],[income]],0)</f>
        <v>0</v>
      </c>
      <c r="CI300" s="20">
        <f ca="1">IF(Table1[[#This Row],[County]]="Greater Manchester",Table1[[#This Row],[income]],0)</f>
        <v>0</v>
      </c>
      <c r="CJ300" s="20">
        <f ca="1">IF(Table1[[#This Row],[County]]="Hertfordshire",Table1[[#This Row],[income]],0)</f>
        <v>0</v>
      </c>
      <c r="CK300" s="20">
        <f ca="1">IF(Table1[[#This Row],[County]]="Herefordshire",Table1[[#This Row],[income]],0)</f>
        <v>0</v>
      </c>
      <c r="CL300" s="20">
        <f ca="1">IF(Table1[[#This Row],[County]]="Lancashire",Table1[[#This Row],[income]],0)</f>
        <v>0</v>
      </c>
      <c r="CM300" s="20">
        <f ca="1">IF(Table1[[#This Row],[County]]="Merseyside",Table1[[#This Row],[income]],0)</f>
        <v>0</v>
      </c>
      <c r="CN300" s="20">
        <f ca="1">IF(Table1[[#This Row],[County]]="Northamptonshire",Table1[[#This Row],[income]],0)</f>
        <v>0</v>
      </c>
      <c r="CO300" s="20">
        <f ca="1">IF(Table1[[#This Row],[County]]="Northumberland",Table1[[#This Row],[income]],0)</f>
        <v>0</v>
      </c>
      <c r="CP300" s="20">
        <f ca="1">IF(Table1[[#This Row],[County]]="Wiltshire",Table1[[#This Row],[income]],0)</f>
        <v>0</v>
      </c>
      <c r="CQ300" s="20">
        <f ca="1">IF(Table1[[#This Row],[County]]="West Midlands",Table1[[#This Row],[income]],0)</f>
        <v>0</v>
      </c>
      <c r="CR300" s="20">
        <f ca="1">IF(Table1[[#This Row],[County]]="Warwickshire",Table1[[#This Row],[income]],0)</f>
        <v>0</v>
      </c>
      <c r="CS300" s="20">
        <f ca="1">IF(Table1[[#This Row],[County]]="Tyne and Wear",Table1[[#This Row],[income]],0)</f>
        <v>0</v>
      </c>
      <c r="CT300" s="20">
        <f ca="1">IF(Table1[[#This Row],[County]]="Worcestershire",Table1[[#This Row],[income]],0)</f>
        <v>0</v>
      </c>
      <c r="CU300" s="20">
        <f ca="1">IF(Table1[[#This Row],[County]]="Rutland",Table1[[#This Row],[income]],0)</f>
        <v>0</v>
      </c>
      <c r="CV300" s="20">
        <f ca="1">IF(Table1[[#This Row],[County]]="Shropshire",Table1[[#This Row],[income]],0)</f>
        <v>0</v>
      </c>
      <c r="CW300" s="20">
        <f ca="1">IF(Table1[[#This Row],[County]]="Dorset",Table1[[#This Row],[income]],0)</f>
        <v>0</v>
      </c>
      <c r="CX300" s="20">
        <f ca="1">IF(Table1[[#This Row],[County]]="Buckinghamshire",Table1[[#This Row],[income]],0)</f>
        <v>46088</v>
      </c>
      <c r="CY300" s="20">
        <f ca="1">IF(Table1[[#This Row],[County]]="Suffolk",Table1[[#This Row],[income]],0)</f>
        <v>0</v>
      </c>
      <c r="CZ300" s="20">
        <f ca="1">IF(Table1[[#This Row],[County]]="North Yorkshire",Table1[[#This Row],[income]],0)</f>
        <v>0</v>
      </c>
      <c r="DA300" s="20">
        <f ca="1">IF(Table1[[#This Row],[County]]="Kent",Table1[[#This Row],[income]],0)</f>
        <v>0</v>
      </c>
      <c r="DB300" s="5">
        <f ca="1">IF(Table1[[#This Row],[County]]="Derbyshire",Table1[[#This Row],[income]],0)</f>
        <v>0</v>
      </c>
      <c r="DD300" s="6">
        <f ca="1">IF(Table1[[#This Row],[Column1]]="Health",Table1[[#This Row],[income]],0)</f>
        <v>0</v>
      </c>
      <c r="DE300" s="20">
        <f ca="1">IF(Table1[[#This Row],[Column1]]="Agriculture",Table1[[#This Row],[income]],0)</f>
        <v>0</v>
      </c>
      <c r="DF300" s="20">
        <f ca="1">IF(Table1[[#This Row],[Column1]]="Technology",Table1[[#This Row],[income]],0)</f>
        <v>0</v>
      </c>
      <c r="DG300" s="20">
        <f ca="1">IF(Table1[[#This Row],[Column1]]="Social Service",Table1[[#This Row],[income]],0)</f>
        <v>46088</v>
      </c>
      <c r="DH300" s="20">
        <f ca="1">IF(Table1[[#This Row],[Column1]]="Education",Table1[[#This Row],[income]],0)</f>
        <v>0</v>
      </c>
      <c r="DI300" s="5">
        <f ca="1">IF(Table1[[#This Row],[Column1]]="Construction",Table1[[#This Row],[income]],0)</f>
        <v>0</v>
      </c>
      <c r="DK300" s="6">
        <f ca="1">IF(Table1[[#This Row],[Value of Debts]]&gt;Table1[[#This Row],[income]],1,0)</f>
        <v>1</v>
      </c>
      <c r="DL300" s="20"/>
      <c r="DM300" s="20"/>
      <c r="DN300" s="5"/>
      <c r="DP300" s="6">
        <f ca="1">IF(Table1[[#This Row],[Net Worth (£)]]&gt;$DS$5,C300,0)</f>
        <v>0</v>
      </c>
      <c r="DQ300" s="20"/>
      <c r="DR300" s="20"/>
      <c r="DS300" s="5"/>
    </row>
    <row r="301" spans="1:123" x14ac:dyDescent="0.2">
      <c r="A301">
        <f t="shared" ca="1" si="13"/>
        <v>2</v>
      </c>
      <c r="B301" s="1" t="str">
        <f ca="1">IF(A301=1, "men", "women")</f>
        <v>women</v>
      </c>
      <c r="C301" s="1">
        <f ca="1">RANDBETWEEN(25,50)</f>
        <v>41</v>
      </c>
      <c r="D301">
        <f ca="1">RANDBETWEEN(1,6)</f>
        <v>5</v>
      </c>
      <c r="E301" t="str">
        <f ca="1">VLOOKUP(D301,$W$5:$X$10,2)</f>
        <v>Social Service</v>
      </c>
      <c r="F301">
        <f ca="1">RANDBETWEEN(1,5)</f>
        <v>2</v>
      </c>
      <c r="G301" t="str">
        <f ca="1">VLOOKUP(F301,$Y$5:$Z$9,2)</f>
        <v>College</v>
      </c>
      <c r="H301">
        <f ca="1">RANDBETWEEN(0,4)</f>
        <v>1</v>
      </c>
      <c r="I301">
        <f ca="1">RANDBETWEEN(1,3)</f>
        <v>2</v>
      </c>
      <c r="J301">
        <f ca="1">RANDBETWEEN(30000,100000)</f>
        <v>35518</v>
      </c>
      <c r="K301">
        <f ca="1">RANDBETWEEN(1,48)</f>
        <v>36</v>
      </c>
      <c r="L301" t="str">
        <f ca="1">VLOOKUP(K301,$AA$5:$AB$52,2)</f>
        <v>Shropshire</v>
      </c>
      <c r="M301">
        <f ca="1">J301*(RANDBETWEEN(2,5))</f>
        <v>106554</v>
      </c>
      <c r="N301">
        <f ca="1">RAND()*M301</f>
        <v>24870.571854385558</v>
      </c>
      <c r="O301">
        <f ca="1">I301*RAND()*J301</f>
        <v>2226.6550222639185</v>
      </c>
      <c r="P301">
        <f ca="1">RANDBETWEEN(0,O301)</f>
        <v>130</v>
      </c>
      <c r="Q301">
        <f ca="1">RAND()*J301*2</f>
        <v>4524.5102045219401</v>
      </c>
      <c r="R301">
        <f ca="1">RAND()*J301*1.5</f>
        <v>10720.900435635023</v>
      </c>
      <c r="S301">
        <f ca="1">J301+R301+O301</f>
        <v>48465.555457898939</v>
      </c>
      <c r="T301">
        <f ca="1">N301+P301+Q301</f>
        <v>29525.082058907497</v>
      </c>
      <c r="U301">
        <f ca="1">S301-T301</f>
        <v>18940.473398991442</v>
      </c>
      <c r="AC301" s="6">
        <f ca="1">IF(Table1[[#This Row],[gender]]="men",1,0)</f>
        <v>0</v>
      </c>
      <c r="AD301">
        <f ca="1">IF(Table1[[#This Row],[gender]]="women",1,0)</f>
        <v>1</v>
      </c>
      <c r="AH301" s="5"/>
      <c r="AJ301" s="6">
        <f ca="1">IF(Table1[[#This Row],[Column1]]="Health",1,0)</f>
        <v>0</v>
      </c>
      <c r="AK301">
        <f ca="1">IF(Table1[[#This Row],[Column1]]="Construction",1,0)</f>
        <v>0</v>
      </c>
      <c r="AL301">
        <f ca="1">IF(Table1[[#This Row],[Column1]]="Technology",1,0)</f>
        <v>0</v>
      </c>
      <c r="AM301">
        <f ca="1">IF(Table1[[#This Row],[Column1]]="Education",1,0)</f>
        <v>0</v>
      </c>
      <c r="AN301">
        <f ca="1">IF(Table1[[#This Row],[Column1]]="Agriculture",1,0)</f>
        <v>0</v>
      </c>
      <c r="AO301">
        <f ca="1">IF(Table1[[#This Row],[Column1]]="Social Service", 1, 0)</f>
        <v>1</v>
      </c>
      <c r="AT301" s="5"/>
      <c r="AV301" s="17">
        <f t="shared" ca="1" si="12"/>
        <v>28508.572926275905</v>
      </c>
      <c r="AW301" s="5"/>
      <c r="AX301" s="6">
        <f ca="1">IF(Table1[[#This Row],[Value of Debts]]&gt;$AY$4,1,0)</f>
        <v>0</v>
      </c>
      <c r="AY301" s="20"/>
      <c r="AZ301" s="20"/>
      <c r="BA301" s="5"/>
      <c r="BB301" s="25">
        <f ca="1">Table1[[#This Row],[Mortage Left]]/Table1[[#This Row],[Value of House]]</f>
        <v>0.23340814849170899</v>
      </c>
      <c r="BC301" s="20">
        <f t="shared" ca="1" si="14"/>
        <v>1</v>
      </c>
      <c r="BD301" s="20"/>
      <c r="BE301" s="20"/>
      <c r="BF301" s="20"/>
      <c r="BG301" s="6">
        <f ca="1">IF(Table1[[#This Row],[County]]="Cumbria",Table1[[#This Row],[income]],0)</f>
        <v>0</v>
      </c>
      <c r="BH301" s="20">
        <f ca="1">IF(Table1[[#This Row],[County]]="Cheshire",Table1[[#This Row],[income]],0)</f>
        <v>0</v>
      </c>
      <c r="BI301" s="20">
        <f ca="1">IF(Table1[[#This Row],[County]]="Bristol",Table1[[#This Row],[income]],0)</f>
        <v>0</v>
      </c>
      <c r="BJ301" s="20">
        <f ca="1">IF(Table1[[#This Row],[County]]="Surrey",Table1[[#This Row],[income]],0)</f>
        <v>0</v>
      </c>
      <c r="BK301" s="20">
        <f ca="1">IF(Table1[[#This Row],[County]]="Norfolk",Table1[[#This Row],[income]],0)</f>
        <v>0</v>
      </c>
      <c r="BL301" s="20">
        <f ca="1">IF(Table1[[#This Row],[County]]="Lincolnshire",Table1[[#This Row],[income]],0)</f>
        <v>0</v>
      </c>
      <c r="BM301" s="20">
        <f ca="1">IF(Table1[[#This Row],[County]]="Somerset",Table1[[#This Row],[income]],0)</f>
        <v>0</v>
      </c>
      <c r="BN301" s="20">
        <f ca="1">IF(Table1[[#This Row],[County]]="Cambridgeshire",Table1[[#This Row],[income]],0)</f>
        <v>0</v>
      </c>
      <c r="BO301" s="20">
        <f ca="1">IF(Table1[[#This Row],[County]]="South Yorkshire",Table1[[#This Row],[income]],0)</f>
        <v>0</v>
      </c>
      <c r="BP301" s="20">
        <f ca="1">IF(Table1[[#This Row],[County]]="Greater London",Table1[[#This Row],[income]],0)</f>
        <v>0</v>
      </c>
      <c r="BQ301" s="20">
        <f ca="1">IF(Table1[[#This Row],[County]]="Hampshire",Table1[[#This Row],[income]],0)</f>
        <v>0</v>
      </c>
      <c r="BR301" s="20">
        <f ca="1">IF(Table1[[#This Row],[County]]="Gloucestershire",Table1[[#This Row],[income]],0)</f>
        <v>0</v>
      </c>
      <c r="BS301" s="20">
        <f ca="1">IF(Table1[[#This Row],[County]]="West Sussex",Table1[[#This Row],[income]],0)</f>
        <v>0</v>
      </c>
      <c r="BT301" s="20">
        <f ca="1">IF(Table1[[#This Row],[County]]="Devon",Table1[[#This Row],[income]],0)</f>
        <v>0</v>
      </c>
      <c r="BU301" s="20">
        <f ca="1">IF(Table1[[#This Row],[County]]="Berkshire",Table1[[#This Row],[income]],0)</f>
        <v>0</v>
      </c>
      <c r="BV301" s="20">
        <f ca="1">IF(Table1[[#This Row],[County]]="Staffordshire",Table1[[#This Row],[income]],0)</f>
        <v>0</v>
      </c>
      <c r="BW301" s="20">
        <f ca="1">IF(Table1[[#This Row],[County]]="Leicestershire",Table1[[#This Row],[income]],0)</f>
        <v>0</v>
      </c>
      <c r="BX301" s="20">
        <f ca="1">IF(Table1[[#This Row],[County]]="Cornwall",Table1[[#This Row],[income]],0)</f>
        <v>0</v>
      </c>
      <c r="BY301" s="20">
        <f ca="1">IF(Table1[[#This Row],[County]]="Isle of Wight",Table1[[#This Row],[income]],0)</f>
        <v>0</v>
      </c>
      <c r="BZ301" s="20">
        <f ca="1">IF(Table1[[#This Row],[County]]="Surrey",Table1[[#This Row],[income]],0)</f>
        <v>0</v>
      </c>
      <c r="CA301" s="20">
        <f ca="1">IF(Table1[[#This Row],[County]]="Derbyshire",Table1[[#This Row],[income]],0)</f>
        <v>0</v>
      </c>
      <c r="CB301" s="20">
        <f ca="1">IF(Table1[[#This Row],[County]]="City of London",Table1[[#This Row],[income]],0)</f>
        <v>0</v>
      </c>
      <c r="CC301" s="20">
        <f ca="1">IF(Table1[[#This Row],[County]]="Bedfordshire",Table1[[#This Row],[income]],0)</f>
        <v>0</v>
      </c>
      <c r="CD301" s="20">
        <f ca="1">IF(Table1[[#This Row],[County]]="County Durham",Table1[[#This Row],[income]],0)</f>
        <v>0</v>
      </c>
      <c r="CE301" s="20">
        <f ca="1">IF(Table1[[#This Row],[County]]="East Riding of Yorkshire",Table1[[#This Row],[income]],0)</f>
        <v>0</v>
      </c>
      <c r="CF301" s="20">
        <f ca="1">IF(Table1[[#This Row],[County]]="West Yorkshire",Table1[[#This Row],[income]],0)</f>
        <v>0</v>
      </c>
      <c r="CG301" s="20">
        <f ca="1">IF(Table1[[#This Row],[County]]="Essex",Table1[[#This Row],[income]],0)</f>
        <v>0</v>
      </c>
      <c r="CH301" s="20">
        <f ca="1">IF(Table1[[#This Row],[County]]="East Sussex",Table1[[#This Row],[income]],0)</f>
        <v>0</v>
      </c>
      <c r="CI301" s="20">
        <f ca="1">IF(Table1[[#This Row],[County]]="Greater Manchester",Table1[[#This Row],[income]],0)</f>
        <v>0</v>
      </c>
      <c r="CJ301" s="20">
        <f ca="1">IF(Table1[[#This Row],[County]]="Hertfordshire",Table1[[#This Row],[income]],0)</f>
        <v>0</v>
      </c>
      <c r="CK301" s="20">
        <f ca="1">IF(Table1[[#This Row],[County]]="Herefordshire",Table1[[#This Row],[income]],0)</f>
        <v>0</v>
      </c>
      <c r="CL301" s="20">
        <f ca="1">IF(Table1[[#This Row],[County]]="Lancashire",Table1[[#This Row],[income]],0)</f>
        <v>0</v>
      </c>
      <c r="CM301" s="20">
        <f ca="1">IF(Table1[[#This Row],[County]]="Merseyside",Table1[[#This Row],[income]],0)</f>
        <v>0</v>
      </c>
      <c r="CN301" s="20">
        <f ca="1">IF(Table1[[#This Row],[County]]="Northamptonshire",Table1[[#This Row],[income]],0)</f>
        <v>0</v>
      </c>
      <c r="CO301" s="20">
        <f ca="1">IF(Table1[[#This Row],[County]]="Northumberland",Table1[[#This Row],[income]],0)</f>
        <v>0</v>
      </c>
      <c r="CP301" s="20">
        <f ca="1">IF(Table1[[#This Row],[County]]="Wiltshire",Table1[[#This Row],[income]],0)</f>
        <v>0</v>
      </c>
      <c r="CQ301" s="20">
        <f ca="1">IF(Table1[[#This Row],[County]]="West Midlands",Table1[[#This Row],[income]],0)</f>
        <v>0</v>
      </c>
      <c r="CR301" s="20">
        <f ca="1">IF(Table1[[#This Row],[County]]="Warwickshire",Table1[[#This Row],[income]],0)</f>
        <v>0</v>
      </c>
      <c r="CS301" s="20">
        <f ca="1">IF(Table1[[#This Row],[County]]="Tyne and Wear",Table1[[#This Row],[income]],0)</f>
        <v>0</v>
      </c>
      <c r="CT301" s="20">
        <f ca="1">IF(Table1[[#This Row],[County]]="Worcestershire",Table1[[#This Row],[income]],0)</f>
        <v>0</v>
      </c>
      <c r="CU301" s="20">
        <f ca="1">IF(Table1[[#This Row],[County]]="Rutland",Table1[[#This Row],[income]],0)</f>
        <v>0</v>
      </c>
      <c r="CV301" s="20">
        <f ca="1">IF(Table1[[#This Row],[County]]="Shropshire",Table1[[#This Row],[income]],0)</f>
        <v>35518</v>
      </c>
      <c r="CW301" s="20">
        <f ca="1">IF(Table1[[#This Row],[County]]="Dorset",Table1[[#This Row],[income]],0)</f>
        <v>0</v>
      </c>
      <c r="CX301" s="20">
        <f ca="1">IF(Table1[[#This Row],[County]]="Buckinghamshire",Table1[[#This Row],[income]],0)</f>
        <v>0</v>
      </c>
      <c r="CY301" s="20">
        <f ca="1">IF(Table1[[#This Row],[County]]="Suffolk",Table1[[#This Row],[income]],0)</f>
        <v>0</v>
      </c>
      <c r="CZ301" s="20">
        <f ca="1">IF(Table1[[#This Row],[County]]="North Yorkshire",Table1[[#This Row],[income]],0)</f>
        <v>0</v>
      </c>
      <c r="DA301" s="20">
        <f ca="1">IF(Table1[[#This Row],[County]]="Kent",Table1[[#This Row],[income]],0)</f>
        <v>0</v>
      </c>
      <c r="DB301" s="5">
        <f ca="1">IF(Table1[[#This Row],[County]]="Derbyshire",Table1[[#This Row],[income]],0)</f>
        <v>0</v>
      </c>
      <c r="DD301" s="6">
        <f ca="1">IF(Table1[[#This Row],[Column1]]="Health",Table1[[#This Row],[income]],0)</f>
        <v>0</v>
      </c>
      <c r="DE301" s="20">
        <f ca="1">IF(Table1[[#This Row],[Column1]]="Agriculture",Table1[[#This Row],[income]],0)</f>
        <v>0</v>
      </c>
      <c r="DF301" s="20">
        <f ca="1">IF(Table1[[#This Row],[Column1]]="Technology",Table1[[#This Row],[income]],0)</f>
        <v>0</v>
      </c>
      <c r="DG301" s="20">
        <f ca="1">IF(Table1[[#This Row],[Column1]]="Social Service",Table1[[#This Row],[income]],0)</f>
        <v>35518</v>
      </c>
      <c r="DH301" s="20">
        <f ca="1">IF(Table1[[#This Row],[Column1]]="Education",Table1[[#This Row],[income]],0)</f>
        <v>0</v>
      </c>
      <c r="DI301" s="5">
        <f ca="1">IF(Table1[[#This Row],[Column1]]="Construction",Table1[[#This Row],[income]],0)</f>
        <v>0</v>
      </c>
      <c r="DK301" s="6">
        <f ca="1">IF(Table1[[#This Row],[Value of Debts]]&gt;Table1[[#This Row],[income]],1,0)</f>
        <v>0</v>
      </c>
      <c r="DL301" s="20"/>
      <c r="DM301" s="20"/>
      <c r="DN301" s="5"/>
      <c r="DP301" s="6">
        <f ca="1">IF(Table1[[#This Row],[Net Worth (£)]]&gt;$DS$5,C301,0)</f>
        <v>0</v>
      </c>
      <c r="DQ301" s="20"/>
      <c r="DR301" s="20"/>
      <c r="DS301" s="5"/>
    </row>
    <row r="302" spans="1:123" x14ac:dyDescent="0.2">
      <c r="A302">
        <f t="shared" ca="1" si="13"/>
        <v>1</v>
      </c>
      <c r="B302" s="1" t="str">
        <f ca="1">IF(A302=1, "men", "women")</f>
        <v>men</v>
      </c>
      <c r="C302" s="1">
        <f ca="1">RANDBETWEEN(25,50)</f>
        <v>38</v>
      </c>
      <c r="D302">
        <f ca="1">RANDBETWEEN(1,6)</f>
        <v>1</v>
      </c>
      <c r="E302" t="str">
        <f ca="1">VLOOKUP(D302,$W$5:$X$10,2)</f>
        <v>Health</v>
      </c>
      <c r="F302">
        <f ca="1">RANDBETWEEN(1,5)</f>
        <v>2</v>
      </c>
      <c r="G302" t="str">
        <f ca="1">VLOOKUP(F302,$Y$5:$Z$9,2)</f>
        <v>College</v>
      </c>
      <c r="H302">
        <f ca="1">RANDBETWEEN(0,4)</f>
        <v>3</v>
      </c>
      <c r="I302">
        <f ca="1">RANDBETWEEN(1,3)</f>
        <v>1</v>
      </c>
      <c r="J302">
        <f ca="1">RANDBETWEEN(30000,100000)</f>
        <v>86067</v>
      </c>
      <c r="K302">
        <f ca="1">RANDBETWEEN(1,48)</f>
        <v>37</v>
      </c>
      <c r="L302" t="str">
        <f ca="1">VLOOKUP(K302,$AA$5:$AB$52,2)</f>
        <v>Somerset</v>
      </c>
      <c r="M302">
        <f ca="1">J302*(RANDBETWEEN(2,5))</f>
        <v>258201</v>
      </c>
      <c r="N302">
        <f ca="1">RAND()*M302</f>
        <v>20565.545391017149</v>
      </c>
      <c r="O302">
        <f ca="1">I302*RAND()*J302</f>
        <v>28508.572926275905</v>
      </c>
      <c r="P302">
        <f ca="1">RANDBETWEEN(0,O302)</f>
        <v>9115</v>
      </c>
      <c r="Q302">
        <f ca="1">RAND()*J302*2</f>
        <v>129126.31024101499</v>
      </c>
      <c r="R302">
        <f ca="1">RAND()*J302*1.5</f>
        <v>13114.252378562618</v>
      </c>
      <c r="S302">
        <f ca="1">J302+R302+O302</f>
        <v>127689.82530483851</v>
      </c>
      <c r="T302">
        <f ca="1">N302+P302+Q302</f>
        <v>158806.85563203215</v>
      </c>
      <c r="U302">
        <f ca="1">S302-T302</f>
        <v>-31117.030327193643</v>
      </c>
      <c r="AC302" s="6">
        <f ca="1">IF(Table1[[#This Row],[gender]]="men",1,0)</f>
        <v>1</v>
      </c>
      <c r="AD302">
        <f ca="1">IF(Table1[[#This Row],[gender]]="women",1,0)</f>
        <v>0</v>
      </c>
      <c r="AH302" s="5"/>
      <c r="AJ302" s="6">
        <f ca="1">IF(Table1[[#This Row],[Column1]]="Health",1,0)</f>
        <v>1</v>
      </c>
      <c r="AK302">
        <f ca="1">IF(Table1[[#This Row],[Column1]]="Construction",1,0)</f>
        <v>0</v>
      </c>
      <c r="AL302">
        <f ca="1">IF(Table1[[#This Row],[Column1]]="Technology",1,0)</f>
        <v>0</v>
      </c>
      <c r="AM302">
        <f ca="1">IF(Table1[[#This Row],[Column1]]="Education",1,0)</f>
        <v>0</v>
      </c>
      <c r="AN302">
        <f ca="1">IF(Table1[[#This Row],[Column1]]="Agriculture",1,0)</f>
        <v>0</v>
      </c>
      <c r="AO302">
        <f ca="1">IF(Table1[[#This Row],[Column1]]="Social Service", 1, 0)</f>
        <v>0</v>
      </c>
      <c r="AT302" s="5"/>
      <c r="AV302" s="17">
        <f t="shared" ca="1" si="12"/>
        <v>35955.056945834869</v>
      </c>
      <c r="AW302" s="5"/>
      <c r="AX302" s="6">
        <f ca="1">IF(Table1[[#This Row],[Value of Debts]]&gt;$AY$4,1,0)</f>
        <v>1</v>
      </c>
      <c r="AY302" s="20"/>
      <c r="AZ302" s="20"/>
      <c r="BA302" s="5"/>
      <c r="BB302" s="25">
        <f ca="1">Table1[[#This Row],[Mortage Left]]/Table1[[#This Row],[Value of House]]</f>
        <v>7.9649363832894338E-2</v>
      </c>
      <c r="BC302" s="20">
        <f t="shared" ca="1" si="14"/>
        <v>1</v>
      </c>
      <c r="BD302" s="20"/>
      <c r="BE302" s="20"/>
      <c r="BF302" s="20"/>
      <c r="BG302" s="6">
        <f ca="1">IF(Table1[[#This Row],[County]]="Cumbria",Table1[[#This Row],[income]],0)</f>
        <v>0</v>
      </c>
      <c r="BH302" s="20">
        <f ca="1">IF(Table1[[#This Row],[County]]="Cheshire",Table1[[#This Row],[income]],0)</f>
        <v>0</v>
      </c>
      <c r="BI302" s="20">
        <f ca="1">IF(Table1[[#This Row],[County]]="Bristol",Table1[[#This Row],[income]],0)</f>
        <v>0</v>
      </c>
      <c r="BJ302" s="20">
        <f ca="1">IF(Table1[[#This Row],[County]]="Surrey",Table1[[#This Row],[income]],0)</f>
        <v>0</v>
      </c>
      <c r="BK302" s="20">
        <f ca="1">IF(Table1[[#This Row],[County]]="Norfolk",Table1[[#This Row],[income]],0)</f>
        <v>0</v>
      </c>
      <c r="BL302" s="20">
        <f ca="1">IF(Table1[[#This Row],[County]]="Lincolnshire",Table1[[#This Row],[income]],0)</f>
        <v>0</v>
      </c>
      <c r="BM302" s="20">
        <f ca="1">IF(Table1[[#This Row],[County]]="Somerset",Table1[[#This Row],[income]],0)</f>
        <v>86067</v>
      </c>
      <c r="BN302" s="20">
        <f ca="1">IF(Table1[[#This Row],[County]]="Cambridgeshire",Table1[[#This Row],[income]],0)</f>
        <v>0</v>
      </c>
      <c r="BO302" s="20">
        <f ca="1">IF(Table1[[#This Row],[County]]="South Yorkshire",Table1[[#This Row],[income]],0)</f>
        <v>0</v>
      </c>
      <c r="BP302" s="20">
        <f ca="1">IF(Table1[[#This Row],[County]]="Greater London",Table1[[#This Row],[income]],0)</f>
        <v>0</v>
      </c>
      <c r="BQ302" s="20">
        <f ca="1">IF(Table1[[#This Row],[County]]="Hampshire",Table1[[#This Row],[income]],0)</f>
        <v>0</v>
      </c>
      <c r="BR302" s="20">
        <f ca="1">IF(Table1[[#This Row],[County]]="Gloucestershire",Table1[[#This Row],[income]],0)</f>
        <v>0</v>
      </c>
      <c r="BS302" s="20">
        <f ca="1">IF(Table1[[#This Row],[County]]="West Sussex",Table1[[#This Row],[income]],0)</f>
        <v>0</v>
      </c>
      <c r="BT302" s="20">
        <f ca="1">IF(Table1[[#This Row],[County]]="Devon",Table1[[#This Row],[income]],0)</f>
        <v>0</v>
      </c>
      <c r="BU302" s="20">
        <f ca="1">IF(Table1[[#This Row],[County]]="Berkshire",Table1[[#This Row],[income]],0)</f>
        <v>0</v>
      </c>
      <c r="BV302" s="20">
        <f ca="1">IF(Table1[[#This Row],[County]]="Staffordshire",Table1[[#This Row],[income]],0)</f>
        <v>0</v>
      </c>
      <c r="BW302" s="20">
        <f ca="1">IF(Table1[[#This Row],[County]]="Leicestershire",Table1[[#This Row],[income]],0)</f>
        <v>0</v>
      </c>
      <c r="BX302" s="20">
        <f ca="1">IF(Table1[[#This Row],[County]]="Cornwall",Table1[[#This Row],[income]],0)</f>
        <v>0</v>
      </c>
      <c r="BY302" s="20">
        <f ca="1">IF(Table1[[#This Row],[County]]="Isle of Wight",Table1[[#This Row],[income]],0)</f>
        <v>0</v>
      </c>
      <c r="BZ302" s="20">
        <f ca="1">IF(Table1[[#This Row],[County]]="Surrey",Table1[[#This Row],[income]],0)</f>
        <v>0</v>
      </c>
      <c r="CA302" s="20">
        <f ca="1">IF(Table1[[#This Row],[County]]="Derbyshire",Table1[[#This Row],[income]],0)</f>
        <v>0</v>
      </c>
      <c r="CB302" s="20">
        <f ca="1">IF(Table1[[#This Row],[County]]="City of London",Table1[[#This Row],[income]],0)</f>
        <v>0</v>
      </c>
      <c r="CC302" s="20">
        <f ca="1">IF(Table1[[#This Row],[County]]="Bedfordshire",Table1[[#This Row],[income]],0)</f>
        <v>0</v>
      </c>
      <c r="CD302" s="20">
        <f ca="1">IF(Table1[[#This Row],[County]]="County Durham",Table1[[#This Row],[income]],0)</f>
        <v>0</v>
      </c>
      <c r="CE302" s="20">
        <f ca="1">IF(Table1[[#This Row],[County]]="East Riding of Yorkshire",Table1[[#This Row],[income]],0)</f>
        <v>0</v>
      </c>
      <c r="CF302" s="20">
        <f ca="1">IF(Table1[[#This Row],[County]]="West Yorkshire",Table1[[#This Row],[income]],0)</f>
        <v>0</v>
      </c>
      <c r="CG302" s="20">
        <f ca="1">IF(Table1[[#This Row],[County]]="Essex",Table1[[#This Row],[income]],0)</f>
        <v>0</v>
      </c>
      <c r="CH302" s="20">
        <f ca="1">IF(Table1[[#This Row],[County]]="East Sussex",Table1[[#This Row],[income]],0)</f>
        <v>0</v>
      </c>
      <c r="CI302" s="20">
        <f ca="1">IF(Table1[[#This Row],[County]]="Greater Manchester",Table1[[#This Row],[income]],0)</f>
        <v>0</v>
      </c>
      <c r="CJ302" s="20">
        <f ca="1">IF(Table1[[#This Row],[County]]="Hertfordshire",Table1[[#This Row],[income]],0)</f>
        <v>0</v>
      </c>
      <c r="CK302" s="20">
        <f ca="1">IF(Table1[[#This Row],[County]]="Herefordshire",Table1[[#This Row],[income]],0)</f>
        <v>0</v>
      </c>
      <c r="CL302" s="20">
        <f ca="1">IF(Table1[[#This Row],[County]]="Lancashire",Table1[[#This Row],[income]],0)</f>
        <v>0</v>
      </c>
      <c r="CM302" s="20">
        <f ca="1">IF(Table1[[#This Row],[County]]="Merseyside",Table1[[#This Row],[income]],0)</f>
        <v>0</v>
      </c>
      <c r="CN302" s="20">
        <f ca="1">IF(Table1[[#This Row],[County]]="Northamptonshire",Table1[[#This Row],[income]],0)</f>
        <v>0</v>
      </c>
      <c r="CO302" s="20">
        <f ca="1">IF(Table1[[#This Row],[County]]="Northumberland",Table1[[#This Row],[income]],0)</f>
        <v>0</v>
      </c>
      <c r="CP302" s="20">
        <f ca="1">IF(Table1[[#This Row],[County]]="Wiltshire",Table1[[#This Row],[income]],0)</f>
        <v>0</v>
      </c>
      <c r="CQ302" s="20">
        <f ca="1">IF(Table1[[#This Row],[County]]="West Midlands",Table1[[#This Row],[income]],0)</f>
        <v>0</v>
      </c>
      <c r="CR302" s="20">
        <f ca="1">IF(Table1[[#This Row],[County]]="Warwickshire",Table1[[#This Row],[income]],0)</f>
        <v>0</v>
      </c>
      <c r="CS302" s="20">
        <f ca="1">IF(Table1[[#This Row],[County]]="Tyne and Wear",Table1[[#This Row],[income]],0)</f>
        <v>0</v>
      </c>
      <c r="CT302" s="20">
        <f ca="1">IF(Table1[[#This Row],[County]]="Worcestershire",Table1[[#This Row],[income]],0)</f>
        <v>0</v>
      </c>
      <c r="CU302" s="20">
        <f ca="1">IF(Table1[[#This Row],[County]]="Rutland",Table1[[#This Row],[income]],0)</f>
        <v>0</v>
      </c>
      <c r="CV302" s="20">
        <f ca="1">IF(Table1[[#This Row],[County]]="Shropshire",Table1[[#This Row],[income]],0)</f>
        <v>0</v>
      </c>
      <c r="CW302" s="20">
        <f ca="1">IF(Table1[[#This Row],[County]]="Dorset",Table1[[#This Row],[income]],0)</f>
        <v>0</v>
      </c>
      <c r="CX302" s="20">
        <f ca="1">IF(Table1[[#This Row],[County]]="Buckinghamshire",Table1[[#This Row],[income]],0)</f>
        <v>0</v>
      </c>
      <c r="CY302" s="20">
        <f ca="1">IF(Table1[[#This Row],[County]]="Suffolk",Table1[[#This Row],[income]],0)</f>
        <v>0</v>
      </c>
      <c r="CZ302" s="20">
        <f ca="1">IF(Table1[[#This Row],[County]]="North Yorkshire",Table1[[#This Row],[income]],0)</f>
        <v>0</v>
      </c>
      <c r="DA302" s="20">
        <f ca="1">IF(Table1[[#This Row],[County]]="Kent",Table1[[#This Row],[income]],0)</f>
        <v>0</v>
      </c>
      <c r="DB302" s="5">
        <f ca="1">IF(Table1[[#This Row],[County]]="Derbyshire",Table1[[#This Row],[income]],0)</f>
        <v>0</v>
      </c>
      <c r="DD302" s="6">
        <f ca="1">IF(Table1[[#This Row],[Column1]]="Health",Table1[[#This Row],[income]],0)</f>
        <v>86067</v>
      </c>
      <c r="DE302" s="20">
        <f ca="1">IF(Table1[[#This Row],[Column1]]="Agriculture",Table1[[#This Row],[income]],0)</f>
        <v>0</v>
      </c>
      <c r="DF302" s="20">
        <f ca="1">IF(Table1[[#This Row],[Column1]]="Technology",Table1[[#This Row],[income]],0)</f>
        <v>0</v>
      </c>
      <c r="DG302" s="20">
        <f ca="1">IF(Table1[[#This Row],[Column1]]="Social Service",Table1[[#This Row],[income]],0)</f>
        <v>0</v>
      </c>
      <c r="DH302" s="20">
        <f ca="1">IF(Table1[[#This Row],[Column1]]="Education",Table1[[#This Row],[income]],0)</f>
        <v>0</v>
      </c>
      <c r="DI302" s="5">
        <f ca="1">IF(Table1[[#This Row],[Column1]]="Construction",Table1[[#This Row],[income]],0)</f>
        <v>0</v>
      </c>
      <c r="DK302" s="6">
        <f ca="1">IF(Table1[[#This Row],[Value of Debts]]&gt;Table1[[#This Row],[income]],1,0)</f>
        <v>1</v>
      </c>
      <c r="DL302" s="20"/>
      <c r="DM302" s="20"/>
      <c r="DN302" s="5"/>
      <c r="DP302" s="6">
        <f ca="1">IF(Table1[[#This Row],[Net Worth (£)]]&gt;$DS$5,C302,0)</f>
        <v>0</v>
      </c>
      <c r="DQ302" s="20"/>
      <c r="DR302" s="20"/>
      <c r="DS302" s="5"/>
    </row>
    <row r="303" spans="1:123" x14ac:dyDescent="0.2">
      <c r="A303">
        <f t="shared" ca="1" si="13"/>
        <v>1</v>
      </c>
      <c r="B303" s="1" t="str">
        <f ca="1">IF(A303=1, "men", "women")</f>
        <v>men</v>
      </c>
      <c r="C303" s="1">
        <f ca="1">RANDBETWEEN(25,50)</f>
        <v>27</v>
      </c>
      <c r="D303">
        <f ca="1">RANDBETWEEN(1,6)</f>
        <v>3</v>
      </c>
      <c r="E303" t="str">
        <f ca="1">VLOOKUP(D303,$W$5:$X$10,2)</f>
        <v>Education</v>
      </c>
      <c r="F303">
        <f ca="1">RANDBETWEEN(1,5)</f>
        <v>4</v>
      </c>
      <c r="G303" t="str">
        <f ca="1">VLOOKUP(F303,$Y$5:$Z$9,2)</f>
        <v xml:space="preserve">Technical </v>
      </c>
      <c r="H303">
        <f ca="1">RANDBETWEEN(0,4)</f>
        <v>1</v>
      </c>
      <c r="I303">
        <f ca="1">RANDBETWEEN(1,3)</f>
        <v>3</v>
      </c>
      <c r="J303">
        <f ca="1">RANDBETWEEN(30000,100000)</f>
        <v>73111</v>
      </c>
      <c r="K303">
        <f ca="1">RANDBETWEEN(1,48)</f>
        <v>40</v>
      </c>
      <c r="L303" t="str">
        <f ca="1">VLOOKUP(K303,$AA$5:$AB$52,2)</f>
        <v>Suffolk</v>
      </c>
      <c r="M303">
        <f ca="1">J303*(RANDBETWEEN(2,5))</f>
        <v>292444</v>
      </c>
      <c r="N303">
        <f ca="1">RAND()*M303</f>
        <v>15482.386541579071</v>
      </c>
      <c r="O303">
        <f ca="1">I303*RAND()*J303</f>
        <v>107865.17083750461</v>
      </c>
      <c r="P303">
        <f ca="1">RANDBETWEEN(0,O303)</f>
        <v>93523</v>
      </c>
      <c r="Q303">
        <f ca="1">RAND()*J303*2</f>
        <v>115419.85330406523</v>
      </c>
      <c r="R303">
        <f ca="1">RAND()*J303*1.5</f>
        <v>12922.835503857463</v>
      </c>
      <c r="S303">
        <f ca="1">J303+R303+O303</f>
        <v>193899.00634136208</v>
      </c>
      <c r="T303">
        <f ca="1">N303+P303+Q303</f>
        <v>224425.23984564428</v>
      </c>
      <c r="U303">
        <f ca="1">S303-T303</f>
        <v>-30526.233504282194</v>
      </c>
      <c r="AC303" s="6">
        <f ca="1">IF(Table1[[#This Row],[gender]]="men",1,0)</f>
        <v>1</v>
      </c>
      <c r="AD303">
        <f ca="1">IF(Table1[[#This Row],[gender]]="women",1,0)</f>
        <v>0</v>
      </c>
      <c r="AH303" s="5"/>
      <c r="AJ303" s="6">
        <f ca="1">IF(Table1[[#This Row],[Column1]]="Health",1,0)</f>
        <v>0</v>
      </c>
      <c r="AK303">
        <f ca="1">IF(Table1[[#This Row],[Column1]]="Construction",1,0)</f>
        <v>0</v>
      </c>
      <c r="AL303">
        <f ca="1">IF(Table1[[#This Row],[Column1]]="Technology",1,0)</f>
        <v>0</v>
      </c>
      <c r="AM303">
        <f ca="1">IF(Table1[[#This Row],[Column1]]="Education",1,0)</f>
        <v>1</v>
      </c>
      <c r="AN303">
        <f ca="1">IF(Table1[[#This Row],[Column1]]="Agriculture",1,0)</f>
        <v>0</v>
      </c>
      <c r="AO303">
        <f ca="1">IF(Table1[[#This Row],[Column1]]="Social Service", 1, 0)</f>
        <v>0</v>
      </c>
      <c r="AT303" s="5"/>
      <c r="AV303" s="17">
        <f t="shared" ca="1" si="12"/>
        <v>49651.689320226906</v>
      </c>
      <c r="AW303" s="5"/>
      <c r="AX303" s="6">
        <f ca="1">IF(Table1[[#This Row],[Value of Debts]]&gt;$AY$4,1,0)</f>
        <v>1</v>
      </c>
      <c r="AY303" s="20"/>
      <c r="AZ303" s="20"/>
      <c r="BA303" s="5"/>
      <c r="BB303" s="25">
        <f ca="1">Table1[[#This Row],[Mortage Left]]/Table1[[#This Row],[Value of House]]</f>
        <v>5.2941371823593819E-2</v>
      </c>
      <c r="BC303" s="20">
        <f t="shared" ca="1" si="14"/>
        <v>1</v>
      </c>
      <c r="BD303" s="20"/>
      <c r="BE303" s="20"/>
      <c r="BF303" s="20"/>
      <c r="BG303" s="6">
        <f ca="1">IF(Table1[[#This Row],[County]]="Cumbria",Table1[[#This Row],[income]],0)</f>
        <v>0</v>
      </c>
      <c r="BH303" s="20">
        <f ca="1">IF(Table1[[#This Row],[County]]="Cheshire",Table1[[#This Row],[income]],0)</f>
        <v>0</v>
      </c>
      <c r="BI303" s="20">
        <f ca="1">IF(Table1[[#This Row],[County]]="Bristol",Table1[[#This Row],[income]],0)</f>
        <v>0</v>
      </c>
      <c r="BJ303" s="20">
        <f ca="1">IF(Table1[[#This Row],[County]]="Surrey",Table1[[#This Row],[income]],0)</f>
        <v>0</v>
      </c>
      <c r="BK303" s="20">
        <f ca="1">IF(Table1[[#This Row],[County]]="Norfolk",Table1[[#This Row],[income]],0)</f>
        <v>0</v>
      </c>
      <c r="BL303" s="20">
        <f ca="1">IF(Table1[[#This Row],[County]]="Lincolnshire",Table1[[#This Row],[income]],0)</f>
        <v>0</v>
      </c>
      <c r="BM303" s="20">
        <f ca="1">IF(Table1[[#This Row],[County]]="Somerset",Table1[[#This Row],[income]],0)</f>
        <v>0</v>
      </c>
      <c r="BN303" s="20">
        <f ca="1">IF(Table1[[#This Row],[County]]="Cambridgeshire",Table1[[#This Row],[income]],0)</f>
        <v>0</v>
      </c>
      <c r="BO303" s="20">
        <f ca="1">IF(Table1[[#This Row],[County]]="South Yorkshire",Table1[[#This Row],[income]],0)</f>
        <v>0</v>
      </c>
      <c r="BP303" s="20">
        <f ca="1">IF(Table1[[#This Row],[County]]="Greater London",Table1[[#This Row],[income]],0)</f>
        <v>0</v>
      </c>
      <c r="BQ303" s="20">
        <f ca="1">IF(Table1[[#This Row],[County]]="Hampshire",Table1[[#This Row],[income]],0)</f>
        <v>0</v>
      </c>
      <c r="BR303" s="20">
        <f ca="1">IF(Table1[[#This Row],[County]]="Gloucestershire",Table1[[#This Row],[income]],0)</f>
        <v>0</v>
      </c>
      <c r="BS303" s="20">
        <f ca="1">IF(Table1[[#This Row],[County]]="West Sussex",Table1[[#This Row],[income]],0)</f>
        <v>0</v>
      </c>
      <c r="BT303" s="20">
        <f ca="1">IF(Table1[[#This Row],[County]]="Devon",Table1[[#This Row],[income]],0)</f>
        <v>0</v>
      </c>
      <c r="BU303" s="20">
        <f ca="1">IF(Table1[[#This Row],[County]]="Berkshire",Table1[[#This Row],[income]],0)</f>
        <v>0</v>
      </c>
      <c r="BV303" s="20">
        <f ca="1">IF(Table1[[#This Row],[County]]="Staffordshire",Table1[[#This Row],[income]],0)</f>
        <v>0</v>
      </c>
      <c r="BW303" s="20">
        <f ca="1">IF(Table1[[#This Row],[County]]="Leicestershire",Table1[[#This Row],[income]],0)</f>
        <v>0</v>
      </c>
      <c r="BX303" s="20">
        <f ca="1">IF(Table1[[#This Row],[County]]="Cornwall",Table1[[#This Row],[income]],0)</f>
        <v>0</v>
      </c>
      <c r="BY303" s="20">
        <f ca="1">IF(Table1[[#This Row],[County]]="Isle of Wight",Table1[[#This Row],[income]],0)</f>
        <v>0</v>
      </c>
      <c r="BZ303" s="20">
        <f ca="1">IF(Table1[[#This Row],[County]]="Surrey",Table1[[#This Row],[income]],0)</f>
        <v>0</v>
      </c>
      <c r="CA303" s="20">
        <f ca="1">IF(Table1[[#This Row],[County]]="Derbyshire",Table1[[#This Row],[income]],0)</f>
        <v>0</v>
      </c>
      <c r="CB303" s="20">
        <f ca="1">IF(Table1[[#This Row],[County]]="City of London",Table1[[#This Row],[income]],0)</f>
        <v>0</v>
      </c>
      <c r="CC303" s="20">
        <f ca="1">IF(Table1[[#This Row],[County]]="Bedfordshire",Table1[[#This Row],[income]],0)</f>
        <v>0</v>
      </c>
      <c r="CD303" s="20">
        <f ca="1">IF(Table1[[#This Row],[County]]="County Durham",Table1[[#This Row],[income]],0)</f>
        <v>0</v>
      </c>
      <c r="CE303" s="20">
        <f ca="1">IF(Table1[[#This Row],[County]]="East Riding of Yorkshire",Table1[[#This Row],[income]],0)</f>
        <v>0</v>
      </c>
      <c r="CF303" s="20">
        <f ca="1">IF(Table1[[#This Row],[County]]="West Yorkshire",Table1[[#This Row],[income]],0)</f>
        <v>0</v>
      </c>
      <c r="CG303" s="20">
        <f ca="1">IF(Table1[[#This Row],[County]]="Essex",Table1[[#This Row],[income]],0)</f>
        <v>0</v>
      </c>
      <c r="CH303" s="20">
        <f ca="1">IF(Table1[[#This Row],[County]]="East Sussex",Table1[[#This Row],[income]],0)</f>
        <v>0</v>
      </c>
      <c r="CI303" s="20">
        <f ca="1">IF(Table1[[#This Row],[County]]="Greater Manchester",Table1[[#This Row],[income]],0)</f>
        <v>0</v>
      </c>
      <c r="CJ303" s="20">
        <f ca="1">IF(Table1[[#This Row],[County]]="Hertfordshire",Table1[[#This Row],[income]],0)</f>
        <v>0</v>
      </c>
      <c r="CK303" s="20">
        <f ca="1">IF(Table1[[#This Row],[County]]="Herefordshire",Table1[[#This Row],[income]],0)</f>
        <v>0</v>
      </c>
      <c r="CL303" s="20">
        <f ca="1">IF(Table1[[#This Row],[County]]="Lancashire",Table1[[#This Row],[income]],0)</f>
        <v>0</v>
      </c>
      <c r="CM303" s="20">
        <f ca="1">IF(Table1[[#This Row],[County]]="Merseyside",Table1[[#This Row],[income]],0)</f>
        <v>0</v>
      </c>
      <c r="CN303" s="20">
        <f ca="1">IF(Table1[[#This Row],[County]]="Northamptonshire",Table1[[#This Row],[income]],0)</f>
        <v>0</v>
      </c>
      <c r="CO303" s="20">
        <f ca="1">IF(Table1[[#This Row],[County]]="Northumberland",Table1[[#This Row],[income]],0)</f>
        <v>0</v>
      </c>
      <c r="CP303" s="20">
        <f ca="1">IF(Table1[[#This Row],[County]]="Wiltshire",Table1[[#This Row],[income]],0)</f>
        <v>0</v>
      </c>
      <c r="CQ303" s="20">
        <f ca="1">IF(Table1[[#This Row],[County]]="West Midlands",Table1[[#This Row],[income]],0)</f>
        <v>0</v>
      </c>
      <c r="CR303" s="20">
        <f ca="1">IF(Table1[[#This Row],[County]]="Warwickshire",Table1[[#This Row],[income]],0)</f>
        <v>0</v>
      </c>
      <c r="CS303" s="20">
        <f ca="1">IF(Table1[[#This Row],[County]]="Tyne and Wear",Table1[[#This Row],[income]],0)</f>
        <v>0</v>
      </c>
      <c r="CT303" s="20">
        <f ca="1">IF(Table1[[#This Row],[County]]="Worcestershire",Table1[[#This Row],[income]],0)</f>
        <v>0</v>
      </c>
      <c r="CU303" s="20">
        <f ca="1">IF(Table1[[#This Row],[County]]="Rutland",Table1[[#This Row],[income]],0)</f>
        <v>0</v>
      </c>
      <c r="CV303" s="20">
        <f ca="1">IF(Table1[[#This Row],[County]]="Shropshire",Table1[[#This Row],[income]],0)</f>
        <v>0</v>
      </c>
      <c r="CW303" s="20">
        <f ca="1">IF(Table1[[#This Row],[County]]="Dorset",Table1[[#This Row],[income]],0)</f>
        <v>0</v>
      </c>
      <c r="CX303" s="20">
        <f ca="1">IF(Table1[[#This Row],[County]]="Buckinghamshire",Table1[[#This Row],[income]],0)</f>
        <v>0</v>
      </c>
      <c r="CY303" s="20">
        <f ca="1">IF(Table1[[#This Row],[County]]="Suffolk",Table1[[#This Row],[income]],0)</f>
        <v>73111</v>
      </c>
      <c r="CZ303" s="20">
        <f ca="1">IF(Table1[[#This Row],[County]]="North Yorkshire",Table1[[#This Row],[income]],0)</f>
        <v>0</v>
      </c>
      <c r="DA303" s="20">
        <f ca="1">IF(Table1[[#This Row],[County]]="Kent",Table1[[#This Row],[income]],0)</f>
        <v>0</v>
      </c>
      <c r="DB303" s="5">
        <f ca="1">IF(Table1[[#This Row],[County]]="Derbyshire",Table1[[#This Row],[income]],0)</f>
        <v>0</v>
      </c>
      <c r="DD303" s="6">
        <f ca="1">IF(Table1[[#This Row],[Column1]]="Health",Table1[[#This Row],[income]],0)</f>
        <v>0</v>
      </c>
      <c r="DE303" s="20">
        <f ca="1">IF(Table1[[#This Row],[Column1]]="Agriculture",Table1[[#This Row],[income]],0)</f>
        <v>0</v>
      </c>
      <c r="DF303" s="20">
        <f ca="1">IF(Table1[[#This Row],[Column1]]="Technology",Table1[[#This Row],[income]],0)</f>
        <v>0</v>
      </c>
      <c r="DG303" s="20">
        <f ca="1">IF(Table1[[#This Row],[Column1]]="Social Service",Table1[[#This Row],[income]],0)</f>
        <v>0</v>
      </c>
      <c r="DH303" s="20">
        <f ca="1">IF(Table1[[#This Row],[Column1]]="Education",Table1[[#This Row],[income]],0)</f>
        <v>73111</v>
      </c>
      <c r="DI303" s="5">
        <f ca="1">IF(Table1[[#This Row],[Column1]]="Construction",Table1[[#This Row],[income]],0)</f>
        <v>0</v>
      </c>
      <c r="DK303" s="6">
        <f ca="1">IF(Table1[[#This Row],[Value of Debts]]&gt;Table1[[#This Row],[income]],1,0)</f>
        <v>1</v>
      </c>
      <c r="DL303" s="20"/>
      <c r="DM303" s="20"/>
      <c r="DN303" s="5"/>
      <c r="DP303" s="6">
        <f ca="1">IF(Table1[[#This Row],[Net Worth (£)]]&gt;$DS$5,C303,0)</f>
        <v>0</v>
      </c>
      <c r="DQ303" s="20"/>
      <c r="DR303" s="20"/>
      <c r="DS303" s="5"/>
    </row>
    <row r="304" spans="1:123" x14ac:dyDescent="0.2">
      <c r="A304">
        <f t="shared" ca="1" si="13"/>
        <v>1</v>
      </c>
      <c r="B304" s="1" t="str">
        <f ca="1">IF(A304=1, "men", "women")</f>
        <v>men</v>
      </c>
      <c r="C304" s="1">
        <f ca="1">RANDBETWEEN(25,50)</f>
        <v>27</v>
      </c>
      <c r="D304">
        <f ca="1">RANDBETWEEN(1,6)</f>
        <v>2</v>
      </c>
      <c r="E304" t="str">
        <f ca="1">VLOOKUP(D304,$W$5:$X$10,2)</f>
        <v>Construction</v>
      </c>
      <c r="F304">
        <f ca="1">RANDBETWEEN(1,5)</f>
        <v>3</v>
      </c>
      <c r="G304" t="str">
        <f ca="1">VLOOKUP(F304,$Y$5:$Z$9,2)</f>
        <v>University</v>
      </c>
      <c r="H304">
        <f ca="1">RANDBETWEEN(0,4)</f>
        <v>3</v>
      </c>
      <c r="I304">
        <f ca="1">RANDBETWEEN(1,3)</f>
        <v>2</v>
      </c>
      <c r="J304">
        <f ca="1">RANDBETWEEN(30000,100000)</f>
        <v>92547</v>
      </c>
      <c r="K304">
        <f ca="1">RANDBETWEEN(1,48)</f>
        <v>23</v>
      </c>
      <c r="L304" t="str">
        <f ca="1">VLOOKUP(K304,$AA$5:$AB$52,2)</f>
        <v>Isle of Wight</v>
      </c>
      <c r="M304">
        <f ca="1">J304*(RANDBETWEEN(2,5))</f>
        <v>277641</v>
      </c>
      <c r="N304">
        <f ca="1">RAND()*M304</f>
        <v>122937.4226535347</v>
      </c>
      <c r="O304">
        <f ca="1">I304*RAND()*J304</f>
        <v>99303.378640453811</v>
      </c>
      <c r="P304">
        <f ca="1">RANDBETWEEN(0,O304)</f>
        <v>35755</v>
      </c>
      <c r="Q304">
        <f ca="1">RAND()*J304*2</f>
        <v>92520.357994872073</v>
      </c>
      <c r="R304">
        <f ca="1">RAND()*J304*1.5</f>
        <v>26810.829851353101</v>
      </c>
      <c r="S304">
        <f ca="1">J304+R304+O304</f>
        <v>218661.20849180693</v>
      </c>
      <c r="T304">
        <f ca="1">N304+P304+Q304</f>
        <v>251212.78064840677</v>
      </c>
      <c r="U304">
        <f ca="1">S304-T304</f>
        <v>-32551.572156599839</v>
      </c>
      <c r="AC304" s="6">
        <f ca="1">IF(Table1[[#This Row],[gender]]="men",1,0)</f>
        <v>1</v>
      </c>
      <c r="AD304">
        <f ca="1">IF(Table1[[#This Row],[gender]]="women",1,0)</f>
        <v>0</v>
      </c>
      <c r="AH304" s="5"/>
      <c r="AJ304" s="6">
        <f ca="1">IF(Table1[[#This Row],[Column1]]="Health",1,0)</f>
        <v>0</v>
      </c>
      <c r="AK304">
        <f ca="1">IF(Table1[[#This Row],[Column1]]="Construction",1,0)</f>
        <v>1</v>
      </c>
      <c r="AL304">
        <f ca="1">IF(Table1[[#This Row],[Column1]]="Technology",1,0)</f>
        <v>0</v>
      </c>
      <c r="AM304">
        <f ca="1">IF(Table1[[#This Row],[Column1]]="Education",1,0)</f>
        <v>0</v>
      </c>
      <c r="AN304">
        <f ca="1">IF(Table1[[#This Row],[Column1]]="Agriculture",1,0)</f>
        <v>0</v>
      </c>
      <c r="AO304">
        <f ca="1">IF(Table1[[#This Row],[Column1]]="Social Service", 1, 0)</f>
        <v>0</v>
      </c>
      <c r="AT304" s="5"/>
      <c r="AV304" s="17">
        <f t="shared" ca="1" si="12"/>
        <v>55658.201529292106</v>
      </c>
      <c r="AW304" s="5"/>
      <c r="AX304" s="6">
        <f ca="1">IF(Table1[[#This Row],[Value of Debts]]&gt;$AY$4,1,0)</f>
        <v>1</v>
      </c>
      <c r="AY304" s="20"/>
      <c r="AZ304" s="20"/>
      <c r="BA304" s="5"/>
      <c r="BB304" s="25">
        <f ca="1">Table1[[#This Row],[Mortage Left]]/Table1[[#This Row],[Value of House]]</f>
        <v>0.44279275270415641</v>
      </c>
      <c r="BC304" s="20">
        <f t="shared" ca="1" si="14"/>
        <v>0</v>
      </c>
      <c r="BD304" s="20"/>
      <c r="BE304" s="20"/>
      <c r="BF304" s="20"/>
      <c r="BG304" s="6">
        <f ca="1">IF(Table1[[#This Row],[County]]="Cumbria",Table1[[#This Row],[income]],0)</f>
        <v>0</v>
      </c>
      <c r="BH304" s="20">
        <f ca="1">IF(Table1[[#This Row],[County]]="Cheshire",Table1[[#This Row],[income]],0)</f>
        <v>0</v>
      </c>
      <c r="BI304" s="20">
        <f ca="1">IF(Table1[[#This Row],[County]]="Bristol",Table1[[#This Row],[income]],0)</f>
        <v>0</v>
      </c>
      <c r="BJ304" s="20">
        <f ca="1">IF(Table1[[#This Row],[County]]="Surrey",Table1[[#This Row],[income]],0)</f>
        <v>0</v>
      </c>
      <c r="BK304" s="20">
        <f ca="1">IF(Table1[[#This Row],[County]]="Norfolk",Table1[[#This Row],[income]],0)</f>
        <v>0</v>
      </c>
      <c r="BL304" s="20">
        <f ca="1">IF(Table1[[#This Row],[County]]="Lincolnshire",Table1[[#This Row],[income]],0)</f>
        <v>0</v>
      </c>
      <c r="BM304" s="20">
        <f ca="1">IF(Table1[[#This Row],[County]]="Somerset",Table1[[#This Row],[income]],0)</f>
        <v>0</v>
      </c>
      <c r="BN304" s="20">
        <f ca="1">IF(Table1[[#This Row],[County]]="Cambridgeshire",Table1[[#This Row],[income]],0)</f>
        <v>0</v>
      </c>
      <c r="BO304" s="20">
        <f ca="1">IF(Table1[[#This Row],[County]]="South Yorkshire",Table1[[#This Row],[income]],0)</f>
        <v>0</v>
      </c>
      <c r="BP304" s="20">
        <f ca="1">IF(Table1[[#This Row],[County]]="Greater London",Table1[[#This Row],[income]],0)</f>
        <v>0</v>
      </c>
      <c r="BQ304" s="20">
        <f ca="1">IF(Table1[[#This Row],[County]]="Hampshire",Table1[[#This Row],[income]],0)</f>
        <v>0</v>
      </c>
      <c r="BR304" s="20">
        <f ca="1">IF(Table1[[#This Row],[County]]="Gloucestershire",Table1[[#This Row],[income]],0)</f>
        <v>0</v>
      </c>
      <c r="BS304" s="20">
        <f ca="1">IF(Table1[[#This Row],[County]]="West Sussex",Table1[[#This Row],[income]],0)</f>
        <v>0</v>
      </c>
      <c r="BT304" s="20">
        <f ca="1">IF(Table1[[#This Row],[County]]="Devon",Table1[[#This Row],[income]],0)</f>
        <v>0</v>
      </c>
      <c r="BU304" s="20">
        <f ca="1">IF(Table1[[#This Row],[County]]="Berkshire",Table1[[#This Row],[income]],0)</f>
        <v>0</v>
      </c>
      <c r="BV304" s="20">
        <f ca="1">IF(Table1[[#This Row],[County]]="Staffordshire",Table1[[#This Row],[income]],0)</f>
        <v>0</v>
      </c>
      <c r="BW304" s="20">
        <f ca="1">IF(Table1[[#This Row],[County]]="Leicestershire",Table1[[#This Row],[income]],0)</f>
        <v>0</v>
      </c>
      <c r="BX304" s="20">
        <f ca="1">IF(Table1[[#This Row],[County]]="Cornwall",Table1[[#This Row],[income]],0)</f>
        <v>0</v>
      </c>
      <c r="BY304" s="20">
        <f ca="1">IF(Table1[[#This Row],[County]]="Isle of Wight",Table1[[#This Row],[income]],0)</f>
        <v>92547</v>
      </c>
      <c r="BZ304" s="20">
        <f ca="1">IF(Table1[[#This Row],[County]]="Surrey",Table1[[#This Row],[income]],0)</f>
        <v>0</v>
      </c>
      <c r="CA304" s="20">
        <f ca="1">IF(Table1[[#This Row],[County]]="Derbyshire",Table1[[#This Row],[income]],0)</f>
        <v>0</v>
      </c>
      <c r="CB304" s="20">
        <f ca="1">IF(Table1[[#This Row],[County]]="City of London",Table1[[#This Row],[income]],0)</f>
        <v>0</v>
      </c>
      <c r="CC304" s="20">
        <f ca="1">IF(Table1[[#This Row],[County]]="Bedfordshire",Table1[[#This Row],[income]],0)</f>
        <v>0</v>
      </c>
      <c r="CD304" s="20">
        <f ca="1">IF(Table1[[#This Row],[County]]="County Durham",Table1[[#This Row],[income]],0)</f>
        <v>0</v>
      </c>
      <c r="CE304" s="20">
        <f ca="1">IF(Table1[[#This Row],[County]]="East Riding of Yorkshire",Table1[[#This Row],[income]],0)</f>
        <v>0</v>
      </c>
      <c r="CF304" s="20">
        <f ca="1">IF(Table1[[#This Row],[County]]="West Yorkshire",Table1[[#This Row],[income]],0)</f>
        <v>0</v>
      </c>
      <c r="CG304" s="20">
        <f ca="1">IF(Table1[[#This Row],[County]]="Essex",Table1[[#This Row],[income]],0)</f>
        <v>0</v>
      </c>
      <c r="CH304" s="20">
        <f ca="1">IF(Table1[[#This Row],[County]]="East Sussex",Table1[[#This Row],[income]],0)</f>
        <v>0</v>
      </c>
      <c r="CI304" s="20">
        <f ca="1">IF(Table1[[#This Row],[County]]="Greater Manchester",Table1[[#This Row],[income]],0)</f>
        <v>0</v>
      </c>
      <c r="CJ304" s="20">
        <f ca="1">IF(Table1[[#This Row],[County]]="Hertfordshire",Table1[[#This Row],[income]],0)</f>
        <v>0</v>
      </c>
      <c r="CK304" s="20">
        <f ca="1">IF(Table1[[#This Row],[County]]="Herefordshire",Table1[[#This Row],[income]],0)</f>
        <v>0</v>
      </c>
      <c r="CL304" s="20">
        <f ca="1">IF(Table1[[#This Row],[County]]="Lancashire",Table1[[#This Row],[income]],0)</f>
        <v>0</v>
      </c>
      <c r="CM304" s="20">
        <f ca="1">IF(Table1[[#This Row],[County]]="Merseyside",Table1[[#This Row],[income]],0)</f>
        <v>0</v>
      </c>
      <c r="CN304" s="20">
        <f ca="1">IF(Table1[[#This Row],[County]]="Northamptonshire",Table1[[#This Row],[income]],0)</f>
        <v>0</v>
      </c>
      <c r="CO304" s="20">
        <f ca="1">IF(Table1[[#This Row],[County]]="Northumberland",Table1[[#This Row],[income]],0)</f>
        <v>0</v>
      </c>
      <c r="CP304" s="20">
        <f ca="1">IF(Table1[[#This Row],[County]]="Wiltshire",Table1[[#This Row],[income]],0)</f>
        <v>0</v>
      </c>
      <c r="CQ304" s="20">
        <f ca="1">IF(Table1[[#This Row],[County]]="West Midlands",Table1[[#This Row],[income]],0)</f>
        <v>0</v>
      </c>
      <c r="CR304" s="20">
        <f ca="1">IF(Table1[[#This Row],[County]]="Warwickshire",Table1[[#This Row],[income]],0)</f>
        <v>0</v>
      </c>
      <c r="CS304" s="20">
        <f ca="1">IF(Table1[[#This Row],[County]]="Tyne and Wear",Table1[[#This Row],[income]],0)</f>
        <v>0</v>
      </c>
      <c r="CT304" s="20">
        <f ca="1">IF(Table1[[#This Row],[County]]="Worcestershire",Table1[[#This Row],[income]],0)</f>
        <v>0</v>
      </c>
      <c r="CU304" s="20">
        <f ca="1">IF(Table1[[#This Row],[County]]="Rutland",Table1[[#This Row],[income]],0)</f>
        <v>0</v>
      </c>
      <c r="CV304" s="20">
        <f ca="1">IF(Table1[[#This Row],[County]]="Shropshire",Table1[[#This Row],[income]],0)</f>
        <v>0</v>
      </c>
      <c r="CW304" s="20">
        <f ca="1">IF(Table1[[#This Row],[County]]="Dorset",Table1[[#This Row],[income]],0)</f>
        <v>0</v>
      </c>
      <c r="CX304" s="20">
        <f ca="1">IF(Table1[[#This Row],[County]]="Buckinghamshire",Table1[[#This Row],[income]],0)</f>
        <v>0</v>
      </c>
      <c r="CY304" s="20">
        <f ca="1">IF(Table1[[#This Row],[County]]="Suffolk",Table1[[#This Row],[income]],0)</f>
        <v>0</v>
      </c>
      <c r="CZ304" s="20">
        <f ca="1">IF(Table1[[#This Row],[County]]="North Yorkshire",Table1[[#This Row],[income]],0)</f>
        <v>0</v>
      </c>
      <c r="DA304" s="20">
        <f ca="1">IF(Table1[[#This Row],[County]]="Kent",Table1[[#This Row],[income]],0)</f>
        <v>0</v>
      </c>
      <c r="DB304" s="5">
        <f ca="1">IF(Table1[[#This Row],[County]]="Derbyshire",Table1[[#This Row],[income]],0)</f>
        <v>0</v>
      </c>
      <c r="DD304" s="6">
        <f ca="1">IF(Table1[[#This Row],[Column1]]="Health",Table1[[#This Row],[income]],0)</f>
        <v>0</v>
      </c>
      <c r="DE304" s="20">
        <f ca="1">IF(Table1[[#This Row],[Column1]]="Agriculture",Table1[[#This Row],[income]],0)</f>
        <v>0</v>
      </c>
      <c r="DF304" s="20">
        <f ca="1">IF(Table1[[#This Row],[Column1]]="Technology",Table1[[#This Row],[income]],0)</f>
        <v>0</v>
      </c>
      <c r="DG304" s="20">
        <f ca="1">IF(Table1[[#This Row],[Column1]]="Social Service",Table1[[#This Row],[income]],0)</f>
        <v>0</v>
      </c>
      <c r="DH304" s="20">
        <f ca="1">IF(Table1[[#This Row],[Column1]]="Education",Table1[[#This Row],[income]],0)</f>
        <v>0</v>
      </c>
      <c r="DI304" s="5">
        <f ca="1">IF(Table1[[#This Row],[Column1]]="Construction",Table1[[#This Row],[income]],0)</f>
        <v>92547</v>
      </c>
      <c r="DK304" s="6">
        <f ca="1">IF(Table1[[#This Row],[Value of Debts]]&gt;Table1[[#This Row],[income]],1,0)</f>
        <v>1</v>
      </c>
      <c r="DL304" s="20"/>
      <c r="DM304" s="20"/>
      <c r="DN304" s="5"/>
      <c r="DP304" s="6">
        <f ca="1">IF(Table1[[#This Row],[Net Worth (£)]]&gt;$DS$5,C304,0)</f>
        <v>0</v>
      </c>
      <c r="DQ304" s="20"/>
      <c r="DR304" s="20"/>
      <c r="DS304" s="5"/>
    </row>
    <row r="305" spans="1:123" x14ac:dyDescent="0.2">
      <c r="A305">
        <f t="shared" ca="1" si="13"/>
        <v>2</v>
      </c>
      <c r="B305" s="1" t="str">
        <f ca="1">IF(A305=1, "men", "women")</f>
        <v>women</v>
      </c>
      <c r="C305" s="1">
        <f ca="1">RANDBETWEEN(25,50)</f>
        <v>35</v>
      </c>
      <c r="D305">
        <f ca="1">RANDBETWEEN(1,6)</f>
        <v>2</v>
      </c>
      <c r="E305" t="str">
        <f ca="1">VLOOKUP(D305,$W$5:$X$10,2)</f>
        <v>Construction</v>
      </c>
      <c r="F305">
        <f ca="1">RANDBETWEEN(1,5)</f>
        <v>4</v>
      </c>
      <c r="G305" t="str">
        <f ca="1">VLOOKUP(F305,$Y$5:$Z$9,2)</f>
        <v xml:space="preserve">Technical </v>
      </c>
      <c r="H305">
        <f ca="1">RANDBETWEEN(0,4)</f>
        <v>4</v>
      </c>
      <c r="I305">
        <f ca="1">RANDBETWEEN(1,3)</f>
        <v>1</v>
      </c>
      <c r="J305">
        <f ca="1">RANDBETWEEN(30000,100000)</f>
        <v>71164</v>
      </c>
      <c r="K305">
        <f ca="1">RANDBETWEEN(1,48)</f>
        <v>33</v>
      </c>
      <c r="L305" t="str">
        <f ca="1">VLOOKUP(K305,$AA$5:$AB$52,2)</f>
        <v>Nottinghamshire</v>
      </c>
      <c r="M305">
        <f ca="1">J305*(RANDBETWEEN(2,5))</f>
        <v>213492</v>
      </c>
      <c r="N305">
        <f ca="1">RAND()*M305</f>
        <v>197696.56335210541</v>
      </c>
      <c r="O305">
        <f ca="1">I305*RAND()*J305</f>
        <v>55658.201529292106</v>
      </c>
      <c r="P305">
        <f ca="1">RANDBETWEEN(0,O305)</f>
        <v>21317</v>
      </c>
      <c r="Q305">
        <f ca="1">RAND()*J305*2</f>
        <v>105040.4850016602</v>
      </c>
      <c r="R305">
        <f ca="1">RAND()*J305*1.5</f>
        <v>11043.496449066444</v>
      </c>
      <c r="S305">
        <f ca="1">J305+R305+O305</f>
        <v>137865.69797835854</v>
      </c>
      <c r="T305">
        <f ca="1">N305+P305+Q305</f>
        <v>324054.04835376563</v>
      </c>
      <c r="U305">
        <f ca="1">S305-T305</f>
        <v>-186188.35037540708</v>
      </c>
      <c r="AC305" s="6">
        <f ca="1">IF(Table1[[#This Row],[gender]]="men",1,0)</f>
        <v>0</v>
      </c>
      <c r="AD305">
        <f ca="1">IF(Table1[[#This Row],[gender]]="women",1,0)</f>
        <v>1</v>
      </c>
      <c r="AH305" s="5"/>
      <c r="AJ305" s="6">
        <f ca="1">IF(Table1[[#This Row],[Column1]]="Health",1,0)</f>
        <v>0</v>
      </c>
      <c r="AK305">
        <f ca="1">IF(Table1[[#This Row],[Column1]]="Construction",1,0)</f>
        <v>1</v>
      </c>
      <c r="AL305">
        <f ca="1">IF(Table1[[#This Row],[Column1]]="Technology",1,0)</f>
        <v>0</v>
      </c>
      <c r="AM305">
        <f ca="1">IF(Table1[[#This Row],[Column1]]="Education",1,0)</f>
        <v>0</v>
      </c>
      <c r="AN305">
        <f ca="1">IF(Table1[[#This Row],[Column1]]="Agriculture",1,0)</f>
        <v>0</v>
      </c>
      <c r="AO305">
        <f ca="1">IF(Table1[[#This Row],[Column1]]="Social Service", 1, 0)</f>
        <v>0</v>
      </c>
      <c r="AT305" s="5"/>
      <c r="AV305" s="17">
        <f t="shared" ca="1" si="12"/>
        <v>8233.5333331200163</v>
      </c>
      <c r="AW305" s="5"/>
      <c r="AX305" s="6">
        <f ca="1">IF(Table1[[#This Row],[Value of Debts]]&gt;$AY$4,1,0)</f>
        <v>1</v>
      </c>
      <c r="AY305" s="20"/>
      <c r="AZ305" s="20"/>
      <c r="BA305" s="5"/>
      <c r="BB305" s="25">
        <f ca="1">Table1[[#This Row],[Mortage Left]]/Table1[[#This Row],[Value of House]]</f>
        <v>0.9260139178615846</v>
      </c>
      <c r="BC305" s="20">
        <f t="shared" ca="1" si="14"/>
        <v>0</v>
      </c>
      <c r="BD305" s="20"/>
      <c r="BE305" s="20"/>
      <c r="BF305" s="20"/>
      <c r="BG305" s="6">
        <f ca="1">IF(Table1[[#This Row],[County]]="Cumbria",Table1[[#This Row],[income]],0)</f>
        <v>0</v>
      </c>
      <c r="BH305" s="20">
        <f ca="1">IF(Table1[[#This Row],[County]]="Cheshire",Table1[[#This Row],[income]],0)</f>
        <v>0</v>
      </c>
      <c r="BI305" s="20">
        <f ca="1">IF(Table1[[#This Row],[County]]="Bristol",Table1[[#This Row],[income]],0)</f>
        <v>0</v>
      </c>
      <c r="BJ305" s="20">
        <f ca="1">IF(Table1[[#This Row],[County]]="Surrey",Table1[[#This Row],[income]],0)</f>
        <v>0</v>
      </c>
      <c r="BK305" s="20">
        <f ca="1">IF(Table1[[#This Row],[County]]="Norfolk",Table1[[#This Row],[income]],0)</f>
        <v>0</v>
      </c>
      <c r="BL305" s="20">
        <f ca="1">IF(Table1[[#This Row],[County]]="Lincolnshire",Table1[[#This Row],[income]],0)</f>
        <v>0</v>
      </c>
      <c r="BM305" s="20">
        <f ca="1">IF(Table1[[#This Row],[County]]="Somerset",Table1[[#This Row],[income]],0)</f>
        <v>0</v>
      </c>
      <c r="BN305" s="20">
        <f ca="1">IF(Table1[[#This Row],[County]]="Cambridgeshire",Table1[[#This Row],[income]],0)</f>
        <v>0</v>
      </c>
      <c r="BO305" s="20">
        <f ca="1">IF(Table1[[#This Row],[County]]="South Yorkshire",Table1[[#This Row],[income]],0)</f>
        <v>0</v>
      </c>
      <c r="BP305" s="20">
        <f ca="1">IF(Table1[[#This Row],[County]]="Greater London",Table1[[#This Row],[income]],0)</f>
        <v>0</v>
      </c>
      <c r="BQ305" s="20">
        <f ca="1">IF(Table1[[#This Row],[County]]="Hampshire",Table1[[#This Row],[income]],0)</f>
        <v>0</v>
      </c>
      <c r="BR305" s="20">
        <f ca="1">IF(Table1[[#This Row],[County]]="Gloucestershire",Table1[[#This Row],[income]],0)</f>
        <v>0</v>
      </c>
      <c r="BS305" s="20">
        <f ca="1">IF(Table1[[#This Row],[County]]="West Sussex",Table1[[#This Row],[income]],0)</f>
        <v>0</v>
      </c>
      <c r="BT305" s="20">
        <f ca="1">IF(Table1[[#This Row],[County]]="Devon",Table1[[#This Row],[income]],0)</f>
        <v>0</v>
      </c>
      <c r="BU305" s="20">
        <f ca="1">IF(Table1[[#This Row],[County]]="Berkshire",Table1[[#This Row],[income]],0)</f>
        <v>0</v>
      </c>
      <c r="BV305" s="20">
        <f ca="1">IF(Table1[[#This Row],[County]]="Staffordshire",Table1[[#This Row],[income]],0)</f>
        <v>0</v>
      </c>
      <c r="BW305" s="20">
        <f ca="1">IF(Table1[[#This Row],[County]]="Leicestershire",Table1[[#This Row],[income]],0)</f>
        <v>0</v>
      </c>
      <c r="BX305" s="20">
        <f ca="1">IF(Table1[[#This Row],[County]]="Cornwall",Table1[[#This Row],[income]],0)</f>
        <v>0</v>
      </c>
      <c r="BY305" s="20">
        <f ca="1">IF(Table1[[#This Row],[County]]="Isle of Wight",Table1[[#This Row],[income]],0)</f>
        <v>0</v>
      </c>
      <c r="BZ305" s="20">
        <f ca="1">IF(Table1[[#This Row],[County]]="Surrey",Table1[[#This Row],[income]],0)</f>
        <v>0</v>
      </c>
      <c r="CA305" s="20">
        <f ca="1">IF(Table1[[#This Row],[County]]="Derbyshire",Table1[[#This Row],[income]],0)</f>
        <v>0</v>
      </c>
      <c r="CB305" s="20">
        <f ca="1">IF(Table1[[#This Row],[County]]="City of London",Table1[[#This Row],[income]],0)</f>
        <v>0</v>
      </c>
      <c r="CC305" s="20">
        <f ca="1">IF(Table1[[#This Row],[County]]="Bedfordshire",Table1[[#This Row],[income]],0)</f>
        <v>0</v>
      </c>
      <c r="CD305" s="20">
        <f ca="1">IF(Table1[[#This Row],[County]]="County Durham",Table1[[#This Row],[income]],0)</f>
        <v>0</v>
      </c>
      <c r="CE305" s="20">
        <f ca="1">IF(Table1[[#This Row],[County]]="East Riding of Yorkshire",Table1[[#This Row],[income]],0)</f>
        <v>0</v>
      </c>
      <c r="CF305" s="20">
        <f ca="1">IF(Table1[[#This Row],[County]]="West Yorkshire",Table1[[#This Row],[income]],0)</f>
        <v>0</v>
      </c>
      <c r="CG305" s="20">
        <f ca="1">IF(Table1[[#This Row],[County]]="Essex",Table1[[#This Row],[income]],0)</f>
        <v>0</v>
      </c>
      <c r="CH305" s="20">
        <f ca="1">IF(Table1[[#This Row],[County]]="East Sussex",Table1[[#This Row],[income]],0)</f>
        <v>0</v>
      </c>
      <c r="CI305" s="20">
        <f ca="1">IF(Table1[[#This Row],[County]]="Greater Manchester",Table1[[#This Row],[income]],0)</f>
        <v>0</v>
      </c>
      <c r="CJ305" s="20">
        <f ca="1">IF(Table1[[#This Row],[County]]="Hertfordshire",Table1[[#This Row],[income]],0)</f>
        <v>0</v>
      </c>
      <c r="CK305" s="20">
        <f ca="1">IF(Table1[[#This Row],[County]]="Herefordshire",Table1[[#This Row],[income]],0)</f>
        <v>0</v>
      </c>
      <c r="CL305" s="20">
        <f ca="1">IF(Table1[[#This Row],[County]]="Lancashire",Table1[[#This Row],[income]],0)</f>
        <v>0</v>
      </c>
      <c r="CM305" s="20">
        <f ca="1">IF(Table1[[#This Row],[County]]="Merseyside",Table1[[#This Row],[income]],0)</f>
        <v>0</v>
      </c>
      <c r="CN305" s="20">
        <f ca="1">IF(Table1[[#This Row],[County]]="Northamptonshire",Table1[[#This Row],[income]],0)</f>
        <v>0</v>
      </c>
      <c r="CO305" s="20">
        <f ca="1">IF(Table1[[#This Row],[County]]="Northumberland",Table1[[#This Row],[income]],0)</f>
        <v>0</v>
      </c>
      <c r="CP305" s="20">
        <f ca="1">IF(Table1[[#This Row],[County]]="Wiltshire",Table1[[#This Row],[income]],0)</f>
        <v>0</v>
      </c>
      <c r="CQ305" s="20">
        <f ca="1">IF(Table1[[#This Row],[County]]="West Midlands",Table1[[#This Row],[income]],0)</f>
        <v>0</v>
      </c>
      <c r="CR305" s="20">
        <f ca="1">IF(Table1[[#This Row],[County]]="Warwickshire",Table1[[#This Row],[income]],0)</f>
        <v>0</v>
      </c>
      <c r="CS305" s="20">
        <f ca="1">IF(Table1[[#This Row],[County]]="Tyne and Wear",Table1[[#This Row],[income]],0)</f>
        <v>0</v>
      </c>
      <c r="CT305" s="20">
        <f ca="1">IF(Table1[[#This Row],[County]]="Worcestershire",Table1[[#This Row],[income]],0)</f>
        <v>0</v>
      </c>
      <c r="CU305" s="20">
        <f ca="1">IF(Table1[[#This Row],[County]]="Rutland",Table1[[#This Row],[income]],0)</f>
        <v>0</v>
      </c>
      <c r="CV305" s="20">
        <f ca="1">IF(Table1[[#This Row],[County]]="Shropshire",Table1[[#This Row],[income]],0)</f>
        <v>0</v>
      </c>
      <c r="CW305" s="20">
        <f ca="1">IF(Table1[[#This Row],[County]]="Dorset",Table1[[#This Row],[income]],0)</f>
        <v>0</v>
      </c>
      <c r="CX305" s="20">
        <f ca="1">IF(Table1[[#This Row],[County]]="Buckinghamshire",Table1[[#This Row],[income]],0)</f>
        <v>0</v>
      </c>
      <c r="CY305" s="20">
        <f ca="1">IF(Table1[[#This Row],[County]]="Suffolk",Table1[[#This Row],[income]],0)</f>
        <v>0</v>
      </c>
      <c r="CZ305" s="20">
        <f ca="1">IF(Table1[[#This Row],[County]]="North Yorkshire",Table1[[#This Row],[income]],0)</f>
        <v>0</v>
      </c>
      <c r="DA305" s="20">
        <f ca="1">IF(Table1[[#This Row],[County]]="Kent",Table1[[#This Row],[income]],0)</f>
        <v>0</v>
      </c>
      <c r="DB305" s="5">
        <f ca="1">IF(Table1[[#This Row],[County]]="Derbyshire",Table1[[#This Row],[income]],0)</f>
        <v>0</v>
      </c>
      <c r="DD305" s="6">
        <f ca="1">IF(Table1[[#This Row],[Column1]]="Health",Table1[[#This Row],[income]],0)</f>
        <v>0</v>
      </c>
      <c r="DE305" s="20">
        <f ca="1">IF(Table1[[#This Row],[Column1]]="Agriculture",Table1[[#This Row],[income]],0)</f>
        <v>0</v>
      </c>
      <c r="DF305" s="20">
        <f ca="1">IF(Table1[[#This Row],[Column1]]="Technology",Table1[[#This Row],[income]],0)</f>
        <v>0</v>
      </c>
      <c r="DG305" s="20">
        <f ca="1">IF(Table1[[#This Row],[Column1]]="Social Service",Table1[[#This Row],[income]],0)</f>
        <v>0</v>
      </c>
      <c r="DH305" s="20">
        <f ca="1">IF(Table1[[#This Row],[Column1]]="Education",Table1[[#This Row],[income]],0)</f>
        <v>0</v>
      </c>
      <c r="DI305" s="5">
        <f ca="1">IF(Table1[[#This Row],[Column1]]="Construction",Table1[[#This Row],[income]],0)</f>
        <v>71164</v>
      </c>
      <c r="DK305" s="6">
        <f ca="1">IF(Table1[[#This Row],[Value of Debts]]&gt;Table1[[#This Row],[income]],1,0)</f>
        <v>1</v>
      </c>
      <c r="DL305" s="20"/>
      <c r="DM305" s="20"/>
      <c r="DN305" s="5"/>
      <c r="DP305" s="6">
        <f ca="1">IF(Table1[[#This Row],[Net Worth (£)]]&gt;$DS$5,C305,0)</f>
        <v>0</v>
      </c>
      <c r="DQ305" s="20"/>
      <c r="DR305" s="20"/>
      <c r="DS305" s="5"/>
    </row>
    <row r="306" spans="1:123" x14ac:dyDescent="0.2">
      <c r="A306">
        <f t="shared" ca="1" si="13"/>
        <v>1</v>
      </c>
      <c r="B306" s="1" t="str">
        <f ca="1">IF(A306=1, "men", "women")</f>
        <v>men</v>
      </c>
      <c r="C306" s="1">
        <f ca="1">RANDBETWEEN(25,50)</f>
        <v>39</v>
      </c>
      <c r="D306">
        <f ca="1">RANDBETWEEN(1,6)</f>
        <v>2</v>
      </c>
      <c r="E306" t="str">
        <f ca="1">VLOOKUP(D306,$W$5:$X$10,2)</f>
        <v>Construction</v>
      </c>
      <c r="F306">
        <f ca="1">RANDBETWEEN(1,5)</f>
        <v>5</v>
      </c>
      <c r="G306" t="str">
        <f ca="1">VLOOKUP(F306,$Y$5:$Z$9,2)</f>
        <v>Other</v>
      </c>
      <c r="H306">
        <f ca="1">RANDBETWEEN(0,4)</f>
        <v>4</v>
      </c>
      <c r="I306">
        <f ca="1">RANDBETWEEN(1,3)</f>
        <v>2</v>
      </c>
      <c r="J306">
        <f ca="1">RANDBETWEEN(30000,100000)</f>
        <v>42036</v>
      </c>
      <c r="K306">
        <f ca="1">RANDBETWEEN(1,48)</f>
        <v>36</v>
      </c>
      <c r="L306" t="str">
        <f ca="1">VLOOKUP(K306,$AA$5:$AB$52,2)</f>
        <v>Shropshire</v>
      </c>
      <c r="M306">
        <f ca="1">J306*(RANDBETWEEN(2,5))</f>
        <v>168144</v>
      </c>
      <c r="N306">
        <f ca="1">RAND()*M306</f>
        <v>57934.334257361341</v>
      </c>
      <c r="O306">
        <f ca="1">I306*RAND()*J306</f>
        <v>16467.066666240033</v>
      </c>
      <c r="P306">
        <f ca="1">RANDBETWEEN(0,O306)</f>
        <v>12916</v>
      </c>
      <c r="Q306">
        <f ca="1">RAND()*J306*2</f>
        <v>42916.533266873994</v>
      </c>
      <c r="R306">
        <f ca="1">RAND()*J306*1.5</f>
        <v>21210.884961399785</v>
      </c>
      <c r="S306">
        <f ca="1">J306+R306+O306</f>
        <v>79713.951627639821</v>
      </c>
      <c r="T306">
        <f ca="1">N306+P306+Q306</f>
        <v>113766.86752423533</v>
      </c>
      <c r="U306">
        <f ca="1">S306-T306</f>
        <v>-34052.915896595514</v>
      </c>
      <c r="AC306" s="6">
        <f ca="1">IF(Table1[[#This Row],[gender]]="men",1,0)</f>
        <v>1</v>
      </c>
      <c r="AD306">
        <f ca="1">IF(Table1[[#This Row],[gender]]="women",1,0)</f>
        <v>0</v>
      </c>
      <c r="AH306" s="5"/>
      <c r="AJ306" s="6">
        <f ca="1">IF(Table1[[#This Row],[Column1]]="Health",1,0)</f>
        <v>0</v>
      </c>
      <c r="AK306">
        <f ca="1">IF(Table1[[#This Row],[Column1]]="Construction",1,0)</f>
        <v>1</v>
      </c>
      <c r="AL306">
        <f ca="1">IF(Table1[[#This Row],[Column1]]="Technology",1,0)</f>
        <v>0</v>
      </c>
      <c r="AM306">
        <f ca="1">IF(Table1[[#This Row],[Column1]]="Education",1,0)</f>
        <v>0</v>
      </c>
      <c r="AN306">
        <f ca="1">IF(Table1[[#This Row],[Column1]]="Agriculture",1,0)</f>
        <v>0</v>
      </c>
      <c r="AO306">
        <f ca="1">IF(Table1[[#This Row],[Column1]]="Social Service", 1, 0)</f>
        <v>0</v>
      </c>
      <c r="AT306" s="5"/>
      <c r="AV306" s="17">
        <f t="shared" ca="1" si="12"/>
        <v>28667.210863121651</v>
      </c>
      <c r="AW306" s="5"/>
      <c r="AX306" s="6">
        <f ca="1">IF(Table1[[#This Row],[Value of Debts]]&gt;$AY$4,1,0)</f>
        <v>1</v>
      </c>
      <c r="AY306" s="20"/>
      <c r="AZ306" s="20"/>
      <c r="BA306" s="5"/>
      <c r="BB306" s="25">
        <f ca="1">Table1[[#This Row],[Mortage Left]]/Table1[[#This Row],[Value of House]]</f>
        <v>0.34455189752451076</v>
      </c>
      <c r="BC306" s="20">
        <f t="shared" ca="1" si="14"/>
        <v>0</v>
      </c>
      <c r="BD306" s="20"/>
      <c r="BE306" s="20"/>
      <c r="BF306" s="20"/>
      <c r="BG306" s="6">
        <f ca="1">IF(Table1[[#This Row],[County]]="Cumbria",Table1[[#This Row],[income]],0)</f>
        <v>0</v>
      </c>
      <c r="BH306" s="20">
        <f ca="1">IF(Table1[[#This Row],[County]]="Cheshire",Table1[[#This Row],[income]],0)</f>
        <v>0</v>
      </c>
      <c r="BI306" s="20">
        <f ca="1">IF(Table1[[#This Row],[County]]="Bristol",Table1[[#This Row],[income]],0)</f>
        <v>0</v>
      </c>
      <c r="BJ306" s="20">
        <f ca="1">IF(Table1[[#This Row],[County]]="Surrey",Table1[[#This Row],[income]],0)</f>
        <v>0</v>
      </c>
      <c r="BK306" s="20">
        <f ca="1">IF(Table1[[#This Row],[County]]="Norfolk",Table1[[#This Row],[income]],0)</f>
        <v>0</v>
      </c>
      <c r="BL306" s="20">
        <f ca="1">IF(Table1[[#This Row],[County]]="Lincolnshire",Table1[[#This Row],[income]],0)</f>
        <v>0</v>
      </c>
      <c r="BM306" s="20">
        <f ca="1">IF(Table1[[#This Row],[County]]="Somerset",Table1[[#This Row],[income]],0)</f>
        <v>0</v>
      </c>
      <c r="BN306" s="20">
        <f ca="1">IF(Table1[[#This Row],[County]]="Cambridgeshire",Table1[[#This Row],[income]],0)</f>
        <v>0</v>
      </c>
      <c r="BO306" s="20">
        <f ca="1">IF(Table1[[#This Row],[County]]="South Yorkshire",Table1[[#This Row],[income]],0)</f>
        <v>0</v>
      </c>
      <c r="BP306" s="20">
        <f ca="1">IF(Table1[[#This Row],[County]]="Greater London",Table1[[#This Row],[income]],0)</f>
        <v>0</v>
      </c>
      <c r="BQ306" s="20">
        <f ca="1">IF(Table1[[#This Row],[County]]="Hampshire",Table1[[#This Row],[income]],0)</f>
        <v>0</v>
      </c>
      <c r="BR306" s="20">
        <f ca="1">IF(Table1[[#This Row],[County]]="Gloucestershire",Table1[[#This Row],[income]],0)</f>
        <v>0</v>
      </c>
      <c r="BS306" s="20">
        <f ca="1">IF(Table1[[#This Row],[County]]="West Sussex",Table1[[#This Row],[income]],0)</f>
        <v>0</v>
      </c>
      <c r="BT306" s="20">
        <f ca="1">IF(Table1[[#This Row],[County]]="Devon",Table1[[#This Row],[income]],0)</f>
        <v>0</v>
      </c>
      <c r="BU306" s="20">
        <f ca="1">IF(Table1[[#This Row],[County]]="Berkshire",Table1[[#This Row],[income]],0)</f>
        <v>0</v>
      </c>
      <c r="BV306" s="20">
        <f ca="1">IF(Table1[[#This Row],[County]]="Staffordshire",Table1[[#This Row],[income]],0)</f>
        <v>0</v>
      </c>
      <c r="BW306" s="20">
        <f ca="1">IF(Table1[[#This Row],[County]]="Leicestershire",Table1[[#This Row],[income]],0)</f>
        <v>0</v>
      </c>
      <c r="BX306" s="20">
        <f ca="1">IF(Table1[[#This Row],[County]]="Cornwall",Table1[[#This Row],[income]],0)</f>
        <v>0</v>
      </c>
      <c r="BY306" s="20">
        <f ca="1">IF(Table1[[#This Row],[County]]="Isle of Wight",Table1[[#This Row],[income]],0)</f>
        <v>0</v>
      </c>
      <c r="BZ306" s="20">
        <f ca="1">IF(Table1[[#This Row],[County]]="Surrey",Table1[[#This Row],[income]],0)</f>
        <v>0</v>
      </c>
      <c r="CA306" s="20">
        <f ca="1">IF(Table1[[#This Row],[County]]="Derbyshire",Table1[[#This Row],[income]],0)</f>
        <v>0</v>
      </c>
      <c r="CB306" s="20">
        <f ca="1">IF(Table1[[#This Row],[County]]="City of London",Table1[[#This Row],[income]],0)</f>
        <v>0</v>
      </c>
      <c r="CC306" s="20">
        <f ca="1">IF(Table1[[#This Row],[County]]="Bedfordshire",Table1[[#This Row],[income]],0)</f>
        <v>0</v>
      </c>
      <c r="CD306" s="20">
        <f ca="1">IF(Table1[[#This Row],[County]]="County Durham",Table1[[#This Row],[income]],0)</f>
        <v>0</v>
      </c>
      <c r="CE306" s="20">
        <f ca="1">IF(Table1[[#This Row],[County]]="East Riding of Yorkshire",Table1[[#This Row],[income]],0)</f>
        <v>0</v>
      </c>
      <c r="CF306" s="20">
        <f ca="1">IF(Table1[[#This Row],[County]]="West Yorkshire",Table1[[#This Row],[income]],0)</f>
        <v>0</v>
      </c>
      <c r="CG306" s="20">
        <f ca="1">IF(Table1[[#This Row],[County]]="Essex",Table1[[#This Row],[income]],0)</f>
        <v>0</v>
      </c>
      <c r="CH306" s="20">
        <f ca="1">IF(Table1[[#This Row],[County]]="East Sussex",Table1[[#This Row],[income]],0)</f>
        <v>0</v>
      </c>
      <c r="CI306" s="20">
        <f ca="1">IF(Table1[[#This Row],[County]]="Greater Manchester",Table1[[#This Row],[income]],0)</f>
        <v>0</v>
      </c>
      <c r="CJ306" s="20">
        <f ca="1">IF(Table1[[#This Row],[County]]="Hertfordshire",Table1[[#This Row],[income]],0)</f>
        <v>0</v>
      </c>
      <c r="CK306" s="20">
        <f ca="1">IF(Table1[[#This Row],[County]]="Herefordshire",Table1[[#This Row],[income]],0)</f>
        <v>0</v>
      </c>
      <c r="CL306" s="20">
        <f ca="1">IF(Table1[[#This Row],[County]]="Lancashire",Table1[[#This Row],[income]],0)</f>
        <v>0</v>
      </c>
      <c r="CM306" s="20">
        <f ca="1">IF(Table1[[#This Row],[County]]="Merseyside",Table1[[#This Row],[income]],0)</f>
        <v>0</v>
      </c>
      <c r="CN306" s="20">
        <f ca="1">IF(Table1[[#This Row],[County]]="Northamptonshire",Table1[[#This Row],[income]],0)</f>
        <v>0</v>
      </c>
      <c r="CO306" s="20">
        <f ca="1">IF(Table1[[#This Row],[County]]="Northumberland",Table1[[#This Row],[income]],0)</f>
        <v>0</v>
      </c>
      <c r="CP306" s="20">
        <f ca="1">IF(Table1[[#This Row],[County]]="Wiltshire",Table1[[#This Row],[income]],0)</f>
        <v>0</v>
      </c>
      <c r="CQ306" s="20">
        <f ca="1">IF(Table1[[#This Row],[County]]="West Midlands",Table1[[#This Row],[income]],0)</f>
        <v>0</v>
      </c>
      <c r="CR306" s="20">
        <f ca="1">IF(Table1[[#This Row],[County]]="Warwickshire",Table1[[#This Row],[income]],0)</f>
        <v>0</v>
      </c>
      <c r="CS306" s="20">
        <f ca="1">IF(Table1[[#This Row],[County]]="Tyne and Wear",Table1[[#This Row],[income]],0)</f>
        <v>0</v>
      </c>
      <c r="CT306" s="20">
        <f ca="1">IF(Table1[[#This Row],[County]]="Worcestershire",Table1[[#This Row],[income]],0)</f>
        <v>0</v>
      </c>
      <c r="CU306" s="20">
        <f ca="1">IF(Table1[[#This Row],[County]]="Rutland",Table1[[#This Row],[income]],0)</f>
        <v>0</v>
      </c>
      <c r="CV306" s="20">
        <f ca="1">IF(Table1[[#This Row],[County]]="Shropshire",Table1[[#This Row],[income]],0)</f>
        <v>42036</v>
      </c>
      <c r="CW306" s="20">
        <f ca="1">IF(Table1[[#This Row],[County]]="Dorset",Table1[[#This Row],[income]],0)</f>
        <v>0</v>
      </c>
      <c r="CX306" s="20">
        <f ca="1">IF(Table1[[#This Row],[County]]="Buckinghamshire",Table1[[#This Row],[income]],0)</f>
        <v>0</v>
      </c>
      <c r="CY306" s="20">
        <f ca="1">IF(Table1[[#This Row],[County]]="Suffolk",Table1[[#This Row],[income]],0)</f>
        <v>0</v>
      </c>
      <c r="CZ306" s="20">
        <f ca="1">IF(Table1[[#This Row],[County]]="North Yorkshire",Table1[[#This Row],[income]],0)</f>
        <v>0</v>
      </c>
      <c r="DA306" s="20">
        <f ca="1">IF(Table1[[#This Row],[County]]="Kent",Table1[[#This Row],[income]],0)</f>
        <v>0</v>
      </c>
      <c r="DB306" s="5">
        <f ca="1">IF(Table1[[#This Row],[County]]="Derbyshire",Table1[[#This Row],[income]],0)</f>
        <v>0</v>
      </c>
      <c r="DD306" s="6">
        <f ca="1">IF(Table1[[#This Row],[Column1]]="Health",Table1[[#This Row],[income]],0)</f>
        <v>0</v>
      </c>
      <c r="DE306" s="20">
        <f ca="1">IF(Table1[[#This Row],[Column1]]="Agriculture",Table1[[#This Row],[income]],0)</f>
        <v>0</v>
      </c>
      <c r="DF306" s="20">
        <f ca="1">IF(Table1[[#This Row],[Column1]]="Technology",Table1[[#This Row],[income]],0)</f>
        <v>0</v>
      </c>
      <c r="DG306" s="20">
        <f ca="1">IF(Table1[[#This Row],[Column1]]="Social Service",Table1[[#This Row],[income]],0)</f>
        <v>0</v>
      </c>
      <c r="DH306" s="20">
        <f ca="1">IF(Table1[[#This Row],[Column1]]="Education",Table1[[#This Row],[income]],0)</f>
        <v>0</v>
      </c>
      <c r="DI306" s="5">
        <f ca="1">IF(Table1[[#This Row],[Column1]]="Construction",Table1[[#This Row],[income]],0)</f>
        <v>42036</v>
      </c>
      <c r="DK306" s="6">
        <f ca="1">IF(Table1[[#This Row],[Value of Debts]]&gt;Table1[[#This Row],[income]],1,0)</f>
        <v>1</v>
      </c>
      <c r="DL306" s="20"/>
      <c r="DM306" s="20"/>
      <c r="DN306" s="5"/>
      <c r="DP306" s="6">
        <f ca="1">IF(Table1[[#This Row],[Net Worth (£)]]&gt;$DS$5,C306,0)</f>
        <v>0</v>
      </c>
      <c r="DQ306" s="20"/>
      <c r="DR306" s="20"/>
      <c r="DS306" s="5"/>
    </row>
    <row r="307" spans="1:123" hidden="1" x14ac:dyDescent="0.2">
      <c r="A307">
        <f t="shared" ca="1" si="13"/>
        <v>2</v>
      </c>
      <c r="B307" s="1" t="str">
        <f ca="1">IF(A307=1, "men", "women")</f>
        <v>women</v>
      </c>
      <c r="C307" s="1">
        <f ca="1">RANDBETWEEN(25,50)</f>
        <v>41</v>
      </c>
      <c r="D307">
        <f ca="1">RANDBETWEEN(1,6)</f>
        <v>6</v>
      </c>
      <c r="E307" t="str">
        <f ca="1">VLOOKUP(D307,$W$5:$X$10,2)</f>
        <v>Agriculture</v>
      </c>
      <c r="F307">
        <f ca="1">RANDBETWEEN(1,5)</f>
        <v>3</v>
      </c>
      <c r="G307" t="str">
        <f ca="1">VLOOKUP(F307,$Y$5:$Z$9,2)</f>
        <v>University</v>
      </c>
      <c r="H307">
        <f ca="1">RANDBETWEEN(0,4)</f>
        <v>2</v>
      </c>
      <c r="I307">
        <f ca="1">RANDBETWEEN(1,3)</f>
        <v>1</v>
      </c>
      <c r="J307">
        <f ca="1">RANDBETWEEN(30000,100000)</f>
        <v>66354</v>
      </c>
      <c r="K307">
        <f ca="1">RANDBETWEEN(1,48)</f>
        <v>1</v>
      </c>
      <c r="L307" t="str">
        <f ca="1">VLOOKUP(K307,$AA$5:$AB$52,2)</f>
        <v>Bedfordshire</v>
      </c>
      <c r="M307">
        <f ca="1">J307*(RANDBETWEEN(2,5))</f>
        <v>331770</v>
      </c>
      <c r="N307">
        <f ca="1">RAND()*M307</f>
        <v>89189.801153913097</v>
      </c>
      <c r="O307">
        <f ca="1">I307*RAND()*J307</f>
        <v>28667.210863121651</v>
      </c>
      <c r="P307">
        <f ca="1">RANDBETWEEN(0,O307)</f>
        <v>23184</v>
      </c>
      <c r="Q307">
        <f ca="1">RAND()*J307*2</f>
        <v>123976.4382578912</v>
      </c>
      <c r="R307">
        <f ca="1">RAND()*J307*1.5</f>
        <v>95986.00077139202</v>
      </c>
      <c r="S307">
        <f ca="1">J307+R307+O307</f>
        <v>191007.21163451366</v>
      </c>
      <c r="T307">
        <f ca="1">N307+P307+Q307</f>
        <v>236350.2394118043</v>
      </c>
      <c r="U307">
        <f ca="1">S307-T307</f>
        <v>-45343.027777290641</v>
      </c>
      <c r="AC307" s="6">
        <f ca="1">IF(Table1[[#This Row],[gender]]="men",1,0)</f>
        <v>0</v>
      </c>
      <c r="AD307">
        <f ca="1">IF(Table1[[#This Row],[gender]]="women",1,0)</f>
        <v>1</v>
      </c>
      <c r="AH307" s="5"/>
      <c r="AJ307" s="6">
        <f ca="1">IF(Table1[[#This Row],[Column1]]="Health",1,0)</f>
        <v>0</v>
      </c>
      <c r="AK307">
        <f ca="1">IF(Table1[[#This Row],[Column1]]="Construction",1,0)</f>
        <v>0</v>
      </c>
      <c r="AL307">
        <f ca="1">IF(Table1[[#This Row],[Column1]]="Technology",1,0)</f>
        <v>0</v>
      </c>
      <c r="AM307">
        <f ca="1">IF(Table1[[#This Row],[Column1]]="Education",1,0)</f>
        <v>0</v>
      </c>
      <c r="AN307">
        <f ca="1">IF(Table1[[#This Row],[Column1]]="Agriculture",1,0)</f>
        <v>1</v>
      </c>
      <c r="AO307">
        <f ca="1">IF(Table1[[#This Row],[Column1]]="Social Service", 1, 0)</f>
        <v>0</v>
      </c>
      <c r="AT307" s="5"/>
      <c r="AV307" s="17">
        <f t="shared" ca="1" si="12"/>
        <v>10883.777841987931</v>
      </c>
      <c r="AW307" s="5"/>
      <c r="AX307" s="6">
        <f ca="1">IF(Table1[[#This Row],[Value of Debts]]&gt;$AY$4,1,0)</f>
        <v>1</v>
      </c>
      <c r="AY307" s="20"/>
      <c r="AZ307" s="20"/>
      <c r="BA307" s="5"/>
      <c r="BB307" s="25">
        <f ca="1">Table1[[#This Row],[Mortage Left]]/Table1[[#This Row],[Value of House]]</f>
        <v>0.26883021718031497</v>
      </c>
      <c r="BC307" s="20">
        <f t="shared" ca="1" si="14"/>
        <v>1</v>
      </c>
      <c r="BD307" s="20"/>
      <c r="BE307" s="20"/>
      <c r="BF307" s="20"/>
      <c r="BG307" s="6">
        <f ca="1">IF(Table1[[#This Row],[County]]="Cumbria",Table1[[#This Row],[income]],0)</f>
        <v>0</v>
      </c>
      <c r="BH307" s="20">
        <f ca="1">IF(Table1[[#This Row],[County]]="Cheshire",Table1[[#This Row],[income]],0)</f>
        <v>0</v>
      </c>
      <c r="BI307" s="20">
        <f ca="1">IF(Table1[[#This Row],[County]]="Bristol",Table1[[#This Row],[income]],0)</f>
        <v>0</v>
      </c>
      <c r="BJ307" s="20">
        <f ca="1">IF(Table1[[#This Row],[County]]="Surrey",Table1[[#This Row],[income]],0)</f>
        <v>0</v>
      </c>
      <c r="BK307" s="20">
        <f ca="1">IF(Table1[[#This Row],[County]]="Norfolk",Table1[[#This Row],[income]],0)</f>
        <v>0</v>
      </c>
      <c r="BL307" s="20">
        <f ca="1">IF(Table1[[#This Row],[County]]="Lincolnshire",Table1[[#This Row],[income]],0)</f>
        <v>0</v>
      </c>
      <c r="BM307" s="20">
        <f ca="1">IF(Table1[[#This Row],[County]]="Somerset",Table1[[#This Row],[income]],0)</f>
        <v>0</v>
      </c>
      <c r="BN307" s="20">
        <f ca="1">IF(Table1[[#This Row],[County]]="Cambridgeshire",Table1[[#This Row],[income]],0)</f>
        <v>0</v>
      </c>
      <c r="BO307" s="20">
        <f ca="1">IF(Table1[[#This Row],[County]]="South Yorkshire",Table1[[#This Row],[income]],0)</f>
        <v>0</v>
      </c>
      <c r="BP307" s="20">
        <f ca="1">IF(Table1[[#This Row],[County]]="Greater London",Table1[[#This Row],[income]],0)</f>
        <v>0</v>
      </c>
      <c r="BQ307" s="20">
        <f ca="1">IF(Table1[[#This Row],[County]]="Hampshire",Table1[[#This Row],[income]],0)</f>
        <v>0</v>
      </c>
      <c r="BR307" s="20">
        <f ca="1">IF(Table1[[#This Row],[County]]="Gloucestershire",Table1[[#This Row],[income]],0)</f>
        <v>0</v>
      </c>
      <c r="BS307" s="20">
        <f ca="1">IF(Table1[[#This Row],[County]]="West Sussex",Table1[[#This Row],[income]],0)</f>
        <v>0</v>
      </c>
      <c r="BT307" s="20">
        <f ca="1">IF(Table1[[#This Row],[County]]="Devon",Table1[[#This Row],[income]],0)</f>
        <v>0</v>
      </c>
      <c r="BU307" s="20">
        <f ca="1">IF(Table1[[#This Row],[County]]="Berkshire",Table1[[#This Row],[income]],0)</f>
        <v>0</v>
      </c>
      <c r="BV307" s="20">
        <f ca="1">IF(Table1[[#This Row],[County]]="Staffordshire",Table1[[#This Row],[income]],0)</f>
        <v>0</v>
      </c>
      <c r="BW307" s="20">
        <f ca="1">IF(Table1[[#This Row],[County]]="Leicestershire",Table1[[#This Row],[income]],0)</f>
        <v>0</v>
      </c>
      <c r="BX307" s="20">
        <f ca="1">IF(Table1[[#This Row],[County]]="Cornwall",Table1[[#This Row],[income]],0)</f>
        <v>0</v>
      </c>
      <c r="BY307" s="20">
        <f ca="1">IF(Table1[[#This Row],[County]]="Isle of Wight",Table1[[#This Row],[income]],0)</f>
        <v>0</v>
      </c>
      <c r="BZ307" s="20">
        <f ca="1">IF(Table1[[#This Row],[County]]="Surrey",Table1[[#This Row],[income]],0)</f>
        <v>0</v>
      </c>
      <c r="CA307" s="20">
        <f ca="1">IF(Table1[[#This Row],[County]]="Derbyshire",Table1[[#This Row],[income]],0)</f>
        <v>0</v>
      </c>
      <c r="CB307" s="20">
        <f ca="1">IF(Table1[[#This Row],[County]]="City of London",Table1[[#This Row],[income]],0)</f>
        <v>0</v>
      </c>
      <c r="CC307" s="20">
        <f ca="1">IF(Table1[[#This Row],[County]]="Bedfordshire",Table1[[#This Row],[income]],0)</f>
        <v>66354</v>
      </c>
      <c r="CD307" s="20">
        <f ca="1">IF(Table1[[#This Row],[County]]="County Durham",Table1[[#This Row],[income]],0)</f>
        <v>0</v>
      </c>
      <c r="CE307" s="20">
        <f ca="1">IF(Table1[[#This Row],[County]]="East Riding of Yorkshire",Table1[[#This Row],[income]],0)</f>
        <v>0</v>
      </c>
      <c r="CF307" s="20">
        <f ca="1">IF(Table1[[#This Row],[County]]="West Yorkshire",Table1[[#This Row],[income]],0)</f>
        <v>0</v>
      </c>
      <c r="CG307" s="20">
        <f ca="1">IF(Table1[[#This Row],[County]]="Essex",Table1[[#This Row],[income]],0)</f>
        <v>0</v>
      </c>
      <c r="CH307" s="20">
        <f ca="1">IF(Table1[[#This Row],[County]]="East Sussex",Table1[[#This Row],[income]],0)</f>
        <v>0</v>
      </c>
      <c r="CI307" s="20">
        <f ca="1">IF(Table1[[#This Row],[County]]="Greater Manchester",Table1[[#This Row],[income]],0)</f>
        <v>0</v>
      </c>
      <c r="CJ307" s="20">
        <f ca="1">IF(Table1[[#This Row],[County]]="Hertfordshire",Table1[[#This Row],[income]],0)</f>
        <v>0</v>
      </c>
      <c r="CK307" s="20">
        <f ca="1">IF(Table1[[#This Row],[County]]="Herefordshire",Table1[[#This Row],[income]],0)</f>
        <v>0</v>
      </c>
      <c r="CL307" s="20">
        <f ca="1">IF(Table1[[#This Row],[County]]="Lancashire",Table1[[#This Row],[income]],0)</f>
        <v>0</v>
      </c>
      <c r="CM307" s="20">
        <f ca="1">IF(Table1[[#This Row],[County]]="Merseyside",Table1[[#This Row],[income]],0)</f>
        <v>0</v>
      </c>
      <c r="CN307" s="20">
        <f ca="1">IF(Table1[[#This Row],[County]]="Northamptonshire",Table1[[#This Row],[income]],0)</f>
        <v>0</v>
      </c>
      <c r="CO307" s="20">
        <f ca="1">IF(Table1[[#This Row],[County]]="Northumberland",Table1[[#This Row],[income]],0)</f>
        <v>0</v>
      </c>
      <c r="CP307" s="20">
        <f ca="1">IF(Table1[[#This Row],[County]]="Wiltshire",Table1[[#This Row],[income]],0)</f>
        <v>0</v>
      </c>
      <c r="CQ307" s="20">
        <f ca="1">IF(Table1[[#This Row],[County]]="West Midlands",Table1[[#This Row],[income]],0)</f>
        <v>0</v>
      </c>
      <c r="CR307" s="20">
        <f ca="1">IF(Table1[[#This Row],[County]]="Warwickshire",Table1[[#This Row],[income]],0)</f>
        <v>0</v>
      </c>
      <c r="CS307" s="20">
        <f ca="1">IF(Table1[[#This Row],[County]]="Tyne and Wear",Table1[[#This Row],[income]],0)</f>
        <v>0</v>
      </c>
      <c r="CT307" s="20">
        <f ca="1">IF(Table1[[#This Row],[County]]="Worcestershire",Table1[[#This Row],[income]],0)</f>
        <v>0</v>
      </c>
      <c r="CU307" s="20">
        <f ca="1">IF(Table1[[#This Row],[County]]="Rutland",Table1[[#This Row],[income]],0)</f>
        <v>0</v>
      </c>
      <c r="CV307" s="20">
        <f ca="1">IF(Table1[[#This Row],[County]]="Shropshire",Table1[[#This Row],[income]],0)</f>
        <v>0</v>
      </c>
      <c r="CW307" s="20">
        <f ca="1">IF(Table1[[#This Row],[County]]="Dorset",Table1[[#This Row],[income]],0)</f>
        <v>0</v>
      </c>
      <c r="CX307" s="20">
        <f ca="1">IF(Table1[[#This Row],[County]]="Buckinghamshire",Table1[[#This Row],[income]],0)</f>
        <v>0</v>
      </c>
      <c r="CY307" s="20">
        <f ca="1">IF(Table1[[#This Row],[County]]="Suffolk",Table1[[#This Row],[income]],0)</f>
        <v>0</v>
      </c>
      <c r="CZ307" s="20">
        <f ca="1">IF(Table1[[#This Row],[County]]="North Yorkshire",Table1[[#This Row],[income]],0)</f>
        <v>0</v>
      </c>
      <c r="DA307" s="20">
        <f ca="1">IF(Table1[[#This Row],[County]]="Kent",Table1[[#This Row],[income]],0)</f>
        <v>0</v>
      </c>
      <c r="DB307" s="5">
        <f ca="1">IF(Table1[[#This Row],[County]]="Derbyshire",Table1[[#This Row],[income]],0)</f>
        <v>0</v>
      </c>
      <c r="DD307" s="6">
        <f ca="1">IF(Table1[[#This Row],[Column1]]="Health",Table1[[#This Row],[income]],0)</f>
        <v>0</v>
      </c>
      <c r="DE307" s="20">
        <f ca="1">IF(Table1[[#This Row],[Column1]]="Agriculture",Table1[[#This Row],[income]],0)</f>
        <v>66354</v>
      </c>
      <c r="DF307" s="20">
        <f ca="1">IF(Table1[[#This Row],[Column1]]="Technology",Table1[[#This Row],[income]],0)</f>
        <v>0</v>
      </c>
      <c r="DG307" s="20">
        <f ca="1">IF(Table1[[#This Row],[Column1]]="Social Service",Table1[[#This Row],[income]],0)</f>
        <v>0</v>
      </c>
      <c r="DH307" s="20">
        <f ca="1">IF(Table1[[#This Row],[Column1]]="Education",Table1[[#This Row],[income]],0)</f>
        <v>0</v>
      </c>
      <c r="DI307" s="5">
        <f ca="1">IF(Table1[[#This Row],[Column1]]="Construction",Table1[[#This Row],[income]],0)</f>
        <v>0</v>
      </c>
      <c r="DK307" s="6">
        <f ca="1">IF(Table1[[#This Row],[Value of Debts]]&gt;Table1[[#This Row],[income]],1,0)</f>
        <v>1</v>
      </c>
      <c r="DL307" s="20"/>
      <c r="DM307" s="20"/>
      <c r="DN307" s="5"/>
      <c r="DP307" s="6">
        <f ca="1">IF(Table1[[#This Row],[Net Worth (£)]]&gt;$DS$5,C307,0)</f>
        <v>0</v>
      </c>
      <c r="DQ307" s="20"/>
      <c r="DR307" s="20"/>
      <c r="DS307" s="5"/>
    </row>
    <row r="308" spans="1:123" x14ac:dyDescent="0.2">
      <c r="A308">
        <f t="shared" ca="1" si="13"/>
        <v>2</v>
      </c>
      <c r="B308" s="1" t="str">
        <f ca="1">IF(A308=1, "men", "women")</f>
        <v>women</v>
      </c>
      <c r="C308" s="1">
        <f ca="1">RANDBETWEEN(25,50)</f>
        <v>40</v>
      </c>
      <c r="D308">
        <f ca="1">RANDBETWEEN(1,6)</f>
        <v>1</v>
      </c>
      <c r="E308" t="str">
        <f ca="1">VLOOKUP(D308,$W$5:$X$10,2)</f>
        <v>Health</v>
      </c>
      <c r="F308">
        <f ca="1">RANDBETWEEN(1,5)</f>
        <v>5</v>
      </c>
      <c r="G308" t="str">
        <f ca="1">VLOOKUP(F308,$Y$5:$Z$9,2)</f>
        <v>Other</v>
      </c>
      <c r="H308">
        <f ca="1">RANDBETWEEN(0,4)</f>
        <v>4</v>
      </c>
      <c r="I308">
        <f ca="1">RANDBETWEEN(1,3)</f>
        <v>2</v>
      </c>
      <c r="J308">
        <f ca="1">RANDBETWEEN(30000,100000)</f>
        <v>77761</v>
      </c>
      <c r="K308">
        <f ca="1">RANDBETWEEN(1,48)</f>
        <v>17</v>
      </c>
      <c r="L308" t="str">
        <f ca="1">VLOOKUP(K308,$AA$5:$AB$52,2)</f>
        <v>Gloucestershire</v>
      </c>
      <c r="M308">
        <f ca="1">J308*(RANDBETWEEN(2,5))</f>
        <v>233283</v>
      </c>
      <c r="N308">
        <f ca="1">RAND()*M308</f>
        <v>194192.18927138299</v>
      </c>
      <c r="O308">
        <f ca="1">I308*RAND()*J308</f>
        <v>21767.555683975861</v>
      </c>
      <c r="P308">
        <f ca="1">RANDBETWEEN(0,O308)</f>
        <v>6870</v>
      </c>
      <c r="Q308">
        <f ca="1">RAND()*J308*2</f>
        <v>10453.340750429043</v>
      </c>
      <c r="R308">
        <f ca="1">RAND()*J308*1.5</f>
        <v>71193.154417057434</v>
      </c>
      <c r="S308">
        <f ca="1">J308+R308+O308</f>
        <v>170721.7101010333</v>
      </c>
      <c r="T308">
        <f ca="1">N308+P308+Q308</f>
        <v>211515.53002181204</v>
      </c>
      <c r="U308">
        <f ca="1">S308-T308</f>
        <v>-40793.81992077874</v>
      </c>
      <c r="AC308" s="6">
        <f ca="1">IF(Table1[[#This Row],[gender]]="men",1,0)</f>
        <v>0</v>
      </c>
      <c r="AD308">
        <f ca="1">IF(Table1[[#This Row],[gender]]="women",1,0)</f>
        <v>1</v>
      </c>
      <c r="AH308" s="5"/>
      <c r="AJ308" s="6">
        <f ca="1">IF(Table1[[#This Row],[Column1]]="Health",1,0)</f>
        <v>1</v>
      </c>
      <c r="AK308">
        <f ca="1">IF(Table1[[#This Row],[Column1]]="Construction",1,0)</f>
        <v>0</v>
      </c>
      <c r="AL308">
        <f ca="1">IF(Table1[[#This Row],[Column1]]="Technology",1,0)</f>
        <v>0</v>
      </c>
      <c r="AM308">
        <f ca="1">IF(Table1[[#This Row],[Column1]]="Education",1,0)</f>
        <v>0</v>
      </c>
      <c r="AN308">
        <f ca="1">IF(Table1[[#This Row],[Column1]]="Agriculture",1,0)</f>
        <v>0</v>
      </c>
      <c r="AO308">
        <f ca="1">IF(Table1[[#This Row],[Column1]]="Social Service", 1, 0)</f>
        <v>0</v>
      </c>
      <c r="AT308" s="5"/>
      <c r="AV308" s="17">
        <f t="shared" ca="1" si="12"/>
        <v>30320.493940965342</v>
      </c>
      <c r="AW308" s="5"/>
      <c r="AX308" s="6">
        <f ca="1">IF(Table1[[#This Row],[Value of Debts]]&gt;$AY$4,1,0)</f>
        <v>1</v>
      </c>
      <c r="AY308" s="20"/>
      <c r="AZ308" s="20"/>
      <c r="BA308" s="5"/>
      <c r="BB308" s="25">
        <f ca="1">Table1[[#This Row],[Mortage Left]]/Table1[[#This Row],[Value of House]]</f>
        <v>0.83243180716718745</v>
      </c>
      <c r="BC308" s="20">
        <f t="shared" ca="1" si="14"/>
        <v>0</v>
      </c>
      <c r="BD308" s="20"/>
      <c r="BE308" s="20"/>
      <c r="BF308" s="20"/>
      <c r="BG308" s="6">
        <f ca="1">IF(Table1[[#This Row],[County]]="Cumbria",Table1[[#This Row],[income]],0)</f>
        <v>0</v>
      </c>
      <c r="BH308" s="20">
        <f ca="1">IF(Table1[[#This Row],[County]]="Cheshire",Table1[[#This Row],[income]],0)</f>
        <v>0</v>
      </c>
      <c r="BI308" s="20">
        <f ca="1">IF(Table1[[#This Row],[County]]="Bristol",Table1[[#This Row],[income]],0)</f>
        <v>0</v>
      </c>
      <c r="BJ308" s="20">
        <f ca="1">IF(Table1[[#This Row],[County]]="Surrey",Table1[[#This Row],[income]],0)</f>
        <v>0</v>
      </c>
      <c r="BK308" s="20">
        <f ca="1">IF(Table1[[#This Row],[County]]="Norfolk",Table1[[#This Row],[income]],0)</f>
        <v>0</v>
      </c>
      <c r="BL308" s="20">
        <f ca="1">IF(Table1[[#This Row],[County]]="Lincolnshire",Table1[[#This Row],[income]],0)</f>
        <v>0</v>
      </c>
      <c r="BM308" s="20">
        <f ca="1">IF(Table1[[#This Row],[County]]="Somerset",Table1[[#This Row],[income]],0)</f>
        <v>0</v>
      </c>
      <c r="BN308" s="20">
        <f ca="1">IF(Table1[[#This Row],[County]]="Cambridgeshire",Table1[[#This Row],[income]],0)</f>
        <v>0</v>
      </c>
      <c r="BO308" s="20">
        <f ca="1">IF(Table1[[#This Row],[County]]="South Yorkshire",Table1[[#This Row],[income]],0)</f>
        <v>0</v>
      </c>
      <c r="BP308" s="20">
        <f ca="1">IF(Table1[[#This Row],[County]]="Greater London",Table1[[#This Row],[income]],0)</f>
        <v>0</v>
      </c>
      <c r="BQ308" s="20">
        <f ca="1">IF(Table1[[#This Row],[County]]="Hampshire",Table1[[#This Row],[income]],0)</f>
        <v>0</v>
      </c>
      <c r="BR308" s="20">
        <f ca="1">IF(Table1[[#This Row],[County]]="Gloucestershire",Table1[[#This Row],[income]],0)</f>
        <v>77761</v>
      </c>
      <c r="BS308" s="20">
        <f ca="1">IF(Table1[[#This Row],[County]]="West Sussex",Table1[[#This Row],[income]],0)</f>
        <v>0</v>
      </c>
      <c r="BT308" s="20">
        <f ca="1">IF(Table1[[#This Row],[County]]="Devon",Table1[[#This Row],[income]],0)</f>
        <v>0</v>
      </c>
      <c r="BU308" s="20">
        <f ca="1">IF(Table1[[#This Row],[County]]="Berkshire",Table1[[#This Row],[income]],0)</f>
        <v>0</v>
      </c>
      <c r="BV308" s="20">
        <f ca="1">IF(Table1[[#This Row],[County]]="Staffordshire",Table1[[#This Row],[income]],0)</f>
        <v>0</v>
      </c>
      <c r="BW308" s="20">
        <f ca="1">IF(Table1[[#This Row],[County]]="Leicestershire",Table1[[#This Row],[income]],0)</f>
        <v>0</v>
      </c>
      <c r="BX308" s="20">
        <f ca="1">IF(Table1[[#This Row],[County]]="Cornwall",Table1[[#This Row],[income]],0)</f>
        <v>0</v>
      </c>
      <c r="BY308" s="20">
        <f ca="1">IF(Table1[[#This Row],[County]]="Isle of Wight",Table1[[#This Row],[income]],0)</f>
        <v>0</v>
      </c>
      <c r="BZ308" s="20">
        <f ca="1">IF(Table1[[#This Row],[County]]="Surrey",Table1[[#This Row],[income]],0)</f>
        <v>0</v>
      </c>
      <c r="CA308" s="20">
        <f ca="1">IF(Table1[[#This Row],[County]]="Derbyshire",Table1[[#This Row],[income]],0)</f>
        <v>0</v>
      </c>
      <c r="CB308" s="20">
        <f ca="1">IF(Table1[[#This Row],[County]]="City of London",Table1[[#This Row],[income]],0)</f>
        <v>0</v>
      </c>
      <c r="CC308" s="20">
        <f ca="1">IF(Table1[[#This Row],[County]]="Bedfordshire",Table1[[#This Row],[income]],0)</f>
        <v>0</v>
      </c>
      <c r="CD308" s="20">
        <f ca="1">IF(Table1[[#This Row],[County]]="County Durham",Table1[[#This Row],[income]],0)</f>
        <v>0</v>
      </c>
      <c r="CE308" s="20">
        <f ca="1">IF(Table1[[#This Row],[County]]="East Riding of Yorkshire",Table1[[#This Row],[income]],0)</f>
        <v>0</v>
      </c>
      <c r="CF308" s="20">
        <f ca="1">IF(Table1[[#This Row],[County]]="West Yorkshire",Table1[[#This Row],[income]],0)</f>
        <v>0</v>
      </c>
      <c r="CG308" s="20">
        <f ca="1">IF(Table1[[#This Row],[County]]="Essex",Table1[[#This Row],[income]],0)</f>
        <v>0</v>
      </c>
      <c r="CH308" s="20">
        <f ca="1">IF(Table1[[#This Row],[County]]="East Sussex",Table1[[#This Row],[income]],0)</f>
        <v>0</v>
      </c>
      <c r="CI308" s="20">
        <f ca="1">IF(Table1[[#This Row],[County]]="Greater Manchester",Table1[[#This Row],[income]],0)</f>
        <v>0</v>
      </c>
      <c r="CJ308" s="20">
        <f ca="1">IF(Table1[[#This Row],[County]]="Hertfordshire",Table1[[#This Row],[income]],0)</f>
        <v>0</v>
      </c>
      <c r="CK308" s="20">
        <f ca="1">IF(Table1[[#This Row],[County]]="Herefordshire",Table1[[#This Row],[income]],0)</f>
        <v>0</v>
      </c>
      <c r="CL308" s="20">
        <f ca="1">IF(Table1[[#This Row],[County]]="Lancashire",Table1[[#This Row],[income]],0)</f>
        <v>0</v>
      </c>
      <c r="CM308" s="20">
        <f ca="1">IF(Table1[[#This Row],[County]]="Merseyside",Table1[[#This Row],[income]],0)</f>
        <v>0</v>
      </c>
      <c r="CN308" s="20">
        <f ca="1">IF(Table1[[#This Row],[County]]="Northamptonshire",Table1[[#This Row],[income]],0)</f>
        <v>0</v>
      </c>
      <c r="CO308" s="20">
        <f ca="1">IF(Table1[[#This Row],[County]]="Northumberland",Table1[[#This Row],[income]],0)</f>
        <v>0</v>
      </c>
      <c r="CP308" s="20">
        <f ca="1">IF(Table1[[#This Row],[County]]="Wiltshire",Table1[[#This Row],[income]],0)</f>
        <v>0</v>
      </c>
      <c r="CQ308" s="20">
        <f ca="1">IF(Table1[[#This Row],[County]]="West Midlands",Table1[[#This Row],[income]],0)</f>
        <v>0</v>
      </c>
      <c r="CR308" s="20">
        <f ca="1">IF(Table1[[#This Row],[County]]="Warwickshire",Table1[[#This Row],[income]],0)</f>
        <v>0</v>
      </c>
      <c r="CS308" s="20">
        <f ca="1">IF(Table1[[#This Row],[County]]="Tyne and Wear",Table1[[#This Row],[income]],0)</f>
        <v>0</v>
      </c>
      <c r="CT308" s="20">
        <f ca="1">IF(Table1[[#This Row],[County]]="Worcestershire",Table1[[#This Row],[income]],0)</f>
        <v>0</v>
      </c>
      <c r="CU308" s="20">
        <f ca="1">IF(Table1[[#This Row],[County]]="Rutland",Table1[[#This Row],[income]],0)</f>
        <v>0</v>
      </c>
      <c r="CV308" s="20">
        <f ca="1">IF(Table1[[#This Row],[County]]="Shropshire",Table1[[#This Row],[income]],0)</f>
        <v>0</v>
      </c>
      <c r="CW308" s="20">
        <f ca="1">IF(Table1[[#This Row],[County]]="Dorset",Table1[[#This Row],[income]],0)</f>
        <v>0</v>
      </c>
      <c r="CX308" s="20">
        <f ca="1">IF(Table1[[#This Row],[County]]="Buckinghamshire",Table1[[#This Row],[income]],0)</f>
        <v>0</v>
      </c>
      <c r="CY308" s="20">
        <f ca="1">IF(Table1[[#This Row],[County]]="Suffolk",Table1[[#This Row],[income]],0)</f>
        <v>0</v>
      </c>
      <c r="CZ308" s="20">
        <f ca="1">IF(Table1[[#This Row],[County]]="North Yorkshire",Table1[[#This Row],[income]],0)</f>
        <v>0</v>
      </c>
      <c r="DA308" s="20">
        <f ca="1">IF(Table1[[#This Row],[County]]="Kent",Table1[[#This Row],[income]],0)</f>
        <v>0</v>
      </c>
      <c r="DB308" s="5">
        <f ca="1">IF(Table1[[#This Row],[County]]="Derbyshire",Table1[[#This Row],[income]],0)</f>
        <v>0</v>
      </c>
      <c r="DD308" s="6">
        <f ca="1">IF(Table1[[#This Row],[Column1]]="Health",Table1[[#This Row],[income]],0)</f>
        <v>77761</v>
      </c>
      <c r="DE308" s="20">
        <f ca="1">IF(Table1[[#This Row],[Column1]]="Agriculture",Table1[[#This Row],[income]],0)</f>
        <v>0</v>
      </c>
      <c r="DF308" s="20">
        <f ca="1">IF(Table1[[#This Row],[Column1]]="Technology",Table1[[#This Row],[income]],0)</f>
        <v>0</v>
      </c>
      <c r="DG308" s="20">
        <f ca="1">IF(Table1[[#This Row],[Column1]]="Social Service",Table1[[#This Row],[income]],0)</f>
        <v>0</v>
      </c>
      <c r="DH308" s="20">
        <f ca="1">IF(Table1[[#This Row],[Column1]]="Education",Table1[[#This Row],[income]],0)</f>
        <v>0</v>
      </c>
      <c r="DI308" s="5">
        <f ca="1">IF(Table1[[#This Row],[Column1]]="Construction",Table1[[#This Row],[income]],0)</f>
        <v>0</v>
      </c>
      <c r="DK308" s="6">
        <f ca="1">IF(Table1[[#This Row],[Value of Debts]]&gt;Table1[[#This Row],[income]],1,0)</f>
        <v>1</v>
      </c>
      <c r="DL308" s="20"/>
      <c r="DM308" s="20"/>
      <c r="DN308" s="5"/>
      <c r="DP308" s="6">
        <f ca="1">IF(Table1[[#This Row],[Net Worth (£)]]&gt;$DS$5,C308,0)</f>
        <v>0</v>
      </c>
      <c r="DQ308" s="20"/>
      <c r="DR308" s="20"/>
      <c r="DS308" s="5"/>
    </row>
    <row r="309" spans="1:123" x14ac:dyDescent="0.2">
      <c r="A309">
        <f t="shared" ca="1" si="13"/>
        <v>1</v>
      </c>
      <c r="B309" s="1" t="str">
        <f ca="1">IF(A309=1, "men", "women")</f>
        <v>men</v>
      </c>
      <c r="C309" s="1">
        <f ca="1">RANDBETWEEN(25,50)</f>
        <v>49</v>
      </c>
      <c r="D309">
        <f ca="1">RANDBETWEEN(1,6)</f>
        <v>6</v>
      </c>
      <c r="E309" t="str">
        <f ca="1">VLOOKUP(D309,$W$5:$X$10,2)</f>
        <v>Agriculture</v>
      </c>
      <c r="F309">
        <f ca="1">RANDBETWEEN(1,5)</f>
        <v>5</v>
      </c>
      <c r="G309" t="str">
        <f ca="1">VLOOKUP(F309,$Y$5:$Z$9,2)</f>
        <v>Other</v>
      </c>
      <c r="H309">
        <f ca="1">RANDBETWEEN(0,4)</f>
        <v>4</v>
      </c>
      <c r="I309">
        <f ca="1">RANDBETWEEN(1,3)</f>
        <v>3</v>
      </c>
      <c r="J309">
        <f ca="1">RANDBETWEEN(30000,100000)</f>
        <v>38630</v>
      </c>
      <c r="K309">
        <f ca="1">RANDBETWEEN(1,48)</f>
        <v>24</v>
      </c>
      <c r="L309" t="str">
        <f ca="1">VLOOKUP(K309,$AA$5:$AB$52,2)</f>
        <v>Kent</v>
      </c>
      <c r="M309">
        <f ca="1">J309*(RANDBETWEEN(2,5))</f>
        <v>115890</v>
      </c>
      <c r="N309">
        <f ca="1">RAND()*M309</f>
        <v>62275.915825686934</v>
      </c>
      <c r="O309">
        <f ca="1">I309*RAND()*J309</f>
        <v>90961.481822896021</v>
      </c>
      <c r="P309">
        <f ca="1">RANDBETWEEN(0,O309)</f>
        <v>26292</v>
      </c>
      <c r="Q309">
        <f ca="1">RAND()*J309*2</f>
        <v>33536.274625262711</v>
      </c>
      <c r="R309">
        <f ca="1">RAND()*J309*1.5</f>
        <v>57085.20932614748</v>
      </c>
      <c r="S309">
        <f ca="1">J309+R309+O309</f>
        <v>186676.6911490435</v>
      </c>
      <c r="T309">
        <f ca="1">N309+P309+Q309</f>
        <v>122104.19045094965</v>
      </c>
      <c r="U309">
        <f ca="1">S309-T309</f>
        <v>64572.500698093849</v>
      </c>
      <c r="AC309" s="6">
        <f ca="1">IF(Table1[[#This Row],[gender]]="men",1,0)</f>
        <v>1</v>
      </c>
      <c r="AD309">
        <f ca="1">IF(Table1[[#This Row],[gender]]="women",1,0)</f>
        <v>0</v>
      </c>
      <c r="AH309" s="5"/>
      <c r="AJ309" s="6">
        <f ca="1">IF(Table1[[#This Row],[Column1]]="Health",1,0)</f>
        <v>0</v>
      </c>
      <c r="AK309">
        <f ca="1">IF(Table1[[#This Row],[Column1]]="Construction",1,0)</f>
        <v>0</v>
      </c>
      <c r="AL309">
        <f ca="1">IF(Table1[[#This Row],[Column1]]="Technology",1,0)</f>
        <v>0</v>
      </c>
      <c r="AM309">
        <f ca="1">IF(Table1[[#This Row],[Column1]]="Education",1,0)</f>
        <v>0</v>
      </c>
      <c r="AN309">
        <f ca="1">IF(Table1[[#This Row],[Column1]]="Agriculture",1,0)</f>
        <v>1</v>
      </c>
      <c r="AO309">
        <f ca="1">IF(Table1[[#This Row],[Column1]]="Social Service", 1, 0)</f>
        <v>0</v>
      </c>
      <c r="AT309" s="5"/>
      <c r="AV309" s="17">
        <f t="shared" ca="1" si="12"/>
        <v>24059.708989807434</v>
      </c>
      <c r="AW309" s="5"/>
      <c r="AX309" s="6">
        <f ca="1">IF(Table1[[#This Row],[Value of Debts]]&gt;$AY$4,1,0)</f>
        <v>1</v>
      </c>
      <c r="AY309" s="20"/>
      <c r="AZ309" s="20"/>
      <c r="BA309" s="5"/>
      <c r="BB309" s="25">
        <f ca="1">Table1[[#This Row],[Mortage Left]]/Table1[[#This Row],[Value of House]]</f>
        <v>0.53737091919653923</v>
      </c>
      <c r="BC309" s="20">
        <f t="shared" ca="1" si="14"/>
        <v>0</v>
      </c>
      <c r="BD309" s="20"/>
      <c r="BE309" s="20"/>
      <c r="BF309" s="20"/>
      <c r="BG309" s="6">
        <f ca="1">IF(Table1[[#This Row],[County]]="Cumbria",Table1[[#This Row],[income]],0)</f>
        <v>0</v>
      </c>
      <c r="BH309" s="20">
        <f ca="1">IF(Table1[[#This Row],[County]]="Cheshire",Table1[[#This Row],[income]],0)</f>
        <v>0</v>
      </c>
      <c r="BI309" s="20">
        <f ca="1">IF(Table1[[#This Row],[County]]="Bristol",Table1[[#This Row],[income]],0)</f>
        <v>0</v>
      </c>
      <c r="BJ309" s="20">
        <f ca="1">IF(Table1[[#This Row],[County]]="Surrey",Table1[[#This Row],[income]],0)</f>
        <v>0</v>
      </c>
      <c r="BK309" s="20">
        <f ca="1">IF(Table1[[#This Row],[County]]="Norfolk",Table1[[#This Row],[income]],0)</f>
        <v>0</v>
      </c>
      <c r="BL309" s="20">
        <f ca="1">IF(Table1[[#This Row],[County]]="Lincolnshire",Table1[[#This Row],[income]],0)</f>
        <v>0</v>
      </c>
      <c r="BM309" s="20">
        <f ca="1">IF(Table1[[#This Row],[County]]="Somerset",Table1[[#This Row],[income]],0)</f>
        <v>0</v>
      </c>
      <c r="BN309" s="20">
        <f ca="1">IF(Table1[[#This Row],[County]]="Cambridgeshire",Table1[[#This Row],[income]],0)</f>
        <v>0</v>
      </c>
      <c r="BO309" s="20">
        <f ca="1">IF(Table1[[#This Row],[County]]="South Yorkshire",Table1[[#This Row],[income]],0)</f>
        <v>0</v>
      </c>
      <c r="BP309" s="20">
        <f ca="1">IF(Table1[[#This Row],[County]]="Greater London",Table1[[#This Row],[income]],0)</f>
        <v>0</v>
      </c>
      <c r="BQ309" s="20">
        <f ca="1">IF(Table1[[#This Row],[County]]="Hampshire",Table1[[#This Row],[income]],0)</f>
        <v>0</v>
      </c>
      <c r="BR309" s="20">
        <f ca="1">IF(Table1[[#This Row],[County]]="Gloucestershire",Table1[[#This Row],[income]],0)</f>
        <v>0</v>
      </c>
      <c r="BS309" s="20">
        <f ca="1">IF(Table1[[#This Row],[County]]="West Sussex",Table1[[#This Row],[income]],0)</f>
        <v>0</v>
      </c>
      <c r="BT309" s="20">
        <f ca="1">IF(Table1[[#This Row],[County]]="Devon",Table1[[#This Row],[income]],0)</f>
        <v>0</v>
      </c>
      <c r="BU309" s="20">
        <f ca="1">IF(Table1[[#This Row],[County]]="Berkshire",Table1[[#This Row],[income]],0)</f>
        <v>0</v>
      </c>
      <c r="BV309" s="20">
        <f ca="1">IF(Table1[[#This Row],[County]]="Staffordshire",Table1[[#This Row],[income]],0)</f>
        <v>0</v>
      </c>
      <c r="BW309" s="20">
        <f ca="1">IF(Table1[[#This Row],[County]]="Leicestershire",Table1[[#This Row],[income]],0)</f>
        <v>0</v>
      </c>
      <c r="BX309" s="20">
        <f ca="1">IF(Table1[[#This Row],[County]]="Cornwall",Table1[[#This Row],[income]],0)</f>
        <v>0</v>
      </c>
      <c r="BY309" s="20">
        <f ca="1">IF(Table1[[#This Row],[County]]="Isle of Wight",Table1[[#This Row],[income]],0)</f>
        <v>0</v>
      </c>
      <c r="BZ309" s="20">
        <f ca="1">IF(Table1[[#This Row],[County]]="Surrey",Table1[[#This Row],[income]],0)</f>
        <v>0</v>
      </c>
      <c r="CA309" s="20">
        <f ca="1">IF(Table1[[#This Row],[County]]="Derbyshire",Table1[[#This Row],[income]],0)</f>
        <v>0</v>
      </c>
      <c r="CB309" s="20">
        <f ca="1">IF(Table1[[#This Row],[County]]="City of London",Table1[[#This Row],[income]],0)</f>
        <v>0</v>
      </c>
      <c r="CC309" s="20">
        <f ca="1">IF(Table1[[#This Row],[County]]="Bedfordshire",Table1[[#This Row],[income]],0)</f>
        <v>0</v>
      </c>
      <c r="CD309" s="20">
        <f ca="1">IF(Table1[[#This Row],[County]]="County Durham",Table1[[#This Row],[income]],0)</f>
        <v>0</v>
      </c>
      <c r="CE309" s="20">
        <f ca="1">IF(Table1[[#This Row],[County]]="East Riding of Yorkshire",Table1[[#This Row],[income]],0)</f>
        <v>0</v>
      </c>
      <c r="CF309" s="20">
        <f ca="1">IF(Table1[[#This Row],[County]]="West Yorkshire",Table1[[#This Row],[income]],0)</f>
        <v>0</v>
      </c>
      <c r="CG309" s="20">
        <f ca="1">IF(Table1[[#This Row],[County]]="Essex",Table1[[#This Row],[income]],0)</f>
        <v>0</v>
      </c>
      <c r="CH309" s="20">
        <f ca="1">IF(Table1[[#This Row],[County]]="East Sussex",Table1[[#This Row],[income]],0)</f>
        <v>0</v>
      </c>
      <c r="CI309" s="20">
        <f ca="1">IF(Table1[[#This Row],[County]]="Greater Manchester",Table1[[#This Row],[income]],0)</f>
        <v>0</v>
      </c>
      <c r="CJ309" s="20">
        <f ca="1">IF(Table1[[#This Row],[County]]="Hertfordshire",Table1[[#This Row],[income]],0)</f>
        <v>0</v>
      </c>
      <c r="CK309" s="20">
        <f ca="1">IF(Table1[[#This Row],[County]]="Herefordshire",Table1[[#This Row],[income]],0)</f>
        <v>0</v>
      </c>
      <c r="CL309" s="20">
        <f ca="1">IF(Table1[[#This Row],[County]]="Lancashire",Table1[[#This Row],[income]],0)</f>
        <v>0</v>
      </c>
      <c r="CM309" s="20">
        <f ca="1">IF(Table1[[#This Row],[County]]="Merseyside",Table1[[#This Row],[income]],0)</f>
        <v>0</v>
      </c>
      <c r="CN309" s="20">
        <f ca="1">IF(Table1[[#This Row],[County]]="Northamptonshire",Table1[[#This Row],[income]],0)</f>
        <v>0</v>
      </c>
      <c r="CO309" s="20">
        <f ca="1">IF(Table1[[#This Row],[County]]="Northumberland",Table1[[#This Row],[income]],0)</f>
        <v>0</v>
      </c>
      <c r="CP309" s="20">
        <f ca="1">IF(Table1[[#This Row],[County]]="Wiltshire",Table1[[#This Row],[income]],0)</f>
        <v>0</v>
      </c>
      <c r="CQ309" s="20">
        <f ca="1">IF(Table1[[#This Row],[County]]="West Midlands",Table1[[#This Row],[income]],0)</f>
        <v>0</v>
      </c>
      <c r="CR309" s="20">
        <f ca="1">IF(Table1[[#This Row],[County]]="Warwickshire",Table1[[#This Row],[income]],0)</f>
        <v>0</v>
      </c>
      <c r="CS309" s="20">
        <f ca="1">IF(Table1[[#This Row],[County]]="Tyne and Wear",Table1[[#This Row],[income]],0)</f>
        <v>0</v>
      </c>
      <c r="CT309" s="20">
        <f ca="1">IF(Table1[[#This Row],[County]]="Worcestershire",Table1[[#This Row],[income]],0)</f>
        <v>0</v>
      </c>
      <c r="CU309" s="20">
        <f ca="1">IF(Table1[[#This Row],[County]]="Rutland",Table1[[#This Row],[income]],0)</f>
        <v>0</v>
      </c>
      <c r="CV309" s="20">
        <f ca="1">IF(Table1[[#This Row],[County]]="Shropshire",Table1[[#This Row],[income]],0)</f>
        <v>0</v>
      </c>
      <c r="CW309" s="20">
        <f ca="1">IF(Table1[[#This Row],[County]]="Dorset",Table1[[#This Row],[income]],0)</f>
        <v>0</v>
      </c>
      <c r="CX309" s="20">
        <f ca="1">IF(Table1[[#This Row],[County]]="Buckinghamshire",Table1[[#This Row],[income]],0)</f>
        <v>0</v>
      </c>
      <c r="CY309" s="20">
        <f ca="1">IF(Table1[[#This Row],[County]]="Suffolk",Table1[[#This Row],[income]],0)</f>
        <v>0</v>
      </c>
      <c r="CZ309" s="20">
        <f ca="1">IF(Table1[[#This Row],[County]]="North Yorkshire",Table1[[#This Row],[income]],0)</f>
        <v>0</v>
      </c>
      <c r="DA309" s="20">
        <f ca="1">IF(Table1[[#This Row],[County]]="Kent",Table1[[#This Row],[income]],0)</f>
        <v>38630</v>
      </c>
      <c r="DB309" s="5">
        <f ca="1">IF(Table1[[#This Row],[County]]="Derbyshire",Table1[[#This Row],[income]],0)</f>
        <v>0</v>
      </c>
      <c r="DD309" s="6">
        <f ca="1">IF(Table1[[#This Row],[Column1]]="Health",Table1[[#This Row],[income]],0)</f>
        <v>0</v>
      </c>
      <c r="DE309" s="20">
        <f ca="1">IF(Table1[[#This Row],[Column1]]="Agriculture",Table1[[#This Row],[income]],0)</f>
        <v>38630</v>
      </c>
      <c r="DF309" s="20">
        <f ca="1">IF(Table1[[#This Row],[Column1]]="Technology",Table1[[#This Row],[income]],0)</f>
        <v>0</v>
      </c>
      <c r="DG309" s="20">
        <f ca="1">IF(Table1[[#This Row],[Column1]]="Social Service",Table1[[#This Row],[income]],0)</f>
        <v>0</v>
      </c>
      <c r="DH309" s="20">
        <f ca="1">IF(Table1[[#This Row],[Column1]]="Education",Table1[[#This Row],[income]],0)</f>
        <v>0</v>
      </c>
      <c r="DI309" s="5">
        <f ca="1">IF(Table1[[#This Row],[Column1]]="Construction",Table1[[#This Row],[income]],0)</f>
        <v>0</v>
      </c>
      <c r="DK309" s="6">
        <f ca="1">IF(Table1[[#This Row],[Value of Debts]]&gt;Table1[[#This Row],[income]],1,0)</f>
        <v>1</v>
      </c>
      <c r="DL309" s="20"/>
      <c r="DM309" s="20"/>
      <c r="DN309" s="5"/>
      <c r="DP309" s="6">
        <f ca="1">IF(Table1[[#This Row],[Net Worth (£)]]&gt;$DS$5,C309,0)</f>
        <v>49</v>
      </c>
      <c r="DQ309" s="20"/>
      <c r="DR309" s="20"/>
      <c r="DS309" s="5"/>
    </row>
    <row r="310" spans="1:123" x14ac:dyDescent="0.2">
      <c r="A310">
        <f t="shared" ca="1" si="13"/>
        <v>2</v>
      </c>
      <c r="B310" s="1" t="str">
        <f ca="1">IF(A310=1, "men", "women")</f>
        <v>women</v>
      </c>
      <c r="C310" s="1">
        <f ca="1">RANDBETWEEN(25,50)</f>
        <v>39</v>
      </c>
      <c r="D310">
        <f ca="1">RANDBETWEEN(1,6)</f>
        <v>1</v>
      </c>
      <c r="E310" t="str">
        <f ca="1">VLOOKUP(D310,$W$5:$X$10,2)</f>
        <v>Health</v>
      </c>
      <c r="F310">
        <f ca="1">RANDBETWEEN(1,5)</f>
        <v>2</v>
      </c>
      <c r="G310" t="str">
        <f ca="1">VLOOKUP(F310,$Y$5:$Z$9,2)</f>
        <v>College</v>
      </c>
      <c r="H310">
        <f ca="1">RANDBETWEEN(0,4)</f>
        <v>3</v>
      </c>
      <c r="I310">
        <f ca="1">RANDBETWEEN(1,3)</f>
        <v>3</v>
      </c>
      <c r="J310">
        <f ca="1">RANDBETWEEN(30000,100000)</f>
        <v>59206</v>
      </c>
      <c r="K310">
        <f ca="1">RANDBETWEEN(1,48)</f>
        <v>15</v>
      </c>
      <c r="L310" t="str">
        <f ca="1">VLOOKUP(K310,$AA$5:$AB$52,2)</f>
        <v>East Sussex</v>
      </c>
      <c r="M310">
        <f ca="1">J310*(RANDBETWEEN(2,5))</f>
        <v>296030</v>
      </c>
      <c r="N310">
        <f ca="1">RAND()*M310</f>
        <v>47431.918086979189</v>
      </c>
      <c r="O310">
        <f ca="1">I310*RAND()*J310</f>
        <v>72179.126969422301</v>
      </c>
      <c r="P310">
        <f ca="1">RANDBETWEEN(0,O310)</f>
        <v>25151</v>
      </c>
      <c r="Q310">
        <f ca="1">RAND()*J310*2</f>
        <v>44939.764940408924</v>
      </c>
      <c r="R310">
        <f ca="1">RAND()*J310*1.5</f>
        <v>20004.450027053899</v>
      </c>
      <c r="S310">
        <f ca="1">J310+R310+O310</f>
        <v>151389.57699647621</v>
      </c>
      <c r="T310">
        <f ca="1">N310+P310+Q310</f>
        <v>117522.68302738812</v>
      </c>
      <c r="U310">
        <f ca="1">S310-T310</f>
        <v>33866.893969088094</v>
      </c>
      <c r="AC310" s="6">
        <f ca="1">IF(Table1[[#This Row],[gender]]="men",1,0)</f>
        <v>0</v>
      </c>
      <c r="AD310">
        <f ca="1">IF(Table1[[#This Row],[gender]]="women",1,0)</f>
        <v>1</v>
      </c>
      <c r="AH310" s="5"/>
      <c r="AJ310" s="6">
        <f ca="1">IF(Table1[[#This Row],[Column1]]="Health",1,0)</f>
        <v>1</v>
      </c>
      <c r="AK310">
        <f ca="1">IF(Table1[[#This Row],[Column1]]="Construction",1,0)</f>
        <v>0</v>
      </c>
      <c r="AL310">
        <f ca="1">IF(Table1[[#This Row],[Column1]]="Technology",1,0)</f>
        <v>0</v>
      </c>
      <c r="AM310">
        <f ca="1">IF(Table1[[#This Row],[Column1]]="Education",1,0)</f>
        <v>0</v>
      </c>
      <c r="AN310">
        <f ca="1">IF(Table1[[#This Row],[Column1]]="Agriculture",1,0)</f>
        <v>0</v>
      </c>
      <c r="AO310">
        <f ca="1">IF(Table1[[#This Row],[Column1]]="Social Service", 1, 0)</f>
        <v>0</v>
      </c>
      <c r="AT310" s="5"/>
      <c r="AV310" s="17">
        <f t="shared" ca="1" si="12"/>
        <v>45635.089530319732</v>
      </c>
      <c r="AW310" s="5"/>
      <c r="AX310" s="6">
        <f ca="1">IF(Table1[[#This Row],[Value of Debts]]&gt;$AY$4,1,0)</f>
        <v>1</v>
      </c>
      <c r="AY310" s="20"/>
      <c r="AZ310" s="20"/>
      <c r="BA310" s="5"/>
      <c r="BB310" s="25">
        <f ca="1">Table1[[#This Row],[Mortage Left]]/Table1[[#This Row],[Value of House]]</f>
        <v>0.16022672731472887</v>
      </c>
      <c r="BC310" s="20">
        <f t="shared" ca="1" si="14"/>
        <v>1</v>
      </c>
      <c r="BD310" s="20"/>
      <c r="BE310" s="20"/>
      <c r="BF310" s="20"/>
      <c r="BG310" s="6">
        <f ca="1">IF(Table1[[#This Row],[County]]="Cumbria",Table1[[#This Row],[income]],0)</f>
        <v>0</v>
      </c>
      <c r="BH310" s="20">
        <f ca="1">IF(Table1[[#This Row],[County]]="Cheshire",Table1[[#This Row],[income]],0)</f>
        <v>0</v>
      </c>
      <c r="BI310" s="20">
        <f ca="1">IF(Table1[[#This Row],[County]]="Bristol",Table1[[#This Row],[income]],0)</f>
        <v>0</v>
      </c>
      <c r="BJ310" s="20">
        <f ca="1">IF(Table1[[#This Row],[County]]="Surrey",Table1[[#This Row],[income]],0)</f>
        <v>0</v>
      </c>
      <c r="BK310" s="20">
        <f ca="1">IF(Table1[[#This Row],[County]]="Norfolk",Table1[[#This Row],[income]],0)</f>
        <v>0</v>
      </c>
      <c r="BL310" s="20">
        <f ca="1">IF(Table1[[#This Row],[County]]="Lincolnshire",Table1[[#This Row],[income]],0)</f>
        <v>0</v>
      </c>
      <c r="BM310" s="20">
        <f ca="1">IF(Table1[[#This Row],[County]]="Somerset",Table1[[#This Row],[income]],0)</f>
        <v>0</v>
      </c>
      <c r="BN310" s="20">
        <f ca="1">IF(Table1[[#This Row],[County]]="Cambridgeshire",Table1[[#This Row],[income]],0)</f>
        <v>0</v>
      </c>
      <c r="BO310" s="20">
        <f ca="1">IF(Table1[[#This Row],[County]]="South Yorkshire",Table1[[#This Row],[income]],0)</f>
        <v>0</v>
      </c>
      <c r="BP310" s="20">
        <f ca="1">IF(Table1[[#This Row],[County]]="Greater London",Table1[[#This Row],[income]],0)</f>
        <v>0</v>
      </c>
      <c r="BQ310" s="20">
        <f ca="1">IF(Table1[[#This Row],[County]]="Hampshire",Table1[[#This Row],[income]],0)</f>
        <v>0</v>
      </c>
      <c r="BR310" s="20">
        <f ca="1">IF(Table1[[#This Row],[County]]="Gloucestershire",Table1[[#This Row],[income]],0)</f>
        <v>0</v>
      </c>
      <c r="BS310" s="20">
        <f ca="1">IF(Table1[[#This Row],[County]]="West Sussex",Table1[[#This Row],[income]],0)</f>
        <v>0</v>
      </c>
      <c r="BT310" s="20">
        <f ca="1">IF(Table1[[#This Row],[County]]="Devon",Table1[[#This Row],[income]],0)</f>
        <v>0</v>
      </c>
      <c r="BU310" s="20">
        <f ca="1">IF(Table1[[#This Row],[County]]="Berkshire",Table1[[#This Row],[income]],0)</f>
        <v>0</v>
      </c>
      <c r="BV310" s="20">
        <f ca="1">IF(Table1[[#This Row],[County]]="Staffordshire",Table1[[#This Row],[income]],0)</f>
        <v>0</v>
      </c>
      <c r="BW310" s="20">
        <f ca="1">IF(Table1[[#This Row],[County]]="Leicestershire",Table1[[#This Row],[income]],0)</f>
        <v>0</v>
      </c>
      <c r="BX310" s="20">
        <f ca="1">IF(Table1[[#This Row],[County]]="Cornwall",Table1[[#This Row],[income]],0)</f>
        <v>0</v>
      </c>
      <c r="BY310" s="20">
        <f ca="1">IF(Table1[[#This Row],[County]]="Isle of Wight",Table1[[#This Row],[income]],0)</f>
        <v>0</v>
      </c>
      <c r="BZ310" s="20">
        <f ca="1">IF(Table1[[#This Row],[County]]="Surrey",Table1[[#This Row],[income]],0)</f>
        <v>0</v>
      </c>
      <c r="CA310" s="20">
        <f ca="1">IF(Table1[[#This Row],[County]]="Derbyshire",Table1[[#This Row],[income]],0)</f>
        <v>0</v>
      </c>
      <c r="CB310" s="20">
        <f ca="1">IF(Table1[[#This Row],[County]]="City of London",Table1[[#This Row],[income]],0)</f>
        <v>0</v>
      </c>
      <c r="CC310" s="20">
        <f ca="1">IF(Table1[[#This Row],[County]]="Bedfordshire",Table1[[#This Row],[income]],0)</f>
        <v>0</v>
      </c>
      <c r="CD310" s="20">
        <f ca="1">IF(Table1[[#This Row],[County]]="County Durham",Table1[[#This Row],[income]],0)</f>
        <v>0</v>
      </c>
      <c r="CE310" s="20">
        <f ca="1">IF(Table1[[#This Row],[County]]="East Riding of Yorkshire",Table1[[#This Row],[income]],0)</f>
        <v>0</v>
      </c>
      <c r="CF310" s="20">
        <f ca="1">IF(Table1[[#This Row],[County]]="West Yorkshire",Table1[[#This Row],[income]],0)</f>
        <v>0</v>
      </c>
      <c r="CG310" s="20">
        <f ca="1">IF(Table1[[#This Row],[County]]="Essex",Table1[[#This Row],[income]],0)</f>
        <v>0</v>
      </c>
      <c r="CH310" s="20">
        <f ca="1">IF(Table1[[#This Row],[County]]="East Sussex",Table1[[#This Row],[income]],0)</f>
        <v>59206</v>
      </c>
      <c r="CI310" s="20">
        <f ca="1">IF(Table1[[#This Row],[County]]="Greater Manchester",Table1[[#This Row],[income]],0)</f>
        <v>0</v>
      </c>
      <c r="CJ310" s="20">
        <f ca="1">IF(Table1[[#This Row],[County]]="Hertfordshire",Table1[[#This Row],[income]],0)</f>
        <v>0</v>
      </c>
      <c r="CK310" s="20">
        <f ca="1">IF(Table1[[#This Row],[County]]="Herefordshire",Table1[[#This Row],[income]],0)</f>
        <v>0</v>
      </c>
      <c r="CL310" s="20">
        <f ca="1">IF(Table1[[#This Row],[County]]="Lancashire",Table1[[#This Row],[income]],0)</f>
        <v>0</v>
      </c>
      <c r="CM310" s="20">
        <f ca="1">IF(Table1[[#This Row],[County]]="Merseyside",Table1[[#This Row],[income]],0)</f>
        <v>0</v>
      </c>
      <c r="CN310" s="20">
        <f ca="1">IF(Table1[[#This Row],[County]]="Northamptonshire",Table1[[#This Row],[income]],0)</f>
        <v>0</v>
      </c>
      <c r="CO310" s="20">
        <f ca="1">IF(Table1[[#This Row],[County]]="Northumberland",Table1[[#This Row],[income]],0)</f>
        <v>0</v>
      </c>
      <c r="CP310" s="20">
        <f ca="1">IF(Table1[[#This Row],[County]]="Wiltshire",Table1[[#This Row],[income]],0)</f>
        <v>0</v>
      </c>
      <c r="CQ310" s="20">
        <f ca="1">IF(Table1[[#This Row],[County]]="West Midlands",Table1[[#This Row],[income]],0)</f>
        <v>0</v>
      </c>
      <c r="CR310" s="20">
        <f ca="1">IF(Table1[[#This Row],[County]]="Warwickshire",Table1[[#This Row],[income]],0)</f>
        <v>0</v>
      </c>
      <c r="CS310" s="20">
        <f ca="1">IF(Table1[[#This Row],[County]]="Tyne and Wear",Table1[[#This Row],[income]],0)</f>
        <v>0</v>
      </c>
      <c r="CT310" s="20">
        <f ca="1">IF(Table1[[#This Row],[County]]="Worcestershire",Table1[[#This Row],[income]],0)</f>
        <v>0</v>
      </c>
      <c r="CU310" s="20">
        <f ca="1">IF(Table1[[#This Row],[County]]="Rutland",Table1[[#This Row],[income]],0)</f>
        <v>0</v>
      </c>
      <c r="CV310" s="20">
        <f ca="1">IF(Table1[[#This Row],[County]]="Shropshire",Table1[[#This Row],[income]],0)</f>
        <v>0</v>
      </c>
      <c r="CW310" s="20">
        <f ca="1">IF(Table1[[#This Row],[County]]="Dorset",Table1[[#This Row],[income]],0)</f>
        <v>0</v>
      </c>
      <c r="CX310" s="20">
        <f ca="1">IF(Table1[[#This Row],[County]]="Buckinghamshire",Table1[[#This Row],[income]],0)</f>
        <v>0</v>
      </c>
      <c r="CY310" s="20">
        <f ca="1">IF(Table1[[#This Row],[County]]="Suffolk",Table1[[#This Row],[income]],0)</f>
        <v>0</v>
      </c>
      <c r="CZ310" s="20">
        <f ca="1">IF(Table1[[#This Row],[County]]="North Yorkshire",Table1[[#This Row],[income]],0)</f>
        <v>0</v>
      </c>
      <c r="DA310" s="20">
        <f ca="1">IF(Table1[[#This Row],[County]]="Kent",Table1[[#This Row],[income]],0)</f>
        <v>0</v>
      </c>
      <c r="DB310" s="5">
        <f ca="1">IF(Table1[[#This Row],[County]]="Derbyshire",Table1[[#This Row],[income]],0)</f>
        <v>0</v>
      </c>
      <c r="DD310" s="6">
        <f ca="1">IF(Table1[[#This Row],[Column1]]="Health",Table1[[#This Row],[income]],0)</f>
        <v>59206</v>
      </c>
      <c r="DE310" s="20">
        <f ca="1">IF(Table1[[#This Row],[Column1]]="Agriculture",Table1[[#This Row],[income]],0)</f>
        <v>0</v>
      </c>
      <c r="DF310" s="20">
        <f ca="1">IF(Table1[[#This Row],[Column1]]="Technology",Table1[[#This Row],[income]],0)</f>
        <v>0</v>
      </c>
      <c r="DG310" s="20">
        <f ca="1">IF(Table1[[#This Row],[Column1]]="Social Service",Table1[[#This Row],[income]],0)</f>
        <v>0</v>
      </c>
      <c r="DH310" s="20">
        <f ca="1">IF(Table1[[#This Row],[Column1]]="Education",Table1[[#This Row],[income]],0)</f>
        <v>0</v>
      </c>
      <c r="DI310" s="5">
        <f ca="1">IF(Table1[[#This Row],[Column1]]="Construction",Table1[[#This Row],[income]],0)</f>
        <v>0</v>
      </c>
      <c r="DK310" s="6">
        <f ca="1">IF(Table1[[#This Row],[Value of Debts]]&gt;Table1[[#This Row],[income]],1,0)</f>
        <v>1</v>
      </c>
      <c r="DL310" s="20"/>
      <c r="DM310" s="20"/>
      <c r="DN310" s="5"/>
      <c r="DP310" s="6">
        <f ca="1">IF(Table1[[#This Row],[Net Worth (£)]]&gt;$DS$5,C310,0)</f>
        <v>0</v>
      </c>
      <c r="DQ310" s="20"/>
      <c r="DR310" s="20"/>
      <c r="DS310" s="5"/>
    </row>
    <row r="311" spans="1:123" x14ac:dyDescent="0.2">
      <c r="A311">
        <f t="shared" ca="1" si="13"/>
        <v>2</v>
      </c>
      <c r="B311" s="1" t="str">
        <f ca="1">IF(A311=1, "men", "women")</f>
        <v>women</v>
      </c>
      <c r="C311" s="1">
        <f ca="1">RANDBETWEEN(25,50)</f>
        <v>41</v>
      </c>
      <c r="D311">
        <f ca="1">RANDBETWEEN(1,6)</f>
        <v>5</v>
      </c>
      <c r="E311" t="str">
        <f ca="1">VLOOKUP(D311,$W$5:$X$10,2)</f>
        <v>Social Service</v>
      </c>
      <c r="F311">
        <f ca="1">RANDBETWEEN(1,5)</f>
        <v>2</v>
      </c>
      <c r="G311" t="str">
        <f ca="1">VLOOKUP(F311,$Y$5:$Z$9,2)</f>
        <v>College</v>
      </c>
      <c r="H311">
        <f ca="1">RANDBETWEEN(0,4)</f>
        <v>4</v>
      </c>
      <c r="I311">
        <f ca="1">RANDBETWEEN(1,3)</f>
        <v>3</v>
      </c>
      <c r="J311">
        <f ca="1">RANDBETWEEN(30000,100000)</f>
        <v>88554</v>
      </c>
      <c r="K311">
        <f ca="1">RANDBETWEEN(1,48)</f>
        <v>29</v>
      </c>
      <c r="L311" t="str">
        <f ca="1">VLOOKUP(K311,$AA$5:$AB$52,2)</f>
        <v>Norfolk</v>
      </c>
      <c r="M311">
        <f ca="1">J311*(RANDBETWEEN(2,5))</f>
        <v>177108</v>
      </c>
      <c r="N311">
        <f ca="1">RAND()*M311</f>
        <v>31558.418829222108</v>
      </c>
      <c r="O311">
        <f ca="1">I311*RAND()*J311</f>
        <v>136905.2685909592</v>
      </c>
      <c r="P311">
        <f ca="1">RANDBETWEEN(0,O311)</f>
        <v>54306</v>
      </c>
      <c r="Q311">
        <f ca="1">RAND()*J311*2</f>
        <v>9418.8978118136529</v>
      </c>
      <c r="R311">
        <f ca="1">RAND()*J311*1.5</f>
        <v>132527.87550731094</v>
      </c>
      <c r="S311">
        <f ca="1">J311+R311+O311</f>
        <v>357987.1440982701</v>
      </c>
      <c r="T311">
        <f ca="1">N311+P311+Q311</f>
        <v>95283.316641035766</v>
      </c>
      <c r="U311">
        <f ca="1">S311-T311</f>
        <v>262703.82745723432</v>
      </c>
      <c r="AC311" s="6">
        <f ca="1">IF(Table1[[#This Row],[gender]]="men",1,0)</f>
        <v>0</v>
      </c>
      <c r="AD311">
        <f ca="1">IF(Table1[[#This Row],[gender]]="women",1,0)</f>
        <v>1</v>
      </c>
      <c r="AH311" s="5"/>
      <c r="AJ311" s="6">
        <f ca="1">IF(Table1[[#This Row],[Column1]]="Health",1,0)</f>
        <v>0</v>
      </c>
      <c r="AK311">
        <f ca="1">IF(Table1[[#This Row],[Column1]]="Construction",1,0)</f>
        <v>0</v>
      </c>
      <c r="AL311">
        <f ca="1">IF(Table1[[#This Row],[Column1]]="Technology",1,0)</f>
        <v>0</v>
      </c>
      <c r="AM311">
        <f ca="1">IF(Table1[[#This Row],[Column1]]="Education",1,0)</f>
        <v>0</v>
      </c>
      <c r="AN311">
        <f ca="1">IF(Table1[[#This Row],[Column1]]="Agriculture",1,0)</f>
        <v>0</v>
      </c>
      <c r="AO311">
        <f ca="1">IF(Table1[[#This Row],[Column1]]="Social Service", 1, 0)</f>
        <v>1</v>
      </c>
      <c r="AT311" s="5"/>
      <c r="AV311" s="17">
        <f t="shared" ca="1" si="12"/>
        <v>33822.516851693719</v>
      </c>
      <c r="AW311" s="5"/>
      <c r="AX311" s="6">
        <f ca="1">IF(Table1[[#This Row],[Value of Debts]]&gt;$AY$4,1,0)</f>
        <v>0</v>
      </c>
      <c r="AY311" s="20"/>
      <c r="AZ311" s="20"/>
      <c r="BA311" s="5"/>
      <c r="BB311" s="25">
        <f ca="1">Table1[[#This Row],[Mortage Left]]/Table1[[#This Row],[Value of House]]</f>
        <v>0.17818742704576929</v>
      </c>
      <c r="BC311" s="20">
        <f t="shared" ca="1" si="14"/>
        <v>1</v>
      </c>
      <c r="BD311" s="20"/>
      <c r="BE311" s="20"/>
      <c r="BF311" s="20"/>
      <c r="BG311" s="6">
        <f ca="1">IF(Table1[[#This Row],[County]]="Cumbria",Table1[[#This Row],[income]],0)</f>
        <v>0</v>
      </c>
      <c r="BH311" s="20">
        <f ca="1">IF(Table1[[#This Row],[County]]="Cheshire",Table1[[#This Row],[income]],0)</f>
        <v>0</v>
      </c>
      <c r="BI311" s="20">
        <f ca="1">IF(Table1[[#This Row],[County]]="Bristol",Table1[[#This Row],[income]],0)</f>
        <v>0</v>
      </c>
      <c r="BJ311" s="20">
        <f ca="1">IF(Table1[[#This Row],[County]]="Surrey",Table1[[#This Row],[income]],0)</f>
        <v>0</v>
      </c>
      <c r="BK311" s="20">
        <f ca="1">IF(Table1[[#This Row],[County]]="Norfolk",Table1[[#This Row],[income]],0)</f>
        <v>88554</v>
      </c>
      <c r="BL311" s="20">
        <f ca="1">IF(Table1[[#This Row],[County]]="Lincolnshire",Table1[[#This Row],[income]],0)</f>
        <v>0</v>
      </c>
      <c r="BM311" s="20">
        <f ca="1">IF(Table1[[#This Row],[County]]="Somerset",Table1[[#This Row],[income]],0)</f>
        <v>0</v>
      </c>
      <c r="BN311" s="20">
        <f ca="1">IF(Table1[[#This Row],[County]]="Cambridgeshire",Table1[[#This Row],[income]],0)</f>
        <v>0</v>
      </c>
      <c r="BO311" s="20">
        <f ca="1">IF(Table1[[#This Row],[County]]="South Yorkshire",Table1[[#This Row],[income]],0)</f>
        <v>0</v>
      </c>
      <c r="BP311" s="20">
        <f ca="1">IF(Table1[[#This Row],[County]]="Greater London",Table1[[#This Row],[income]],0)</f>
        <v>0</v>
      </c>
      <c r="BQ311" s="20">
        <f ca="1">IF(Table1[[#This Row],[County]]="Hampshire",Table1[[#This Row],[income]],0)</f>
        <v>0</v>
      </c>
      <c r="BR311" s="20">
        <f ca="1">IF(Table1[[#This Row],[County]]="Gloucestershire",Table1[[#This Row],[income]],0)</f>
        <v>0</v>
      </c>
      <c r="BS311" s="20">
        <f ca="1">IF(Table1[[#This Row],[County]]="West Sussex",Table1[[#This Row],[income]],0)</f>
        <v>0</v>
      </c>
      <c r="BT311" s="20">
        <f ca="1">IF(Table1[[#This Row],[County]]="Devon",Table1[[#This Row],[income]],0)</f>
        <v>0</v>
      </c>
      <c r="BU311" s="20">
        <f ca="1">IF(Table1[[#This Row],[County]]="Berkshire",Table1[[#This Row],[income]],0)</f>
        <v>0</v>
      </c>
      <c r="BV311" s="20">
        <f ca="1">IF(Table1[[#This Row],[County]]="Staffordshire",Table1[[#This Row],[income]],0)</f>
        <v>0</v>
      </c>
      <c r="BW311" s="20">
        <f ca="1">IF(Table1[[#This Row],[County]]="Leicestershire",Table1[[#This Row],[income]],0)</f>
        <v>0</v>
      </c>
      <c r="BX311" s="20">
        <f ca="1">IF(Table1[[#This Row],[County]]="Cornwall",Table1[[#This Row],[income]],0)</f>
        <v>0</v>
      </c>
      <c r="BY311" s="20">
        <f ca="1">IF(Table1[[#This Row],[County]]="Isle of Wight",Table1[[#This Row],[income]],0)</f>
        <v>0</v>
      </c>
      <c r="BZ311" s="20">
        <f ca="1">IF(Table1[[#This Row],[County]]="Surrey",Table1[[#This Row],[income]],0)</f>
        <v>0</v>
      </c>
      <c r="CA311" s="20">
        <f ca="1">IF(Table1[[#This Row],[County]]="Derbyshire",Table1[[#This Row],[income]],0)</f>
        <v>0</v>
      </c>
      <c r="CB311" s="20">
        <f ca="1">IF(Table1[[#This Row],[County]]="City of London",Table1[[#This Row],[income]],0)</f>
        <v>0</v>
      </c>
      <c r="CC311" s="20">
        <f ca="1">IF(Table1[[#This Row],[County]]="Bedfordshire",Table1[[#This Row],[income]],0)</f>
        <v>0</v>
      </c>
      <c r="CD311" s="20">
        <f ca="1">IF(Table1[[#This Row],[County]]="County Durham",Table1[[#This Row],[income]],0)</f>
        <v>0</v>
      </c>
      <c r="CE311" s="20">
        <f ca="1">IF(Table1[[#This Row],[County]]="East Riding of Yorkshire",Table1[[#This Row],[income]],0)</f>
        <v>0</v>
      </c>
      <c r="CF311" s="20">
        <f ca="1">IF(Table1[[#This Row],[County]]="West Yorkshire",Table1[[#This Row],[income]],0)</f>
        <v>0</v>
      </c>
      <c r="CG311" s="20">
        <f ca="1">IF(Table1[[#This Row],[County]]="Essex",Table1[[#This Row],[income]],0)</f>
        <v>0</v>
      </c>
      <c r="CH311" s="20">
        <f ca="1">IF(Table1[[#This Row],[County]]="East Sussex",Table1[[#This Row],[income]],0)</f>
        <v>0</v>
      </c>
      <c r="CI311" s="20">
        <f ca="1">IF(Table1[[#This Row],[County]]="Greater Manchester",Table1[[#This Row],[income]],0)</f>
        <v>0</v>
      </c>
      <c r="CJ311" s="20">
        <f ca="1">IF(Table1[[#This Row],[County]]="Hertfordshire",Table1[[#This Row],[income]],0)</f>
        <v>0</v>
      </c>
      <c r="CK311" s="20">
        <f ca="1">IF(Table1[[#This Row],[County]]="Herefordshire",Table1[[#This Row],[income]],0)</f>
        <v>0</v>
      </c>
      <c r="CL311" s="20">
        <f ca="1">IF(Table1[[#This Row],[County]]="Lancashire",Table1[[#This Row],[income]],0)</f>
        <v>0</v>
      </c>
      <c r="CM311" s="20">
        <f ca="1">IF(Table1[[#This Row],[County]]="Merseyside",Table1[[#This Row],[income]],0)</f>
        <v>0</v>
      </c>
      <c r="CN311" s="20">
        <f ca="1">IF(Table1[[#This Row],[County]]="Northamptonshire",Table1[[#This Row],[income]],0)</f>
        <v>0</v>
      </c>
      <c r="CO311" s="20">
        <f ca="1">IF(Table1[[#This Row],[County]]="Northumberland",Table1[[#This Row],[income]],0)</f>
        <v>0</v>
      </c>
      <c r="CP311" s="20">
        <f ca="1">IF(Table1[[#This Row],[County]]="Wiltshire",Table1[[#This Row],[income]],0)</f>
        <v>0</v>
      </c>
      <c r="CQ311" s="20">
        <f ca="1">IF(Table1[[#This Row],[County]]="West Midlands",Table1[[#This Row],[income]],0)</f>
        <v>0</v>
      </c>
      <c r="CR311" s="20">
        <f ca="1">IF(Table1[[#This Row],[County]]="Warwickshire",Table1[[#This Row],[income]],0)</f>
        <v>0</v>
      </c>
      <c r="CS311" s="20">
        <f ca="1">IF(Table1[[#This Row],[County]]="Tyne and Wear",Table1[[#This Row],[income]],0)</f>
        <v>0</v>
      </c>
      <c r="CT311" s="20">
        <f ca="1">IF(Table1[[#This Row],[County]]="Worcestershire",Table1[[#This Row],[income]],0)</f>
        <v>0</v>
      </c>
      <c r="CU311" s="20">
        <f ca="1">IF(Table1[[#This Row],[County]]="Rutland",Table1[[#This Row],[income]],0)</f>
        <v>0</v>
      </c>
      <c r="CV311" s="20">
        <f ca="1">IF(Table1[[#This Row],[County]]="Shropshire",Table1[[#This Row],[income]],0)</f>
        <v>0</v>
      </c>
      <c r="CW311" s="20">
        <f ca="1">IF(Table1[[#This Row],[County]]="Dorset",Table1[[#This Row],[income]],0)</f>
        <v>0</v>
      </c>
      <c r="CX311" s="20">
        <f ca="1">IF(Table1[[#This Row],[County]]="Buckinghamshire",Table1[[#This Row],[income]],0)</f>
        <v>0</v>
      </c>
      <c r="CY311" s="20">
        <f ca="1">IF(Table1[[#This Row],[County]]="Suffolk",Table1[[#This Row],[income]],0)</f>
        <v>0</v>
      </c>
      <c r="CZ311" s="20">
        <f ca="1">IF(Table1[[#This Row],[County]]="North Yorkshire",Table1[[#This Row],[income]],0)</f>
        <v>0</v>
      </c>
      <c r="DA311" s="20">
        <f ca="1">IF(Table1[[#This Row],[County]]="Kent",Table1[[#This Row],[income]],0)</f>
        <v>0</v>
      </c>
      <c r="DB311" s="5">
        <f ca="1">IF(Table1[[#This Row],[County]]="Derbyshire",Table1[[#This Row],[income]],0)</f>
        <v>0</v>
      </c>
      <c r="DD311" s="6">
        <f ca="1">IF(Table1[[#This Row],[Column1]]="Health",Table1[[#This Row],[income]],0)</f>
        <v>0</v>
      </c>
      <c r="DE311" s="20">
        <f ca="1">IF(Table1[[#This Row],[Column1]]="Agriculture",Table1[[#This Row],[income]],0)</f>
        <v>0</v>
      </c>
      <c r="DF311" s="20">
        <f ca="1">IF(Table1[[#This Row],[Column1]]="Technology",Table1[[#This Row],[income]],0)</f>
        <v>0</v>
      </c>
      <c r="DG311" s="20">
        <f ca="1">IF(Table1[[#This Row],[Column1]]="Social Service",Table1[[#This Row],[income]],0)</f>
        <v>88554</v>
      </c>
      <c r="DH311" s="20">
        <f ca="1">IF(Table1[[#This Row],[Column1]]="Education",Table1[[#This Row],[income]],0)</f>
        <v>0</v>
      </c>
      <c r="DI311" s="5">
        <f ca="1">IF(Table1[[#This Row],[Column1]]="Construction",Table1[[#This Row],[income]],0)</f>
        <v>0</v>
      </c>
      <c r="DK311" s="6">
        <f ca="1">IF(Table1[[#This Row],[Value of Debts]]&gt;Table1[[#This Row],[income]],1,0)</f>
        <v>1</v>
      </c>
      <c r="DL311" s="20"/>
      <c r="DM311" s="20"/>
      <c r="DN311" s="5"/>
      <c r="DP311" s="6">
        <f ca="1">IF(Table1[[#This Row],[Net Worth (£)]]&gt;$DS$5,C311,0)</f>
        <v>41</v>
      </c>
      <c r="DQ311" s="20"/>
      <c r="DR311" s="20"/>
      <c r="DS311" s="5"/>
    </row>
    <row r="312" spans="1:123" x14ac:dyDescent="0.2">
      <c r="A312">
        <f t="shared" ca="1" si="13"/>
        <v>2</v>
      </c>
      <c r="B312" s="1" t="str">
        <f ca="1">IF(A312=1, "men", "women")</f>
        <v>women</v>
      </c>
      <c r="C312" s="1">
        <f ca="1">RANDBETWEEN(25,50)</f>
        <v>49</v>
      </c>
      <c r="D312">
        <f ca="1">RANDBETWEEN(1,6)</f>
        <v>2</v>
      </c>
      <c r="E312" t="str">
        <f ca="1">VLOOKUP(D312,$W$5:$X$10,2)</f>
        <v>Construction</v>
      </c>
      <c r="F312">
        <f ca="1">RANDBETWEEN(1,5)</f>
        <v>3</v>
      </c>
      <c r="G312" t="str">
        <f ca="1">VLOOKUP(F312,$Y$5:$Z$9,2)</f>
        <v>University</v>
      </c>
      <c r="H312">
        <f ca="1">RANDBETWEEN(0,4)</f>
        <v>3</v>
      </c>
      <c r="I312">
        <f ca="1">RANDBETWEEN(1,3)</f>
        <v>2</v>
      </c>
      <c r="J312">
        <f ca="1">RANDBETWEEN(30000,100000)</f>
        <v>72130</v>
      </c>
      <c r="K312">
        <f ca="1">RANDBETWEEN(1,48)</f>
        <v>11</v>
      </c>
      <c r="L312" t="str">
        <f ca="1">VLOOKUP(K312,$AA$5:$AB$52,2)</f>
        <v>Devon</v>
      </c>
      <c r="M312">
        <f ca="1">J312*(RANDBETWEEN(2,5))</f>
        <v>216390</v>
      </c>
      <c r="N312">
        <f ca="1">RAND()*M312</f>
        <v>54417.068756502507</v>
      </c>
      <c r="O312">
        <f ca="1">I312*RAND()*J312</f>
        <v>67645.033703387438</v>
      </c>
      <c r="P312">
        <f ca="1">RANDBETWEEN(0,O312)</f>
        <v>29264</v>
      </c>
      <c r="Q312">
        <f ca="1">RAND()*J312*2</f>
        <v>74997.332163011873</v>
      </c>
      <c r="R312">
        <f ca="1">RAND()*J312*1.5</f>
        <v>50688.049885136701</v>
      </c>
      <c r="S312">
        <f ca="1">J312+R312+O312</f>
        <v>190463.08358852414</v>
      </c>
      <c r="T312">
        <f ca="1">N312+P312+Q312</f>
        <v>158678.40091951436</v>
      </c>
      <c r="U312">
        <f ca="1">S312-T312</f>
        <v>31784.682669009781</v>
      </c>
      <c r="AC312" s="6">
        <f ca="1">IF(Table1[[#This Row],[gender]]="men",1,0)</f>
        <v>0</v>
      </c>
      <c r="AD312">
        <f ca="1">IF(Table1[[#This Row],[gender]]="women",1,0)</f>
        <v>1</v>
      </c>
      <c r="AH312" s="5"/>
      <c r="AJ312" s="6">
        <f ca="1">IF(Table1[[#This Row],[Column1]]="Health",1,0)</f>
        <v>0</v>
      </c>
      <c r="AK312">
        <f ca="1">IF(Table1[[#This Row],[Column1]]="Construction",1,0)</f>
        <v>1</v>
      </c>
      <c r="AL312">
        <f ca="1">IF(Table1[[#This Row],[Column1]]="Technology",1,0)</f>
        <v>0</v>
      </c>
      <c r="AM312">
        <f ca="1">IF(Table1[[#This Row],[Column1]]="Education",1,0)</f>
        <v>0</v>
      </c>
      <c r="AN312">
        <f ca="1">IF(Table1[[#This Row],[Column1]]="Agriculture",1,0)</f>
        <v>0</v>
      </c>
      <c r="AO312">
        <f ca="1">IF(Table1[[#This Row],[Column1]]="Social Service", 1, 0)</f>
        <v>0</v>
      </c>
      <c r="AT312" s="5"/>
      <c r="AV312" s="17">
        <f t="shared" ca="1" si="12"/>
        <v>24236.1407066832</v>
      </c>
      <c r="AW312" s="5"/>
      <c r="AX312" s="6">
        <f ca="1">IF(Table1[[#This Row],[Value of Debts]]&gt;$AY$4,1,0)</f>
        <v>1</v>
      </c>
      <c r="AY312" s="20"/>
      <c r="AZ312" s="20"/>
      <c r="BA312" s="5"/>
      <c r="BB312" s="25">
        <f ca="1">Table1[[#This Row],[Mortage Left]]/Table1[[#This Row],[Value of House]]</f>
        <v>0.25147681850594994</v>
      </c>
      <c r="BC312" s="20">
        <f t="shared" ca="1" si="14"/>
        <v>1</v>
      </c>
      <c r="BD312" s="20"/>
      <c r="BE312" s="20"/>
      <c r="BF312" s="20"/>
      <c r="BG312" s="6">
        <f ca="1">IF(Table1[[#This Row],[County]]="Cumbria",Table1[[#This Row],[income]],0)</f>
        <v>0</v>
      </c>
      <c r="BH312" s="20">
        <f ca="1">IF(Table1[[#This Row],[County]]="Cheshire",Table1[[#This Row],[income]],0)</f>
        <v>0</v>
      </c>
      <c r="BI312" s="20">
        <f ca="1">IF(Table1[[#This Row],[County]]="Bristol",Table1[[#This Row],[income]],0)</f>
        <v>0</v>
      </c>
      <c r="BJ312" s="20">
        <f ca="1">IF(Table1[[#This Row],[County]]="Surrey",Table1[[#This Row],[income]],0)</f>
        <v>0</v>
      </c>
      <c r="BK312" s="20">
        <f ca="1">IF(Table1[[#This Row],[County]]="Norfolk",Table1[[#This Row],[income]],0)</f>
        <v>0</v>
      </c>
      <c r="BL312" s="20">
        <f ca="1">IF(Table1[[#This Row],[County]]="Lincolnshire",Table1[[#This Row],[income]],0)</f>
        <v>0</v>
      </c>
      <c r="BM312" s="20">
        <f ca="1">IF(Table1[[#This Row],[County]]="Somerset",Table1[[#This Row],[income]],0)</f>
        <v>0</v>
      </c>
      <c r="BN312" s="20">
        <f ca="1">IF(Table1[[#This Row],[County]]="Cambridgeshire",Table1[[#This Row],[income]],0)</f>
        <v>0</v>
      </c>
      <c r="BO312" s="20">
        <f ca="1">IF(Table1[[#This Row],[County]]="South Yorkshire",Table1[[#This Row],[income]],0)</f>
        <v>0</v>
      </c>
      <c r="BP312" s="20">
        <f ca="1">IF(Table1[[#This Row],[County]]="Greater London",Table1[[#This Row],[income]],0)</f>
        <v>0</v>
      </c>
      <c r="BQ312" s="20">
        <f ca="1">IF(Table1[[#This Row],[County]]="Hampshire",Table1[[#This Row],[income]],0)</f>
        <v>0</v>
      </c>
      <c r="BR312" s="20">
        <f ca="1">IF(Table1[[#This Row],[County]]="Gloucestershire",Table1[[#This Row],[income]],0)</f>
        <v>0</v>
      </c>
      <c r="BS312" s="20">
        <f ca="1">IF(Table1[[#This Row],[County]]="West Sussex",Table1[[#This Row],[income]],0)</f>
        <v>0</v>
      </c>
      <c r="BT312" s="20">
        <f ca="1">IF(Table1[[#This Row],[County]]="Devon",Table1[[#This Row],[income]],0)</f>
        <v>72130</v>
      </c>
      <c r="BU312" s="20">
        <f ca="1">IF(Table1[[#This Row],[County]]="Berkshire",Table1[[#This Row],[income]],0)</f>
        <v>0</v>
      </c>
      <c r="BV312" s="20">
        <f ca="1">IF(Table1[[#This Row],[County]]="Staffordshire",Table1[[#This Row],[income]],0)</f>
        <v>0</v>
      </c>
      <c r="BW312" s="20">
        <f ca="1">IF(Table1[[#This Row],[County]]="Leicestershire",Table1[[#This Row],[income]],0)</f>
        <v>0</v>
      </c>
      <c r="BX312" s="20">
        <f ca="1">IF(Table1[[#This Row],[County]]="Cornwall",Table1[[#This Row],[income]],0)</f>
        <v>0</v>
      </c>
      <c r="BY312" s="20">
        <f ca="1">IF(Table1[[#This Row],[County]]="Isle of Wight",Table1[[#This Row],[income]],0)</f>
        <v>0</v>
      </c>
      <c r="BZ312" s="20">
        <f ca="1">IF(Table1[[#This Row],[County]]="Surrey",Table1[[#This Row],[income]],0)</f>
        <v>0</v>
      </c>
      <c r="CA312" s="20">
        <f ca="1">IF(Table1[[#This Row],[County]]="Derbyshire",Table1[[#This Row],[income]],0)</f>
        <v>0</v>
      </c>
      <c r="CB312" s="20">
        <f ca="1">IF(Table1[[#This Row],[County]]="City of London",Table1[[#This Row],[income]],0)</f>
        <v>0</v>
      </c>
      <c r="CC312" s="20">
        <f ca="1">IF(Table1[[#This Row],[County]]="Bedfordshire",Table1[[#This Row],[income]],0)</f>
        <v>0</v>
      </c>
      <c r="CD312" s="20">
        <f ca="1">IF(Table1[[#This Row],[County]]="County Durham",Table1[[#This Row],[income]],0)</f>
        <v>0</v>
      </c>
      <c r="CE312" s="20">
        <f ca="1">IF(Table1[[#This Row],[County]]="East Riding of Yorkshire",Table1[[#This Row],[income]],0)</f>
        <v>0</v>
      </c>
      <c r="CF312" s="20">
        <f ca="1">IF(Table1[[#This Row],[County]]="West Yorkshire",Table1[[#This Row],[income]],0)</f>
        <v>0</v>
      </c>
      <c r="CG312" s="20">
        <f ca="1">IF(Table1[[#This Row],[County]]="Essex",Table1[[#This Row],[income]],0)</f>
        <v>0</v>
      </c>
      <c r="CH312" s="20">
        <f ca="1">IF(Table1[[#This Row],[County]]="East Sussex",Table1[[#This Row],[income]],0)</f>
        <v>0</v>
      </c>
      <c r="CI312" s="20">
        <f ca="1">IF(Table1[[#This Row],[County]]="Greater Manchester",Table1[[#This Row],[income]],0)</f>
        <v>0</v>
      </c>
      <c r="CJ312" s="20">
        <f ca="1">IF(Table1[[#This Row],[County]]="Hertfordshire",Table1[[#This Row],[income]],0)</f>
        <v>0</v>
      </c>
      <c r="CK312" s="20">
        <f ca="1">IF(Table1[[#This Row],[County]]="Herefordshire",Table1[[#This Row],[income]],0)</f>
        <v>0</v>
      </c>
      <c r="CL312" s="20">
        <f ca="1">IF(Table1[[#This Row],[County]]="Lancashire",Table1[[#This Row],[income]],0)</f>
        <v>0</v>
      </c>
      <c r="CM312" s="20">
        <f ca="1">IF(Table1[[#This Row],[County]]="Merseyside",Table1[[#This Row],[income]],0)</f>
        <v>0</v>
      </c>
      <c r="CN312" s="20">
        <f ca="1">IF(Table1[[#This Row],[County]]="Northamptonshire",Table1[[#This Row],[income]],0)</f>
        <v>0</v>
      </c>
      <c r="CO312" s="20">
        <f ca="1">IF(Table1[[#This Row],[County]]="Northumberland",Table1[[#This Row],[income]],0)</f>
        <v>0</v>
      </c>
      <c r="CP312" s="20">
        <f ca="1">IF(Table1[[#This Row],[County]]="Wiltshire",Table1[[#This Row],[income]],0)</f>
        <v>0</v>
      </c>
      <c r="CQ312" s="20">
        <f ca="1">IF(Table1[[#This Row],[County]]="West Midlands",Table1[[#This Row],[income]],0)</f>
        <v>0</v>
      </c>
      <c r="CR312" s="20">
        <f ca="1">IF(Table1[[#This Row],[County]]="Warwickshire",Table1[[#This Row],[income]],0)</f>
        <v>0</v>
      </c>
      <c r="CS312" s="20">
        <f ca="1">IF(Table1[[#This Row],[County]]="Tyne and Wear",Table1[[#This Row],[income]],0)</f>
        <v>0</v>
      </c>
      <c r="CT312" s="20">
        <f ca="1">IF(Table1[[#This Row],[County]]="Worcestershire",Table1[[#This Row],[income]],0)</f>
        <v>0</v>
      </c>
      <c r="CU312" s="20">
        <f ca="1">IF(Table1[[#This Row],[County]]="Rutland",Table1[[#This Row],[income]],0)</f>
        <v>0</v>
      </c>
      <c r="CV312" s="20">
        <f ca="1">IF(Table1[[#This Row],[County]]="Shropshire",Table1[[#This Row],[income]],0)</f>
        <v>0</v>
      </c>
      <c r="CW312" s="20">
        <f ca="1">IF(Table1[[#This Row],[County]]="Dorset",Table1[[#This Row],[income]],0)</f>
        <v>0</v>
      </c>
      <c r="CX312" s="20">
        <f ca="1">IF(Table1[[#This Row],[County]]="Buckinghamshire",Table1[[#This Row],[income]],0)</f>
        <v>0</v>
      </c>
      <c r="CY312" s="20">
        <f ca="1">IF(Table1[[#This Row],[County]]="Suffolk",Table1[[#This Row],[income]],0)</f>
        <v>0</v>
      </c>
      <c r="CZ312" s="20">
        <f ca="1">IF(Table1[[#This Row],[County]]="North Yorkshire",Table1[[#This Row],[income]],0)</f>
        <v>0</v>
      </c>
      <c r="DA312" s="20">
        <f ca="1">IF(Table1[[#This Row],[County]]="Kent",Table1[[#This Row],[income]],0)</f>
        <v>0</v>
      </c>
      <c r="DB312" s="5">
        <f ca="1">IF(Table1[[#This Row],[County]]="Derbyshire",Table1[[#This Row],[income]],0)</f>
        <v>0</v>
      </c>
      <c r="DD312" s="6">
        <f ca="1">IF(Table1[[#This Row],[Column1]]="Health",Table1[[#This Row],[income]],0)</f>
        <v>0</v>
      </c>
      <c r="DE312" s="20">
        <f ca="1">IF(Table1[[#This Row],[Column1]]="Agriculture",Table1[[#This Row],[income]],0)</f>
        <v>0</v>
      </c>
      <c r="DF312" s="20">
        <f ca="1">IF(Table1[[#This Row],[Column1]]="Technology",Table1[[#This Row],[income]],0)</f>
        <v>0</v>
      </c>
      <c r="DG312" s="20">
        <f ca="1">IF(Table1[[#This Row],[Column1]]="Social Service",Table1[[#This Row],[income]],0)</f>
        <v>0</v>
      </c>
      <c r="DH312" s="20">
        <f ca="1">IF(Table1[[#This Row],[Column1]]="Education",Table1[[#This Row],[income]],0)</f>
        <v>0</v>
      </c>
      <c r="DI312" s="5">
        <f ca="1">IF(Table1[[#This Row],[Column1]]="Construction",Table1[[#This Row],[income]],0)</f>
        <v>72130</v>
      </c>
      <c r="DK312" s="6">
        <f ca="1">IF(Table1[[#This Row],[Value of Debts]]&gt;Table1[[#This Row],[income]],1,0)</f>
        <v>1</v>
      </c>
      <c r="DL312" s="20"/>
      <c r="DM312" s="20"/>
      <c r="DN312" s="5"/>
      <c r="DP312" s="6">
        <f ca="1">IF(Table1[[#This Row],[Net Worth (£)]]&gt;$DS$5,C312,0)</f>
        <v>0</v>
      </c>
      <c r="DQ312" s="20"/>
      <c r="DR312" s="20"/>
      <c r="DS312" s="5"/>
    </row>
    <row r="313" spans="1:123" x14ac:dyDescent="0.2">
      <c r="A313">
        <f t="shared" ca="1" si="13"/>
        <v>1</v>
      </c>
      <c r="B313" s="1" t="str">
        <f ca="1">IF(A313=1, "men", "women")</f>
        <v>men</v>
      </c>
      <c r="C313" s="1">
        <f ca="1">RANDBETWEEN(25,50)</f>
        <v>36</v>
      </c>
      <c r="D313">
        <f ca="1">RANDBETWEEN(1,6)</f>
        <v>1</v>
      </c>
      <c r="E313" t="str">
        <f ca="1">VLOOKUP(D313,$W$5:$X$10,2)</f>
        <v>Health</v>
      </c>
      <c r="F313">
        <f ca="1">RANDBETWEEN(1,5)</f>
        <v>1</v>
      </c>
      <c r="G313" t="str">
        <f ca="1">VLOOKUP(F313,$Y$5:$Z$9,2)</f>
        <v>High School</v>
      </c>
      <c r="H313">
        <f ca="1">RANDBETWEEN(0,4)</f>
        <v>1</v>
      </c>
      <c r="I313">
        <f ca="1">RANDBETWEEN(1,3)</f>
        <v>3</v>
      </c>
      <c r="J313">
        <f ca="1">RANDBETWEEN(30000,100000)</f>
        <v>79027</v>
      </c>
      <c r="K313">
        <f ca="1">RANDBETWEEN(1,48)</f>
        <v>9</v>
      </c>
      <c r="L313" t="str">
        <f ca="1">VLOOKUP(K313,$AA$5:$AB$52,2)</f>
        <v>Cumbria</v>
      </c>
      <c r="M313">
        <f ca="1">J313*(RANDBETWEEN(2,5))</f>
        <v>158054</v>
      </c>
      <c r="N313">
        <f ca="1">RAND()*M313</f>
        <v>32570.370329677222</v>
      </c>
      <c r="O313">
        <f ca="1">I313*RAND()*J313</f>
        <v>72708.422120049596</v>
      </c>
      <c r="P313">
        <f ca="1">RANDBETWEEN(0,O313)</f>
        <v>1327</v>
      </c>
      <c r="Q313">
        <f ca="1">RAND()*J313*2</f>
        <v>94613.207566889076</v>
      </c>
      <c r="R313">
        <f ca="1">RAND()*J313*1.5</f>
        <v>108737.34842258363</v>
      </c>
      <c r="S313">
        <f ca="1">J313+R313+O313</f>
        <v>260472.77054263322</v>
      </c>
      <c r="T313">
        <f ca="1">N313+P313+Q313</f>
        <v>128510.5778965663</v>
      </c>
      <c r="U313">
        <f ca="1">S313-T313</f>
        <v>131962.19264606692</v>
      </c>
      <c r="AC313" s="6">
        <f ca="1">IF(Table1[[#This Row],[gender]]="men",1,0)</f>
        <v>1</v>
      </c>
      <c r="AD313">
        <f ca="1">IF(Table1[[#This Row],[gender]]="women",1,0)</f>
        <v>0</v>
      </c>
      <c r="AH313" s="5"/>
      <c r="AJ313" s="6">
        <f ca="1">IF(Table1[[#This Row],[Column1]]="Health",1,0)</f>
        <v>1</v>
      </c>
      <c r="AK313">
        <f ca="1">IF(Table1[[#This Row],[Column1]]="Construction",1,0)</f>
        <v>0</v>
      </c>
      <c r="AL313">
        <f ca="1">IF(Table1[[#This Row],[Column1]]="Technology",1,0)</f>
        <v>0</v>
      </c>
      <c r="AM313">
        <f ca="1">IF(Table1[[#This Row],[Column1]]="Education",1,0)</f>
        <v>0</v>
      </c>
      <c r="AN313">
        <f ca="1">IF(Table1[[#This Row],[Column1]]="Agriculture",1,0)</f>
        <v>0</v>
      </c>
      <c r="AO313">
        <f ca="1">IF(Table1[[#This Row],[Column1]]="Social Service", 1, 0)</f>
        <v>0</v>
      </c>
      <c r="AT313" s="5"/>
      <c r="AV313" s="17">
        <f t="shared" ca="1" si="12"/>
        <v>19236.134813588313</v>
      </c>
      <c r="AW313" s="5"/>
      <c r="AX313" s="6">
        <f ca="1">IF(Table1[[#This Row],[Value of Debts]]&gt;$AY$4,1,0)</f>
        <v>1</v>
      </c>
      <c r="AY313" s="20"/>
      <c r="AZ313" s="20"/>
      <c r="BA313" s="5"/>
      <c r="BB313" s="25">
        <f ca="1">Table1[[#This Row],[Mortage Left]]/Table1[[#This Row],[Value of House]]</f>
        <v>0.20607115498296291</v>
      </c>
      <c r="BC313" s="20">
        <f t="shared" ca="1" si="14"/>
        <v>1</v>
      </c>
      <c r="BD313" s="20"/>
      <c r="BE313" s="20"/>
      <c r="BF313" s="20"/>
      <c r="BG313" s="6">
        <f ca="1">IF(Table1[[#This Row],[County]]="Cumbria",Table1[[#This Row],[income]],0)</f>
        <v>79027</v>
      </c>
      <c r="BH313" s="20">
        <f ca="1">IF(Table1[[#This Row],[County]]="Cheshire",Table1[[#This Row],[income]],0)</f>
        <v>0</v>
      </c>
      <c r="BI313" s="20">
        <f ca="1">IF(Table1[[#This Row],[County]]="Bristol",Table1[[#This Row],[income]],0)</f>
        <v>0</v>
      </c>
      <c r="BJ313" s="20">
        <f ca="1">IF(Table1[[#This Row],[County]]="Surrey",Table1[[#This Row],[income]],0)</f>
        <v>0</v>
      </c>
      <c r="BK313" s="20">
        <f ca="1">IF(Table1[[#This Row],[County]]="Norfolk",Table1[[#This Row],[income]],0)</f>
        <v>0</v>
      </c>
      <c r="BL313" s="20">
        <f ca="1">IF(Table1[[#This Row],[County]]="Lincolnshire",Table1[[#This Row],[income]],0)</f>
        <v>0</v>
      </c>
      <c r="BM313" s="20">
        <f ca="1">IF(Table1[[#This Row],[County]]="Somerset",Table1[[#This Row],[income]],0)</f>
        <v>0</v>
      </c>
      <c r="BN313" s="20">
        <f ca="1">IF(Table1[[#This Row],[County]]="Cambridgeshire",Table1[[#This Row],[income]],0)</f>
        <v>0</v>
      </c>
      <c r="BO313" s="20">
        <f ca="1">IF(Table1[[#This Row],[County]]="South Yorkshire",Table1[[#This Row],[income]],0)</f>
        <v>0</v>
      </c>
      <c r="BP313" s="20">
        <f ca="1">IF(Table1[[#This Row],[County]]="Greater London",Table1[[#This Row],[income]],0)</f>
        <v>0</v>
      </c>
      <c r="BQ313" s="20">
        <f ca="1">IF(Table1[[#This Row],[County]]="Hampshire",Table1[[#This Row],[income]],0)</f>
        <v>0</v>
      </c>
      <c r="BR313" s="20">
        <f ca="1">IF(Table1[[#This Row],[County]]="Gloucestershire",Table1[[#This Row],[income]],0)</f>
        <v>0</v>
      </c>
      <c r="BS313" s="20">
        <f ca="1">IF(Table1[[#This Row],[County]]="West Sussex",Table1[[#This Row],[income]],0)</f>
        <v>0</v>
      </c>
      <c r="BT313" s="20">
        <f ca="1">IF(Table1[[#This Row],[County]]="Devon",Table1[[#This Row],[income]],0)</f>
        <v>0</v>
      </c>
      <c r="BU313" s="20">
        <f ca="1">IF(Table1[[#This Row],[County]]="Berkshire",Table1[[#This Row],[income]],0)</f>
        <v>0</v>
      </c>
      <c r="BV313" s="20">
        <f ca="1">IF(Table1[[#This Row],[County]]="Staffordshire",Table1[[#This Row],[income]],0)</f>
        <v>0</v>
      </c>
      <c r="BW313" s="20">
        <f ca="1">IF(Table1[[#This Row],[County]]="Leicestershire",Table1[[#This Row],[income]],0)</f>
        <v>0</v>
      </c>
      <c r="BX313" s="20">
        <f ca="1">IF(Table1[[#This Row],[County]]="Cornwall",Table1[[#This Row],[income]],0)</f>
        <v>0</v>
      </c>
      <c r="BY313" s="20">
        <f ca="1">IF(Table1[[#This Row],[County]]="Isle of Wight",Table1[[#This Row],[income]],0)</f>
        <v>0</v>
      </c>
      <c r="BZ313" s="20">
        <f ca="1">IF(Table1[[#This Row],[County]]="Surrey",Table1[[#This Row],[income]],0)</f>
        <v>0</v>
      </c>
      <c r="CA313" s="20">
        <f ca="1">IF(Table1[[#This Row],[County]]="Derbyshire",Table1[[#This Row],[income]],0)</f>
        <v>0</v>
      </c>
      <c r="CB313" s="20">
        <f ca="1">IF(Table1[[#This Row],[County]]="City of London",Table1[[#This Row],[income]],0)</f>
        <v>0</v>
      </c>
      <c r="CC313" s="20">
        <f ca="1">IF(Table1[[#This Row],[County]]="Bedfordshire",Table1[[#This Row],[income]],0)</f>
        <v>0</v>
      </c>
      <c r="CD313" s="20">
        <f ca="1">IF(Table1[[#This Row],[County]]="County Durham",Table1[[#This Row],[income]],0)</f>
        <v>0</v>
      </c>
      <c r="CE313" s="20">
        <f ca="1">IF(Table1[[#This Row],[County]]="East Riding of Yorkshire",Table1[[#This Row],[income]],0)</f>
        <v>0</v>
      </c>
      <c r="CF313" s="20">
        <f ca="1">IF(Table1[[#This Row],[County]]="West Yorkshire",Table1[[#This Row],[income]],0)</f>
        <v>0</v>
      </c>
      <c r="CG313" s="20">
        <f ca="1">IF(Table1[[#This Row],[County]]="Essex",Table1[[#This Row],[income]],0)</f>
        <v>0</v>
      </c>
      <c r="CH313" s="20">
        <f ca="1">IF(Table1[[#This Row],[County]]="East Sussex",Table1[[#This Row],[income]],0)</f>
        <v>0</v>
      </c>
      <c r="CI313" s="20">
        <f ca="1">IF(Table1[[#This Row],[County]]="Greater Manchester",Table1[[#This Row],[income]],0)</f>
        <v>0</v>
      </c>
      <c r="CJ313" s="20">
        <f ca="1">IF(Table1[[#This Row],[County]]="Hertfordshire",Table1[[#This Row],[income]],0)</f>
        <v>0</v>
      </c>
      <c r="CK313" s="20">
        <f ca="1">IF(Table1[[#This Row],[County]]="Herefordshire",Table1[[#This Row],[income]],0)</f>
        <v>0</v>
      </c>
      <c r="CL313" s="20">
        <f ca="1">IF(Table1[[#This Row],[County]]="Lancashire",Table1[[#This Row],[income]],0)</f>
        <v>0</v>
      </c>
      <c r="CM313" s="20">
        <f ca="1">IF(Table1[[#This Row],[County]]="Merseyside",Table1[[#This Row],[income]],0)</f>
        <v>0</v>
      </c>
      <c r="CN313" s="20">
        <f ca="1">IF(Table1[[#This Row],[County]]="Northamptonshire",Table1[[#This Row],[income]],0)</f>
        <v>0</v>
      </c>
      <c r="CO313" s="20">
        <f ca="1">IF(Table1[[#This Row],[County]]="Northumberland",Table1[[#This Row],[income]],0)</f>
        <v>0</v>
      </c>
      <c r="CP313" s="20">
        <f ca="1">IF(Table1[[#This Row],[County]]="Wiltshire",Table1[[#This Row],[income]],0)</f>
        <v>0</v>
      </c>
      <c r="CQ313" s="20">
        <f ca="1">IF(Table1[[#This Row],[County]]="West Midlands",Table1[[#This Row],[income]],0)</f>
        <v>0</v>
      </c>
      <c r="CR313" s="20">
        <f ca="1">IF(Table1[[#This Row],[County]]="Warwickshire",Table1[[#This Row],[income]],0)</f>
        <v>0</v>
      </c>
      <c r="CS313" s="20">
        <f ca="1">IF(Table1[[#This Row],[County]]="Tyne and Wear",Table1[[#This Row],[income]],0)</f>
        <v>0</v>
      </c>
      <c r="CT313" s="20">
        <f ca="1">IF(Table1[[#This Row],[County]]="Worcestershire",Table1[[#This Row],[income]],0)</f>
        <v>0</v>
      </c>
      <c r="CU313" s="20">
        <f ca="1">IF(Table1[[#This Row],[County]]="Rutland",Table1[[#This Row],[income]],0)</f>
        <v>0</v>
      </c>
      <c r="CV313" s="20">
        <f ca="1">IF(Table1[[#This Row],[County]]="Shropshire",Table1[[#This Row],[income]],0)</f>
        <v>0</v>
      </c>
      <c r="CW313" s="20">
        <f ca="1">IF(Table1[[#This Row],[County]]="Dorset",Table1[[#This Row],[income]],0)</f>
        <v>0</v>
      </c>
      <c r="CX313" s="20">
        <f ca="1">IF(Table1[[#This Row],[County]]="Buckinghamshire",Table1[[#This Row],[income]],0)</f>
        <v>0</v>
      </c>
      <c r="CY313" s="20">
        <f ca="1">IF(Table1[[#This Row],[County]]="Suffolk",Table1[[#This Row],[income]],0)</f>
        <v>0</v>
      </c>
      <c r="CZ313" s="20">
        <f ca="1">IF(Table1[[#This Row],[County]]="North Yorkshire",Table1[[#This Row],[income]],0)</f>
        <v>0</v>
      </c>
      <c r="DA313" s="20">
        <f ca="1">IF(Table1[[#This Row],[County]]="Kent",Table1[[#This Row],[income]],0)</f>
        <v>0</v>
      </c>
      <c r="DB313" s="5">
        <f ca="1">IF(Table1[[#This Row],[County]]="Derbyshire",Table1[[#This Row],[income]],0)</f>
        <v>0</v>
      </c>
      <c r="DD313" s="6">
        <f ca="1">IF(Table1[[#This Row],[Column1]]="Health",Table1[[#This Row],[income]],0)</f>
        <v>79027</v>
      </c>
      <c r="DE313" s="20">
        <f ca="1">IF(Table1[[#This Row],[Column1]]="Agriculture",Table1[[#This Row],[income]],0)</f>
        <v>0</v>
      </c>
      <c r="DF313" s="20">
        <f ca="1">IF(Table1[[#This Row],[Column1]]="Technology",Table1[[#This Row],[income]],0)</f>
        <v>0</v>
      </c>
      <c r="DG313" s="20">
        <f ca="1">IF(Table1[[#This Row],[Column1]]="Social Service",Table1[[#This Row],[income]],0)</f>
        <v>0</v>
      </c>
      <c r="DH313" s="20">
        <f ca="1">IF(Table1[[#This Row],[Column1]]="Education",Table1[[#This Row],[income]],0)</f>
        <v>0</v>
      </c>
      <c r="DI313" s="5">
        <f ca="1">IF(Table1[[#This Row],[Column1]]="Construction",Table1[[#This Row],[income]],0)</f>
        <v>0</v>
      </c>
      <c r="DK313" s="6">
        <f ca="1">IF(Table1[[#This Row],[Value of Debts]]&gt;Table1[[#This Row],[income]],1,0)</f>
        <v>1</v>
      </c>
      <c r="DL313" s="20"/>
      <c r="DM313" s="20"/>
      <c r="DN313" s="5"/>
      <c r="DP313" s="6">
        <f ca="1">IF(Table1[[#This Row],[Net Worth (£)]]&gt;$DS$5,C313,0)</f>
        <v>36</v>
      </c>
      <c r="DQ313" s="20"/>
      <c r="DR313" s="20"/>
      <c r="DS313" s="5"/>
    </row>
    <row r="314" spans="1:123" x14ac:dyDescent="0.2">
      <c r="A314">
        <f t="shared" ca="1" si="13"/>
        <v>2</v>
      </c>
      <c r="B314" s="1" t="str">
        <f ca="1">IF(A314=1, "men", "women")</f>
        <v>women</v>
      </c>
      <c r="C314" s="1">
        <f ca="1">RANDBETWEEN(25,50)</f>
        <v>47</v>
      </c>
      <c r="D314">
        <f ca="1">RANDBETWEEN(1,6)</f>
        <v>5</v>
      </c>
      <c r="E314" t="str">
        <f ca="1">VLOOKUP(D314,$W$5:$X$10,2)</f>
        <v>Social Service</v>
      </c>
      <c r="F314">
        <f ca="1">RANDBETWEEN(1,5)</f>
        <v>3</v>
      </c>
      <c r="G314" t="str">
        <f ca="1">VLOOKUP(F314,$Y$5:$Z$9,2)</f>
        <v>University</v>
      </c>
      <c r="H314">
        <f ca="1">RANDBETWEEN(0,4)</f>
        <v>4</v>
      </c>
      <c r="I314">
        <f ca="1">RANDBETWEEN(1,3)</f>
        <v>3</v>
      </c>
      <c r="J314">
        <f ca="1">RANDBETWEEN(30000,100000)</f>
        <v>41032</v>
      </c>
      <c r="K314">
        <f ca="1">RANDBETWEEN(1,48)</f>
        <v>14</v>
      </c>
      <c r="L314" t="str">
        <f ca="1">VLOOKUP(K314,$AA$5:$AB$52,2)</f>
        <v>East Riding of Yorkshire</v>
      </c>
      <c r="M314">
        <f ca="1">J314*(RANDBETWEEN(2,5))</f>
        <v>164128</v>
      </c>
      <c r="N314">
        <f ca="1">RAND()*M314</f>
        <v>134506.34230552331</v>
      </c>
      <c r="O314">
        <f ca="1">I314*RAND()*J314</f>
        <v>57708.404440764942</v>
      </c>
      <c r="P314">
        <f ca="1">RANDBETWEEN(0,O314)</f>
        <v>36983</v>
      </c>
      <c r="Q314">
        <f ca="1">RAND()*J314*2</f>
        <v>56952.716596398473</v>
      </c>
      <c r="R314">
        <f ca="1">RAND()*J314*1.5</f>
        <v>25155.083012313698</v>
      </c>
      <c r="S314">
        <f ca="1">J314+R314+O314</f>
        <v>123895.48745307865</v>
      </c>
      <c r="T314">
        <f ca="1">N314+P314+Q314</f>
        <v>228442.05890192179</v>
      </c>
      <c r="U314">
        <f ca="1">S314-T314</f>
        <v>-104546.57144884314</v>
      </c>
      <c r="AC314" s="6">
        <f ca="1">IF(Table1[[#This Row],[gender]]="men",1,0)</f>
        <v>0</v>
      </c>
      <c r="AD314">
        <f ca="1">IF(Table1[[#This Row],[gender]]="women",1,0)</f>
        <v>1</v>
      </c>
      <c r="AH314" s="5"/>
      <c r="AJ314" s="6">
        <f ca="1">IF(Table1[[#This Row],[Column1]]="Health",1,0)</f>
        <v>0</v>
      </c>
      <c r="AK314">
        <f ca="1">IF(Table1[[#This Row],[Column1]]="Construction",1,0)</f>
        <v>0</v>
      </c>
      <c r="AL314">
        <f ca="1">IF(Table1[[#This Row],[Column1]]="Technology",1,0)</f>
        <v>0</v>
      </c>
      <c r="AM314">
        <f ca="1">IF(Table1[[#This Row],[Column1]]="Education",1,0)</f>
        <v>0</v>
      </c>
      <c r="AN314">
        <f ca="1">IF(Table1[[#This Row],[Column1]]="Agriculture",1,0)</f>
        <v>0</v>
      </c>
      <c r="AO314">
        <f ca="1">IF(Table1[[#This Row],[Column1]]="Social Service", 1, 0)</f>
        <v>1</v>
      </c>
      <c r="AT314" s="5"/>
      <c r="AV314" s="17">
        <f t="shared" ca="1" si="12"/>
        <v>36746.590522725346</v>
      </c>
      <c r="AW314" s="5"/>
      <c r="AX314" s="6">
        <f ca="1">IF(Table1[[#This Row],[Value of Debts]]&gt;$AY$4,1,0)</f>
        <v>1</v>
      </c>
      <c r="AY314" s="20"/>
      <c r="AZ314" s="20"/>
      <c r="BA314" s="5"/>
      <c r="BB314" s="25">
        <f ca="1">Table1[[#This Row],[Mortage Left]]/Table1[[#This Row],[Value of House]]</f>
        <v>0.81952099766964392</v>
      </c>
      <c r="BC314" s="20">
        <f t="shared" ca="1" si="14"/>
        <v>0</v>
      </c>
      <c r="BD314" s="20"/>
      <c r="BE314" s="20"/>
      <c r="BF314" s="20"/>
      <c r="BG314" s="6">
        <f ca="1">IF(Table1[[#This Row],[County]]="Cumbria",Table1[[#This Row],[income]],0)</f>
        <v>0</v>
      </c>
      <c r="BH314" s="20">
        <f ca="1">IF(Table1[[#This Row],[County]]="Cheshire",Table1[[#This Row],[income]],0)</f>
        <v>0</v>
      </c>
      <c r="BI314" s="20">
        <f ca="1">IF(Table1[[#This Row],[County]]="Bristol",Table1[[#This Row],[income]],0)</f>
        <v>0</v>
      </c>
      <c r="BJ314" s="20">
        <f ca="1">IF(Table1[[#This Row],[County]]="Surrey",Table1[[#This Row],[income]],0)</f>
        <v>0</v>
      </c>
      <c r="BK314" s="20">
        <f ca="1">IF(Table1[[#This Row],[County]]="Norfolk",Table1[[#This Row],[income]],0)</f>
        <v>0</v>
      </c>
      <c r="BL314" s="20">
        <f ca="1">IF(Table1[[#This Row],[County]]="Lincolnshire",Table1[[#This Row],[income]],0)</f>
        <v>0</v>
      </c>
      <c r="BM314" s="20">
        <f ca="1">IF(Table1[[#This Row],[County]]="Somerset",Table1[[#This Row],[income]],0)</f>
        <v>0</v>
      </c>
      <c r="BN314" s="20">
        <f ca="1">IF(Table1[[#This Row],[County]]="Cambridgeshire",Table1[[#This Row],[income]],0)</f>
        <v>0</v>
      </c>
      <c r="BO314" s="20">
        <f ca="1">IF(Table1[[#This Row],[County]]="South Yorkshire",Table1[[#This Row],[income]],0)</f>
        <v>0</v>
      </c>
      <c r="BP314" s="20">
        <f ca="1">IF(Table1[[#This Row],[County]]="Greater London",Table1[[#This Row],[income]],0)</f>
        <v>0</v>
      </c>
      <c r="BQ314" s="20">
        <f ca="1">IF(Table1[[#This Row],[County]]="Hampshire",Table1[[#This Row],[income]],0)</f>
        <v>0</v>
      </c>
      <c r="BR314" s="20">
        <f ca="1">IF(Table1[[#This Row],[County]]="Gloucestershire",Table1[[#This Row],[income]],0)</f>
        <v>0</v>
      </c>
      <c r="BS314" s="20">
        <f ca="1">IF(Table1[[#This Row],[County]]="West Sussex",Table1[[#This Row],[income]],0)</f>
        <v>0</v>
      </c>
      <c r="BT314" s="20">
        <f ca="1">IF(Table1[[#This Row],[County]]="Devon",Table1[[#This Row],[income]],0)</f>
        <v>0</v>
      </c>
      <c r="BU314" s="20">
        <f ca="1">IF(Table1[[#This Row],[County]]="Berkshire",Table1[[#This Row],[income]],0)</f>
        <v>0</v>
      </c>
      <c r="BV314" s="20">
        <f ca="1">IF(Table1[[#This Row],[County]]="Staffordshire",Table1[[#This Row],[income]],0)</f>
        <v>0</v>
      </c>
      <c r="BW314" s="20">
        <f ca="1">IF(Table1[[#This Row],[County]]="Leicestershire",Table1[[#This Row],[income]],0)</f>
        <v>0</v>
      </c>
      <c r="BX314" s="20">
        <f ca="1">IF(Table1[[#This Row],[County]]="Cornwall",Table1[[#This Row],[income]],0)</f>
        <v>0</v>
      </c>
      <c r="BY314" s="20">
        <f ca="1">IF(Table1[[#This Row],[County]]="Isle of Wight",Table1[[#This Row],[income]],0)</f>
        <v>0</v>
      </c>
      <c r="BZ314" s="20">
        <f ca="1">IF(Table1[[#This Row],[County]]="Surrey",Table1[[#This Row],[income]],0)</f>
        <v>0</v>
      </c>
      <c r="CA314" s="20">
        <f ca="1">IF(Table1[[#This Row],[County]]="Derbyshire",Table1[[#This Row],[income]],0)</f>
        <v>0</v>
      </c>
      <c r="CB314" s="20">
        <f ca="1">IF(Table1[[#This Row],[County]]="City of London",Table1[[#This Row],[income]],0)</f>
        <v>0</v>
      </c>
      <c r="CC314" s="20">
        <f ca="1">IF(Table1[[#This Row],[County]]="Bedfordshire",Table1[[#This Row],[income]],0)</f>
        <v>0</v>
      </c>
      <c r="CD314" s="20">
        <f ca="1">IF(Table1[[#This Row],[County]]="County Durham",Table1[[#This Row],[income]],0)</f>
        <v>0</v>
      </c>
      <c r="CE314" s="20">
        <f ca="1">IF(Table1[[#This Row],[County]]="East Riding of Yorkshire",Table1[[#This Row],[income]],0)</f>
        <v>41032</v>
      </c>
      <c r="CF314" s="20">
        <f ca="1">IF(Table1[[#This Row],[County]]="West Yorkshire",Table1[[#This Row],[income]],0)</f>
        <v>0</v>
      </c>
      <c r="CG314" s="20">
        <f ca="1">IF(Table1[[#This Row],[County]]="Essex",Table1[[#This Row],[income]],0)</f>
        <v>0</v>
      </c>
      <c r="CH314" s="20">
        <f ca="1">IF(Table1[[#This Row],[County]]="East Sussex",Table1[[#This Row],[income]],0)</f>
        <v>0</v>
      </c>
      <c r="CI314" s="20">
        <f ca="1">IF(Table1[[#This Row],[County]]="Greater Manchester",Table1[[#This Row],[income]],0)</f>
        <v>0</v>
      </c>
      <c r="CJ314" s="20">
        <f ca="1">IF(Table1[[#This Row],[County]]="Hertfordshire",Table1[[#This Row],[income]],0)</f>
        <v>0</v>
      </c>
      <c r="CK314" s="20">
        <f ca="1">IF(Table1[[#This Row],[County]]="Herefordshire",Table1[[#This Row],[income]],0)</f>
        <v>0</v>
      </c>
      <c r="CL314" s="20">
        <f ca="1">IF(Table1[[#This Row],[County]]="Lancashire",Table1[[#This Row],[income]],0)</f>
        <v>0</v>
      </c>
      <c r="CM314" s="20">
        <f ca="1">IF(Table1[[#This Row],[County]]="Merseyside",Table1[[#This Row],[income]],0)</f>
        <v>0</v>
      </c>
      <c r="CN314" s="20">
        <f ca="1">IF(Table1[[#This Row],[County]]="Northamptonshire",Table1[[#This Row],[income]],0)</f>
        <v>0</v>
      </c>
      <c r="CO314" s="20">
        <f ca="1">IF(Table1[[#This Row],[County]]="Northumberland",Table1[[#This Row],[income]],0)</f>
        <v>0</v>
      </c>
      <c r="CP314" s="20">
        <f ca="1">IF(Table1[[#This Row],[County]]="Wiltshire",Table1[[#This Row],[income]],0)</f>
        <v>0</v>
      </c>
      <c r="CQ314" s="20">
        <f ca="1">IF(Table1[[#This Row],[County]]="West Midlands",Table1[[#This Row],[income]],0)</f>
        <v>0</v>
      </c>
      <c r="CR314" s="20">
        <f ca="1">IF(Table1[[#This Row],[County]]="Warwickshire",Table1[[#This Row],[income]],0)</f>
        <v>0</v>
      </c>
      <c r="CS314" s="20">
        <f ca="1">IF(Table1[[#This Row],[County]]="Tyne and Wear",Table1[[#This Row],[income]],0)</f>
        <v>0</v>
      </c>
      <c r="CT314" s="20">
        <f ca="1">IF(Table1[[#This Row],[County]]="Worcestershire",Table1[[#This Row],[income]],0)</f>
        <v>0</v>
      </c>
      <c r="CU314" s="20">
        <f ca="1">IF(Table1[[#This Row],[County]]="Rutland",Table1[[#This Row],[income]],0)</f>
        <v>0</v>
      </c>
      <c r="CV314" s="20">
        <f ca="1">IF(Table1[[#This Row],[County]]="Shropshire",Table1[[#This Row],[income]],0)</f>
        <v>0</v>
      </c>
      <c r="CW314" s="20">
        <f ca="1">IF(Table1[[#This Row],[County]]="Dorset",Table1[[#This Row],[income]],0)</f>
        <v>0</v>
      </c>
      <c r="CX314" s="20">
        <f ca="1">IF(Table1[[#This Row],[County]]="Buckinghamshire",Table1[[#This Row],[income]],0)</f>
        <v>0</v>
      </c>
      <c r="CY314" s="20">
        <f ca="1">IF(Table1[[#This Row],[County]]="Suffolk",Table1[[#This Row],[income]],0)</f>
        <v>0</v>
      </c>
      <c r="CZ314" s="20">
        <f ca="1">IF(Table1[[#This Row],[County]]="North Yorkshire",Table1[[#This Row],[income]],0)</f>
        <v>0</v>
      </c>
      <c r="DA314" s="20">
        <f ca="1">IF(Table1[[#This Row],[County]]="Kent",Table1[[#This Row],[income]],0)</f>
        <v>0</v>
      </c>
      <c r="DB314" s="5">
        <f ca="1">IF(Table1[[#This Row],[County]]="Derbyshire",Table1[[#This Row],[income]],0)</f>
        <v>0</v>
      </c>
      <c r="DD314" s="6">
        <f ca="1">IF(Table1[[#This Row],[Column1]]="Health",Table1[[#This Row],[income]],0)</f>
        <v>0</v>
      </c>
      <c r="DE314" s="20">
        <f ca="1">IF(Table1[[#This Row],[Column1]]="Agriculture",Table1[[#This Row],[income]],0)</f>
        <v>0</v>
      </c>
      <c r="DF314" s="20">
        <f ca="1">IF(Table1[[#This Row],[Column1]]="Technology",Table1[[#This Row],[income]],0)</f>
        <v>0</v>
      </c>
      <c r="DG314" s="20">
        <f ca="1">IF(Table1[[#This Row],[Column1]]="Social Service",Table1[[#This Row],[income]],0)</f>
        <v>41032</v>
      </c>
      <c r="DH314" s="20">
        <f ca="1">IF(Table1[[#This Row],[Column1]]="Education",Table1[[#This Row],[income]],0)</f>
        <v>0</v>
      </c>
      <c r="DI314" s="5">
        <f ca="1">IF(Table1[[#This Row],[Column1]]="Construction",Table1[[#This Row],[income]],0)</f>
        <v>0</v>
      </c>
      <c r="DK314" s="6">
        <f ca="1">IF(Table1[[#This Row],[Value of Debts]]&gt;Table1[[#This Row],[income]],1,0)</f>
        <v>1</v>
      </c>
      <c r="DL314" s="20"/>
      <c r="DM314" s="20"/>
      <c r="DN314" s="5"/>
      <c r="DP314" s="6">
        <f ca="1">IF(Table1[[#This Row],[Net Worth (£)]]&gt;$DS$5,C314,0)</f>
        <v>0</v>
      </c>
      <c r="DQ314" s="20"/>
      <c r="DR314" s="20"/>
      <c r="DS314" s="5"/>
    </row>
    <row r="315" spans="1:123" x14ac:dyDescent="0.2">
      <c r="A315">
        <f t="shared" ca="1" si="13"/>
        <v>2</v>
      </c>
      <c r="B315" s="1" t="str">
        <f ca="1">IF(A315=1, "men", "women")</f>
        <v>women</v>
      </c>
      <c r="C315" s="1">
        <f ca="1">RANDBETWEEN(25,50)</f>
        <v>42</v>
      </c>
      <c r="D315">
        <f ca="1">RANDBETWEEN(1,6)</f>
        <v>4</v>
      </c>
      <c r="E315" t="str">
        <f ca="1">VLOOKUP(D315,$W$5:$X$10,2)</f>
        <v>Technology</v>
      </c>
      <c r="F315">
        <f ca="1">RANDBETWEEN(1,5)</f>
        <v>2</v>
      </c>
      <c r="G315" t="str">
        <f ca="1">VLOOKUP(F315,$Y$5:$Z$9,2)</f>
        <v>College</v>
      </c>
      <c r="H315">
        <f ca="1">RANDBETWEEN(0,4)</f>
        <v>0</v>
      </c>
      <c r="I315">
        <f ca="1">RANDBETWEEN(1,3)</f>
        <v>3</v>
      </c>
      <c r="J315">
        <f ca="1">RANDBETWEEN(30000,100000)</f>
        <v>65943</v>
      </c>
      <c r="K315">
        <f ca="1">RANDBETWEEN(1,48)</f>
        <v>37</v>
      </c>
      <c r="L315" t="str">
        <f ca="1">VLOOKUP(K315,$AA$5:$AB$52,2)</f>
        <v>Somerset</v>
      </c>
      <c r="M315">
        <f ca="1">J315*(RANDBETWEEN(2,5))</f>
        <v>197829</v>
      </c>
      <c r="N315">
        <f ca="1">RAND()*M315</f>
        <v>78674.169900270266</v>
      </c>
      <c r="O315">
        <f ca="1">I315*RAND()*J315</f>
        <v>110239.77156817605</v>
      </c>
      <c r="P315">
        <f ca="1">RANDBETWEEN(0,O315)</f>
        <v>1891</v>
      </c>
      <c r="Q315">
        <f ca="1">RAND()*J315*2</f>
        <v>26532.788971647398</v>
      </c>
      <c r="R315">
        <f ca="1">RAND()*J315*1.5</f>
        <v>4861.2483475189802</v>
      </c>
      <c r="S315">
        <f ca="1">J315+R315+O315</f>
        <v>181044.01991569501</v>
      </c>
      <c r="T315">
        <f ca="1">N315+P315+Q315</f>
        <v>107097.95887191767</v>
      </c>
      <c r="U315">
        <f ca="1">S315-T315</f>
        <v>73946.061043777343</v>
      </c>
      <c r="AC315" s="6">
        <f ca="1">IF(Table1[[#This Row],[gender]]="men",1,0)</f>
        <v>0</v>
      </c>
      <c r="AD315">
        <f ca="1">IF(Table1[[#This Row],[gender]]="women",1,0)</f>
        <v>1</v>
      </c>
      <c r="AH315" s="5"/>
      <c r="AJ315" s="6">
        <f ca="1">IF(Table1[[#This Row],[Column1]]="Health",1,0)</f>
        <v>0</v>
      </c>
      <c r="AK315">
        <f ca="1">IF(Table1[[#This Row],[Column1]]="Construction",1,0)</f>
        <v>0</v>
      </c>
      <c r="AL315">
        <f ca="1">IF(Table1[[#This Row],[Column1]]="Technology",1,0)</f>
        <v>1</v>
      </c>
      <c r="AM315">
        <f ca="1">IF(Table1[[#This Row],[Column1]]="Education",1,0)</f>
        <v>0</v>
      </c>
      <c r="AN315">
        <f ca="1">IF(Table1[[#This Row],[Column1]]="Agriculture",1,0)</f>
        <v>0</v>
      </c>
      <c r="AO315">
        <f ca="1">IF(Table1[[#This Row],[Column1]]="Social Service", 1, 0)</f>
        <v>0</v>
      </c>
      <c r="AT315" s="5"/>
      <c r="AV315" s="17">
        <f t="shared" ca="1" si="12"/>
        <v>25118.976145018682</v>
      </c>
      <c r="AW315" s="5"/>
      <c r="AX315" s="6">
        <f ca="1">IF(Table1[[#This Row],[Value of Debts]]&gt;$AY$4,1,0)</f>
        <v>1</v>
      </c>
      <c r="AY315" s="20"/>
      <c r="AZ315" s="20"/>
      <c r="BA315" s="5"/>
      <c r="BB315" s="25">
        <f ca="1">Table1[[#This Row],[Mortage Left]]/Table1[[#This Row],[Value of House]]</f>
        <v>0.39768775002790424</v>
      </c>
      <c r="BC315" s="20">
        <f t="shared" ca="1" si="14"/>
        <v>0</v>
      </c>
      <c r="BD315" s="20"/>
      <c r="BE315" s="20"/>
      <c r="BF315" s="20"/>
      <c r="BG315" s="6">
        <f ca="1">IF(Table1[[#This Row],[County]]="Cumbria",Table1[[#This Row],[income]],0)</f>
        <v>0</v>
      </c>
      <c r="BH315" s="20">
        <f ca="1">IF(Table1[[#This Row],[County]]="Cheshire",Table1[[#This Row],[income]],0)</f>
        <v>0</v>
      </c>
      <c r="BI315" s="20">
        <f ca="1">IF(Table1[[#This Row],[County]]="Bristol",Table1[[#This Row],[income]],0)</f>
        <v>0</v>
      </c>
      <c r="BJ315" s="20">
        <f ca="1">IF(Table1[[#This Row],[County]]="Surrey",Table1[[#This Row],[income]],0)</f>
        <v>0</v>
      </c>
      <c r="BK315" s="20">
        <f ca="1">IF(Table1[[#This Row],[County]]="Norfolk",Table1[[#This Row],[income]],0)</f>
        <v>0</v>
      </c>
      <c r="BL315" s="20">
        <f ca="1">IF(Table1[[#This Row],[County]]="Lincolnshire",Table1[[#This Row],[income]],0)</f>
        <v>0</v>
      </c>
      <c r="BM315" s="20">
        <f ca="1">IF(Table1[[#This Row],[County]]="Somerset",Table1[[#This Row],[income]],0)</f>
        <v>65943</v>
      </c>
      <c r="BN315" s="20">
        <f ca="1">IF(Table1[[#This Row],[County]]="Cambridgeshire",Table1[[#This Row],[income]],0)</f>
        <v>0</v>
      </c>
      <c r="BO315" s="20">
        <f ca="1">IF(Table1[[#This Row],[County]]="South Yorkshire",Table1[[#This Row],[income]],0)</f>
        <v>0</v>
      </c>
      <c r="BP315" s="20">
        <f ca="1">IF(Table1[[#This Row],[County]]="Greater London",Table1[[#This Row],[income]],0)</f>
        <v>0</v>
      </c>
      <c r="BQ315" s="20">
        <f ca="1">IF(Table1[[#This Row],[County]]="Hampshire",Table1[[#This Row],[income]],0)</f>
        <v>0</v>
      </c>
      <c r="BR315" s="20">
        <f ca="1">IF(Table1[[#This Row],[County]]="Gloucestershire",Table1[[#This Row],[income]],0)</f>
        <v>0</v>
      </c>
      <c r="BS315" s="20">
        <f ca="1">IF(Table1[[#This Row],[County]]="West Sussex",Table1[[#This Row],[income]],0)</f>
        <v>0</v>
      </c>
      <c r="BT315" s="20">
        <f ca="1">IF(Table1[[#This Row],[County]]="Devon",Table1[[#This Row],[income]],0)</f>
        <v>0</v>
      </c>
      <c r="BU315" s="20">
        <f ca="1">IF(Table1[[#This Row],[County]]="Berkshire",Table1[[#This Row],[income]],0)</f>
        <v>0</v>
      </c>
      <c r="BV315" s="20">
        <f ca="1">IF(Table1[[#This Row],[County]]="Staffordshire",Table1[[#This Row],[income]],0)</f>
        <v>0</v>
      </c>
      <c r="BW315" s="20">
        <f ca="1">IF(Table1[[#This Row],[County]]="Leicestershire",Table1[[#This Row],[income]],0)</f>
        <v>0</v>
      </c>
      <c r="BX315" s="20">
        <f ca="1">IF(Table1[[#This Row],[County]]="Cornwall",Table1[[#This Row],[income]],0)</f>
        <v>0</v>
      </c>
      <c r="BY315" s="20">
        <f ca="1">IF(Table1[[#This Row],[County]]="Isle of Wight",Table1[[#This Row],[income]],0)</f>
        <v>0</v>
      </c>
      <c r="BZ315" s="20">
        <f ca="1">IF(Table1[[#This Row],[County]]="Surrey",Table1[[#This Row],[income]],0)</f>
        <v>0</v>
      </c>
      <c r="CA315" s="20">
        <f ca="1">IF(Table1[[#This Row],[County]]="Derbyshire",Table1[[#This Row],[income]],0)</f>
        <v>0</v>
      </c>
      <c r="CB315" s="20">
        <f ca="1">IF(Table1[[#This Row],[County]]="City of London",Table1[[#This Row],[income]],0)</f>
        <v>0</v>
      </c>
      <c r="CC315" s="20">
        <f ca="1">IF(Table1[[#This Row],[County]]="Bedfordshire",Table1[[#This Row],[income]],0)</f>
        <v>0</v>
      </c>
      <c r="CD315" s="20">
        <f ca="1">IF(Table1[[#This Row],[County]]="County Durham",Table1[[#This Row],[income]],0)</f>
        <v>0</v>
      </c>
      <c r="CE315" s="20">
        <f ca="1">IF(Table1[[#This Row],[County]]="East Riding of Yorkshire",Table1[[#This Row],[income]],0)</f>
        <v>0</v>
      </c>
      <c r="CF315" s="20">
        <f ca="1">IF(Table1[[#This Row],[County]]="West Yorkshire",Table1[[#This Row],[income]],0)</f>
        <v>0</v>
      </c>
      <c r="CG315" s="20">
        <f ca="1">IF(Table1[[#This Row],[County]]="Essex",Table1[[#This Row],[income]],0)</f>
        <v>0</v>
      </c>
      <c r="CH315" s="20">
        <f ca="1">IF(Table1[[#This Row],[County]]="East Sussex",Table1[[#This Row],[income]],0)</f>
        <v>0</v>
      </c>
      <c r="CI315" s="20">
        <f ca="1">IF(Table1[[#This Row],[County]]="Greater Manchester",Table1[[#This Row],[income]],0)</f>
        <v>0</v>
      </c>
      <c r="CJ315" s="20">
        <f ca="1">IF(Table1[[#This Row],[County]]="Hertfordshire",Table1[[#This Row],[income]],0)</f>
        <v>0</v>
      </c>
      <c r="CK315" s="20">
        <f ca="1">IF(Table1[[#This Row],[County]]="Herefordshire",Table1[[#This Row],[income]],0)</f>
        <v>0</v>
      </c>
      <c r="CL315" s="20">
        <f ca="1">IF(Table1[[#This Row],[County]]="Lancashire",Table1[[#This Row],[income]],0)</f>
        <v>0</v>
      </c>
      <c r="CM315" s="20">
        <f ca="1">IF(Table1[[#This Row],[County]]="Merseyside",Table1[[#This Row],[income]],0)</f>
        <v>0</v>
      </c>
      <c r="CN315" s="20">
        <f ca="1">IF(Table1[[#This Row],[County]]="Northamptonshire",Table1[[#This Row],[income]],0)</f>
        <v>0</v>
      </c>
      <c r="CO315" s="20">
        <f ca="1">IF(Table1[[#This Row],[County]]="Northumberland",Table1[[#This Row],[income]],0)</f>
        <v>0</v>
      </c>
      <c r="CP315" s="20">
        <f ca="1">IF(Table1[[#This Row],[County]]="Wiltshire",Table1[[#This Row],[income]],0)</f>
        <v>0</v>
      </c>
      <c r="CQ315" s="20">
        <f ca="1">IF(Table1[[#This Row],[County]]="West Midlands",Table1[[#This Row],[income]],0)</f>
        <v>0</v>
      </c>
      <c r="CR315" s="20">
        <f ca="1">IF(Table1[[#This Row],[County]]="Warwickshire",Table1[[#This Row],[income]],0)</f>
        <v>0</v>
      </c>
      <c r="CS315" s="20">
        <f ca="1">IF(Table1[[#This Row],[County]]="Tyne and Wear",Table1[[#This Row],[income]],0)</f>
        <v>0</v>
      </c>
      <c r="CT315" s="20">
        <f ca="1">IF(Table1[[#This Row],[County]]="Worcestershire",Table1[[#This Row],[income]],0)</f>
        <v>0</v>
      </c>
      <c r="CU315" s="20">
        <f ca="1">IF(Table1[[#This Row],[County]]="Rutland",Table1[[#This Row],[income]],0)</f>
        <v>0</v>
      </c>
      <c r="CV315" s="20">
        <f ca="1">IF(Table1[[#This Row],[County]]="Shropshire",Table1[[#This Row],[income]],0)</f>
        <v>0</v>
      </c>
      <c r="CW315" s="20">
        <f ca="1">IF(Table1[[#This Row],[County]]="Dorset",Table1[[#This Row],[income]],0)</f>
        <v>0</v>
      </c>
      <c r="CX315" s="20">
        <f ca="1">IF(Table1[[#This Row],[County]]="Buckinghamshire",Table1[[#This Row],[income]],0)</f>
        <v>0</v>
      </c>
      <c r="CY315" s="20">
        <f ca="1">IF(Table1[[#This Row],[County]]="Suffolk",Table1[[#This Row],[income]],0)</f>
        <v>0</v>
      </c>
      <c r="CZ315" s="20">
        <f ca="1">IF(Table1[[#This Row],[County]]="North Yorkshire",Table1[[#This Row],[income]],0)</f>
        <v>0</v>
      </c>
      <c r="DA315" s="20">
        <f ca="1">IF(Table1[[#This Row],[County]]="Kent",Table1[[#This Row],[income]],0)</f>
        <v>0</v>
      </c>
      <c r="DB315" s="5">
        <f ca="1">IF(Table1[[#This Row],[County]]="Derbyshire",Table1[[#This Row],[income]],0)</f>
        <v>0</v>
      </c>
      <c r="DD315" s="6">
        <f ca="1">IF(Table1[[#This Row],[Column1]]="Health",Table1[[#This Row],[income]],0)</f>
        <v>0</v>
      </c>
      <c r="DE315" s="20">
        <f ca="1">IF(Table1[[#This Row],[Column1]]="Agriculture",Table1[[#This Row],[income]],0)</f>
        <v>0</v>
      </c>
      <c r="DF315" s="20">
        <f ca="1">IF(Table1[[#This Row],[Column1]]="Technology",Table1[[#This Row],[income]],0)</f>
        <v>65943</v>
      </c>
      <c r="DG315" s="20">
        <f ca="1">IF(Table1[[#This Row],[Column1]]="Social Service",Table1[[#This Row],[income]],0)</f>
        <v>0</v>
      </c>
      <c r="DH315" s="20">
        <f ca="1">IF(Table1[[#This Row],[Column1]]="Education",Table1[[#This Row],[income]],0)</f>
        <v>0</v>
      </c>
      <c r="DI315" s="5">
        <f ca="1">IF(Table1[[#This Row],[Column1]]="Construction",Table1[[#This Row],[income]],0)</f>
        <v>0</v>
      </c>
      <c r="DK315" s="6">
        <f ca="1">IF(Table1[[#This Row],[Value of Debts]]&gt;Table1[[#This Row],[income]],1,0)</f>
        <v>1</v>
      </c>
      <c r="DL315" s="20"/>
      <c r="DM315" s="20"/>
      <c r="DN315" s="5"/>
      <c r="DP315" s="6">
        <f ca="1">IF(Table1[[#This Row],[Net Worth (£)]]&gt;$DS$5,C315,0)</f>
        <v>42</v>
      </c>
      <c r="DQ315" s="20"/>
      <c r="DR315" s="20"/>
      <c r="DS315" s="5"/>
    </row>
    <row r="316" spans="1:123" x14ac:dyDescent="0.2">
      <c r="A316">
        <f t="shared" ca="1" si="13"/>
        <v>2</v>
      </c>
      <c r="B316" s="1" t="str">
        <f ca="1">IF(A316=1, "men", "women")</f>
        <v>women</v>
      </c>
      <c r="C316" s="1">
        <f ca="1">RANDBETWEEN(25,50)</f>
        <v>27</v>
      </c>
      <c r="D316">
        <f ca="1">RANDBETWEEN(1,6)</f>
        <v>3</v>
      </c>
      <c r="E316" t="str">
        <f ca="1">VLOOKUP(D316,$W$5:$X$10,2)</f>
        <v>Education</v>
      </c>
      <c r="F316">
        <f ca="1">RANDBETWEEN(1,5)</f>
        <v>5</v>
      </c>
      <c r="G316" t="str">
        <f ca="1">VLOOKUP(F316,$Y$5:$Z$9,2)</f>
        <v>Other</v>
      </c>
      <c r="H316">
        <f ca="1">RANDBETWEEN(0,4)</f>
        <v>1</v>
      </c>
      <c r="I316">
        <f ca="1">RANDBETWEEN(1,3)</f>
        <v>2</v>
      </c>
      <c r="J316">
        <f ca="1">RANDBETWEEN(30000,100000)</f>
        <v>48622</v>
      </c>
      <c r="K316">
        <f ca="1">RANDBETWEEN(1,48)</f>
        <v>36</v>
      </c>
      <c r="L316" t="str">
        <f ca="1">VLOOKUP(K316,$AA$5:$AB$52,2)</f>
        <v>Shropshire</v>
      </c>
      <c r="M316">
        <f ca="1">J316*(RANDBETWEEN(2,5))</f>
        <v>194488</v>
      </c>
      <c r="N316">
        <f ca="1">RAND()*M316</f>
        <v>39442.261991399741</v>
      </c>
      <c r="O316">
        <f ca="1">I316*RAND()*J316</f>
        <v>50237.952290037363</v>
      </c>
      <c r="P316">
        <f ca="1">RANDBETWEEN(0,O316)</f>
        <v>24610</v>
      </c>
      <c r="Q316">
        <f ca="1">RAND()*J316*2</f>
        <v>48274.346234945806</v>
      </c>
      <c r="R316">
        <f ca="1">RAND()*J316*1.5</f>
        <v>8213.6208444613403</v>
      </c>
      <c r="S316">
        <f ca="1">J316+R316+O316</f>
        <v>107073.5731344987</v>
      </c>
      <c r="T316">
        <f ca="1">N316+P316+Q316</f>
        <v>112326.60822634555</v>
      </c>
      <c r="U316">
        <f ca="1">S316-T316</f>
        <v>-5253.0350918468466</v>
      </c>
      <c r="AC316" s="6">
        <f ca="1">IF(Table1[[#This Row],[gender]]="men",1,0)</f>
        <v>0</v>
      </c>
      <c r="AD316">
        <f ca="1">IF(Table1[[#This Row],[gender]]="women",1,0)</f>
        <v>1</v>
      </c>
      <c r="AH316" s="5"/>
      <c r="AJ316" s="6">
        <f ca="1">IF(Table1[[#This Row],[Column1]]="Health",1,0)</f>
        <v>0</v>
      </c>
      <c r="AK316">
        <f ca="1">IF(Table1[[#This Row],[Column1]]="Construction",1,0)</f>
        <v>0</v>
      </c>
      <c r="AL316">
        <f ca="1">IF(Table1[[#This Row],[Column1]]="Technology",1,0)</f>
        <v>0</v>
      </c>
      <c r="AM316">
        <f ca="1">IF(Table1[[#This Row],[Column1]]="Education",1,0)</f>
        <v>1</v>
      </c>
      <c r="AN316">
        <f ca="1">IF(Table1[[#This Row],[Column1]]="Agriculture",1,0)</f>
        <v>0</v>
      </c>
      <c r="AO316">
        <f ca="1">IF(Table1[[#This Row],[Column1]]="Social Service", 1, 0)</f>
        <v>0</v>
      </c>
      <c r="AT316" s="5"/>
      <c r="AV316" s="17">
        <f t="shared" ca="1" si="12"/>
        <v>22080.351701751555</v>
      </c>
      <c r="AW316" s="5"/>
      <c r="AX316" s="6">
        <f ca="1">IF(Table1[[#This Row],[Value of Debts]]&gt;$AY$4,1,0)</f>
        <v>1</v>
      </c>
      <c r="AY316" s="20"/>
      <c r="AZ316" s="20"/>
      <c r="BA316" s="5"/>
      <c r="BB316" s="25">
        <f ca="1">Table1[[#This Row],[Mortage Left]]/Table1[[#This Row],[Value of House]]</f>
        <v>0.20280049150281632</v>
      </c>
      <c r="BC316" s="20">
        <f t="shared" ca="1" si="14"/>
        <v>1</v>
      </c>
      <c r="BD316" s="20"/>
      <c r="BE316" s="20"/>
      <c r="BF316" s="20"/>
      <c r="BG316" s="6">
        <f ca="1">IF(Table1[[#This Row],[County]]="Cumbria",Table1[[#This Row],[income]],0)</f>
        <v>0</v>
      </c>
      <c r="BH316" s="20">
        <f ca="1">IF(Table1[[#This Row],[County]]="Cheshire",Table1[[#This Row],[income]],0)</f>
        <v>0</v>
      </c>
      <c r="BI316" s="20">
        <f ca="1">IF(Table1[[#This Row],[County]]="Bristol",Table1[[#This Row],[income]],0)</f>
        <v>0</v>
      </c>
      <c r="BJ316" s="20">
        <f ca="1">IF(Table1[[#This Row],[County]]="Surrey",Table1[[#This Row],[income]],0)</f>
        <v>0</v>
      </c>
      <c r="BK316" s="20">
        <f ca="1">IF(Table1[[#This Row],[County]]="Norfolk",Table1[[#This Row],[income]],0)</f>
        <v>0</v>
      </c>
      <c r="BL316" s="20">
        <f ca="1">IF(Table1[[#This Row],[County]]="Lincolnshire",Table1[[#This Row],[income]],0)</f>
        <v>0</v>
      </c>
      <c r="BM316" s="20">
        <f ca="1">IF(Table1[[#This Row],[County]]="Somerset",Table1[[#This Row],[income]],0)</f>
        <v>0</v>
      </c>
      <c r="BN316" s="20">
        <f ca="1">IF(Table1[[#This Row],[County]]="Cambridgeshire",Table1[[#This Row],[income]],0)</f>
        <v>0</v>
      </c>
      <c r="BO316" s="20">
        <f ca="1">IF(Table1[[#This Row],[County]]="South Yorkshire",Table1[[#This Row],[income]],0)</f>
        <v>0</v>
      </c>
      <c r="BP316" s="20">
        <f ca="1">IF(Table1[[#This Row],[County]]="Greater London",Table1[[#This Row],[income]],0)</f>
        <v>0</v>
      </c>
      <c r="BQ316" s="20">
        <f ca="1">IF(Table1[[#This Row],[County]]="Hampshire",Table1[[#This Row],[income]],0)</f>
        <v>0</v>
      </c>
      <c r="BR316" s="20">
        <f ca="1">IF(Table1[[#This Row],[County]]="Gloucestershire",Table1[[#This Row],[income]],0)</f>
        <v>0</v>
      </c>
      <c r="BS316" s="20">
        <f ca="1">IF(Table1[[#This Row],[County]]="West Sussex",Table1[[#This Row],[income]],0)</f>
        <v>0</v>
      </c>
      <c r="BT316" s="20">
        <f ca="1">IF(Table1[[#This Row],[County]]="Devon",Table1[[#This Row],[income]],0)</f>
        <v>0</v>
      </c>
      <c r="BU316" s="20">
        <f ca="1">IF(Table1[[#This Row],[County]]="Berkshire",Table1[[#This Row],[income]],0)</f>
        <v>0</v>
      </c>
      <c r="BV316" s="20">
        <f ca="1">IF(Table1[[#This Row],[County]]="Staffordshire",Table1[[#This Row],[income]],0)</f>
        <v>0</v>
      </c>
      <c r="BW316" s="20">
        <f ca="1">IF(Table1[[#This Row],[County]]="Leicestershire",Table1[[#This Row],[income]],0)</f>
        <v>0</v>
      </c>
      <c r="BX316" s="20">
        <f ca="1">IF(Table1[[#This Row],[County]]="Cornwall",Table1[[#This Row],[income]],0)</f>
        <v>0</v>
      </c>
      <c r="BY316" s="20">
        <f ca="1">IF(Table1[[#This Row],[County]]="Isle of Wight",Table1[[#This Row],[income]],0)</f>
        <v>0</v>
      </c>
      <c r="BZ316" s="20">
        <f ca="1">IF(Table1[[#This Row],[County]]="Surrey",Table1[[#This Row],[income]],0)</f>
        <v>0</v>
      </c>
      <c r="CA316" s="20">
        <f ca="1">IF(Table1[[#This Row],[County]]="Derbyshire",Table1[[#This Row],[income]],0)</f>
        <v>0</v>
      </c>
      <c r="CB316" s="20">
        <f ca="1">IF(Table1[[#This Row],[County]]="City of London",Table1[[#This Row],[income]],0)</f>
        <v>0</v>
      </c>
      <c r="CC316" s="20">
        <f ca="1">IF(Table1[[#This Row],[County]]="Bedfordshire",Table1[[#This Row],[income]],0)</f>
        <v>0</v>
      </c>
      <c r="CD316" s="20">
        <f ca="1">IF(Table1[[#This Row],[County]]="County Durham",Table1[[#This Row],[income]],0)</f>
        <v>0</v>
      </c>
      <c r="CE316" s="20">
        <f ca="1">IF(Table1[[#This Row],[County]]="East Riding of Yorkshire",Table1[[#This Row],[income]],0)</f>
        <v>0</v>
      </c>
      <c r="CF316" s="20">
        <f ca="1">IF(Table1[[#This Row],[County]]="West Yorkshire",Table1[[#This Row],[income]],0)</f>
        <v>0</v>
      </c>
      <c r="CG316" s="20">
        <f ca="1">IF(Table1[[#This Row],[County]]="Essex",Table1[[#This Row],[income]],0)</f>
        <v>0</v>
      </c>
      <c r="CH316" s="20">
        <f ca="1">IF(Table1[[#This Row],[County]]="East Sussex",Table1[[#This Row],[income]],0)</f>
        <v>0</v>
      </c>
      <c r="CI316" s="20">
        <f ca="1">IF(Table1[[#This Row],[County]]="Greater Manchester",Table1[[#This Row],[income]],0)</f>
        <v>0</v>
      </c>
      <c r="CJ316" s="20">
        <f ca="1">IF(Table1[[#This Row],[County]]="Hertfordshire",Table1[[#This Row],[income]],0)</f>
        <v>0</v>
      </c>
      <c r="CK316" s="20">
        <f ca="1">IF(Table1[[#This Row],[County]]="Herefordshire",Table1[[#This Row],[income]],0)</f>
        <v>0</v>
      </c>
      <c r="CL316" s="20">
        <f ca="1">IF(Table1[[#This Row],[County]]="Lancashire",Table1[[#This Row],[income]],0)</f>
        <v>0</v>
      </c>
      <c r="CM316" s="20">
        <f ca="1">IF(Table1[[#This Row],[County]]="Merseyside",Table1[[#This Row],[income]],0)</f>
        <v>0</v>
      </c>
      <c r="CN316" s="20">
        <f ca="1">IF(Table1[[#This Row],[County]]="Northamptonshire",Table1[[#This Row],[income]],0)</f>
        <v>0</v>
      </c>
      <c r="CO316" s="20">
        <f ca="1">IF(Table1[[#This Row],[County]]="Northumberland",Table1[[#This Row],[income]],0)</f>
        <v>0</v>
      </c>
      <c r="CP316" s="20">
        <f ca="1">IF(Table1[[#This Row],[County]]="Wiltshire",Table1[[#This Row],[income]],0)</f>
        <v>0</v>
      </c>
      <c r="CQ316" s="20">
        <f ca="1">IF(Table1[[#This Row],[County]]="West Midlands",Table1[[#This Row],[income]],0)</f>
        <v>0</v>
      </c>
      <c r="CR316" s="20">
        <f ca="1">IF(Table1[[#This Row],[County]]="Warwickshire",Table1[[#This Row],[income]],0)</f>
        <v>0</v>
      </c>
      <c r="CS316" s="20">
        <f ca="1">IF(Table1[[#This Row],[County]]="Tyne and Wear",Table1[[#This Row],[income]],0)</f>
        <v>0</v>
      </c>
      <c r="CT316" s="20">
        <f ca="1">IF(Table1[[#This Row],[County]]="Worcestershire",Table1[[#This Row],[income]],0)</f>
        <v>0</v>
      </c>
      <c r="CU316" s="20">
        <f ca="1">IF(Table1[[#This Row],[County]]="Rutland",Table1[[#This Row],[income]],0)</f>
        <v>0</v>
      </c>
      <c r="CV316" s="20">
        <f ca="1">IF(Table1[[#This Row],[County]]="Shropshire",Table1[[#This Row],[income]],0)</f>
        <v>48622</v>
      </c>
      <c r="CW316" s="20">
        <f ca="1">IF(Table1[[#This Row],[County]]="Dorset",Table1[[#This Row],[income]],0)</f>
        <v>0</v>
      </c>
      <c r="CX316" s="20">
        <f ca="1">IF(Table1[[#This Row],[County]]="Buckinghamshire",Table1[[#This Row],[income]],0)</f>
        <v>0</v>
      </c>
      <c r="CY316" s="20">
        <f ca="1">IF(Table1[[#This Row],[County]]="Suffolk",Table1[[#This Row],[income]],0)</f>
        <v>0</v>
      </c>
      <c r="CZ316" s="20">
        <f ca="1">IF(Table1[[#This Row],[County]]="North Yorkshire",Table1[[#This Row],[income]],0)</f>
        <v>0</v>
      </c>
      <c r="DA316" s="20">
        <f ca="1">IF(Table1[[#This Row],[County]]="Kent",Table1[[#This Row],[income]],0)</f>
        <v>0</v>
      </c>
      <c r="DB316" s="5">
        <f ca="1">IF(Table1[[#This Row],[County]]="Derbyshire",Table1[[#This Row],[income]],0)</f>
        <v>0</v>
      </c>
      <c r="DD316" s="6">
        <f ca="1">IF(Table1[[#This Row],[Column1]]="Health",Table1[[#This Row],[income]],0)</f>
        <v>0</v>
      </c>
      <c r="DE316" s="20">
        <f ca="1">IF(Table1[[#This Row],[Column1]]="Agriculture",Table1[[#This Row],[income]],0)</f>
        <v>0</v>
      </c>
      <c r="DF316" s="20">
        <f ca="1">IF(Table1[[#This Row],[Column1]]="Technology",Table1[[#This Row],[income]],0)</f>
        <v>0</v>
      </c>
      <c r="DG316" s="20">
        <f ca="1">IF(Table1[[#This Row],[Column1]]="Social Service",Table1[[#This Row],[income]],0)</f>
        <v>0</v>
      </c>
      <c r="DH316" s="20">
        <f ca="1">IF(Table1[[#This Row],[Column1]]="Education",Table1[[#This Row],[income]],0)</f>
        <v>48622</v>
      </c>
      <c r="DI316" s="5">
        <f ca="1">IF(Table1[[#This Row],[Column1]]="Construction",Table1[[#This Row],[income]],0)</f>
        <v>0</v>
      </c>
      <c r="DK316" s="6">
        <f ca="1">IF(Table1[[#This Row],[Value of Debts]]&gt;Table1[[#This Row],[income]],1,0)</f>
        <v>1</v>
      </c>
      <c r="DL316" s="20"/>
      <c r="DM316" s="20"/>
      <c r="DN316" s="5"/>
      <c r="DP316" s="6">
        <f ca="1">IF(Table1[[#This Row],[Net Worth (£)]]&gt;$DS$5,C316,0)</f>
        <v>0</v>
      </c>
      <c r="DQ316" s="20"/>
      <c r="DR316" s="20"/>
      <c r="DS316" s="5"/>
    </row>
    <row r="317" spans="1:123" x14ac:dyDescent="0.2">
      <c r="A317">
        <f t="shared" ca="1" si="13"/>
        <v>2</v>
      </c>
      <c r="B317" s="1" t="str">
        <f ca="1">IF(A317=1, "men", "women")</f>
        <v>women</v>
      </c>
      <c r="C317" s="1">
        <f ca="1">RANDBETWEEN(25,50)</f>
        <v>48</v>
      </c>
      <c r="D317">
        <f ca="1">RANDBETWEEN(1,6)</f>
        <v>1</v>
      </c>
      <c r="E317" t="str">
        <f ca="1">VLOOKUP(D317,$W$5:$X$10,2)</f>
        <v>Health</v>
      </c>
      <c r="F317">
        <f ca="1">RANDBETWEEN(1,5)</f>
        <v>1</v>
      </c>
      <c r="G317" t="str">
        <f ca="1">VLOOKUP(F317,$Y$5:$Z$9,2)</f>
        <v>High School</v>
      </c>
      <c r="H317">
        <f ca="1">RANDBETWEEN(0,4)</f>
        <v>3</v>
      </c>
      <c r="I317">
        <f ca="1">RANDBETWEEN(1,3)</f>
        <v>1</v>
      </c>
      <c r="J317">
        <f ca="1">RANDBETWEEN(30000,100000)</f>
        <v>47643</v>
      </c>
      <c r="K317">
        <f ca="1">RANDBETWEEN(1,48)</f>
        <v>1</v>
      </c>
      <c r="L317" t="str">
        <f ca="1">VLOOKUP(K317,$AA$5:$AB$52,2)</f>
        <v>Bedfordshire</v>
      </c>
      <c r="M317">
        <f ca="1">J317*(RANDBETWEEN(2,5))</f>
        <v>95286</v>
      </c>
      <c r="N317">
        <f ca="1">RAND()*M317</f>
        <v>65269.207810053682</v>
      </c>
      <c r="O317">
        <f ca="1">I317*RAND()*J317</f>
        <v>22080.351701751555</v>
      </c>
      <c r="P317">
        <f ca="1">RANDBETWEEN(0,O317)</f>
        <v>8273</v>
      </c>
      <c r="Q317">
        <f ca="1">RAND()*J317*2</f>
        <v>59349.877982891019</v>
      </c>
      <c r="R317">
        <f ca="1">RAND()*J317*1.5</f>
        <v>57478.917354676261</v>
      </c>
      <c r="S317">
        <f ca="1">J317+R317+O317</f>
        <v>127202.26905642782</v>
      </c>
      <c r="T317">
        <f ca="1">N317+P317+Q317</f>
        <v>132892.08579294471</v>
      </c>
      <c r="U317">
        <f ca="1">S317-T317</f>
        <v>-5689.816736516892</v>
      </c>
      <c r="AC317" s="6">
        <f ca="1">IF(Table1[[#This Row],[gender]]="men",1,0)</f>
        <v>0</v>
      </c>
      <c r="AD317">
        <f ca="1">IF(Table1[[#This Row],[gender]]="women",1,0)</f>
        <v>1</v>
      </c>
      <c r="AH317" s="5"/>
      <c r="AJ317" s="6">
        <f ca="1">IF(Table1[[#This Row],[Column1]]="Health",1,0)</f>
        <v>1</v>
      </c>
      <c r="AK317">
        <f ca="1">IF(Table1[[#This Row],[Column1]]="Construction",1,0)</f>
        <v>0</v>
      </c>
      <c r="AL317">
        <f ca="1">IF(Table1[[#This Row],[Column1]]="Technology",1,0)</f>
        <v>0</v>
      </c>
      <c r="AM317">
        <f ca="1">IF(Table1[[#This Row],[Column1]]="Education",1,0)</f>
        <v>0</v>
      </c>
      <c r="AN317">
        <f ca="1">IF(Table1[[#This Row],[Column1]]="Agriculture",1,0)</f>
        <v>0</v>
      </c>
      <c r="AO317">
        <f ca="1">IF(Table1[[#This Row],[Column1]]="Social Service", 1, 0)</f>
        <v>0</v>
      </c>
      <c r="AT317" s="5"/>
      <c r="AV317" s="17">
        <f t="shared" ca="1" si="12"/>
        <v>700.2558412051817</v>
      </c>
      <c r="AW317" s="5"/>
      <c r="AX317" s="6">
        <f ca="1">IF(Table1[[#This Row],[Value of Debts]]&gt;$AY$4,1,0)</f>
        <v>1</v>
      </c>
      <c r="AY317" s="20"/>
      <c r="AZ317" s="20"/>
      <c r="BA317" s="5"/>
      <c r="BB317" s="25">
        <f ca="1">Table1[[#This Row],[Mortage Left]]/Table1[[#This Row],[Value of House]]</f>
        <v>0.68498213599116009</v>
      </c>
      <c r="BC317" s="20">
        <f t="shared" ca="1" si="14"/>
        <v>0</v>
      </c>
      <c r="BD317" s="20"/>
      <c r="BE317" s="20"/>
      <c r="BF317" s="20"/>
      <c r="BG317" s="6">
        <f ca="1">IF(Table1[[#This Row],[County]]="Cumbria",Table1[[#This Row],[income]],0)</f>
        <v>0</v>
      </c>
      <c r="BH317" s="20">
        <f ca="1">IF(Table1[[#This Row],[County]]="Cheshire",Table1[[#This Row],[income]],0)</f>
        <v>0</v>
      </c>
      <c r="BI317" s="20">
        <f ca="1">IF(Table1[[#This Row],[County]]="Bristol",Table1[[#This Row],[income]],0)</f>
        <v>0</v>
      </c>
      <c r="BJ317" s="20">
        <f ca="1">IF(Table1[[#This Row],[County]]="Surrey",Table1[[#This Row],[income]],0)</f>
        <v>0</v>
      </c>
      <c r="BK317" s="20">
        <f ca="1">IF(Table1[[#This Row],[County]]="Norfolk",Table1[[#This Row],[income]],0)</f>
        <v>0</v>
      </c>
      <c r="BL317" s="20">
        <f ca="1">IF(Table1[[#This Row],[County]]="Lincolnshire",Table1[[#This Row],[income]],0)</f>
        <v>0</v>
      </c>
      <c r="BM317" s="20">
        <f ca="1">IF(Table1[[#This Row],[County]]="Somerset",Table1[[#This Row],[income]],0)</f>
        <v>0</v>
      </c>
      <c r="BN317" s="20">
        <f ca="1">IF(Table1[[#This Row],[County]]="Cambridgeshire",Table1[[#This Row],[income]],0)</f>
        <v>0</v>
      </c>
      <c r="BO317" s="20">
        <f ca="1">IF(Table1[[#This Row],[County]]="South Yorkshire",Table1[[#This Row],[income]],0)</f>
        <v>0</v>
      </c>
      <c r="BP317" s="20">
        <f ca="1">IF(Table1[[#This Row],[County]]="Greater London",Table1[[#This Row],[income]],0)</f>
        <v>0</v>
      </c>
      <c r="BQ317" s="20">
        <f ca="1">IF(Table1[[#This Row],[County]]="Hampshire",Table1[[#This Row],[income]],0)</f>
        <v>0</v>
      </c>
      <c r="BR317" s="20">
        <f ca="1">IF(Table1[[#This Row],[County]]="Gloucestershire",Table1[[#This Row],[income]],0)</f>
        <v>0</v>
      </c>
      <c r="BS317" s="20">
        <f ca="1">IF(Table1[[#This Row],[County]]="West Sussex",Table1[[#This Row],[income]],0)</f>
        <v>0</v>
      </c>
      <c r="BT317" s="20">
        <f ca="1">IF(Table1[[#This Row],[County]]="Devon",Table1[[#This Row],[income]],0)</f>
        <v>0</v>
      </c>
      <c r="BU317" s="20">
        <f ca="1">IF(Table1[[#This Row],[County]]="Berkshire",Table1[[#This Row],[income]],0)</f>
        <v>0</v>
      </c>
      <c r="BV317" s="20">
        <f ca="1">IF(Table1[[#This Row],[County]]="Staffordshire",Table1[[#This Row],[income]],0)</f>
        <v>0</v>
      </c>
      <c r="BW317" s="20">
        <f ca="1">IF(Table1[[#This Row],[County]]="Leicestershire",Table1[[#This Row],[income]],0)</f>
        <v>0</v>
      </c>
      <c r="BX317" s="20">
        <f ca="1">IF(Table1[[#This Row],[County]]="Cornwall",Table1[[#This Row],[income]],0)</f>
        <v>0</v>
      </c>
      <c r="BY317" s="20">
        <f ca="1">IF(Table1[[#This Row],[County]]="Isle of Wight",Table1[[#This Row],[income]],0)</f>
        <v>0</v>
      </c>
      <c r="BZ317" s="20">
        <f ca="1">IF(Table1[[#This Row],[County]]="Surrey",Table1[[#This Row],[income]],0)</f>
        <v>0</v>
      </c>
      <c r="CA317" s="20">
        <f ca="1">IF(Table1[[#This Row],[County]]="Derbyshire",Table1[[#This Row],[income]],0)</f>
        <v>0</v>
      </c>
      <c r="CB317" s="20">
        <f ca="1">IF(Table1[[#This Row],[County]]="City of London",Table1[[#This Row],[income]],0)</f>
        <v>0</v>
      </c>
      <c r="CC317" s="20">
        <f ca="1">IF(Table1[[#This Row],[County]]="Bedfordshire",Table1[[#This Row],[income]],0)</f>
        <v>47643</v>
      </c>
      <c r="CD317" s="20">
        <f ca="1">IF(Table1[[#This Row],[County]]="County Durham",Table1[[#This Row],[income]],0)</f>
        <v>0</v>
      </c>
      <c r="CE317" s="20">
        <f ca="1">IF(Table1[[#This Row],[County]]="East Riding of Yorkshire",Table1[[#This Row],[income]],0)</f>
        <v>0</v>
      </c>
      <c r="CF317" s="20">
        <f ca="1">IF(Table1[[#This Row],[County]]="West Yorkshire",Table1[[#This Row],[income]],0)</f>
        <v>0</v>
      </c>
      <c r="CG317" s="20">
        <f ca="1">IF(Table1[[#This Row],[County]]="Essex",Table1[[#This Row],[income]],0)</f>
        <v>0</v>
      </c>
      <c r="CH317" s="20">
        <f ca="1">IF(Table1[[#This Row],[County]]="East Sussex",Table1[[#This Row],[income]],0)</f>
        <v>0</v>
      </c>
      <c r="CI317" s="20">
        <f ca="1">IF(Table1[[#This Row],[County]]="Greater Manchester",Table1[[#This Row],[income]],0)</f>
        <v>0</v>
      </c>
      <c r="CJ317" s="20">
        <f ca="1">IF(Table1[[#This Row],[County]]="Hertfordshire",Table1[[#This Row],[income]],0)</f>
        <v>0</v>
      </c>
      <c r="CK317" s="20">
        <f ca="1">IF(Table1[[#This Row],[County]]="Herefordshire",Table1[[#This Row],[income]],0)</f>
        <v>0</v>
      </c>
      <c r="CL317" s="20">
        <f ca="1">IF(Table1[[#This Row],[County]]="Lancashire",Table1[[#This Row],[income]],0)</f>
        <v>0</v>
      </c>
      <c r="CM317" s="20">
        <f ca="1">IF(Table1[[#This Row],[County]]="Merseyside",Table1[[#This Row],[income]],0)</f>
        <v>0</v>
      </c>
      <c r="CN317" s="20">
        <f ca="1">IF(Table1[[#This Row],[County]]="Northamptonshire",Table1[[#This Row],[income]],0)</f>
        <v>0</v>
      </c>
      <c r="CO317" s="20">
        <f ca="1">IF(Table1[[#This Row],[County]]="Northumberland",Table1[[#This Row],[income]],0)</f>
        <v>0</v>
      </c>
      <c r="CP317" s="20">
        <f ca="1">IF(Table1[[#This Row],[County]]="Wiltshire",Table1[[#This Row],[income]],0)</f>
        <v>0</v>
      </c>
      <c r="CQ317" s="20">
        <f ca="1">IF(Table1[[#This Row],[County]]="West Midlands",Table1[[#This Row],[income]],0)</f>
        <v>0</v>
      </c>
      <c r="CR317" s="20">
        <f ca="1">IF(Table1[[#This Row],[County]]="Warwickshire",Table1[[#This Row],[income]],0)</f>
        <v>0</v>
      </c>
      <c r="CS317" s="20">
        <f ca="1">IF(Table1[[#This Row],[County]]="Tyne and Wear",Table1[[#This Row],[income]],0)</f>
        <v>0</v>
      </c>
      <c r="CT317" s="20">
        <f ca="1">IF(Table1[[#This Row],[County]]="Worcestershire",Table1[[#This Row],[income]],0)</f>
        <v>0</v>
      </c>
      <c r="CU317" s="20">
        <f ca="1">IF(Table1[[#This Row],[County]]="Rutland",Table1[[#This Row],[income]],0)</f>
        <v>0</v>
      </c>
      <c r="CV317" s="20">
        <f ca="1">IF(Table1[[#This Row],[County]]="Shropshire",Table1[[#This Row],[income]],0)</f>
        <v>0</v>
      </c>
      <c r="CW317" s="20">
        <f ca="1">IF(Table1[[#This Row],[County]]="Dorset",Table1[[#This Row],[income]],0)</f>
        <v>0</v>
      </c>
      <c r="CX317" s="20">
        <f ca="1">IF(Table1[[#This Row],[County]]="Buckinghamshire",Table1[[#This Row],[income]],0)</f>
        <v>0</v>
      </c>
      <c r="CY317" s="20">
        <f ca="1">IF(Table1[[#This Row],[County]]="Suffolk",Table1[[#This Row],[income]],0)</f>
        <v>0</v>
      </c>
      <c r="CZ317" s="20">
        <f ca="1">IF(Table1[[#This Row],[County]]="North Yorkshire",Table1[[#This Row],[income]],0)</f>
        <v>0</v>
      </c>
      <c r="DA317" s="20">
        <f ca="1">IF(Table1[[#This Row],[County]]="Kent",Table1[[#This Row],[income]],0)</f>
        <v>0</v>
      </c>
      <c r="DB317" s="5">
        <f ca="1">IF(Table1[[#This Row],[County]]="Derbyshire",Table1[[#This Row],[income]],0)</f>
        <v>0</v>
      </c>
      <c r="DD317" s="6">
        <f ca="1">IF(Table1[[#This Row],[Column1]]="Health",Table1[[#This Row],[income]],0)</f>
        <v>47643</v>
      </c>
      <c r="DE317" s="20">
        <f ca="1">IF(Table1[[#This Row],[Column1]]="Agriculture",Table1[[#This Row],[income]],0)</f>
        <v>0</v>
      </c>
      <c r="DF317" s="20">
        <f ca="1">IF(Table1[[#This Row],[Column1]]="Technology",Table1[[#This Row],[income]],0)</f>
        <v>0</v>
      </c>
      <c r="DG317" s="20">
        <f ca="1">IF(Table1[[#This Row],[Column1]]="Social Service",Table1[[#This Row],[income]],0)</f>
        <v>0</v>
      </c>
      <c r="DH317" s="20">
        <f ca="1">IF(Table1[[#This Row],[Column1]]="Education",Table1[[#This Row],[income]],0)</f>
        <v>0</v>
      </c>
      <c r="DI317" s="5">
        <f ca="1">IF(Table1[[#This Row],[Column1]]="Construction",Table1[[#This Row],[income]],0)</f>
        <v>0</v>
      </c>
      <c r="DK317" s="6">
        <f ca="1">IF(Table1[[#This Row],[Value of Debts]]&gt;Table1[[#This Row],[income]],1,0)</f>
        <v>1</v>
      </c>
      <c r="DL317" s="20"/>
      <c r="DM317" s="20"/>
      <c r="DN317" s="5"/>
      <c r="DP317" s="6">
        <f ca="1">IF(Table1[[#This Row],[Net Worth (£)]]&gt;$DS$5,C317,0)</f>
        <v>0</v>
      </c>
      <c r="DQ317" s="20"/>
      <c r="DR317" s="20"/>
      <c r="DS317" s="5"/>
    </row>
    <row r="318" spans="1:123" x14ac:dyDescent="0.2">
      <c r="A318">
        <f t="shared" ca="1" si="13"/>
        <v>2</v>
      </c>
      <c r="B318" s="1" t="str">
        <f ca="1">IF(A318=1, "men", "women")</f>
        <v>women</v>
      </c>
      <c r="C318" s="1">
        <f ca="1">RANDBETWEEN(25,50)</f>
        <v>49</v>
      </c>
      <c r="D318">
        <f ca="1">RANDBETWEEN(1,6)</f>
        <v>1</v>
      </c>
      <c r="E318" t="str">
        <f ca="1">VLOOKUP(D318,$W$5:$X$10,2)</f>
        <v>Health</v>
      </c>
      <c r="F318">
        <f ca="1">RANDBETWEEN(1,5)</f>
        <v>4</v>
      </c>
      <c r="G318" t="str">
        <f ca="1">VLOOKUP(F318,$Y$5:$Z$9,2)</f>
        <v xml:space="preserve">Technical </v>
      </c>
      <c r="H318">
        <f ca="1">RANDBETWEEN(0,4)</f>
        <v>2</v>
      </c>
      <c r="I318">
        <f ca="1">RANDBETWEEN(1,3)</f>
        <v>1</v>
      </c>
      <c r="J318">
        <f ca="1">RANDBETWEEN(30000,100000)</f>
        <v>33323</v>
      </c>
      <c r="K318">
        <f ca="1">RANDBETWEEN(1,48)</f>
        <v>37</v>
      </c>
      <c r="L318" t="str">
        <f ca="1">VLOOKUP(K318,$AA$5:$AB$52,2)</f>
        <v>Somerset</v>
      </c>
      <c r="M318">
        <f ca="1">J318*(RANDBETWEEN(2,5))</f>
        <v>166615</v>
      </c>
      <c r="N318">
        <f ca="1">RAND()*M318</f>
        <v>65457.696685355651</v>
      </c>
      <c r="O318">
        <f ca="1">I318*RAND()*J318</f>
        <v>700.2558412051817</v>
      </c>
      <c r="P318">
        <f ca="1">RANDBETWEEN(0,O318)</f>
        <v>413</v>
      </c>
      <c r="Q318">
        <f ca="1">RAND()*J318*2</f>
        <v>31623.444812443449</v>
      </c>
      <c r="R318">
        <f ca="1">RAND()*J318*1.5</f>
        <v>36541.636667491548</v>
      </c>
      <c r="S318">
        <f ca="1">J318+R318+O318</f>
        <v>70564.892508696736</v>
      </c>
      <c r="T318">
        <f ca="1">N318+P318+Q318</f>
        <v>97494.141497799108</v>
      </c>
      <c r="U318">
        <f ca="1">S318-T318</f>
        <v>-26929.248989102372</v>
      </c>
      <c r="AC318" s="6">
        <f ca="1">IF(Table1[[#This Row],[gender]]="men",1,0)</f>
        <v>0</v>
      </c>
      <c r="AD318">
        <f ca="1">IF(Table1[[#This Row],[gender]]="women",1,0)</f>
        <v>1</v>
      </c>
      <c r="AH318" s="5"/>
      <c r="AJ318" s="6">
        <f ca="1">IF(Table1[[#This Row],[Column1]]="Health",1,0)</f>
        <v>1</v>
      </c>
      <c r="AK318">
        <f ca="1">IF(Table1[[#This Row],[Column1]]="Construction",1,0)</f>
        <v>0</v>
      </c>
      <c r="AL318">
        <f ca="1">IF(Table1[[#This Row],[Column1]]="Technology",1,0)</f>
        <v>0</v>
      </c>
      <c r="AM318">
        <f ca="1">IF(Table1[[#This Row],[Column1]]="Education",1,0)</f>
        <v>0</v>
      </c>
      <c r="AN318">
        <f ca="1">IF(Table1[[#This Row],[Column1]]="Agriculture",1,0)</f>
        <v>0</v>
      </c>
      <c r="AO318">
        <f ca="1">IF(Table1[[#This Row],[Column1]]="Social Service", 1, 0)</f>
        <v>0</v>
      </c>
      <c r="AT318" s="5"/>
      <c r="AV318" s="17">
        <f t="shared" ca="1" si="12"/>
        <v>5942.8329950227999</v>
      </c>
      <c r="AW318" s="5"/>
      <c r="AX318" s="6">
        <f ca="1">IF(Table1[[#This Row],[Value of Debts]]&gt;$AY$4,1,0)</f>
        <v>0</v>
      </c>
      <c r="AY318" s="20"/>
      <c r="AZ318" s="20"/>
      <c r="BA318" s="5"/>
      <c r="BB318" s="25">
        <f ca="1">Table1[[#This Row],[Mortage Left]]/Table1[[#This Row],[Value of House]]</f>
        <v>0.39286796918258049</v>
      </c>
      <c r="BC318" s="20">
        <f t="shared" ca="1" si="14"/>
        <v>0</v>
      </c>
      <c r="BD318" s="20"/>
      <c r="BE318" s="20"/>
      <c r="BF318" s="20"/>
      <c r="BG318" s="6">
        <f ca="1">IF(Table1[[#This Row],[County]]="Cumbria",Table1[[#This Row],[income]],0)</f>
        <v>0</v>
      </c>
      <c r="BH318" s="20">
        <f ca="1">IF(Table1[[#This Row],[County]]="Cheshire",Table1[[#This Row],[income]],0)</f>
        <v>0</v>
      </c>
      <c r="BI318" s="20">
        <f ca="1">IF(Table1[[#This Row],[County]]="Bristol",Table1[[#This Row],[income]],0)</f>
        <v>0</v>
      </c>
      <c r="BJ318" s="20">
        <f ca="1">IF(Table1[[#This Row],[County]]="Surrey",Table1[[#This Row],[income]],0)</f>
        <v>0</v>
      </c>
      <c r="BK318" s="20">
        <f ca="1">IF(Table1[[#This Row],[County]]="Norfolk",Table1[[#This Row],[income]],0)</f>
        <v>0</v>
      </c>
      <c r="BL318" s="20">
        <f ca="1">IF(Table1[[#This Row],[County]]="Lincolnshire",Table1[[#This Row],[income]],0)</f>
        <v>0</v>
      </c>
      <c r="BM318" s="20">
        <f ca="1">IF(Table1[[#This Row],[County]]="Somerset",Table1[[#This Row],[income]],0)</f>
        <v>33323</v>
      </c>
      <c r="BN318" s="20">
        <f ca="1">IF(Table1[[#This Row],[County]]="Cambridgeshire",Table1[[#This Row],[income]],0)</f>
        <v>0</v>
      </c>
      <c r="BO318" s="20">
        <f ca="1">IF(Table1[[#This Row],[County]]="South Yorkshire",Table1[[#This Row],[income]],0)</f>
        <v>0</v>
      </c>
      <c r="BP318" s="20">
        <f ca="1">IF(Table1[[#This Row],[County]]="Greater London",Table1[[#This Row],[income]],0)</f>
        <v>0</v>
      </c>
      <c r="BQ318" s="20">
        <f ca="1">IF(Table1[[#This Row],[County]]="Hampshire",Table1[[#This Row],[income]],0)</f>
        <v>0</v>
      </c>
      <c r="BR318" s="20">
        <f ca="1">IF(Table1[[#This Row],[County]]="Gloucestershire",Table1[[#This Row],[income]],0)</f>
        <v>0</v>
      </c>
      <c r="BS318" s="20">
        <f ca="1">IF(Table1[[#This Row],[County]]="West Sussex",Table1[[#This Row],[income]],0)</f>
        <v>0</v>
      </c>
      <c r="BT318" s="20">
        <f ca="1">IF(Table1[[#This Row],[County]]="Devon",Table1[[#This Row],[income]],0)</f>
        <v>0</v>
      </c>
      <c r="BU318" s="20">
        <f ca="1">IF(Table1[[#This Row],[County]]="Berkshire",Table1[[#This Row],[income]],0)</f>
        <v>0</v>
      </c>
      <c r="BV318" s="20">
        <f ca="1">IF(Table1[[#This Row],[County]]="Staffordshire",Table1[[#This Row],[income]],0)</f>
        <v>0</v>
      </c>
      <c r="BW318" s="20">
        <f ca="1">IF(Table1[[#This Row],[County]]="Leicestershire",Table1[[#This Row],[income]],0)</f>
        <v>0</v>
      </c>
      <c r="BX318" s="20">
        <f ca="1">IF(Table1[[#This Row],[County]]="Cornwall",Table1[[#This Row],[income]],0)</f>
        <v>0</v>
      </c>
      <c r="BY318" s="20">
        <f ca="1">IF(Table1[[#This Row],[County]]="Isle of Wight",Table1[[#This Row],[income]],0)</f>
        <v>0</v>
      </c>
      <c r="BZ318" s="20">
        <f ca="1">IF(Table1[[#This Row],[County]]="Surrey",Table1[[#This Row],[income]],0)</f>
        <v>0</v>
      </c>
      <c r="CA318" s="20">
        <f ca="1">IF(Table1[[#This Row],[County]]="Derbyshire",Table1[[#This Row],[income]],0)</f>
        <v>0</v>
      </c>
      <c r="CB318" s="20">
        <f ca="1">IF(Table1[[#This Row],[County]]="City of London",Table1[[#This Row],[income]],0)</f>
        <v>0</v>
      </c>
      <c r="CC318" s="20">
        <f ca="1">IF(Table1[[#This Row],[County]]="Bedfordshire",Table1[[#This Row],[income]],0)</f>
        <v>0</v>
      </c>
      <c r="CD318" s="20">
        <f ca="1">IF(Table1[[#This Row],[County]]="County Durham",Table1[[#This Row],[income]],0)</f>
        <v>0</v>
      </c>
      <c r="CE318" s="20">
        <f ca="1">IF(Table1[[#This Row],[County]]="East Riding of Yorkshire",Table1[[#This Row],[income]],0)</f>
        <v>0</v>
      </c>
      <c r="CF318" s="20">
        <f ca="1">IF(Table1[[#This Row],[County]]="West Yorkshire",Table1[[#This Row],[income]],0)</f>
        <v>0</v>
      </c>
      <c r="CG318" s="20">
        <f ca="1">IF(Table1[[#This Row],[County]]="Essex",Table1[[#This Row],[income]],0)</f>
        <v>0</v>
      </c>
      <c r="CH318" s="20">
        <f ca="1">IF(Table1[[#This Row],[County]]="East Sussex",Table1[[#This Row],[income]],0)</f>
        <v>0</v>
      </c>
      <c r="CI318" s="20">
        <f ca="1">IF(Table1[[#This Row],[County]]="Greater Manchester",Table1[[#This Row],[income]],0)</f>
        <v>0</v>
      </c>
      <c r="CJ318" s="20">
        <f ca="1">IF(Table1[[#This Row],[County]]="Hertfordshire",Table1[[#This Row],[income]],0)</f>
        <v>0</v>
      </c>
      <c r="CK318" s="20">
        <f ca="1">IF(Table1[[#This Row],[County]]="Herefordshire",Table1[[#This Row],[income]],0)</f>
        <v>0</v>
      </c>
      <c r="CL318" s="20">
        <f ca="1">IF(Table1[[#This Row],[County]]="Lancashire",Table1[[#This Row],[income]],0)</f>
        <v>0</v>
      </c>
      <c r="CM318" s="20">
        <f ca="1">IF(Table1[[#This Row],[County]]="Merseyside",Table1[[#This Row],[income]],0)</f>
        <v>0</v>
      </c>
      <c r="CN318" s="20">
        <f ca="1">IF(Table1[[#This Row],[County]]="Northamptonshire",Table1[[#This Row],[income]],0)</f>
        <v>0</v>
      </c>
      <c r="CO318" s="20">
        <f ca="1">IF(Table1[[#This Row],[County]]="Northumberland",Table1[[#This Row],[income]],0)</f>
        <v>0</v>
      </c>
      <c r="CP318" s="20">
        <f ca="1">IF(Table1[[#This Row],[County]]="Wiltshire",Table1[[#This Row],[income]],0)</f>
        <v>0</v>
      </c>
      <c r="CQ318" s="20">
        <f ca="1">IF(Table1[[#This Row],[County]]="West Midlands",Table1[[#This Row],[income]],0)</f>
        <v>0</v>
      </c>
      <c r="CR318" s="20">
        <f ca="1">IF(Table1[[#This Row],[County]]="Warwickshire",Table1[[#This Row],[income]],0)</f>
        <v>0</v>
      </c>
      <c r="CS318" s="20">
        <f ca="1">IF(Table1[[#This Row],[County]]="Tyne and Wear",Table1[[#This Row],[income]],0)</f>
        <v>0</v>
      </c>
      <c r="CT318" s="20">
        <f ca="1">IF(Table1[[#This Row],[County]]="Worcestershire",Table1[[#This Row],[income]],0)</f>
        <v>0</v>
      </c>
      <c r="CU318" s="20">
        <f ca="1">IF(Table1[[#This Row],[County]]="Rutland",Table1[[#This Row],[income]],0)</f>
        <v>0</v>
      </c>
      <c r="CV318" s="20">
        <f ca="1">IF(Table1[[#This Row],[County]]="Shropshire",Table1[[#This Row],[income]],0)</f>
        <v>0</v>
      </c>
      <c r="CW318" s="20">
        <f ca="1">IF(Table1[[#This Row],[County]]="Dorset",Table1[[#This Row],[income]],0)</f>
        <v>0</v>
      </c>
      <c r="CX318" s="20">
        <f ca="1">IF(Table1[[#This Row],[County]]="Buckinghamshire",Table1[[#This Row],[income]],0)</f>
        <v>0</v>
      </c>
      <c r="CY318" s="20">
        <f ca="1">IF(Table1[[#This Row],[County]]="Suffolk",Table1[[#This Row],[income]],0)</f>
        <v>0</v>
      </c>
      <c r="CZ318" s="20">
        <f ca="1">IF(Table1[[#This Row],[County]]="North Yorkshire",Table1[[#This Row],[income]],0)</f>
        <v>0</v>
      </c>
      <c r="DA318" s="20">
        <f ca="1">IF(Table1[[#This Row],[County]]="Kent",Table1[[#This Row],[income]],0)</f>
        <v>0</v>
      </c>
      <c r="DB318" s="5">
        <f ca="1">IF(Table1[[#This Row],[County]]="Derbyshire",Table1[[#This Row],[income]],0)</f>
        <v>0</v>
      </c>
      <c r="DD318" s="6">
        <f ca="1">IF(Table1[[#This Row],[Column1]]="Health",Table1[[#This Row],[income]],0)</f>
        <v>33323</v>
      </c>
      <c r="DE318" s="20">
        <f ca="1">IF(Table1[[#This Row],[Column1]]="Agriculture",Table1[[#This Row],[income]],0)</f>
        <v>0</v>
      </c>
      <c r="DF318" s="20">
        <f ca="1">IF(Table1[[#This Row],[Column1]]="Technology",Table1[[#This Row],[income]],0)</f>
        <v>0</v>
      </c>
      <c r="DG318" s="20">
        <f ca="1">IF(Table1[[#This Row],[Column1]]="Social Service",Table1[[#This Row],[income]],0)</f>
        <v>0</v>
      </c>
      <c r="DH318" s="20">
        <f ca="1">IF(Table1[[#This Row],[Column1]]="Education",Table1[[#This Row],[income]],0)</f>
        <v>0</v>
      </c>
      <c r="DI318" s="5">
        <f ca="1">IF(Table1[[#This Row],[Column1]]="Construction",Table1[[#This Row],[income]],0)</f>
        <v>0</v>
      </c>
      <c r="DK318" s="6">
        <f ca="1">IF(Table1[[#This Row],[Value of Debts]]&gt;Table1[[#This Row],[income]],1,0)</f>
        <v>1</v>
      </c>
      <c r="DL318" s="20"/>
      <c r="DM318" s="20"/>
      <c r="DN318" s="5"/>
      <c r="DP318" s="6">
        <f ca="1">IF(Table1[[#This Row],[Net Worth (£)]]&gt;$DS$5,C318,0)</f>
        <v>0</v>
      </c>
      <c r="DQ318" s="20"/>
      <c r="DR318" s="20"/>
      <c r="DS318" s="5"/>
    </row>
    <row r="319" spans="1:123" x14ac:dyDescent="0.2">
      <c r="A319">
        <f t="shared" ca="1" si="13"/>
        <v>2</v>
      </c>
      <c r="B319" s="1" t="str">
        <f ca="1">IF(A319=1, "men", "women")</f>
        <v>women</v>
      </c>
      <c r="C319" s="1">
        <f ca="1">RANDBETWEEN(25,50)</f>
        <v>43</v>
      </c>
      <c r="D319">
        <f ca="1">RANDBETWEEN(1,6)</f>
        <v>3</v>
      </c>
      <c r="E319" t="str">
        <f ca="1">VLOOKUP(D319,$W$5:$X$10,2)</f>
        <v>Education</v>
      </c>
      <c r="F319">
        <f ca="1">RANDBETWEEN(1,5)</f>
        <v>4</v>
      </c>
      <c r="G319" t="str">
        <f ca="1">VLOOKUP(F319,$Y$5:$Z$9,2)</f>
        <v xml:space="preserve">Technical </v>
      </c>
      <c r="H319">
        <f ca="1">RANDBETWEEN(0,4)</f>
        <v>2</v>
      </c>
      <c r="I319">
        <f ca="1">RANDBETWEEN(1,3)</f>
        <v>1</v>
      </c>
      <c r="J319">
        <f ca="1">RANDBETWEEN(30000,100000)</f>
        <v>65195</v>
      </c>
      <c r="K319">
        <f ca="1">RANDBETWEEN(1,48)</f>
        <v>48</v>
      </c>
      <c r="L319" t="str">
        <f ca="1">VLOOKUP(K319,$AA$5:$AB$52,2)</f>
        <v>Worcestershire</v>
      </c>
      <c r="M319">
        <f ca="1">J319*(RANDBETWEEN(2,5))</f>
        <v>260780</v>
      </c>
      <c r="N319">
        <f ca="1">RAND()*M319</f>
        <v>127138.08241748893</v>
      </c>
      <c r="O319">
        <f ca="1">I319*RAND()*J319</f>
        <v>5942.8329950227999</v>
      </c>
      <c r="P319">
        <f ca="1">RANDBETWEEN(0,O319)</f>
        <v>109</v>
      </c>
      <c r="Q319">
        <f ca="1">RAND()*J319*2</f>
        <v>63966.15362216733</v>
      </c>
      <c r="R319">
        <f ca="1">RAND()*J319*1.5</f>
        <v>34974.721866750711</v>
      </c>
      <c r="S319">
        <f ca="1">J319+R319+O319</f>
        <v>106112.5548617735</v>
      </c>
      <c r="T319">
        <f ca="1">N319+P319+Q319</f>
        <v>191213.23603965627</v>
      </c>
      <c r="U319">
        <f ca="1">S319-T319</f>
        <v>-85100.681177882769</v>
      </c>
      <c r="AC319" s="6">
        <f ca="1">IF(Table1[[#This Row],[gender]]="men",1,0)</f>
        <v>0</v>
      </c>
      <c r="AD319">
        <f ca="1">IF(Table1[[#This Row],[gender]]="women",1,0)</f>
        <v>1</v>
      </c>
      <c r="AH319" s="5"/>
      <c r="AJ319" s="6">
        <f ca="1">IF(Table1[[#This Row],[Column1]]="Health",1,0)</f>
        <v>0</v>
      </c>
      <c r="AK319">
        <f ca="1">IF(Table1[[#This Row],[Column1]]="Construction",1,0)</f>
        <v>0</v>
      </c>
      <c r="AL319">
        <f ca="1">IF(Table1[[#This Row],[Column1]]="Technology",1,0)</f>
        <v>0</v>
      </c>
      <c r="AM319">
        <f ca="1">IF(Table1[[#This Row],[Column1]]="Education",1,0)</f>
        <v>1</v>
      </c>
      <c r="AN319">
        <f ca="1">IF(Table1[[#This Row],[Column1]]="Agriculture",1,0)</f>
        <v>0</v>
      </c>
      <c r="AO319">
        <f ca="1">IF(Table1[[#This Row],[Column1]]="Social Service", 1, 0)</f>
        <v>0</v>
      </c>
      <c r="AT319" s="5"/>
      <c r="AV319" s="17">
        <f t="shared" ca="1" si="12"/>
        <v>55590.06125046371</v>
      </c>
      <c r="AW319" s="5"/>
      <c r="AX319" s="6">
        <f ca="1">IF(Table1[[#This Row],[Value of Debts]]&gt;$AY$4,1,0)</f>
        <v>1</v>
      </c>
      <c r="AY319" s="20"/>
      <c r="AZ319" s="20"/>
      <c r="BA319" s="5"/>
      <c r="BB319" s="25">
        <f ca="1">Table1[[#This Row],[Mortage Left]]/Table1[[#This Row],[Value of House]]</f>
        <v>0.48753003457891297</v>
      </c>
      <c r="BC319" s="20">
        <f t="shared" ca="1" si="14"/>
        <v>0</v>
      </c>
      <c r="BD319" s="20"/>
      <c r="BE319" s="20"/>
      <c r="BF319" s="20"/>
      <c r="BG319" s="6">
        <f ca="1">IF(Table1[[#This Row],[County]]="Cumbria",Table1[[#This Row],[income]],0)</f>
        <v>0</v>
      </c>
      <c r="BH319" s="20">
        <f ca="1">IF(Table1[[#This Row],[County]]="Cheshire",Table1[[#This Row],[income]],0)</f>
        <v>0</v>
      </c>
      <c r="BI319" s="20">
        <f ca="1">IF(Table1[[#This Row],[County]]="Bristol",Table1[[#This Row],[income]],0)</f>
        <v>0</v>
      </c>
      <c r="BJ319" s="20">
        <f ca="1">IF(Table1[[#This Row],[County]]="Surrey",Table1[[#This Row],[income]],0)</f>
        <v>0</v>
      </c>
      <c r="BK319" s="20">
        <f ca="1">IF(Table1[[#This Row],[County]]="Norfolk",Table1[[#This Row],[income]],0)</f>
        <v>0</v>
      </c>
      <c r="BL319" s="20">
        <f ca="1">IF(Table1[[#This Row],[County]]="Lincolnshire",Table1[[#This Row],[income]],0)</f>
        <v>0</v>
      </c>
      <c r="BM319" s="20">
        <f ca="1">IF(Table1[[#This Row],[County]]="Somerset",Table1[[#This Row],[income]],0)</f>
        <v>0</v>
      </c>
      <c r="BN319" s="20">
        <f ca="1">IF(Table1[[#This Row],[County]]="Cambridgeshire",Table1[[#This Row],[income]],0)</f>
        <v>0</v>
      </c>
      <c r="BO319" s="20">
        <f ca="1">IF(Table1[[#This Row],[County]]="South Yorkshire",Table1[[#This Row],[income]],0)</f>
        <v>0</v>
      </c>
      <c r="BP319" s="20">
        <f ca="1">IF(Table1[[#This Row],[County]]="Greater London",Table1[[#This Row],[income]],0)</f>
        <v>0</v>
      </c>
      <c r="BQ319" s="20">
        <f ca="1">IF(Table1[[#This Row],[County]]="Hampshire",Table1[[#This Row],[income]],0)</f>
        <v>0</v>
      </c>
      <c r="BR319" s="20">
        <f ca="1">IF(Table1[[#This Row],[County]]="Gloucestershire",Table1[[#This Row],[income]],0)</f>
        <v>0</v>
      </c>
      <c r="BS319" s="20">
        <f ca="1">IF(Table1[[#This Row],[County]]="West Sussex",Table1[[#This Row],[income]],0)</f>
        <v>0</v>
      </c>
      <c r="BT319" s="20">
        <f ca="1">IF(Table1[[#This Row],[County]]="Devon",Table1[[#This Row],[income]],0)</f>
        <v>0</v>
      </c>
      <c r="BU319" s="20">
        <f ca="1">IF(Table1[[#This Row],[County]]="Berkshire",Table1[[#This Row],[income]],0)</f>
        <v>0</v>
      </c>
      <c r="BV319" s="20">
        <f ca="1">IF(Table1[[#This Row],[County]]="Staffordshire",Table1[[#This Row],[income]],0)</f>
        <v>0</v>
      </c>
      <c r="BW319" s="20">
        <f ca="1">IF(Table1[[#This Row],[County]]="Leicestershire",Table1[[#This Row],[income]],0)</f>
        <v>0</v>
      </c>
      <c r="BX319" s="20">
        <f ca="1">IF(Table1[[#This Row],[County]]="Cornwall",Table1[[#This Row],[income]],0)</f>
        <v>0</v>
      </c>
      <c r="BY319" s="20">
        <f ca="1">IF(Table1[[#This Row],[County]]="Isle of Wight",Table1[[#This Row],[income]],0)</f>
        <v>0</v>
      </c>
      <c r="BZ319" s="20">
        <f ca="1">IF(Table1[[#This Row],[County]]="Surrey",Table1[[#This Row],[income]],0)</f>
        <v>0</v>
      </c>
      <c r="CA319" s="20">
        <f ca="1">IF(Table1[[#This Row],[County]]="Derbyshire",Table1[[#This Row],[income]],0)</f>
        <v>0</v>
      </c>
      <c r="CB319" s="20">
        <f ca="1">IF(Table1[[#This Row],[County]]="City of London",Table1[[#This Row],[income]],0)</f>
        <v>0</v>
      </c>
      <c r="CC319" s="20">
        <f ca="1">IF(Table1[[#This Row],[County]]="Bedfordshire",Table1[[#This Row],[income]],0)</f>
        <v>0</v>
      </c>
      <c r="CD319" s="20">
        <f ca="1">IF(Table1[[#This Row],[County]]="County Durham",Table1[[#This Row],[income]],0)</f>
        <v>0</v>
      </c>
      <c r="CE319" s="20">
        <f ca="1">IF(Table1[[#This Row],[County]]="East Riding of Yorkshire",Table1[[#This Row],[income]],0)</f>
        <v>0</v>
      </c>
      <c r="CF319" s="20">
        <f ca="1">IF(Table1[[#This Row],[County]]="West Yorkshire",Table1[[#This Row],[income]],0)</f>
        <v>0</v>
      </c>
      <c r="CG319" s="20">
        <f ca="1">IF(Table1[[#This Row],[County]]="Essex",Table1[[#This Row],[income]],0)</f>
        <v>0</v>
      </c>
      <c r="CH319" s="20">
        <f ca="1">IF(Table1[[#This Row],[County]]="East Sussex",Table1[[#This Row],[income]],0)</f>
        <v>0</v>
      </c>
      <c r="CI319" s="20">
        <f ca="1">IF(Table1[[#This Row],[County]]="Greater Manchester",Table1[[#This Row],[income]],0)</f>
        <v>0</v>
      </c>
      <c r="CJ319" s="20">
        <f ca="1">IF(Table1[[#This Row],[County]]="Hertfordshire",Table1[[#This Row],[income]],0)</f>
        <v>0</v>
      </c>
      <c r="CK319" s="20">
        <f ca="1">IF(Table1[[#This Row],[County]]="Herefordshire",Table1[[#This Row],[income]],0)</f>
        <v>0</v>
      </c>
      <c r="CL319" s="20">
        <f ca="1">IF(Table1[[#This Row],[County]]="Lancashire",Table1[[#This Row],[income]],0)</f>
        <v>0</v>
      </c>
      <c r="CM319" s="20">
        <f ca="1">IF(Table1[[#This Row],[County]]="Merseyside",Table1[[#This Row],[income]],0)</f>
        <v>0</v>
      </c>
      <c r="CN319" s="20">
        <f ca="1">IF(Table1[[#This Row],[County]]="Northamptonshire",Table1[[#This Row],[income]],0)</f>
        <v>0</v>
      </c>
      <c r="CO319" s="20">
        <f ca="1">IF(Table1[[#This Row],[County]]="Northumberland",Table1[[#This Row],[income]],0)</f>
        <v>0</v>
      </c>
      <c r="CP319" s="20">
        <f ca="1">IF(Table1[[#This Row],[County]]="Wiltshire",Table1[[#This Row],[income]],0)</f>
        <v>0</v>
      </c>
      <c r="CQ319" s="20">
        <f ca="1">IF(Table1[[#This Row],[County]]="West Midlands",Table1[[#This Row],[income]],0)</f>
        <v>0</v>
      </c>
      <c r="CR319" s="20">
        <f ca="1">IF(Table1[[#This Row],[County]]="Warwickshire",Table1[[#This Row],[income]],0)</f>
        <v>0</v>
      </c>
      <c r="CS319" s="20">
        <f ca="1">IF(Table1[[#This Row],[County]]="Tyne and Wear",Table1[[#This Row],[income]],0)</f>
        <v>0</v>
      </c>
      <c r="CT319" s="20">
        <f ca="1">IF(Table1[[#This Row],[County]]="Worcestershire",Table1[[#This Row],[income]],0)</f>
        <v>65195</v>
      </c>
      <c r="CU319" s="20">
        <f ca="1">IF(Table1[[#This Row],[County]]="Rutland",Table1[[#This Row],[income]],0)</f>
        <v>0</v>
      </c>
      <c r="CV319" s="20">
        <f ca="1">IF(Table1[[#This Row],[County]]="Shropshire",Table1[[#This Row],[income]],0)</f>
        <v>0</v>
      </c>
      <c r="CW319" s="20">
        <f ca="1">IF(Table1[[#This Row],[County]]="Dorset",Table1[[#This Row],[income]],0)</f>
        <v>0</v>
      </c>
      <c r="CX319" s="20">
        <f ca="1">IF(Table1[[#This Row],[County]]="Buckinghamshire",Table1[[#This Row],[income]],0)</f>
        <v>0</v>
      </c>
      <c r="CY319" s="20">
        <f ca="1">IF(Table1[[#This Row],[County]]="Suffolk",Table1[[#This Row],[income]],0)</f>
        <v>0</v>
      </c>
      <c r="CZ319" s="20">
        <f ca="1">IF(Table1[[#This Row],[County]]="North Yorkshire",Table1[[#This Row],[income]],0)</f>
        <v>0</v>
      </c>
      <c r="DA319" s="20">
        <f ca="1">IF(Table1[[#This Row],[County]]="Kent",Table1[[#This Row],[income]],0)</f>
        <v>0</v>
      </c>
      <c r="DB319" s="5">
        <f ca="1">IF(Table1[[#This Row],[County]]="Derbyshire",Table1[[#This Row],[income]],0)</f>
        <v>0</v>
      </c>
      <c r="DD319" s="6">
        <f ca="1">IF(Table1[[#This Row],[Column1]]="Health",Table1[[#This Row],[income]],0)</f>
        <v>0</v>
      </c>
      <c r="DE319" s="20">
        <f ca="1">IF(Table1[[#This Row],[Column1]]="Agriculture",Table1[[#This Row],[income]],0)</f>
        <v>0</v>
      </c>
      <c r="DF319" s="20">
        <f ca="1">IF(Table1[[#This Row],[Column1]]="Technology",Table1[[#This Row],[income]],0)</f>
        <v>0</v>
      </c>
      <c r="DG319" s="20">
        <f ca="1">IF(Table1[[#This Row],[Column1]]="Social Service",Table1[[#This Row],[income]],0)</f>
        <v>0</v>
      </c>
      <c r="DH319" s="20">
        <f ca="1">IF(Table1[[#This Row],[Column1]]="Education",Table1[[#This Row],[income]],0)</f>
        <v>65195</v>
      </c>
      <c r="DI319" s="5">
        <f ca="1">IF(Table1[[#This Row],[Column1]]="Construction",Table1[[#This Row],[income]],0)</f>
        <v>0</v>
      </c>
      <c r="DK319" s="6">
        <f ca="1">IF(Table1[[#This Row],[Value of Debts]]&gt;Table1[[#This Row],[income]],1,0)</f>
        <v>1</v>
      </c>
      <c r="DL319" s="20"/>
      <c r="DM319" s="20"/>
      <c r="DN319" s="5"/>
      <c r="DP319" s="6">
        <f ca="1">IF(Table1[[#This Row],[Net Worth (£)]]&gt;$DS$5,C319,0)</f>
        <v>0</v>
      </c>
      <c r="DQ319" s="20"/>
      <c r="DR319" s="20"/>
      <c r="DS319" s="5"/>
    </row>
    <row r="320" spans="1:123" x14ac:dyDescent="0.2">
      <c r="A320">
        <f t="shared" ca="1" si="13"/>
        <v>1</v>
      </c>
      <c r="B320" s="1" t="str">
        <f ca="1">IF(A320=1, "men", "women")</f>
        <v>men</v>
      </c>
      <c r="C320" s="1">
        <f ca="1">RANDBETWEEN(25,50)</f>
        <v>32</v>
      </c>
      <c r="D320">
        <f ca="1">RANDBETWEEN(1,6)</f>
        <v>1</v>
      </c>
      <c r="E320" t="str">
        <f ca="1">VLOOKUP(D320,$W$5:$X$10,2)</f>
        <v>Health</v>
      </c>
      <c r="F320">
        <f ca="1">RANDBETWEEN(1,5)</f>
        <v>1</v>
      </c>
      <c r="G320" t="str">
        <f ca="1">VLOOKUP(F320,$Y$5:$Z$9,2)</f>
        <v>High School</v>
      </c>
      <c r="H320">
        <f ca="1">RANDBETWEEN(0,4)</f>
        <v>1</v>
      </c>
      <c r="I320">
        <f ca="1">RANDBETWEEN(1,3)</f>
        <v>3</v>
      </c>
      <c r="J320">
        <f ca="1">RANDBETWEEN(30000,100000)</f>
        <v>92416</v>
      </c>
      <c r="K320">
        <f ca="1">RANDBETWEEN(1,48)</f>
        <v>14</v>
      </c>
      <c r="L320" t="str">
        <f ca="1">VLOOKUP(K320,$AA$5:$AB$52,2)</f>
        <v>East Riding of Yorkshire</v>
      </c>
      <c r="M320">
        <f ca="1">J320*(RANDBETWEEN(2,5))</f>
        <v>184832</v>
      </c>
      <c r="N320">
        <f ca="1">RAND()*M320</f>
        <v>183371.17479855512</v>
      </c>
      <c r="O320">
        <f ca="1">I320*RAND()*J320</f>
        <v>166770.18375139113</v>
      </c>
      <c r="P320">
        <f ca="1">RANDBETWEEN(0,O320)</f>
        <v>141448</v>
      </c>
      <c r="Q320">
        <f ca="1">RAND()*J320*2</f>
        <v>164840.93719050571</v>
      </c>
      <c r="R320">
        <f ca="1">RAND()*J320*1.5</f>
        <v>41339.888985472695</v>
      </c>
      <c r="S320">
        <f ca="1">J320+R320+O320</f>
        <v>300526.07273686386</v>
      </c>
      <c r="T320">
        <f ca="1">N320+P320+Q320</f>
        <v>489660.11198906077</v>
      </c>
      <c r="U320">
        <f ca="1">S320-T320</f>
        <v>-189134.0392521969</v>
      </c>
      <c r="AC320" s="6">
        <f ca="1">IF(Table1[[#This Row],[gender]]="men",1,0)</f>
        <v>1</v>
      </c>
      <c r="AD320">
        <f ca="1">IF(Table1[[#This Row],[gender]]="women",1,0)</f>
        <v>0</v>
      </c>
      <c r="AH320" s="5"/>
      <c r="AJ320" s="6">
        <f ca="1">IF(Table1[[#This Row],[Column1]]="Health",1,0)</f>
        <v>1</v>
      </c>
      <c r="AK320">
        <f ca="1">IF(Table1[[#This Row],[Column1]]="Construction",1,0)</f>
        <v>0</v>
      </c>
      <c r="AL320">
        <f ca="1">IF(Table1[[#This Row],[Column1]]="Technology",1,0)</f>
        <v>0</v>
      </c>
      <c r="AM320">
        <f ca="1">IF(Table1[[#This Row],[Column1]]="Education",1,0)</f>
        <v>0</v>
      </c>
      <c r="AN320">
        <f ca="1">IF(Table1[[#This Row],[Column1]]="Agriculture",1,0)</f>
        <v>0</v>
      </c>
      <c r="AO320">
        <f ca="1">IF(Table1[[#This Row],[Column1]]="Social Service", 1, 0)</f>
        <v>0</v>
      </c>
      <c r="AT320" s="5"/>
      <c r="AV320" s="17">
        <f t="shared" ca="1" si="12"/>
        <v>33258.530779256704</v>
      </c>
      <c r="AW320" s="5"/>
      <c r="AX320" s="6">
        <f ca="1">IF(Table1[[#This Row],[Value of Debts]]&gt;$AY$4,1,0)</f>
        <v>1</v>
      </c>
      <c r="AY320" s="20"/>
      <c r="AZ320" s="20"/>
      <c r="BA320" s="5"/>
      <c r="BB320" s="25">
        <f ca="1">Table1[[#This Row],[Mortage Left]]/Table1[[#This Row],[Value of House]]</f>
        <v>0.99209647030035453</v>
      </c>
      <c r="BC320" s="20">
        <f t="shared" ca="1" si="14"/>
        <v>0</v>
      </c>
      <c r="BD320" s="20"/>
      <c r="BE320" s="20"/>
      <c r="BF320" s="20"/>
      <c r="BG320" s="6">
        <f ca="1">IF(Table1[[#This Row],[County]]="Cumbria",Table1[[#This Row],[income]],0)</f>
        <v>0</v>
      </c>
      <c r="BH320" s="20">
        <f ca="1">IF(Table1[[#This Row],[County]]="Cheshire",Table1[[#This Row],[income]],0)</f>
        <v>0</v>
      </c>
      <c r="BI320" s="20">
        <f ca="1">IF(Table1[[#This Row],[County]]="Bristol",Table1[[#This Row],[income]],0)</f>
        <v>0</v>
      </c>
      <c r="BJ320" s="20">
        <f ca="1">IF(Table1[[#This Row],[County]]="Surrey",Table1[[#This Row],[income]],0)</f>
        <v>0</v>
      </c>
      <c r="BK320" s="20">
        <f ca="1">IF(Table1[[#This Row],[County]]="Norfolk",Table1[[#This Row],[income]],0)</f>
        <v>0</v>
      </c>
      <c r="BL320" s="20">
        <f ca="1">IF(Table1[[#This Row],[County]]="Lincolnshire",Table1[[#This Row],[income]],0)</f>
        <v>0</v>
      </c>
      <c r="BM320" s="20">
        <f ca="1">IF(Table1[[#This Row],[County]]="Somerset",Table1[[#This Row],[income]],0)</f>
        <v>0</v>
      </c>
      <c r="BN320" s="20">
        <f ca="1">IF(Table1[[#This Row],[County]]="Cambridgeshire",Table1[[#This Row],[income]],0)</f>
        <v>0</v>
      </c>
      <c r="BO320" s="20">
        <f ca="1">IF(Table1[[#This Row],[County]]="South Yorkshire",Table1[[#This Row],[income]],0)</f>
        <v>0</v>
      </c>
      <c r="BP320" s="20">
        <f ca="1">IF(Table1[[#This Row],[County]]="Greater London",Table1[[#This Row],[income]],0)</f>
        <v>0</v>
      </c>
      <c r="BQ320" s="20">
        <f ca="1">IF(Table1[[#This Row],[County]]="Hampshire",Table1[[#This Row],[income]],0)</f>
        <v>0</v>
      </c>
      <c r="BR320" s="20">
        <f ca="1">IF(Table1[[#This Row],[County]]="Gloucestershire",Table1[[#This Row],[income]],0)</f>
        <v>0</v>
      </c>
      <c r="BS320" s="20">
        <f ca="1">IF(Table1[[#This Row],[County]]="West Sussex",Table1[[#This Row],[income]],0)</f>
        <v>0</v>
      </c>
      <c r="BT320" s="20">
        <f ca="1">IF(Table1[[#This Row],[County]]="Devon",Table1[[#This Row],[income]],0)</f>
        <v>0</v>
      </c>
      <c r="BU320" s="20">
        <f ca="1">IF(Table1[[#This Row],[County]]="Berkshire",Table1[[#This Row],[income]],0)</f>
        <v>0</v>
      </c>
      <c r="BV320" s="20">
        <f ca="1">IF(Table1[[#This Row],[County]]="Staffordshire",Table1[[#This Row],[income]],0)</f>
        <v>0</v>
      </c>
      <c r="BW320" s="20">
        <f ca="1">IF(Table1[[#This Row],[County]]="Leicestershire",Table1[[#This Row],[income]],0)</f>
        <v>0</v>
      </c>
      <c r="BX320" s="20">
        <f ca="1">IF(Table1[[#This Row],[County]]="Cornwall",Table1[[#This Row],[income]],0)</f>
        <v>0</v>
      </c>
      <c r="BY320" s="20">
        <f ca="1">IF(Table1[[#This Row],[County]]="Isle of Wight",Table1[[#This Row],[income]],0)</f>
        <v>0</v>
      </c>
      <c r="BZ320" s="20">
        <f ca="1">IF(Table1[[#This Row],[County]]="Surrey",Table1[[#This Row],[income]],0)</f>
        <v>0</v>
      </c>
      <c r="CA320" s="20">
        <f ca="1">IF(Table1[[#This Row],[County]]="Derbyshire",Table1[[#This Row],[income]],0)</f>
        <v>0</v>
      </c>
      <c r="CB320" s="20">
        <f ca="1">IF(Table1[[#This Row],[County]]="City of London",Table1[[#This Row],[income]],0)</f>
        <v>0</v>
      </c>
      <c r="CC320" s="20">
        <f ca="1">IF(Table1[[#This Row],[County]]="Bedfordshire",Table1[[#This Row],[income]],0)</f>
        <v>0</v>
      </c>
      <c r="CD320" s="20">
        <f ca="1">IF(Table1[[#This Row],[County]]="County Durham",Table1[[#This Row],[income]],0)</f>
        <v>0</v>
      </c>
      <c r="CE320" s="20">
        <f ca="1">IF(Table1[[#This Row],[County]]="East Riding of Yorkshire",Table1[[#This Row],[income]],0)</f>
        <v>92416</v>
      </c>
      <c r="CF320" s="20">
        <f ca="1">IF(Table1[[#This Row],[County]]="West Yorkshire",Table1[[#This Row],[income]],0)</f>
        <v>0</v>
      </c>
      <c r="CG320" s="20">
        <f ca="1">IF(Table1[[#This Row],[County]]="Essex",Table1[[#This Row],[income]],0)</f>
        <v>0</v>
      </c>
      <c r="CH320" s="20">
        <f ca="1">IF(Table1[[#This Row],[County]]="East Sussex",Table1[[#This Row],[income]],0)</f>
        <v>0</v>
      </c>
      <c r="CI320" s="20">
        <f ca="1">IF(Table1[[#This Row],[County]]="Greater Manchester",Table1[[#This Row],[income]],0)</f>
        <v>0</v>
      </c>
      <c r="CJ320" s="20">
        <f ca="1">IF(Table1[[#This Row],[County]]="Hertfordshire",Table1[[#This Row],[income]],0)</f>
        <v>0</v>
      </c>
      <c r="CK320" s="20">
        <f ca="1">IF(Table1[[#This Row],[County]]="Herefordshire",Table1[[#This Row],[income]],0)</f>
        <v>0</v>
      </c>
      <c r="CL320" s="20">
        <f ca="1">IF(Table1[[#This Row],[County]]="Lancashire",Table1[[#This Row],[income]],0)</f>
        <v>0</v>
      </c>
      <c r="CM320" s="20">
        <f ca="1">IF(Table1[[#This Row],[County]]="Merseyside",Table1[[#This Row],[income]],0)</f>
        <v>0</v>
      </c>
      <c r="CN320" s="20">
        <f ca="1">IF(Table1[[#This Row],[County]]="Northamptonshire",Table1[[#This Row],[income]],0)</f>
        <v>0</v>
      </c>
      <c r="CO320" s="20">
        <f ca="1">IF(Table1[[#This Row],[County]]="Northumberland",Table1[[#This Row],[income]],0)</f>
        <v>0</v>
      </c>
      <c r="CP320" s="20">
        <f ca="1">IF(Table1[[#This Row],[County]]="Wiltshire",Table1[[#This Row],[income]],0)</f>
        <v>0</v>
      </c>
      <c r="CQ320" s="20">
        <f ca="1">IF(Table1[[#This Row],[County]]="West Midlands",Table1[[#This Row],[income]],0)</f>
        <v>0</v>
      </c>
      <c r="CR320" s="20">
        <f ca="1">IF(Table1[[#This Row],[County]]="Warwickshire",Table1[[#This Row],[income]],0)</f>
        <v>0</v>
      </c>
      <c r="CS320" s="20">
        <f ca="1">IF(Table1[[#This Row],[County]]="Tyne and Wear",Table1[[#This Row],[income]],0)</f>
        <v>0</v>
      </c>
      <c r="CT320" s="20">
        <f ca="1">IF(Table1[[#This Row],[County]]="Worcestershire",Table1[[#This Row],[income]],0)</f>
        <v>0</v>
      </c>
      <c r="CU320" s="20">
        <f ca="1">IF(Table1[[#This Row],[County]]="Rutland",Table1[[#This Row],[income]],0)</f>
        <v>0</v>
      </c>
      <c r="CV320" s="20">
        <f ca="1">IF(Table1[[#This Row],[County]]="Shropshire",Table1[[#This Row],[income]],0)</f>
        <v>0</v>
      </c>
      <c r="CW320" s="20">
        <f ca="1">IF(Table1[[#This Row],[County]]="Dorset",Table1[[#This Row],[income]],0)</f>
        <v>0</v>
      </c>
      <c r="CX320" s="20">
        <f ca="1">IF(Table1[[#This Row],[County]]="Buckinghamshire",Table1[[#This Row],[income]],0)</f>
        <v>0</v>
      </c>
      <c r="CY320" s="20">
        <f ca="1">IF(Table1[[#This Row],[County]]="Suffolk",Table1[[#This Row],[income]],0)</f>
        <v>0</v>
      </c>
      <c r="CZ320" s="20">
        <f ca="1">IF(Table1[[#This Row],[County]]="North Yorkshire",Table1[[#This Row],[income]],0)</f>
        <v>0</v>
      </c>
      <c r="DA320" s="20">
        <f ca="1">IF(Table1[[#This Row],[County]]="Kent",Table1[[#This Row],[income]],0)</f>
        <v>0</v>
      </c>
      <c r="DB320" s="5">
        <f ca="1">IF(Table1[[#This Row],[County]]="Derbyshire",Table1[[#This Row],[income]],0)</f>
        <v>0</v>
      </c>
      <c r="DD320" s="6">
        <f ca="1">IF(Table1[[#This Row],[Column1]]="Health",Table1[[#This Row],[income]],0)</f>
        <v>92416</v>
      </c>
      <c r="DE320" s="20">
        <f ca="1">IF(Table1[[#This Row],[Column1]]="Agriculture",Table1[[#This Row],[income]],0)</f>
        <v>0</v>
      </c>
      <c r="DF320" s="20">
        <f ca="1">IF(Table1[[#This Row],[Column1]]="Technology",Table1[[#This Row],[income]],0)</f>
        <v>0</v>
      </c>
      <c r="DG320" s="20">
        <f ca="1">IF(Table1[[#This Row],[Column1]]="Social Service",Table1[[#This Row],[income]],0)</f>
        <v>0</v>
      </c>
      <c r="DH320" s="20">
        <f ca="1">IF(Table1[[#This Row],[Column1]]="Education",Table1[[#This Row],[income]],0)</f>
        <v>0</v>
      </c>
      <c r="DI320" s="5">
        <f ca="1">IF(Table1[[#This Row],[Column1]]="Construction",Table1[[#This Row],[income]],0)</f>
        <v>0</v>
      </c>
      <c r="DK320" s="6">
        <f ca="1">IF(Table1[[#This Row],[Value of Debts]]&gt;Table1[[#This Row],[income]],1,0)</f>
        <v>1</v>
      </c>
      <c r="DL320" s="20"/>
      <c r="DM320" s="20"/>
      <c r="DN320" s="5"/>
      <c r="DP320" s="6">
        <f ca="1">IF(Table1[[#This Row],[Net Worth (£)]]&gt;$DS$5,C320,0)</f>
        <v>0</v>
      </c>
      <c r="DQ320" s="20"/>
      <c r="DR320" s="20"/>
      <c r="DS320" s="5"/>
    </row>
    <row r="321" spans="1:123" x14ac:dyDescent="0.2">
      <c r="A321">
        <f t="shared" ca="1" si="13"/>
        <v>2</v>
      </c>
      <c r="B321" s="1" t="str">
        <f ca="1">IF(A321=1, "men", "women")</f>
        <v>women</v>
      </c>
      <c r="C321" s="1">
        <f ca="1">RANDBETWEEN(25,50)</f>
        <v>49</v>
      </c>
      <c r="D321">
        <f ca="1">RANDBETWEEN(1,6)</f>
        <v>3</v>
      </c>
      <c r="E321" t="str">
        <f ca="1">VLOOKUP(D321,$W$5:$X$10,2)</f>
        <v>Education</v>
      </c>
      <c r="F321">
        <f ca="1">RANDBETWEEN(1,5)</f>
        <v>1</v>
      </c>
      <c r="G321" t="str">
        <f ca="1">VLOOKUP(F321,$Y$5:$Z$9,2)</f>
        <v>High School</v>
      </c>
      <c r="H321">
        <f ca="1">RANDBETWEEN(0,4)</f>
        <v>1</v>
      </c>
      <c r="I321">
        <f ca="1">RANDBETWEEN(1,3)</f>
        <v>2</v>
      </c>
      <c r="J321">
        <f ca="1">RANDBETWEEN(30000,100000)</f>
        <v>94551</v>
      </c>
      <c r="K321">
        <f ca="1">RANDBETWEEN(1,48)</f>
        <v>3</v>
      </c>
      <c r="L321" t="str">
        <f ca="1">VLOOKUP(K321,$AA$5:$AB$52,2)</f>
        <v>Bristol</v>
      </c>
      <c r="M321">
        <f ca="1">J321*(RANDBETWEEN(2,5))</f>
        <v>189102</v>
      </c>
      <c r="N321">
        <f ca="1">RAND()*M321</f>
        <v>19177.869094242444</v>
      </c>
      <c r="O321">
        <f ca="1">I321*RAND()*J321</f>
        <v>66517.061558513407</v>
      </c>
      <c r="P321">
        <f ca="1">RANDBETWEEN(0,O321)</f>
        <v>20329</v>
      </c>
      <c r="Q321">
        <f ca="1">RAND()*J321*2</f>
        <v>24488.128425934992</v>
      </c>
      <c r="R321">
        <f ca="1">RAND()*J321*1.5</f>
        <v>120066.03402214701</v>
      </c>
      <c r="S321">
        <f ca="1">J321+R321+O321</f>
        <v>281134.09558066039</v>
      </c>
      <c r="T321">
        <f ca="1">N321+P321+Q321</f>
        <v>63994.997520177436</v>
      </c>
      <c r="U321">
        <f ca="1">S321-T321</f>
        <v>217139.09806048294</v>
      </c>
      <c r="AC321" s="6">
        <f ca="1">IF(Table1[[#This Row],[gender]]="men",1,0)</f>
        <v>0</v>
      </c>
      <c r="AD321">
        <f ca="1">IF(Table1[[#This Row],[gender]]="women",1,0)</f>
        <v>1</v>
      </c>
      <c r="AH321" s="5"/>
      <c r="AJ321" s="6">
        <f ca="1">IF(Table1[[#This Row],[Column1]]="Health",1,0)</f>
        <v>0</v>
      </c>
      <c r="AK321">
        <f ca="1">IF(Table1[[#This Row],[Column1]]="Construction",1,0)</f>
        <v>0</v>
      </c>
      <c r="AL321">
        <f ca="1">IF(Table1[[#This Row],[Column1]]="Technology",1,0)</f>
        <v>0</v>
      </c>
      <c r="AM321">
        <f ca="1">IF(Table1[[#This Row],[Column1]]="Education",1,0)</f>
        <v>1</v>
      </c>
      <c r="AN321">
        <f ca="1">IF(Table1[[#This Row],[Column1]]="Agriculture",1,0)</f>
        <v>0</v>
      </c>
      <c r="AO321">
        <f ca="1">IF(Table1[[#This Row],[Column1]]="Social Service", 1, 0)</f>
        <v>0</v>
      </c>
      <c r="AT321" s="5"/>
      <c r="AV321" s="17">
        <f t="shared" ca="1" si="12"/>
        <v>68206.003180074695</v>
      </c>
      <c r="AW321" s="5"/>
      <c r="AX321" s="6">
        <f ca="1">IF(Table1[[#This Row],[Value of Debts]]&gt;$AY$4,1,0)</f>
        <v>0</v>
      </c>
      <c r="AY321" s="20"/>
      <c r="AZ321" s="20"/>
      <c r="BA321" s="5"/>
      <c r="BB321" s="25">
        <f ca="1">Table1[[#This Row],[Mortage Left]]/Table1[[#This Row],[Value of House]]</f>
        <v>0.10141547468690149</v>
      </c>
      <c r="BC321" s="20">
        <f t="shared" ca="1" si="14"/>
        <v>1</v>
      </c>
      <c r="BD321" s="20"/>
      <c r="BE321" s="20"/>
      <c r="BF321" s="20"/>
      <c r="BG321" s="6">
        <f ca="1">IF(Table1[[#This Row],[County]]="Cumbria",Table1[[#This Row],[income]],0)</f>
        <v>0</v>
      </c>
      <c r="BH321" s="20">
        <f ca="1">IF(Table1[[#This Row],[County]]="Cheshire",Table1[[#This Row],[income]],0)</f>
        <v>0</v>
      </c>
      <c r="BI321" s="20">
        <f ca="1">IF(Table1[[#This Row],[County]]="Bristol",Table1[[#This Row],[income]],0)</f>
        <v>94551</v>
      </c>
      <c r="BJ321" s="20">
        <f ca="1">IF(Table1[[#This Row],[County]]="Surrey",Table1[[#This Row],[income]],0)</f>
        <v>0</v>
      </c>
      <c r="BK321" s="20">
        <f ca="1">IF(Table1[[#This Row],[County]]="Norfolk",Table1[[#This Row],[income]],0)</f>
        <v>0</v>
      </c>
      <c r="BL321" s="20">
        <f ca="1">IF(Table1[[#This Row],[County]]="Lincolnshire",Table1[[#This Row],[income]],0)</f>
        <v>0</v>
      </c>
      <c r="BM321" s="20">
        <f ca="1">IF(Table1[[#This Row],[County]]="Somerset",Table1[[#This Row],[income]],0)</f>
        <v>0</v>
      </c>
      <c r="BN321" s="20">
        <f ca="1">IF(Table1[[#This Row],[County]]="Cambridgeshire",Table1[[#This Row],[income]],0)</f>
        <v>0</v>
      </c>
      <c r="BO321" s="20">
        <f ca="1">IF(Table1[[#This Row],[County]]="South Yorkshire",Table1[[#This Row],[income]],0)</f>
        <v>0</v>
      </c>
      <c r="BP321" s="20">
        <f ca="1">IF(Table1[[#This Row],[County]]="Greater London",Table1[[#This Row],[income]],0)</f>
        <v>0</v>
      </c>
      <c r="BQ321" s="20">
        <f ca="1">IF(Table1[[#This Row],[County]]="Hampshire",Table1[[#This Row],[income]],0)</f>
        <v>0</v>
      </c>
      <c r="BR321" s="20">
        <f ca="1">IF(Table1[[#This Row],[County]]="Gloucestershire",Table1[[#This Row],[income]],0)</f>
        <v>0</v>
      </c>
      <c r="BS321" s="20">
        <f ca="1">IF(Table1[[#This Row],[County]]="West Sussex",Table1[[#This Row],[income]],0)</f>
        <v>0</v>
      </c>
      <c r="BT321" s="20">
        <f ca="1">IF(Table1[[#This Row],[County]]="Devon",Table1[[#This Row],[income]],0)</f>
        <v>0</v>
      </c>
      <c r="BU321" s="20">
        <f ca="1">IF(Table1[[#This Row],[County]]="Berkshire",Table1[[#This Row],[income]],0)</f>
        <v>0</v>
      </c>
      <c r="BV321" s="20">
        <f ca="1">IF(Table1[[#This Row],[County]]="Staffordshire",Table1[[#This Row],[income]],0)</f>
        <v>0</v>
      </c>
      <c r="BW321" s="20">
        <f ca="1">IF(Table1[[#This Row],[County]]="Leicestershire",Table1[[#This Row],[income]],0)</f>
        <v>0</v>
      </c>
      <c r="BX321" s="20">
        <f ca="1">IF(Table1[[#This Row],[County]]="Cornwall",Table1[[#This Row],[income]],0)</f>
        <v>0</v>
      </c>
      <c r="BY321" s="20">
        <f ca="1">IF(Table1[[#This Row],[County]]="Isle of Wight",Table1[[#This Row],[income]],0)</f>
        <v>0</v>
      </c>
      <c r="BZ321" s="20">
        <f ca="1">IF(Table1[[#This Row],[County]]="Surrey",Table1[[#This Row],[income]],0)</f>
        <v>0</v>
      </c>
      <c r="CA321" s="20">
        <f ca="1">IF(Table1[[#This Row],[County]]="Derbyshire",Table1[[#This Row],[income]],0)</f>
        <v>0</v>
      </c>
      <c r="CB321" s="20">
        <f ca="1">IF(Table1[[#This Row],[County]]="City of London",Table1[[#This Row],[income]],0)</f>
        <v>0</v>
      </c>
      <c r="CC321" s="20">
        <f ca="1">IF(Table1[[#This Row],[County]]="Bedfordshire",Table1[[#This Row],[income]],0)</f>
        <v>0</v>
      </c>
      <c r="CD321" s="20">
        <f ca="1">IF(Table1[[#This Row],[County]]="County Durham",Table1[[#This Row],[income]],0)</f>
        <v>0</v>
      </c>
      <c r="CE321" s="20">
        <f ca="1">IF(Table1[[#This Row],[County]]="East Riding of Yorkshire",Table1[[#This Row],[income]],0)</f>
        <v>0</v>
      </c>
      <c r="CF321" s="20">
        <f ca="1">IF(Table1[[#This Row],[County]]="West Yorkshire",Table1[[#This Row],[income]],0)</f>
        <v>0</v>
      </c>
      <c r="CG321" s="20">
        <f ca="1">IF(Table1[[#This Row],[County]]="Essex",Table1[[#This Row],[income]],0)</f>
        <v>0</v>
      </c>
      <c r="CH321" s="20">
        <f ca="1">IF(Table1[[#This Row],[County]]="East Sussex",Table1[[#This Row],[income]],0)</f>
        <v>0</v>
      </c>
      <c r="CI321" s="20">
        <f ca="1">IF(Table1[[#This Row],[County]]="Greater Manchester",Table1[[#This Row],[income]],0)</f>
        <v>0</v>
      </c>
      <c r="CJ321" s="20">
        <f ca="1">IF(Table1[[#This Row],[County]]="Hertfordshire",Table1[[#This Row],[income]],0)</f>
        <v>0</v>
      </c>
      <c r="CK321" s="20">
        <f ca="1">IF(Table1[[#This Row],[County]]="Herefordshire",Table1[[#This Row],[income]],0)</f>
        <v>0</v>
      </c>
      <c r="CL321" s="20">
        <f ca="1">IF(Table1[[#This Row],[County]]="Lancashire",Table1[[#This Row],[income]],0)</f>
        <v>0</v>
      </c>
      <c r="CM321" s="20">
        <f ca="1">IF(Table1[[#This Row],[County]]="Merseyside",Table1[[#This Row],[income]],0)</f>
        <v>0</v>
      </c>
      <c r="CN321" s="20">
        <f ca="1">IF(Table1[[#This Row],[County]]="Northamptonshire",Table1[[#This Row],[income]],0)</f>
        <v>0</v>
      </c>
      <c r="CO321" s="20">
        <f ca="1">IF(Table1[[#This Row],[County]]="Northumberland",Table1[[#This Row],[income]],0)</f>
        <v>0</v>
      </c>
      <c r="CP321" s="20">
        <f ca="1">IF(Table1[[#This Row],[County]]="Wiltshire",Table1[[#This Row],[income]],0)</f>
        <v>0</v>
      </c>
      <c r="CQ321" s="20">
        <f ca="1">IF(Table1[[#This Row],[County]]="West Midlands",Table1[[#This Row],[income]],0)</f>
        <v>0</v>
      </c>
      <c r="CR321" s="20">
        <f ca="1">IF(Table1[[#This Row],[County]]="Warwickshire",Table1[[#This Row],[income]],0)</f>
        <v>0</v>
      </c>
      <c r="CS321" s="20">
        <f ca="1">IF(Table1[[#This Row],[County]]="Tyne and Wear",Table1[[#This Row],[income]],0)</f>
        <v>0</v>
      </c>
      <c r="CT321" s="20">
        <f ca="1">IF(Table1[[#This Row],[County]]="Worcestershire",Table1[[#This Row],[income]],0)</f>
        <v>0</v>
      </c>
      <c r="CU321" s="20">
        <f ca="1">IF(Table1[[#This Row],[County]]="Rutland",Table1[[#This Row],[income]],0)</f>
        <v>0</v>
      </c>
      <c r="CV321" s="20">
        <f ca="1">IF(Table1[[#This Row],[County]]="Shropshire",Table1[[#This Row],[income]],0)</f>
        <v>0</v>
      </c>
      <c r="CW321" s="20">
        <f ca="1">IF(Table1[[#This Row],[County]]="Dorset",Table1[[#This Row],[income]],0)</f>
        <v>0</v>
      </c>
      <c r="CX321" s="20">
        <f ca="1">IF(Table1[[#This Row],[County]]="Buckinghamshire",Table1[[#This Row],[income]],0)</f>
        <v>0</v>
      </c>
      <c r="CY321" s="20">
        <f ca="1">IF(Table1[[#This Row],[County]]="Suffolk",Table1[[#This Row],[income]],0)</f>
        <v>0</v>
      </c>
      <c r="CZ321" s="20">
        <f ca="1">IF(Table1[[#This Row],[County]]="North Yorkshire",Table1[[#This Row],[income]],0)</f>
        <v>0</v>
      </c>
      <c r="DA321" s="20">
        <f ca="1">IF(Table1[[#This Row],[County]]="Kent",Table1[[#This Row],[income]],0)</f>
        <v>0</v>
      </c>
      <c r="DB321" s="5">
        <f ca="1">IF(Table1[[#This Row],[County]]="Derbyshire",Table1[[#This Row],[income]],0)</f>
        <v>0</v>
      </c>
      <c r="DD321" s="6">
        <f ca="1">IF(Table1[[#This Row],[Column1]]="Health",Table1[[#This Row],[income]],0)</f>
        <v>0</v>
      </c>
      <c r="DE321" s="20">
        <f ca="1">IF(Table1[[#This Row],[Column1]]="Agriculture",Table1[[#This Row],[income]],0)</f>
        <v>0</v>
      </c>
      <c r="DF321" s="20">
        <f ca="1">IF(Table1[[#This Row],[Column1]]="Technology",Table1[[#This Row],[income]],0)</f>
        <v>0</v>
      </c>
      <c r="DG321" s="20">
        <f ca="1">IF(Table1[[#This Row],[Column1]]="Social Service",Table1[[#This Row],[income]],0)</f>
        <v>0</v>
      </c>
      <c r="DH321" s="20">
        <f ca="1">IF(Table1[[#This Row],[Column1]]="Education",Table1[[#This Row],[income]],0)</f>
        <v>94551</v>
      </c>
      <c r="DI321" s="5">
        <f ca="1">IF(Table1[[#This Row],[Column1]]="Construction",Table1[[#This Row],[income]],0)</f>
        <v>0</v>
      </c>
      <c r="DK321" s="6">
        <f ca="1">IF(Table1[[#This Row],[Value of Debts]]&gt;Table1[[#This Row],[income]],1,0)</f>
        <v>0</v>
      </c>
      <c r="DL321" s="20"/>
      <c r="DM321" s="20"/>
      <c r="DN321" s="5"/>
      <c r="DP321" s="6">
        <f ca="1">IF(Table1[[#This Row],[Net Worth (£)]]&gt;$DS$5,C321,0)</f>
        <v>49</v>
      </c>
      <c r="DQ321" s="20"/>
      <c r="DR321" s="20"/>
      <c r="DS321" s="5"/>
    </row>
    <row r="322" spans="1:123" hidden="1" x14ac:dyDescent="0.2">
      <c r="A322">
        <f t="shared" ca="1" si="13"/>
        <v>1</v>
      </c>
      <c r="B322" s="1" t="str">
        <f ca="1">IF(A322=1, "men", "women")</f>
        <v>men</v>
      </c>
      <c r="C322" s="1">
        <f ca="1">RANDBETWEEN(25,50)</f>
        <v>48</v>
      </c>
      <c r="D322">
        <f ca="1">RANDBETWEEN(1,6)</f>
        <v>1</v>
      </c>
      <c r="E322" t="str">
        <f ca="1">VLOOKUP(D322,$W$5:$X$10,2)</f>
        <v>Health</v>
      </c>
      <c r="F322">
        <f ca="1">RANDBETWEEN(1,5)</f>
        <v>4</v>
      </c>
      <c r="G322" t="str">
        <f ca="1">VLOOKUP(F322,$Y$5:$Z$9,2)</f>
        <v xml:space="preserve">Technical </v>
      </c>
      <c r="H322">
        <f ca="1">RANDBETWEEN(0,4)</f>
        <v>3</v>
      </c>
      <c r="I322">
        <f ca="1">RANDBETWEEN(1,3)</f>
        <v>1</v>
      </c>
      <c r="J322">
        <f ca="1">RANDBETWEEN(30000,100000)</f>
        <v>89846</v>
      </c>
      <c r="K322">
        <f ca="1">RANDBETWEEN(1,48)</f>
        <v>6</v>
      </c>
      <c r="L322" t="str">
        <f ca="1">VLOOKUP(K322,$AA$5:$AB$52,2)</f>
        <v>Cheshire</v>
      </c>
      <c r="M322">
        <f ca="1">J322*(RANDBETWEEN(2,5))</f>
        <v>179692</v>
      </c>
      <c r="N322">
        <f ca="1">RAND()*M322</f>
        <v>123170.57359993261</v>
      </c>
      <c r="O322">
        <f ca="1">I322*RAND()*J322</f>
        <v>68206.003180074695</v>
      </c>
      <c r="P322">
        <f ca="1">RANDBETWEEN(0,O322)</f>
        <v>43882</v>
      </c>
      <c r="Q322">
        <f ca="1">RAND()*J322*2</f>
        <v>29727.102679513169</v>
      </c>
      <c r="R322">
        <f ca="1">RAND()*J322*1.5</f>
        <v>22992.23012109796</v>
      </c>
      <c r="S322">
        <f ca="1">J322+R322+O322</f>
        <v>181044.23330117267</v>
      </c>
      <c r="T322">
        <f ca="1">N322+P322+Q322</f>
        <v>196779.67627944576</v>
      </c>
      <c r="U322">
        <f ca="1">S322-T322</f>
        <v>-15735.442978273088</v>
      </c>
      <c r="AC322" s="6">
        <f ca="1">IF(Table1[[#This Row],[gender]]="men",1,0)</f>
        <v>1</v>
      </c>
      <c r="AD322">
        <f ca="1">IF(Table1[[#This Row],[gender]]="women",1,0)</f>
        <v>0</v>
      </c>
      <c r="AH322" s="5"/>
      <c r="AJ322" s="6">
        <f ca="1">IF(Table1[[#This Row],[Column1]]="Health",1,0)</f>
        <v>1</v>
      </c>
      <c r="AK322">
        <f ca="1">IF(Table1[[#This Row],[Column1]]="Construction",1,0)</f>
        <v>0</v>
      </c>
      <c r="AL322">
        <f ca="1">IF(Table1[[#This Row],[Column1]]="Technology",1,0)</f>
        <v>0</v>
      </c>
      <c r="AM322">
        <f ca="1">IF(Table1[[#This Row],[Column1]]="Education",1,0)</f>
        <v>0</v>
      </c>
      <c r="AN322">
        <f ca="1">IF(Table1[[#This Row],[Column1]]="Agriculture",1,0)</f>
        <v>0</v>
      </c>
      <c r="AO322">
        <f ca="1">IF(Table1[[#This Row],[Column1]]="Social Service", 1, 0)</f>
        <v>0</v>
      </c>
      <c r="AT322" s="5"/>
      <c r="AV322" s="17">
        <f t="shared" ca="1" si="12"/>
        <v>48744.752879581916</v>
      </c>
      <c r="AW322" s="5"/>
      <c r="AX322" s="6">
        <f ca="1">IF(Table1[[#This Row],[Value of Debts]]&gt;$AY$4,1,0)</f>
        <v>1</v>
      </c>
      <c r="AY322" s="20"/>
      <c r="AZ322" s="20"/>
      <c r="BA322" s="5"/>
      <c r="BB322" s="25">
        <f ca="1">Table1[[#This Row],[Mortage Left]]/Table1[[#This Row],[Value of House]]</f>
        <v>0.68545385214663213</v>
      </c>
      <c r="BC322" s="20">
        <f t="shared" ca="1" si="14"/>
        <v>0</v>
      </c>
      <c r="BD322" s="20"/>
      <c r="BE322" s="20"/>
      <c r="BF322" s="20"/>
      <c r="BG322" s="6">
        <f ca="1">IF(Table1[[#This Row],[County]]="Cumbria",Table1[[#This Row],[income]],0)</f>
        <v>0</v>
      </c>
      <c r="BH322" s="20">
        <f ca="1">IF(Table1[[#This Row],[County]]="Cheshire",Table1[[#This Row],[income]],0)</f>
        <v>89846</v>
      </c>
      <c r="BI322" s="20">
        <f ca="1">IF(Table1[[#This Row],[County]]="Bristol",Table1[[#This Row],[income]],0)</f>
        <v>0</v>
      </c>
      <c r="BJ322" s="20">
        <f ca="1">IF(Table1[[#This Row],[County]]="Surrey",Table1[[#This Row],[income]],0)</f>
        <v>0</v>
      </c>
      <c r="BK322" s="20">
        <f ca="1">IF(Table1[[#This Row],[County]]="Norfolk",Table1[[#This Row],[income]],0)</f>
        <v>0</v>
      </c>
      <c r="BL322" s="20">
        <f ca="1">IF(Table1[[#This Row],[County]]="Lincolnshire",Table1[[#This Row],[income]],0)</f>
        <v>0</v>
      </c>
      <c r="BM322" s="20">
        <f ca="1">IF(Table1[[#This Row],[County]]="Somerset",Table1[[#This Row],[income]],0)</f>
        <v>0</v>
      </c>
      <c r="BN322" s="20">
        <f ca="1">IF(Table1[[#This Row],[County]]="Cambridgeshire",Table1[[#This Row],[income]],0)</f>
        <v>0</v>
      </c>
      <c r="BO322" s="20">
        <f ca="1">IF(Table1[[#This Row],[County]]="South Yorkshire",Table1[[#This Row],[income]],0)</f>
        <v>0</v>
      </c>
      <c r="BP322" s="20">
        <f ca="1">IF(Table1[[#This Row],[County]]="Greater London",Table1[[#This Row],[income]],0)</f>
        <v>0</v>
      </c>
      <c r="BQ322" s="20">
        <f ca="1">IF(Table1[[#This Row],[County]]="Hampshire",Table1[[#This Row],[income]],0)</f>
        <v>0</v>
      </c>
      <c r="BR322" s="20">
        <f ca="1">IF(Table1[[#This Row],[County]]="Gloucestershire",Table1[[#This Row],[income]],0)</f>
        <v>0</v>
      </c>
      <c r="BS322" s="20">
        <f ca="1">IF(Table1[[#This Row],[County]]="West Sussex",Table1[[#This Row],[income]],0)</f>
        <v>0</v>
      </c>
      <c r="BT322" s="20">
        <f ca="1">IF(Table1[[#This Row],[County]]="Devon",Table1[[#This Row],[income]],0)</f>
        <v>0</v>
      </c>
      <c r="BU322" s="20">
        <f ca="1">IF(Table1[[#This Row],[County]]="Berkshire",Table1[[#This Row],[income]],0)</f>
        <v>0</v>
      </c>
      <c r="BV322" s="20">
        <f ca="1">IF(Table1[[#This Row],[County]]="Staffordshire",Table1[[#This Row],[income]],0)</f>
        <v>0</v>
      </c>
      <c r="BW322" s="20">
        <f ca="1">IF(Table1[[#This Row],[County]]="Leicestershire",Table1[[#This Row],[income]],0)</f>
        <v>0</v>
      </c>
      <c r="BX322" s="20">
        <f ca="1">IF(Table1[[#This Row],[County]]="Cornwall",Table1[[#This Row],[income]],0)</f>
        <v>0</v>
      </c>
      <c r="BY322" s="20">
        <f ca="1">IF(Table1[[#This Row],[County]]="Isle of Wight",Table1[[#This Row],[income]],0)</f>
        <v>0</v>
      </c>
      <c r="BZ322" s="20">
        <f ca="1">IF(Table1[[#This Row],[County]]="Surrey",Table1[[#This Row],[income]],0)</f>
        <v>0</v>
      </c>
      <c r="CA322" s="20">
        <f ca="1">IF(Table1[[#This Row],[County]]="Derbyshire",Table1[[#This Row],[income]],0)</f>
        <v>0</v>
      </c>
      <c r="CB322" s="20">
        <f ca="1">IF(Table1[[#This Row],[County]]="City of London",Table1[[#This Row],[income]],0)</f>
        <v>0</v>
      </c>
      <c r="CC322" s="20">
        <f ca="1">IF(Table1[[#This Row],[County]]="Bedfordshire",Table1[[#This Row],[income]],0)</f>
        <v>0</v>
      </c>
      <c r="CD322" s="20">
        <f ca="1">IF(Table1[[#This Row],[County]]="County Durham",Table1[[#This Row],[income]],0)</f>
        <v>0</v>
      </c>
      <c r="CE322" s="20">
        <f ca="1">IF(Table1[[#This Row],[County]]="East Riding of Yorkshire",Table1[[#This Row],[income]],0)</f>
        <v>0</v>
      </c>
      <c r="CF322" s="20">
        <f ca="1">IF(Table1[[#This Row],[County]]="West Yorkshire",Table1[[#This Row],[income]],0)</f>
        <v>0</v>
      </c>
      <c r="CG322" s="20">
        <f ca="1">IF(Table1[[#This Row],[County]]="Essex",Table1[[#This Row],[income]],0)</f>
        <v>0</v>
      </c>
      <c r="CH322" s="20">
        <f ca="1">IF(Table1[[#This Row],[County]]="East Sussex",Table1[[#This Row],[income]],0)</f>
        <v>0</v>
      </c>
      <c r="CI322" s="20">
        <f ca="1">IF(Table1[[#This Row],[County]]="Greater Manchester",Table1[[#This Row],[income]],0)</f>
        <v>0</v>
      </c>
      <c r="CJ322" s="20">
        <f ca="1">IF(Table1[[#This Row],[County]]="Hertfordshire",Table1[[#This Row],[income]],0)</f>
        <v>0</v>
      </c>
      <c r="CK322" s="20">
        <f ca="1">IF(Table1[[#This Row],[County]]="Herefordshire",Table1[[#This Row],[income]],0)</f>
        <v>0</v>
      </c>
      <c r="CL322" s="20">
        <f ca="1">IF(Table1[[#This Row],[County]]="Lancashire",Table1[[#This Row],[income]],0)</f>
        <v>0</v>
      </c>
      <c r="CM322" s="20">
        <f ca="1">IF(Table1[[#This Row],[County]]="Merseyside",Table1[[#This Row],[income]],0)</f>
        <v>0</v>
      </c>
      <c r="CN322" s="20">
        <f ca="1">IF(Table1[[#This Row],[County]]="Northamptonshire",Table1[[#This Row],[income]],0)</f>
        <v>0</v>
      </c>
      <c r="CO322" s="20">
        <f ca="1">IF(Table1[[#This Row],[County]]="Northumberland",Table1[[#This Row],[income]],0)</f>
        <v>0</v>
      </c>
      <c r="CP322" s="20">
        <f ca="1">IF(Table1[[#This Row],[County]]="Wiltshire",Table1[[#This Row],[income]],0)</f>
        <v>0</v>
      </c>
      <c r="CQ322" s="20">
        <f ca="1">IF(Table1[[#This Row],[County]]="West Midlands",Table1[[#This Row],[income]],0)</f>
        <v>0</v>
      </c>
      <c r="CR322" s="20">
        <f ca="1">IF(Table1[[#This Row],[County]]="Warwickshire",Table1[[#This Row],[income]],0)</f>
        <v>0</v>
      </c>
      <c r="CS322" s="20">
        <f ca="1">IF(Table1[[#This Row],[County]]="Tyne and Wear",Table1[[#This Row],[income]],0)</f>
        <v>0</v>
      </c>
      <c r="CT322" s="20">
        <f ca="1">IF(Table1[[#This Row],[County]]="Worcestershire",Table1[[#This Row],[income]],0)</f>
        <v>0</v>
      </c>
      <c r="CU322" s="20">
        <f ca="1">IF(Table1[[#This Row],[County]]="Rutland",Table1[[#This Row],[income]],0)</f>
        <v>0</v>
      </c>
      <c r="CV322" s="20">
        <f ca="1">IF(Table1[[#This Row],[County]]="Shropshire",Table1[[#This Row],[income]],0)</f>
        <v>0</v>
      </c>
      <c r="CW322" s="20">
        <f ca="1">IF(Table1[[#This Row],[County]]="Dorset",Table1[[#This Row],[income]],0)</f>
        <v>0</v>
      </c>
      <c r="CX322" s="20">
        <f ca="1">IF(Table1[[#This Row],[County]]="Buckinghamshire",Table1[[#This Row],[income]],0)</f>
        <v>0</v>
      </c>
      <c r="CY322" s="20">
        <f ca="1">IF(Table1[[#This Row],[County]]="Suffolk",Table1[[#This Row],[income]],0)</f>
        <v>0</v>
      </c>
      <c r="CZ322" s="20">
        <f ca="1">IF(Table1[[#This Row],[County]]="North Yorkshire",Table1[[#This Row],[income]],0)</f>
        <v>0</v>
      </c>
      <c r="DA322" s="20">
        <f ca="1">IF(Table1[[#This Row],[County]]="Kent",Table1[[#This Row],[income]],0)</f>
        <v>0</v>
      </c>
      <c r="DB322" s="5">
        <f ca="1">IF(Table1[[#This Row],[County]]="Derbyshire",Table1[[#This Row],[income]],0)</f>
        <v>0</v>
      </c>
      <c r="DD322" s="6">
        <f ca="1">IF(Table1[[#This Row],[Column1]]="Health",Table1[[#This Row],[income]],0)</f>
        <v>89846</v>
      </c>
      <c r="DE322" s="20">
        <f ca="1">IF(Table1[[#This Row],[Column1]]="Agriculture",Table1[[#This Row],[income]],0)</f>
        <v>0</v>
      </c>
      <c r="DF322" s="20">
        <f ca="1">IF(Table1[[#This Row],[Column1]]="Technology",Table1[[#This Row],[income]],0)</f>
        <v>0</v>
      </c>
      <c r="DG322" s="20">
        <f ca="1">IF(Table1[[#This Row],[Column1]]="Social Service",Table1[[#This Row],[income]],0)</f>
        <v>0</v>
      </c>
      <c r="DH322" s="20">
        <f ca="1">IF(Table1[[#This Row],[Column1]]="Education",Table1[[#This Row],[income]],0)</f>
        <v>0</v>
      </c>
      <c r="DI322" s="5">
        <f ca="1">IF(Table1[[#This Row],[Column1]]="Construction",Table1[[#This Row],[income]],0)</f>
        <v>0</v>
      </c>
      <c r="DK322" s="6">
        <f ca="1">IF(Table1[[#This Row],[Value of Debts]]&gt;Table1[[#This Row],[income]],1,0)</f>
        <v>1</v>
      </c>
      <c r="DL322" s="20"/>
      <c r="DM322" s="20"/>
      <c r="DN322" s="5"/>
      <c r="DP322" s="6">
        <f ca="1">IF(Table1[[#This Row],[Net Worth (£)]]&gt;$DS$5,C322,0)</f>
        <v>0</v>
      </c>
      <c r="DQ322" s="20"/>
      <c r="DR322" s="20"/>
      <c r="DS322" s="5"/>
    </row>
    <row r="323" spans="1:123" x14ac:dyDescent="0.2">
      <c r="A323">
        <f t="shared" ca="1" si="13"/>
        <v>2</v>
      </c>
      <c r="B323" s="1" t="str">
        <f ca="1">IF(A323=1, "men", "women")</f>
        <v>women</v>
      </c>
      <c r="C323" s="1">
        <f ca="1">RANDBETWEEN(25,50)</f>
        <v>43</v>
      </c>
      <c r="D323">
        <f ca="1">RANDBETWEEN(1,6)</f>
        <v>3</v>
      </c>
      <c r="E323" t="str">
        <f ca="1">VLOOKUP(D323,$W$5:$X$10,2)</f>
        <v>Education</v>
      </c>
      <c r="F323">
        <f ca="1">RANDBETWEEN(1,5)</f>
        <v>4</v>
      </c>
      <c r="G323" t="str">
        <f ca="1">VLOOKUP(F323,$Y$5:$Z$9,2)</f>
        <v xml:space="preserve">Technical </v>
      </c>
      <c r="H323">
        <f ca="1">RANDBETWEEN(0,4)</f>
        <v>2</v>
      </c>
      <c r="I323">
        <f ca="1">RANDBETWEEN(1,3)</f>
        <v>1</v>
      </c>
      <c r="J323">
        <f ca="1">RANDBETWEEN(30000,100000)</f>
        <v>65313</v>
      </c>
      <c r="K323">
        <f ca="1">RANDBETWEEN(1,48)</f>
        <v>18</v>
      </c>
      <c r="L323" t="str">
        <f ca="1">VLOOKUP(K323,$AA$5:$AB$52,2)</f>
        <v>Greater London</v>
      </c>
      <c r="M323">
        <f ca="1">J323*(RANDBETWEEN(2,5))</f>
        <v>195939</v>
      </c>
      <c r="N323">
        <f ca="1">RAND()*M323</f>
        <v>159941.33169402389</v>
      </c>
      <c r="O323">
        <f ca="1">I323*RAND()*J323</f>
        <v>48744.752879581916</v>
      </c>
      <c r="P323">
        <f ca="1">RANDBETWEEN(0,O323)</f>
        <v>20672</v>
      </c>
      <c r="Q323">
        <f ca="1">RAND()*J323*2</f>
        <v>91553.416028416468</v>
      </c>
      <c r="R323">
        <f ca="1">RAND()*J323*1.5</f>
        <v>33188.274480837907</v>
      </c>
      <c r="S323">
        <f ca="1">J323+R323+O323</f>
        <v>147246.02736041983</v>
      </c>
      <c r="T323">
        <f ca="1">N323+P323+Q323</f>
        <v>272166.74772244034</v>
      </c>
      <c r="U323">
        <f ca="1">S323-T323</f>
        <v>-124920.72036202051</v>
      </c>
      <c r="AC323" s="6">
        <f ca="1">IF(Table1[[#This Row],[gender]]="men",1,0)</f>
        <v>0</v>
      </c>
      <c r="AD323">
        <f ca="1">IF(Table1[[#This Row],[gender]]="women",1,0)</f>
        <v>1</v>
      </c>
      <c r="AH323" s="5"/>
      <c r="AJ323" s="6">
        <f ca="1">IF(Table1[[#This Row],[Column1]]="Health",1,0)</f>
        <v>0</v>
      </c>
      <c r="AK323">
        <f ca="1">IF(Table1[[#This Row],[Column1]]="Construction",1,0)</f>
        <v>0</v>
      </c>
      <c r="AL323">
        <f ca="1">IF(Table1[[#This Row],[Column1]]="Technology",1,0)</f>
        <v>0</v>
      </c>
      <c r="AM323">
        <f ca="1">IF(Table1[[#This Row],[Column1]]="Education",1,0)</f>
        <v>1</v>
      </c>
      <c r="AN323">
        <f ca="1">IF(Table1[[#This Row],[Column1]]="Agriculture",1,0)</f>
        <v>0</v>
      </c>
      <c r="AO323">
        <f ca="1">IF(Table1[[#This Row],[Column1]]="Social Service", 1, 0)</f>
        <v>0</v>
      </c>
      <c r="AT323" s="5"/>
      <c r="AV323" s="17">
        <f t="shared" ca="1" si="12"/>
        <v>39934.560647582861</v>
      </c>
      <c r="AW323" s="5"/>
      <c r="AX323" s="6">
        <f ca="1">IF(Table1[[#This Row],[Value of Debts]]&gt;$AY$4,1,0)</f>
        <v>1</v>
      </c>
      <c r="AY323" s="20"/>
      <c r="AZ323" s="20"/>
      <c r="BA323" s="5"/>
      <c r="BB323" s="25">
        <f ca="1">Table1[[#This Row],[Mortage Left]]/Table1[[#This Row],[Value of House]]</f>
        <v>0.81628124923585343</v>
      </c>
      <c r="BC323" s="20">
        <f t="shared" ca="1" si="14"/>
        <v>0</v>
      </c>
      <c r="BD323" s="20"/>
      <c r="BE323" s="20"/>
      <c r="BF323" s="20"/>
      <c r="BG323" s="6">
        <f ca="1">IF(Table1[[#This Row],[County]]="Cumbria",Table1[[#This Row],[income]],0)</f>
        <v>0</v>
      </c>
      <c r="BH323" s="20">
        <f ca="1">IF(Table1[[#This Row],[County]]="Cheshire",Table1[[#This Row],[income]],0)</f>
        <v>0</v>
      </c>
      <c r="BI323" s="20">
        <f ca="1">IF(Table1[[#This Row],[County]]="Bristol",Table1[[#This Row],[income]],0)</f>
        <v>0</v>
      </c>
      <c r="BJ323" s="20">
        <f ca="1">IF(Table1[[#This Row],[County]]="Surrey",Table1[[#This Row],[income]],0)</f>
        <v>0</v>
      </c>
      <c r="BK323" s="20">
        <f ca="1">IF(Table1[[#This Row],[County]]="Norfolk",Table1[[#This Row],[income]],0)</f>
        <v>0</v>
      </c>
      <c r="BL323" s="20">
        <f ca="1">IF(Table1[[#This Row],[County]]="Lincolnshire",Table1[[#This Row],[income]],0)</f>
        <v>0</v>
      </c>
      <c r="BM323" s="20">
        <f ca="1">IF(Table1[[#This Row],[County]]="Somerset",Table1[[#This Row],[income]],0)</f>
        <v>0</v>
      </c>
      <c r="BN323" s="20">
        <f ca="1">IF(Table1[[#This Row],[County]]="Cambridgeshire",Table1[[#This Row],[income]],0)</f>
        <v>0</v>
      </c>
      <c r="BO323" s="20">
        <f ca="1">IF(Table1[[#This Row],[County]]="South Yorkshire",Table1[[#This Row],[income]],0)</f>
        <v>0</v>
      </c>
      <c r="BP323" s="20">
        <f ca="1">IF(Table1[[#This Row],[County]]="Greater London",Table1[[#This Row],[income]],0)</f>
        <v>65313</v>
      </c>
      <c r="BQ323" s="20">
        <f ca="1">IF(Table1[[#This Row],[County]]="Hampshire",Table1[[#This Row],[income]],0)</f>
        <v>0</v>
      </c>
      <c r="BR323" s="20">
        <f ca="1">IF(Table1[[#This Row],[County]]="Gloucestershire",Table1[[#This Row],[income]],0)</f>
        <v>0</v>
      </c>
      <c r="BS323" s="20">
        <f ca="1">IF(Table1[[#This Row],[County]]="West Sussex",Table1[[#This Row],[income]],0)</f>
        <v>0</v>
      </c>
      <c r="BT323" s="20">
        <f ca="1">IF(Table1[[#This Row],[County]]="Devon",Table1[[#This Row],[income]],0)</f>
        <v>0</v>
      </c>
      <c r="BU323" s="20">
        <f ca="1">IF(Table1[[#This Row],[County]]="Berkshire",Table1[[#This Row],[income]],0)</f>
        <v>0</v>
      </c>
      <c r="BV323" s="20">
        <f ca="1">IF(Table1[[#This Row],[County]]="Staffordshire",Table1[[#This Row],[income]],0)</f>
        <v>0</v>
      </c>
      <c r="BW323" s="20">
        <f ca="1">IF(Table1[[#This Row],[County]]="Leicestershire",Table1[[#This Row],[income]],0)</f>
        <v>0</v>
      </c>
      <c r="BX323" s="20">
        <f ca="1">IF(Table1[[#This Row],[County]]="Cornwall",Table1[[#This Row],[income]],0)</f>
        <v>0</v>
      </c>
      <c r="BY323" s="20">
        <f ca="1">IF(Table1[[#This Row],[County]]="Isle of Wight",Table1[[#This Row],[income]],0)</f>
        <v>0</v>
      </c>
      <c r="BZ323" s="20">
        <f ca="1">IF(Table1[[#This Row],[County]]="Surrey",Table1[[#This Row],[income]],0)</f>
        <v>0</v>
      </c>
      <c r="CA323" s="20">
        <f ca="1">IF(Table1[[#This Row],[County]]="Derbyshire",Table1[[#This Row],[income]],0)</f>
        <v>0</v>
      </c>
      <c r="CB323" s="20">
        <f ca="1">IF(Table1[[#This Row],[County]]="City of London",Table1[[#This Row],[income]],0)</f>
        <v>0</v>
      </c>
      <c r="CC323" s="20">
        <f ca="1">IF(Table1[[#This Row],[County]]="Bedfordshire",Table1[[#This Row],[income]],0)</f>
        <v>0</v>
      </c>
      <c r="CD323" s="20">
        <f ca="1">IF(Table1[[#This Row],[County]]="County Durham",Table1[[#This Row],[income]],0)</f>
        <v>0</v>
      </c>
      <c r="CE323" s="20">
        <f ca="1">IF(Table1[[#This Row],[County]]="East Riding of Yorkshire",Table1[[#This Row],[income]],0)</f>
        <v>0</v>
      </c>
      <c r="CF323" s="20">
        <f ca="1">IF(Table1[[#This Row],[County]]="West Yorkshire",Table1[[#This Row],[income]],0)</f>
        <v>0</v>
      </c>
      <c r="CG323" s="20">
        <f ca="1">IF(Table1[[#This Row],[County]]="Essex",Table1[[#This Row],[income]],0)</f>
        <v>0</v>
      </c>
      <c r="CH323" s="20">
        <f ca="1">IF(Table1[[#This Row],[County]]="East Sussex",Table1[[#This Row],[income]],0)</f>
        <v>0</v>
      </c>
      <c r="CI323" s="20">
        <f ca="1">IF(Table1[[#This Row],[County]]="Greater Manchester",Table1[[#This Row],[income]],0)</f>
        <v>0</v>
      </c>
      <c r="CJ323" s="20">
        <f ca="1">IF(Table1[[#This Row],[County]]="Hertfordshire",Table1[[#This Row],[income]],0)</f>
        <v>0</v>
      </c>
      <c r="CK323" s="20">
        <f ca="1">IF(Table1[[#This Row],[County]]="Herefordshire",Table1[[#This Row],[income]],0)</f>
        <v>0</v>
      </c>
      <c r="CL323" s="20">
        <f ca="1">IF(Table1[[#This Row],[County]]="Lancashire",Table1[[#This Row],[income]],0)</f>
        <v>0</v>
      </c>
      <c r="CM323" s="20">
        <f ca="1">IF(Table1[[#This Row],[County]]="Merseyside",Table1[[#This Row],[income]],0)</f>
        <v>0</v>
      </c>
      <c r="CN323" s="20">
        <f ca="1">IF(Table1[[#This Row],[County]]="Northamptonshire",Table1[[#This Row],[income]],0)</f>
        <v>0</v>
      </c>
      <c r="CO323" s="20">
        <f ca="1">IF(Table1[[#This Row],[County]]="Northumberland",Table1[[#This Row],[income]],0)</f>
        <v>0</v>
      </c>
      <c r="CP323" s="20">
        <f ca="1">IF(Table1[[#This Row],[County]]="Wiltshire",Table1[[#This Row],[income]],0)</f>
        <v>0</v>
      </c>
      <c r="CQ323" s="20">
        <f ca="1">IF(Table1[[#This Row],[County]]="West Midlands",Table1[[#This Row],[income]],0)</f>
        <v>0</v>
      </c>
      <c r="CR323" s="20">
        <f ca="1">IF(Table1[[#This Row],[County]]="Warwickshire",Table1[[#This Row],[income]],0)</f>
        <v>0</v>
      </c>
      <c r="CS323" s="20">
        <f ca="1">IF(Table1[[#This Row],[County]]="Tyne and Wear",Table1[[#This Row],[income]],0)</f>
        <v>0</v>
      </c>
      <c r="CT323" s="20">
        <f ca="1">IF(Table1[[#This Row],[County]]="Worcestershire",Table1[[#This Row],[income]],0)</f>
        <v>0</v>
      </c>
      <c r="CU323" s="20">
        <f ca="1">IF(Table1[[#This Row],[County]]="Rutland",Table1[[#This Row],[income]],0)</f>
        <v>0</v>
      </c>
      <c r="CV323" s="20">
        <f ca="1">IF(Table1[[#This Row],[County]]="Shropshire",Table1[[#This Row],[income]],0)</f>
        <v>0</v>
      </c>
      <c r="CW323" s="20">
        <f ca="1">IF(Table1[[#This Row],[County]]="Dorset",Table1[[#This Row],[income]],0)</f>
        <v>0</v>
      </c>
      <c r="CX323" s="20">
        <f ca="1">IF(Table1[[#This Row],[County]]="Buckinghamshire",Table1[[#This Row],[income]],0)</f>
        <v>0</v>
      </c>
      <c r="CY323" s="20">
        <f ca="1">IF(Table1[[#This Row],[County]]="Suffolk",Table1[[#This Row],[income]],0)</f>
        <v>0</v>
      </c>
      <c r="CZ323" s="20">
        <f ca="1">IF(Table1[[#This Row],[County]]="North Yorkshire",Table1[[#This Row],[income]],0)</f>
        <v>0</v>
      </c>
      <c r="DA323" s="20">
        <f ca="1">IF(Table1[[#This Row],[County]]="Kent",Table1[[#This Row],[income]],0)</f>
        <v>0</v>
      </c>
      <c r="DB323" s="5">
        <f ca="1">IF(Table1[[#This Row],[County]]="Derbyshire",Table1[[#This Row],[income]],0)</f>
        <v>0</v>
      </c>
      <c r="DD323" s="6">
        <f ca="1">IF(Table1[[#This Row],[Column1]]="Health",Table1[[#This Row],[income]],0)</f>
        <v>0</v>
      </c>
      <c r="DE323" s="20">
        <f ca="1">IF(Table1[[#This Row],[Column1]]="Agriculture",Table1[[#This Row],[income]],0)</f>
        <v>0</v>
      </c>
      <c r="DF323" s="20">
        <f ca="1">IF(Table1[[#This Row],[Column1]]="Technology",Table1[[#This Row],[income]],0)</f>
        <v>0</v>
      </c>
      <c r="DG323" s="20">
        <f ca="1">IF(Table1[[#This Row],[Column1]]="Social Service",Table1[[#This Row],[income]],0)</f>
        <v>0</v>
      </c>
      <c r="DH323" s="20">
        <f ca="1">IF(Table1[[#This Row],[Column1]]="Education",Table1[[#This Row],[income]],0)</f>
        <v>65313</v>
      </c>
      <c r="DI323" s="5">
        <f ca="1">IF(Table1[[#This Row],[Column1]]="Construction",Table1[[#This Row],[income]],0)</f>
        <v>0</v>
      </c>
      <c r="DK323" s="6">
        <f ca="1">IF(Table1[[#This Row],[Value of Debts]]&gt;Table1[[#This Row],[income]],1,0)</f>
        <v>1</v>
      </c>
      <c r="DL323" s="20"/>
      <c r="DM323" s="20"/>
      <c r="DN323" s="5"/>
      <c r="DP323" s="6">
        <f ca="1">IF(Table1[[#This Row],[Net Worth (£)]]&gt;$DS$5,C323,0)</f>
        <v>0</v>
      </c>
      <c r="DQ323" s="20"/>
      <c r="DR323" s="20"/>
      <c r="DS323" s="5"/>
    </row>
    <row r="324" spans="1:123" x14ac:dyDescent="0.2">
      <c r="A324">
        <f t="shared" ca="1" si="13"/>
        <v>2</v>
      </c>
      <c r="B324" s="1" t="str">
        <f ca="1">IF(A324=1, "men", "women")</f>
        <v>women</v>
      </c>
      <c r="C324" s="1">
        <f ca="1">RANDBETWEEN(25,50)</f>
        <v>48</v>
      </c>
      <c r="D324">
        <f ca="1">RANDBETWEEN(1,6)</f>
        <v>2</v>
      </c>
      <c r="E324" t="str">
        <f ca="1">VLOOKUP(D324,$W$5:$X$10,2)</f>
        <v>Construction</v>
      </c>
      <c r="F324">
        <f ca="1">RANDBETWEEN(1,5)</f>
        <v>5</v>
      </c>
      <c r="G324" t="str">
        <f ca="1">VLOOKUP(F324,$Y$5:$Z$9,2)</f>
        <v>Other</v>
      </c>
      <c r="H324">
        <f ca="1">RANDBETWEEN(0,4)</f>
        <v>1</v>
      </c>
      <c r="I324">
        <f ca="1">RANDBETWEEN(1,3)</f>
        <v>3</v>
      </c>
      <c r="J324">
        <f ca="1">RANDBETWEEN(30000,100000)</f>
        <v>91188</v>
      </c>
      <c r="K324">
        <f ca="1">RANDBETWEEN(1,48)</f>
        <v>21</v>
      </c>
      <c r="L324" t="str">
        <f ca="1">VLOOKUP(K324,$AA$5:$AB$52,2)</f>
        <v>Herefordshire</v>
      </c>
      <c r="M324">
        <f ca="1">J324*(RANDBETWEEN(2,5))</f>
        <v>273564</v>
      </c>
      <c r="N324">
        <f ca="1">RAND()*M324</f>
        <v>12794.498503860981</v>
      </c>
      <c r="O324">
        <f ca="1">I324*RAND()*J324</f>
        <v>119803.68194274858</v>
      </c>
      <c r="P324">
        <f ca="1">RANDBETWEEN(0,O324)</f>
        <v>63846</v>
      </c>
      <c r="Q324">
        <f ca="1">RAND()*J324*2</f>
        <v>176238.56400346302</v>
      </c>
      <c r="R324">
        <f ca="1">RAND()*J324*1.5</f>
        <v>31944.70813923722</v>
      </c>
      <c r="S324">
        <f ca="1">J324+R324+O324</f>
        <v>242936.3900819858</v>
      </c>
      <c r="T324">
        <f ca="1">N324+P324+Q324</f>
        <v>252879.06250732401</v>
      </c>
      <c r="U324">
        <f ca="1">S324-T324</f>
        <v>-9942.6724253382126</v>
      </c>
      <c r="AC324" s="6">
        <f ca="1">IF(Table1[[#This Row],[gender]]="men",1,0)</f>
        <v>0</v>
      </c>
      <c r="AD324">
        <f ca="1">IF(Table1[[#This Row],[gender]]="women",1,0)</f>
        <v>1</v>
      </c>
      <c r="AH324" s="5"/>
      <c r="AJ324" s="6">
        <f ca="1">IF(Table1[[#This Row],[Column1]]="Health",1,0)</f>
        <v>0</v>
      </c>
      <c r="AK324">
        <f ca="1">IF(Table1[[#This Row],[Column1]]="Construction",1,0)</f>
        <v>1</v>
      </c>
      <c r="AL324">
        <f ca="1">IF(Table1[[#This Row],[Column1]]="Technology",1,0)</f>
        <v>0</v>
      </c>
      <c r="AM324">
        <f ca="1">IF(Table1[[#This Row],[Column1]]="Education",1,0)</f>
        <v>0</v>
      </c>
      <c r="AN324">
        <f ca="1">IF(Table1[[#This Row],[Column1]]="Agriculture",1,0)</f>
        <v>0</v>
      </c>
      <c r="AO324">
        <f ca="1">IF(Table1[[#This Row],[Column1]]="Social Service", 1, 0)</f>
        <v>0</v>
      </c>
      <c r="AT324" s="5"/>
      <c r="AV324" s="17">
        <f t="shared" ca="1" si="12"/>
        <v>48566.605874661174</v>
      </c>
      <c r="AW324" s="5"/>
      <c r="AX324" s="6">
        <f ca="1">IF(Table1[[#This Row],[Value of Debts]]&gt;$AY$4,1,0)</f>
        <v>1</v>
      </c>
      <c r="AY324" s="20"/>
      <c r="AZ324" s="20"/>
      <c r="BA324" s="5"/>
      <c r="BB324" s="25">
        <f ca="1">Table1[[#This Row],[Mortage Left]]/Table1[[#This Row],[Value of House]]</f>
        <v>4.6769671827656345E-2</v>
      </c>
      <c r="BC324" s="20">
        <f t="shared" ca="1" si="14"/>
        <v>1</v>
      </c>
      <c r="BD324" s="20"/>
      <c r="BE324" s="20"/>
      <c r="BF324" s="20"/>
      <c r="BG324" s="6">
        <f ca="1">IF(Table1[[#This Row],[County]]="Cumbria",Table1[[#This Row],[income]],0)</f>
        <v>0</v>
      </c>
      <c r="BH324" s="20">
        <f ca="1">IF(Table1[[#This Row],[County]]="Cheshire",Table1[[#This Row],[income]],0)</f>
        <v>0</v>
      </c>
      <c r="BI324" s="20">
        <f ca="1">IF(Table1[[#This Row],[County]]="Bristol",Table1[[#This Row],[income]],0)</f>
        <v>0</v>
      </c>
      <c r="BJ324" s="20">
        <f ca="1">IF(Table1[[#This Row],[County]]="Surrey",Table1[[#This Row],[income]],0)</f>
        <v>0</v>
      </c>
      <c r="BK324" s="20">
        <f ca="1">IF(Table1[[#This Row],[County]]="Norfolk",Table1[[#This Row],[income]],0)</f>
        <v>0</v>
      </c>
      <c r="BL324" s="20">
        <f ca="1">IF(Table1[[#This Row],[County]]="Lincolnshire",Table1[[#This Row],[income]],0)</f>
        <v>0</v>
      </c>
      <c r="BM324" s="20">
        <f ca="1">IF(Table1[[#This Row],[County]]="Somerset",Table1[[#This Row],[income]],0)</f>
        <v>0</v>
      </c>
      <c r="BN324" s="20">
        <f ca="1">IF(Table1[[#This Row],[County]]="Cambridgeshire",Table1[[#This Row],[income]],0)</f>
        <v>0</v>
      </c>
      <c r="BO324" s="20">
        <f ca="1">IF(Table1[[#This Row],[County]]="South Yorkshire",Table1[[#This Row],[income]],0)</f>
        <v>0</v>
      </c>
      <c r="BP324" s="20">
        <f ca="1">IF(Table1[[#This Row],[County]]="Greater London",Table1[[#This Row],[income]],0)</f>
        <v>0</v>
      </c>
      <c r="BQ324" s="20">
        <f ca="1">IF(Table1[[#This Row],[County]]="Hampshire",Table1[[#This Row],[income]],0)</f>
        <v>0</v>
      </c>
      <c r="BR324" s="20">
        <f ca="1">IF(Table1[[#This Row],[County]]="Gloucestershire",Table1[[#This Row],[income]],0)</f>
        <v>0</v>
      </c>
      <c r="BS324" s="20">
        <f ca="1">IF(Table1[[#This Row],[County]]="West Sussex",Table1[[#This Row],[income]],0)</f>
        <v>0</v>
      </c>
      <c r="BT324" s="20">
        <f ca="1">IF(Table1[[#This Row],[County]]="Devon",Table1[[#This Row],[income]],0)</f>
        <v>0</v>
      </c>
      <c r="BU324" s="20">
        <f ca="1">IF(Table1[[#This Row],[County]]="Berkshire",Table1[[#This Row],[income]],0)</f>
        <v>0</v>
      </c>
      <c r="BV324" s="20">
        <f ca="1">IF(Table1[[#This Row],[County]]="Staffordshire",Table1[[#This Row],[income]],0)</f>
        <v>0</v>
      </c>
      <c r="BW324" s="20">
        <f ca="1">IF(Table1[[#This Row],[County]]="Leicestershire",Table1[[#This Row],[income]],0)</f>
        <v>0</v>
      </c>
      <c r="BX324" s="20">
        <f ca="1">IF(Table1[[#This Row],[County]]="Cornwall",Table1[[#This Row],[income]],0)</f>
        <v>0</v>
      </c>
      <c r="BY324" s="20">
        <f ca="1">IF(Table1[[#This Row],[County]]="Isle of Wight",Table1[[#This Row],[income]],0)</f>
        <v>0</v>
      </c>
      <c r="BZ324" s="20">
        <f ca="1">IF(Table1[[#This Row],[County]]="Surrey",Table1[[#This Row],[income]],0)</f>
        <v>0</v>
      </c>
      <c r="CA324" s="20">
        <f ca="1">IF(Table1[[#This Row],[County]]="Derbyshire",Table1[[#This Row],[income]],0)</f>
        <v>0</v>
      </c>
      <c r="CB324" s="20">
        <f ca="1">IF(Table1[[#This Row],[County]]="City of London",Table1[[#This Row],[income]],0)</f>
        <v>0</v>
      </c>
      <c r="CC324" s="20">
        <f ca="1">IF(Table1[[#This Row],[County]]="Bedfordshire",Table1[[#This Row],[income]],0)</f>
        <v>0</v>
      </c>
      <c r="CD324" s="20">
        <f ca="1">IF(Table1[[#This Row],[County]]="County Durham",Table1[[#This Row],[income]],0)</f>
        <v>0</v>
      </c>
      <c r="CE324" s="20">
        <f ca="1">IF(Table1[[#This Row],[County]]="East Riding of Yorkshire",Table1[[#This Row],[income]],0)</f>
        <v>0</v>
      </c>
      <c r="CF324" s="20">
        <f ca="1">IF(Table1[[#This Row],[County]]="West Yorkshire",Table1[[#This Row],[income]],0)</f>
        <v>0</v>
      </c>
      <c r="CG324" s="20">
        <f ca="1">IF(Table1[[#This Row],[County]]="Essex",Table1[[#This Row],[income]],0)</f>
        <v>0</v>
      </c>
      <c r="CH324" s="20">
        <f ca="1">IF(Table1[[#This Row],[County]]="East Sussex",Table1[[#This Row],[income]],0)</f>
        <v>0</v>
      </c>
      <c r="CI324" s="20">
        <f ca="1">IF(Table1[[#This Row],[County]]="Greater Manchester",Table1[[#This Row],[income]],0)</f>
        <v>0</v>
      </c>
      <c r="CJ324" s="20">
        <f ca="1">IF(Table1[[#This Row],[County]]="Hertfordshire",Table1[[#This Row],[income]],0)</f>
        <v>0</v>
      </c>
      <c r="CK324" s="20">
        <f ca="1">IF(Table1[[#This Row],[County]]="Herefordshire",Table1[[#This Row],[income]],0)</f>
        <v>91188</v>
      </c>
      <c r="CL324" s="20">
        <f ca="1">IF(Table1[[#This Row],[County]]="Lancashire",Table1[[#This Row],[income]],0)</f>
        <v>0</v>
      </c>
      <c r="CM324" s="20">
        <f ca="1">IF(Table1[[#This Row],[County]]="Merseyside",Table1[[#This Row],[income]],0)</f>
        <v>0</v>
      </c>
      <c r="CN324" s="20">
        <f ca="1">IF(Table1[[#This Row],[County]]="Northamptonshire",Table1[[#This Row],[income]],0)</f>
        <v>0</v>
      </c>
      <c r="CO324" s="20">
        <f ca="1">IF(Table1[[#This Row],[County]]="Northumberland",Table1[[#This Row],[income]],0)</f>
        <v>0</v>
      </c>
      <c r="CP324" s="20">
        <f ca="1">IF(Table1[[#This Row],[County]]="Wiltshire",Table1[[#This Row],[income]],0)</f>
        <v>0</v>
      </c>
      <c r="CQ324" s="20">
        <f ca="1">IF(Table1[[#This Row],[County]]="West Midlands",Table1[[#This Row],[income]],0)</f>
        <v>0</v>
      </c>
      <c r="CR324" s="20">
        <f ca="1">IF(Table1[[#This Row],[County]]="Warwickshire",Table1[[#This Row],[income]],0)</f>
        <v>0</v>
      </c>
      <c r="CS324" s="20">
        <f ca="1">IF(Table1[[#This Row],[County]]="Tyne and Wear",Table1[[#This Row],[income]],0)</f>
        <v>0</v>
      </c>
      <c r="CT324" s="20">
        <f ca="1">IF(Table1[[#This Row],[County]]="Worcestershire",Table1[[#This Row],[income]],0)</f>
        <v>0</v>
      </c>
      <c r="CU324" s="20">
        <f ca="1">IF(Table1[[#This Row],[County]]="Rutland",Table1[[#This Row],[income]],0)</f>
        <v>0</v>
      </c>
      <c r="CV324" s="20">
        <f ca="1">IF(Table1[[#This Row],[County]]="Shropshire",Table1[[#This Row],[income]],0)</f>
        <v>0</v>
      </c>
      <c r="CW324" s="20">
        <f ca="1">IF(Table1[[#This Row],[County]]="Dorset",Table1[[#This Row],[income]],0)</f>
        <v>0</v>
      </c>
      <c r="CX324" s="20">
        <f ca="1">IF(Table1[[#This Row],[County]]="Buckinghamshire",Table1[[#This Row],[income]],0)</f>
        <v>0</v>
      </c>
      <c r="CY324" s="20">
        <f ca="1">IF(Table1[[#This Row],[County]]="Suffolk",Table1[[#This Row],[income]],0)</f>
        <v>0</v>
      </c>
      <c r="CZ324" s="20">
        <f ca="1">IF(Table1[[#This Row],[County]]="North Yorkshire",Table1[[#This Row],[income]],0)</f>
        <v>0</v>
      </c>
      <c r="DA324" s="20">
        <f ca="1">IF(Table1[[#This Row],[County]]="Kent",Table1[[#This Row],[income]],0)</f>
        <v>0</v>
      </c>
      <c r="DB324" s="5">
        <f ca="1">IF(Table1[[#This Row],[County]]="Derbyshire",Table1[[#This Row],[income]],0)</f>
        <v>0</v>
      </c>
      <c r="DD324" s="6">
        <f ca="1">IF(Table1[[#This Row],[Column1]]="Health",Table1[[#This Row],[income]],0)</f>
        <v>0</v>
      </c>
      <c r="DE324" s="20">
        <f ca="1">IF(Table1[[#This Row],[Column1]]="Agriculture",Table1[[#This Row],[income]],0)</f>
        <v>0</v>
      </c>
      <c r="DF324" s="20">
        <f ca="1">IF(Table1[[#This Row],[Column1]]="Technology",Table1[[#This Row],[income]],0)</f>
        <v>0</v>
      </c>
      <c r="DG324" s="20">
        <f ca="1">IF(Table1[[#This Row],[Column1]]="Social Service",Table1[[#This Row],[income]],0)</f>
        <v>0</v>
      </c>
      <c r="DH324" s="20">
        <f ca="1">IF(Table1[[#This Row],[Column1]]="Education",Table1[[#This Row],[income]],0)</f>
        <v>0</v>
      </c>
      <c r="DI324" s="5">
        <f ca="1">IF(Table1[[#This Row],[Column1]]="Construction",Table1[[#This Row],[income]],0)</f>
        <v>91188</v>
      </c>
      <c r="DK324" s="6">
        <f ca="1">IF(Table1[[#This Row],[Value of Debts]]&gt;Table1[[#This Row],[income]],1,0)</f>
        <v>1</v>
      </c>
      <c r="DL324" s="20"/>
      <c r="DM324" s="20"/>
      <c r="DN324" s="5"/>
      <c r="DP324" s="6">
        <f ca="1">IF(Table1[[#This Row],[Net Worth (£)]]&gt;$DS$5,C324,0)</f>
        <v>0</v>
      </c>
      <c r="DQ324" s="20"/>
      <c r="DR324" s="20"/>
      <c r="DS324" s="5"/>
    </row>
    <row r="325" spans="1:123" x14ac:dyDescent="0.2">
      <c r="A325">
        <f t="shared" ca="1" si="13"/>
        <v>2</v>
      </c>
      <c r="B325" s="1" t="str">
        <f ca="1">IF(A325=1, "men", "women")</f>
        <v>women</v>
      </c>
      <c r="C325" s="1">
        <f ca="1">RANDBETWEEN(25,50)</f>
        <v>34</v>
      </c>
      <c r="D325">
        <f ca="1">RANDBETWEEN(1,6)</f>
        <v>3</v>
      </c>
      <c r="E325" t="str">
        <f ca="1">VLOOKUP(D325,$W$5:$X$10,2)</f>
        <v>Education</v>
      </c>
      <c r="F325">
        <f ca="1">RANDBETWEEN(1,5)</f>
        <v>4</v>
      </c>
      <c r="G325" t="str">
        <f ca="1">VLOOKUP(F325,$Y$5:$Z$9,2)</f>
        <v xml:space="preserve">Technical </v>
      </c>
      <c r="H325">
        <f ca="1">RANDBETWEEN(0,4)</f>
        <v>3</v>
      </c>
      <c r="I325">
        <f ca="1">RANDBETWEEN(1,3)</f>
        <v>3</v>
      </c>
      <c r="J325">
        <f ca="1">RANDBETWEEN(30000,100000)</f>
        <v>89086</v>
      </c>
      <c r="K325">
        <f ca="1">RANDBETWEEN(1,48)</f>
        <v>2</v>
      </c>
      <c r="L325" t="str">
        <f ca="1">VLOOKUP(K325,$AA$5:$AB$52,2)</f>
        <v>Berkshire</v>
      </c>
      <c r="M325">
        <f ca="1">J325*(RANDBETWEEN(2,5))</f>
        <v>356344</v>
      </c>
      <c r="N325">
        <f ca="1">RAND()*M325</f>
        <v>267240.23757078865</v>
      </c>
      <c r="O325">
        <f ca="1">I325*RAND()*J325</f>
        <v>145699.81762398352</v>
      </c>
      <c r="P325">
        <f ca="1">RANDBETWEEN(0,O325)</f>
        <v>68057</v>
      </c>
      <c r="Q325">
        <f ca="1">RAND()*J325*2</f>
        <v>54861.29863342621</v>
      </c>
      <c r="R325">
        <f ca="1">RAND()*J325*1.5</f>
        <v>8570.4787026360536</v>
      </c>
      <c r="S325">
        <f ca="1">J325+R325+O325</f>
        <v>243356.29632661957</v>
      </c>
      <c r="T325">
        <f ca="1">N325+P325+Q325</f>
        <v>390158.53620421485</v>
      </c>
      <c r="U325">
        <f ca="1">S325-T325</f>
        <v>-146802.23987759528</v>
      </c>
      <c r="AC325" s="6">
        <f ca="1">IF(Table1[[#This Row],[gender]]="men",1,0)</f>
        <v>0</v>
      </c>
      <c r="AD325">
        <f ca="1">IF(Table1[[#This Row],[gender]]="women",1,0)</f>
        <v>1</v>
      </c>
      <c r="AH325" s="5"/>
      <c r="AJ325" s="6">
        <f ca="1">IF(Table1[[#This Row],[Column1]]="Health",1,0)</f>
        <v>0</v>
      </c>
      <c r="AK325">
        <f ca="1">IF(Table1[[#This Row],[Column1]]="Construction",1,0)</f>
        <v>0</v>
      </c>
      <c r="AL325">
        <f ca="1">IF(Table1[[#This Row],[Column1]]="Technology",1,0)</f>
        <v>0</v>
      </c>
      <c r="AM325">
        <f ca="1">IF(Table1[[#This Row],[Column1]]="Education",1,0)</f>
        <v>1</v>
      </c>
      <c r="AN325">
        <f ca="1">IF(Table1[[#This Row],[Column1]]="Agriculture",1,0)</f>
        <v>0</v>
      </c>
      <c r="AO325">
        <f ca="1">IF(Table1[[#This Row],[Column1]]="Social Service", 1, 0)</f>
        <v>0</v>
      </c>
      <c r="AT325" s="5"/>
      <c r="AV325" s="17">
        <f t="shared" ref="AV325:AV388" ca="1" si="15">(O326/I326)</f>
        <v>10616.557837973383</v>
      </c>
      <c r="AW325" s="5"/>
      <c r="AX325" s="6">
        <f ca="1">IF(Table1[[#This Row],[Value of Debts]]&gt;$AY$4,1,0)</f>
        <v>1</v>
      </c>
      <c r="AY325" s="20"/>
      <c r="AZ325" s="20"/>
      <c r="BA325" s="5"/>
      <c r="BB325" s="25">
        <f ca="1">Table1[[#This Row],[Mortage Left]]/Table1[[#This Row],[Value of House]]</f>
        <v>0.7499501537020089</v>
      </c>
      <c r="BC325" s="20">
        <f t="shared" ca="1" si="14"/>
        <v>0</v>
      </c>
      <c r="BD325" s="20"/>
      <c r="BE325" s="20"/>
      <c r="BF325" s="20"/>
      <c r="BG325" s="6">
        <f ca="1">IF(Table1[[#This Row],[County]]="Cumbria",Table1[[#This Row],[income]],0)</f>
        <v>0</v>
      </c>
      <c r="BH325" s="20">
        <f ca="1">IF(Table1[[#This Row],[County]]="Cheshire",Table1[[#This Row],[income]],0)</f>
        <v>0</v>
      </c>
      <c r="BI325" s="20">
        <f ca="1">IF(Table1[[#This Row],[County]]="Bristol",Table1[[#This Row],[income]],0)</f>
        <v>0</v>
      </c>
      <c r="BJ325" s="20">
        <f ca="1">IF(Table1[[#This Row],[County]]="Surrey",Table1[[#This Row],[income]],0)</f>
        <v>0</v>
      </c>
      <c r="BK325" s="20">
        <f ca="1">IF(Table1[[#This Row],[County]]="Norfolk",Table1[[#This Row],[income]],0)</f>
        <v>0</v>
      </c>
      <c r="BL325" s="20">
        <f ca="1">IF(Table1[[#This Row],[County]]="Lincolnshire",Table1[[#This Row],[income]],0)</f>
        <v>0</v>
      </c>
      <c r="BM325" s="20">
        <f ca="1">IF(Table1[[#This Row],[County]]="Somerset",Table1[[#This Row],[income]],0)</f>
        <v>0</v>
      </c>
      <c r="BN325" s="20">
        <f ca="1">IF(Table1[[#This Row],[County]]="Cambridgeshire",Table1[[#This Row],[income]],0)</f>
        <v>0</v>
      </c>
      <c r="BO325" s="20">
        <f ca="1">IF(Table1[[#This Row],[County]]="South Yorkshire",Table1[[#This Row],[income]],0)</f>
        <v>0</v>
      </c>
      <c r="BP325" s="20">
        <f ca="1">IF(Table1[[#This Row],[County]]="Greater London",Table1[[#This Row],[income]],0)</f>
        <v>0</v>
      </c>
      <c r="BQ325" s="20">
        <f ca="1">IF(Table1[[#This Row],[County]]="Hampshire",Table1[[#This Row],[income]],0)</f>
        <v>0</v>
      </c>
      <c r="BR325" s="20">
        <f ca="1">IF(Table1[[#This Row],[County]]="Gloucestershire",Table1[[#This Row],[income]],0)</f>
        <v>0</v>
      </c>
      <c r="BS325" s="20">
        <f ca="1">IF(Table1[[#This Row],[County]]="West Sussex",Table1[[#This Row],[income]],0)</f>
        <v>0</v>
      </c>
      <c r="BT325" s="20">
        <f ca="1">IF(Table1[[#This Row],[County]]="Devon",Table1[[#This Row],[income]],0)</f>
        <v>0</v>
      </c>
      <c r="BU325" s="20">
        <f ca="1">IF(Table1[[#This Row],[County]]="Berkshire",Table1[[#This Row],[income]],0)</f>
        <v>89086</v>
      </c>
      <c r="BV325" s="20">
        <f ca="1">IF(Table1[[#This Row],[County]]="Staffordshire",Table1[[#This Row],[income]],0)</f>
        <v>0</v>
      </c>
      <c r="BW325" s="20">
        <f ca="1">IF(Table1[[#This Row],[County]]="Leicestershire",Table1[[#This Row],[income]],0)</f>
        <v>0</v>
      </c>
      <c r="BX325" s="20">
        <f ca="1">IF(Table1[[#This Row],[County]]="Cornwall",Table1[[#This Row],[income]],0)</f>
        <v>0</v>
      </c>
      <c r="BY325" s="20">
        <f ca="1">IF(Table1[[#This Row],[County]]="Isle of Wight",Table1[[#This Row],[income]],0)</f>
        <v>0</v>
      </c>
      <c r="BZ325" s="20">
        <f ca="1">IF(Table1[[#This Row],[County]]="Surrey",Table1[[#This Row],[income]],0)</f>
        <v>0</v>
      </c>
      <c r="CA325" s="20">
        <f ca="1">IF(Table1[[#This Row],[County]]="Derbyshire",Table1[[#This Row],[income]],0)</f>
        <v>0</v>
      </c>
      <c r="CB325" s="20">
        <f ca="1">IF(Table1[[#This Row],[County]]="City of London",Table1[[#This Row],[income]],0)</f>
        <v>0</v>
      </c>
      <c r="CC325" s="20">
        <f ca="1">IF(Table1[[#This Row],[County]]="Bedfordshire",Table1[[#This Row],[income]],0)</f>
        <v>0</v>
      </c>
      <c r="CD325" s="20">
        <f ca="1">IF(Table1[[#This Row],[County]]="County Durham",Table1[[#This Row],[income]],0)</f>
        <v>0</v>
      </c>
      <c r="CE325" s="20">
        <f ca="1">IF(Table1[[#This Row],[County]]="East Riding of Yorkshire",Table1[[#This Row],[income]],0)</f>
        <v>0</v>
      </c>
      <c r="CF325" s="20">
        <f ca="1">IF(Table1[[#This Row],[County]]="West Yorkshire",Table1[[#This Row],[income]],0)</f>
        <v>0</v>
      </c>
      <c r="CG325" s="20">
        <f ca="1">IF(Table1[[#This Row],[County]]="Essex",Table1[[#This Row],[income]],0)</f>
        <v>0</v>
      </c>
      <c r="CH325" s="20">
        <f ca="1">IF(Table1[[#This Row],[County]]="East Sussex",Table1[[#This Row],[income]],0)</f>
        <v>0</v>
      </c>
      <c r="CI325" s="20">
        <f ca="1">IF(Table1[[#This Row],[County]]="Greater Manchester",Table1[[#This Row],[income]],0)</f>
        <v>0</v>
      </c>
      <c r="CJ325" s="20">
        <f ca="1">IF(Table1[[#This Row],[County]]="Hertfordshire",Table1[[#This Row],[income]],0)</f>
        <v>0</v>
      </c>
      <c r="CK325" s="20">
        <f ca="1">IF(Table1[[#This Row],[County]]="Herefordshire",Table1[[#This Row],[income]],0)</f>
        <v>0</v>
      </c>
      <c r="CL325" s="20">
        <f ca="1">IF(Table1[[#This Row],[County]]="Lancashire",Table1[[#This Row],[income]],0)</f>
        <v>0</v>
      </c>
      <c r="CM325" s="20">
        <f ca="1">IF(Table1[[#This Row],[County]]="Merseyside",Table1[[#This Row],[income]],0)</f>
        <v>0</v>
      </c>
      <c r="CN325" s="20">
        <f ca="1">IF(Table1[[#This Row],[County]]="Northamptonshire",Table1[[#This Row],[income]],0)</f>
        <v>0</v>
      </c>
      <c r="CO325" s="20">
        <f ca="1">IF(Table1[[#This Row],[County]]="Northumberland",Table1[[#This Row],[income]],0)</f>
        <v>0</v>
      </c>
      <c r="CP325" s="20">
        <f ca="1">IF(Table1[[#This Row],[County]]="Wiltshire",Table1[[#This Row],[income]],0)</f>
        <v>0</v>
      </c>
      <c r="CQ325" s="20">
        <f ca="1">IF(Table1[[#This Row],[County]]="West Midlands",Table1[[#This Row],[income]],0)</f>
        <v>0</v>
      </c>
      <c r="CR325" s="20">
        <f ca="1">IF(Table1[[#This Row],[County]]="Warwickshire",Table1[[#This Row],[income]],0)</f>
        <v>0</v>
      </c>
      <c r="CS325" s="20">
        <f ca="1">IF(Table1[[#This Row],[County]]="Tyne and Wear",Table1[[#This Row],[income]],0)</f>
        <v>0</v>
      </c>
      <c r="CT325" s="20">
        <f ca="1">IF(Table1[[#This Row],[County]]="Worcestershire",Table1[[#This Row],[income]],0)</f>
        <v>0</v>
      </c>
      <c r="CU325" s="20">
        <f ca="1">IF(Table1[[#This Row],[County]]="Rutland",Table1[[#This Row],[income]],0)</f>
        <v>0</v>
      </c>
      <c r="CV325" s="20">
        <f ca="1">IF(Table1[[#This Row],[County]]="Shropshire",Table1[[#This Row],[income]],0)</f>
        <v>0</v>
      </c>
      <c r="CW325" s="20">
        <f ca="1">IF(Table1[[#This Row],[County]]="Dorset",Table1[[#This Row],[income]],0)</f>
        <v>0</v>
      </c>
      <c r="CX325" s="20">
        <f ca="1">IF(Table1[[#This Row],[County]]="Buckinghamshire",Table1[[#This Row],[income]],0)</f>
        <v>0</v>
      </c>
      <c r="CY325" s="20">
        <f ca="1">IF(Table1[[#This Row],[County]]="Suffolk",Table1[[#This Row],[income]],0)</f>
        <v>0</v>
      </c>
      <c r="CZ325" s="20">
        <f ca="1">IF(Table1[[#This Row],[County]]="North Yorkshire",Table1[[#This Row],[income]],0)</f>
        <v>0</v>
      </c>
      <c r="DA325" s="20">
        <f ca="1">IF(Table1[[#This Row],[County]]="Kent",Table1[[#This Row],[income]],0)</f>
        <v>0</v>
      </c>
      <c r="DB325" s="5">
        <f ca="1">IF(Table1[[#This Row],[County]]="Derbyshire",Table1[[#This Row],[income]],0)</f>
        <v>0</v>
      </c>
      <c r="DD325" s="6">
        <f ca="1">IF(Table1[[#This Row],[Column1]]="Health",Table1[[#This Row],[income]],0)</f>
        <v>0</v>
      </c>
      <c r="DE325" s="20">
        <f ca="1">IF(Table1[[#This Row],[Column1]]="Agriculture",Table1[[#This Row],[income]],0)</f>
        <v>0</v>
      </c>
      <c r="DF325" s="20">
        <f ca="1">IF(Table1[[#This Row],[Column1]]="Technology",Table1[[#This Row],[income]],0)</f>
        <v>0</v>
      </c>
      <c r="DG325" s="20">
        <f ca="1">IF(Table1[[#This Row],[Column1]]="Social Service",Table1[[#This Row],[income]],0)</f>
        <v>0</v>
      </c>
      <c r="DH325" s="20">
        <f ca="1">IF(Table1[[#This Row],[Column1]]="Education",Table1[[#This Row],[income]],0)</f>
        <v>89086</v>
      </c>
      <c r="DI325" s="5">
        <f ca="1">IF(Table1[[#This Row],[Column1]]="Construction",Table1[[#This Row],[income]],0)</f>
        <v>0</v>
      </c>
      <c r="DK325" s="6">
        <f ca="1">IF(Table1[[#This Row],[Value of Debts]]&gt;Table1[[#This Row],[income]],1,0)</f>
        <v>1</v>
      </c>
      <c r="DL325" s="20"/>
      <c r="DM325" s="20"/>
      <c r="DN325" s="5"/>
      <c r="DP325" s="6">
        <f ca="1">IF(Table1[[#This Row],[Net Worth (£)]]&gt;$DS$5,C325,0)</f>
        <v>0</v>
      </c>
      <c r="DQ325" s="20"/>
      <c r="DR325" s="20"/>
      <c r="DS325" s="5"/>
    </row>
    <row r="326" spans="1:123" x14ac:dyDescent="0.2">
      <c r="A326">
        <f t="shared" ref="A326:A389" ca="1" si="16">RANDBETWEEN(1,2)</f>
        <v>1</v>
      </c>
      <c r="B326" s="1" t="str">
        <f ca="1">IF(A326=1, "men", "women")</f>
        <v>men</v>
      </c>
      <c r="C326" s="1">
        <f ca="1">RANDBETWEEN(25,50)</f>
        <v>32</v>
      </c>
      <c r="D326">
        <f ca="1">RANDBETWEEN(1,6)</f>
        <v>1</v>
      </c>
      <c r="E326" t="str">
        <f ca="1">VLOOKUP(D326,$W$5:$X$10,2)</f>
        <v>Health</v>
      </c>
      <c r="F326">
        <f ca="1">RANDBETWEEN(1,5)</f>
        <v>4</v>
      </c>
      <c r="G326" t="str">
        <f ca="1">VLOOKUP(F326,$Y$5:$Z$9,2)</f>
        <v xml:space="preserve">Technical </v>
      </c>
      <c r="H326">
        <f ca="1">RANDBETWEEN(0,4)</f>
        <v>2</v>
      </c>
      <c r="I326">
        <f ca="1">RANDBETWEEN(1,3)</f>
        <v>3</v>
      </c>
      <c r="J326">
        <f ca="1">RANDBETWEEN(30000,100000)</f>
        <v>49832</v>
      </c>
      <c r="K326">
        <f ca="1">RANDBETWEEN(1,48)</f>
        <v>35</v>
      </c>
      <c r="L326" t="str">
        <f ca="1">VLOOKUP(K326,$AA$5:$AB$52,2)</f>
        <v>Rutland</v>
      </c>
      <c r="M326">
        <f ca="1">J326*(RANDBETWEEN(2,5))</f>
        <v>199328</v>
      </c>
      <c r="N326">
        <f ca="1">RAND()*M326</f>
        <v>11203.470693232543</v>
      </c>
      <c r="O326">
        <f ca="1">I326*RAND()*J326</f>
        <v>31849.673513920152</v>
      </c>
      <c r="P326">
        <f ca="1">RANDBETWEEN(0,O326)</f>
        <v>26048</v>
      </c>
      <c r="Q326">
        <f ca="1">RAND()*J326*2</f>
        <v>38511.898831076483</v>
      </c>
      <c r="R326">
        <f ca="1">RAND()*J326*1.5</f>
        <v>4354.5772980405291</v>
      </c>
      <c r="S326">
        <f ca="1">J326+R326+O326</f>
        <v>86036.250811960679</v>
      </c>
      <c r="T326">
        <f ca="1">N326+P326+Q326</f>
        <v>75763.369524309033</v>
      </c>
      <c r="U326">
        <f ca="1">S326-T326</f>
        <v>10272.881287651646</v>
      </c>
      <c r="AC326" s="6">
        <f ca="1">IF(Table1[[#This Row],[gender]]="men",1,0)</f>
        <v>1</v>
      </c>
      <c r="AD326">
        <f ca="1">IF(Table1[[#This Row],[gender]]="women",1,0)</f>
        <v>0</v>
      </c>
      <c r="AH326" s="5"/>
      <c r="AJ326" s="6">
        <f ca="1">IF(Table1[[#This Row],[Column1]]="Health",1,0)</f>
        <v>1</v>
      </c>
      <c r="AK326">
        <f ca="1">IF(Table1[[#This Row],[Column1]]="Construction",1,0)</f>
        <v>0</v>
      </c>
      <c r="AL326">
        <f ca="1">IF(Table1[[#This Row],[Column1]]="Technology",1,0)</f>
        <v>0</v>
      </c>
      <c r="AM326">
        <f ca="1">IF(Table1[[#This Row],[Column1]]="Education",1,0)</f>
        <v>0</v>
      </c>
      <c r="AN326">
        <f ca="1">IF(Table1[[#This Row],[Column1]]="Agriculture",1,0)</f>
        <v>0</v>
      </c>
      <c r="AO326">
        <f ca="1">IF(Table1[[#This Row],[Column1]]="Social Service", 1, 0)</f>
        <v>0</v>
      </c>
      <c r="AT326" s="5"/>
      <c r="AV326" s="17">
        <f t="shared" ca="1" si="15"/>
        <v>9382.450742650688</v>
      </c>
      <c r="AW326" s="5"/>
      <c r="AX326" s="6">
        <f ca="1">IF(Table1[[#This Row],[Value of Debts]]&gt;$AY$4,1,0)</f>
        <v>0</v>
      </c>
      <c r="AY326" s="20"/>
      <c r="AZ326" s="20"/>
      <c r="BA326" s="5"/>
      <c r="BB326" s="25">
        <f ca="1">Table1[[#This Row],[Mortage Left]]/Table1[[#This Row],[Value of House]]</f>
        <v>5.6206206319395886E-2</v>
      </c>
      <c r="BC326" s="20">
        <f t="shared" ref="BC326:BC389" ca="1" si="17">IF(BB326&lt;$BD$4,1,0)</f>
        <v>1</v>
      </c>
      <c r="BD326" s="20"/>
      <c r="BE326" s="20"/>
      <c r="BF326" s="20"/>
      <c r="BG326" s="6">
        <f ca="1">IF(Table1[[#This Row],[County]]="Cumbria",Table1[[#This Row],[income]],0)</f>
        <v>0</v>
      </c>
      <c r="BH326" s="20">
        <f ca="1">IF(Table1[[#This Row],[County]]="Cheshire",Table1[[#This Row],[income]],0)</f>
        <v>0</v>
      </c>
      <c r="BI326" s="20">
        <f ca="1">IF(Table1[[#This Row],[County]]="Bristol",Table1[[#This Row],[income]],0)</f>
        <v>0</v>
      </c>
      <c r="BJ326" s="20">
        <f ca="1">IF(Table1[[#This Row],[County]]="Surrey",Table1[[#This Row],[income]],0)</f>
        <v>0</v>
      </c>
      <c r="BK326" s="20">
        <f ca="1">IF(Table1[[#This Row],[County]]="Norfolk",Table1[[#This Row],[income]],0)</f>
        <v>0</v>
      </c>
      <c r="BL326" s="20">
        <f ca="1">IF(Table1[[#This Row],[County]]="Lincolnshire",Table1[[#This Row],[income]],0)</f>
        <v>0</v>
      </c>
      <c r="BM326" s="20">
        <f ca="1">IF(Table1[[#This Row],[County]]="Somerset",Table1[[#This Row],[income]],0)</f>
        <v>0</v>
      </c>
      <c r="BN326" s="20">
        <f ca="1">IF(Table1[[#This Row],[County]]="Cambridgeshire",Table1[[#This Row],[income]],0)</f>
        <v>0</v>
      </c>
      <c r="BO326" s="20">
        <f ca="1">IF(Table1[[#This Row],[County]]="South Yorkshire",Table1[[#This Row],[income]],0)</f>
        <v>0</v>
      </c>
      <c r="BP326" s="20">
        <f ca="1">IF(Table1[[#This Row],[County]]="Greater London",Table1[[#This Row],[income]],0)</f>
        <v>0</v>
      </c>
      <c r="BQ326" s="20">
        <f ca="1">IF(Table1[[#This Row],[County]]="Hampshire",Table1[[#This Row],[income]],0)</f>
        <v>0</v>
      </c>
      <c r="BR326" s="20">
        <f ca="1">IF(Table1[[#This Row],[County]]="Gloucestershire",Table1[[#This Row],[income]],0)</f>
        <v>0</v>
      </c>
      <c r="BS326" s="20">
        <f ca="1">IF(Table1[[#This Row],[County]]="West Sussex",Table1[[#This Row],[income]],0)</f>
        <v>0</v>
      </c>
      <c r="BT326" s="20">
        <f ca="1">IF(Table1[[#This Row],[County]]="Devon",Table1[[#This Row],[income]],0)</f>
        <v>0</v>
      </c>
      <c r="BU326" s="20">
        <f ca="1">IF(Table1[[#This Row],[County]]="Berkshire",Table1[[#This Row],[income]],0)</f>
        <v>0</v>
      </c>
      <c r="BV326" s="20">
        <f ca="1">IF(Table1[[#This Row],[County]]="Staffordshire",Table1[[#This Row],[income]],0)</f>
        <v>0</v>
      </c>
      <c r="BW326" s="20">
        <f ca="1">IF(Table1[[#This Row],[County]]="Leicestershire",Table1[[#This Row],[income]],0)</f>
        <v>0</v>
      </c>
      <c r="BX326" s="20">
        <f ca="1">IF(Table1[[#This Row],[County]]="Cornwall",Table1[[#This Row],[income]],0)</f>
        <v>0</v>
      </c>
      <c r="BY326" s="20">
        <f ca="1">IF(Table1[[#This Row],[County]]="Isle of Wight",Table1[[#This Row],[income]],0)</f>
        <v>0</v>
      </c>
      <c r="BZ326" s="20">
        <f ca="1">IF(Table1[[#This Row],[County]]="Surrey",Table1[[#This Row],[income]],0)</f>
        <v>0</v>
      </c>
      <c r="CA326" s="20">
        <f ca="1">IF(Table1[[#This Row],[County]]="Derbyshire",Table1[[#This Row],[income]],0)</f>
        <v>0</v>
      </c>
      <c r="CB326" s="20">
        <f ca="1">IF(Table1[[#This Row],[County]]="City of London",Table1[[#This Row],[income]],0)</f>
        <v>0</v>
      </c>
      <c r="CC326" s="20">
        <f ca="1">IF(Table1[[#This Row],[County]]="Bedfordshire",Table1[[#This Row],[income]],0)</f>
        <v>0</v>
      </c>
      <c r="CD326" s="20">
        <f ca="1">IF(Table1[[#This Row],[County]]="County Durham",Table1[[#This Row],[income]],0)</f>
        <v>0</v>
      </c>
      <c r="CE326" s="20">
        <f ca="1">IF(Table1[[#This Row],[County]]="East Riding of Yorkshire",Table1[[#This Row],[income]],0)</f>
        <v>0</v>
      </c>
      <c r="CF326" s="20">
        <f ca="1">IF(Table1[[#This Row],[County]]="West Yorkshire",Table1[[#This Row],[income]],0)</f>
        <v>0</v>
      </c>
      <c r="CG326" s="20">
        <f ca="1">IF(Table1[[#This Row],[County]]="Essex",Table1[[#This Row],[income]],0)</f>
        <v>0</v>
      </c>
      <c r="CH326" s="20">
        <f ca="1">IF(Table1[[#This Row],[County]]="East Sussex",Table1[[#This Row],[income]],0)</f>
        <v>0</v>
      </c>
      <c r="CI326" s="20">
        <f ca="1">IF(Table1[[#This Row],[County]]="Greater Manchester",Table1[[#This Row],[income]],0)</f>
        <v>0</v>
      </c>
      <c r="CJ326" s="20">
        <f ca="1">IF(Table1[[#This Row],[County]]="Hertfordshire",Table1[[#This Row],[income]],0)</f>
        <v>0</v>
      </c>
      <c r="CK326" s="20">
        <f ca="1">IF(Table1[[#This Row],[County]]="Herefordshire",Table1[[#This Row],[income]],0)</f>
        <v>0</v>
      </c>
      <c r="CL326" s="20">
        <f ca="1">IF(Table1[[#This Row],[County]]="Lancashire",Table1[[#This Row],[income]],0)</f>
        <v>0</v>
      </c>
      <c r="CM326" s="20">
        <f ca="1">IF(Table1[[#This Row],[County]]="Merseyside",Table1[[#This Row],[income]],0)</f>
        <v>0</v>
      </c>
      <c r="CN326" s="20">
        <f ca="1">IF(Table1[[#This Row],[County]]="Northamptonshire",Table1[[#This Row],[income]],0)</f>
        <v>0</v>
      </c>
      <c r="CO326" s="20">
        <f ca="1">IF(Table1[[#This Row],[County]]="Northumberland",Table1[[#This Row],[income]],0)</f>
        <v>0</v>
      </c>
      <c r="CP326" s="20">
        <f ca="1">IF(Table1[[#This Row],[County]]="Wiltshire",Table1[[#This Row],[income]],0)</f>
        <v>0</v>
      </c>
      <c r="CQ326" s="20">
        <f ca="1">IF(Table1[[#This Row],[County]]="West Midlands",Table1[[#This Row],[income]],0)</f>
        <v>0</v>
      </c>
      <c r="CR326" s="20">
        <f ca="1">IF(Table1[[#This Row],[County]]="Warwickshire",Table1[[#This Row],[income]],0)</f>
        <v>0</v>
      </c>
      <c r="CS326" s="20">
        <f ca="1">IF(Table1[[#This Row],[County]]="Tyne and Wear",Table1[[#This Row],[income]],0)</f>
        <v>0</v>
      </c>
      <c r="CT326" s="20">
        <f ca="1">IF(Table1[[#This Row],[County]]="Worcestershire",Table1[[#This Row],[income]],0)</f>
        <v>0</v>
      </c>
      <c r="CU326" s="20">
        <f ca="1">IF(Table1[[#This Row],[County]]="Rutland",Table1[[#This Row],[income]],0)</f>
        <v>49832</v>
      </c>
      <c r="CV326" s="20">
        <f ca="1">IF(Table1[[#This Row],[County]]="Shropshire",Table1[[#This Row],[income]],0)</f>
        <v>0</v>
      </c>
      <c r="CW326" s="20">
        <f ca="1">IF(Table1[[#This Row],[County]]="Dorset",Table1[[#This Row],[income]],0)</f>
        <v>0</v>
      </c>
      <c r="CX326" s="20">
        <f ca="1">IF(Table1[[#This Row],[County]]="Buckinghamshire",Table1[[#This Row],[income]],0)</f>
        <v>0</v>
      </c>
      <c r="CY326" s="20">
        <f ca="1">IF(Table1[[#This Row],[County]]="Suffolk",Table1[[#This Row],[income]],0)</f>
        <v>0</v>
      </c>
      <c r="CZ326" s="20">
        <f ca="1">IF(Table1[[#This Row],[County]]="North Yorkshire",Table1[[#This Row],[income]],0)</f>
        <v>0</v>
      </c>
      <c r="DA326" s="20">
        <f ca="1">IF(Table1[[#This Row],[County]]="Kent",Table1[[#This Row],[income]],0)</f>
        <v>0</v>
      </c>
      <c r="DB326" s="5">
        <f ca="1">IF(Table1[[#This Row],[County]]="Derbyshire",Table1[[#This Row],[income]],0)</f>
        <v>0</v>
      </c>
      <c r="DD326" s="6">
        <f ca="1">IF(Table1[[#This Row],[Column1]]="Health",Table1[[#This Row],[income]],0)</f>
        <v>49832</v>
      </c>
      <c r="DE326" s="20">
        <f ca="1">IF(Table1[[#This Row],[Column1]]="Agriculture",Table1[[#This Row],[income]],0)</f>
        <v>0</v>
      </c>
      <c r="DF326" s="20">
        <f ca="1">IF(Table1[[#This Row],[Column1]]="Technology",Table1[[#This Row],[income]],0)</f>
        <v>0</v>
      </c>
      <c r="DG326" s="20">
        <f ca="1">IF(Table1[[#This Row],[Column1]]="Social Service",Table1[[#This Row],[income]],0)</f>
        <v>0</v>
      </c>
      <c r="DH326" s="20">
        <f ca="1">IF(Table1[[#This Row],[Column1]]="Education",Table1[[#This Row],[income]],0)</f>
        <v>0</v>
      </c>
      <c r="DI326" s="5">
        <f ca="1">IF(Table1[[#This Row],[Column1]]="Construction",Table1[[#This Row],[income]],0)</f>
        <v>0</v>
      </c>
      <c r="DK326" s="6">
        <f ca="1">IF(Table1[[#This Row],[Value of Debts]]&gt;Table1[[#This Row],[income]],1,0)</f>
        <v>1</v>
      </c>
      <c r="DL326" s="20"/>
      <c r="DM326" s="20"/>
      <c r="DN326" s="5"/>
      <c r="DP326" s="6">
        <f ca="1">IF(Table1[[#This Row],[Net Worth (£)]]&gt;$DS$5,C326,0)</f>
        <v>0</v>
      </c>
      <c r="DQ326" s="20"/>
      <c r="DR326" s="20"/>
      <c r="DS326" s="5"/>
    </row>
    <row r="327" spans="1:123" x14ac:dyDescent="0.2">
      <c r="A327">
        <f t="shared" ca="1" si="16"/>
        <v>1</v>
      </c>
      <c r="B327" s="1" t="str">
        <f ca="1">IF(A327=1, "men", "women")</f>
        <v>men</v>
      </c>
      <c r="C327" s="1">
        <f ca="1">RANDBETWEEN(25,50)</f>
        <v>34</v>
      </c>
      <c r="D327">
        <f ca="1">RANDBETWEEN(1,6)</f>
        <v>1</v>
      </c>
      <c r="E327" t="str">
        <f ca="1">VLOOKUP(D327,$W$5:$X$10,2)</f>
        <v>Health</v>
      </c>
      <c r="F327">
        <f ca="1">RANDBETWEEN(1,5)</f>
        <v>3</v>
      </c>
      <c r="G327" t="str">
        <f ca="1">VLOOKUP(F327,$Y$5:$Z$9,2)</f>
        <v>University</v>
      </c>
      <c r="H327">
        <f ca="1">RANDBETWEEN(0,4)</f>
        <v>3</v>
      </c>
      <c r="I327">
        <f ca="1">RANDBETWEEN(1,3)</f>
        <v>1</v>
      </c>
      <c r="J327">
        <f ca="1">RANDBETWEEN(30000,100000)</f>
        <v>31894</v>
      </c>
      <c r="K327">
        <f ca="1">RANDBETWEEN(1,48)</f>
        <v>22</v>
      </c>
      <c r="L327" t="str">
        <f ca="1">VLOOKUP(K327,$AA$5:$AB$52,2)</f>
        <v>Hertfordshire</v>
      </c>
      <c r="M327">
        <f ca="1">J327*(RANDBETWEEN(2,5))</f>
        <v>63788</v>
      </c>
      <c r="N327">
        <f ca="1">RAND()*M327</f>
        <v>15456.3758231866</v>
      </c>
      <c r="O327">
        <f ca="1">I327*RAND()*J327</f>
        <v>9382.450742650688</v>
      </c>
      <c r="P327">
        <f ca="1">RANDBETWEEN(0,O327)</f>
        <v>959</v>
      </c>
      <c r="Q327">
        <f ca="1">RAND()*J327*2</f>
        <v>40205.631854020787</v>
      </c>
      <c r="R327">
        <f ca="1">RAND()*J327*1.5</f>
        <v>26367.404016300614</v>
      </c>
      <c r="S327">
        <f ca="1">J327+R327+O327</f>
        <v>67643.854758951304</v>
      </c>
      <c r="T327">
        <f ca="1">N327+P327+Q327</f>
        <v>56621.007677207388</v>
      </c>
      <c r="U327">
        <f ca="1">S327-T327</f>
        <v>11022.847081743916</v>
      </c>
      <c r="AC327" s="6">
        <f ca="1">IF(Table1[[#This Row],[gender]]="men",1,0)</f>
        <v>1</v>
      </c>
      <c r="AD327">
        <f ca="1">IF(Table1[[#This Row],[gender]]="women",1,0)</f>
        <v>0</v>
      </c>
      <c r="AH327" s="5"/>
      <c r="AJ327" s="6">
        <f ca="1">IF(Table1[[#This Row],[Column1]]="Health",1,0)</f>
        <v>1</v>
      </c>
      <c r="AK327">
        <f ca="1">IF(Table1[[#This Row],[Column1]]="Construction",1,0)</f>
        <v>0</v>
      </c>
      <c r="AL327">
        <f ca="1">IF(Table1[[#This Row],[Column1]]="Technology",1,0)</f>
        <v>0</v>
      </c>
      <c r="AM327">
        <f ca="1">IF(Table1[[#This Row],[Column1]]="Education",1,0)</f>
        <v>0</v>
      </c>
      <c r="AN327">
        <f ca="1">IF(Table1[[#This Row],[Column1]]="Agriculture",1,0)</f>
        <v>0</v>
      </c>
      <c r="AO327">
        <f ca="1">IF(Table1[[#This Row],[Column1]]="Social Service", 1, 0)</f>
        <v>0</v>
      </c>
      <c r="AT327" s="5"/>
      <c r="AV327" s="17">
        <f t="shared" ca="1" si="15"/>
        <v>24055.492658804953</v>
      </c>
      <c r="AW327" s="5"/>
      <c r="AX327" s="6">
        <f ca="1">IF(Table1[[#This Row],[Value of Debts]]&gt;$AY$4,1,0)</f>
        <v>0</v>
      </c>
      <c r="AY327" s="20"/>
      <c r="AZ327" s="20"/>
      <c r="BA327" s="5"/>
      <c r="BB327" s="25">
        <f ca="1">Table1[[#This Row],[Mortage Left]]/Table1[[#This Row],[Value of House]]</f>
        <v>0.24230851920716434</v>
      </c>
      <c r="BC327" s="20">
        <f t="shared" ca="1" si="17"/>
        <v>1</v>
      </c>
      <c r="BD327" s="20"/>
      <c r="BE327" s="20"/>
      <c r="BF327" s="20"/>
      <c r="BG327" s="6">
        <f ca="1">IF(Table1[[#This Row],[County]]="Cumbria",Table1[[#This Row],[income]],0)</f>
        <v>0</v>
      </c>
      <c r="BH327" s="20">
        <f ca="1">IF(Table1[[#This Row],[County]]="Cheshire",Table1[[#This Row],[income]],0)</f>
        <v>0</v>
      </c>
      <c r="BI327" s="20">
        <f ca="1">IF(Table1[[#This Row],[County]]="Bristol",Table1[[#This Row],[income]],0)</f>
        <v>0</v>
      </c>
      <c r="BJ327" s="20">
        <f ca="1">IF(Table1[[#This Row],[County]]="Surrey",Table1[[#This Row],[income]],0)</f>
        <v>0</v>
      </c>
      <c r="BK327" s="20">
        <f ca="1">IF(Table1[[#This Row],[County]]="Norfolk",Table1[[#This Row],[income]],0)</f>
        <v>0</v>
      </c>
      <c r="BL327" s="20">
        <f ca="1">IF(Table1[[#This Row],[County]]="Lincolnshire",Table1[[#This Row],[income]],0)</f>
        <v>0</v>
      </c>
      <c r="BM327" s="20">
        <f ca="1">IF(Table1[[#This Row],[County]]="Somerset",Table1[[#This Row],[income]],0)</f>
        <v>0</v>
      </c>
      <c r="BN327" s="20">
        <f ca="1">IF(Table1[[#This Row],[County]]="Cambridgeshire",Table1[[#This Row],[income]],0)</f>
        <v>0</v>
      </c>
      <c r="BO327" s="20">
        <f ca="1">IF(Table1[[#This Row],[County]]="South Yorkshire",Table1[[#This Row],[income]],0)</f>
        <v>0</v>
      </c>
      <c r="BP327" s="20">
        <f ca="1">IF(Table1[[#This Row],[County]]="Greater London",Table1[[#This Row],[income]],0)</f>
        <v>0</v>
      </c>
      <c r="BQ327" s="20">
        <f ca="1">IF(Table1[[#This Row],[County]]="Hampshire",Table1[[#This Row],[income]],0)</f>
        <v>0</v>
      </c>
      <c r="BR327" s="20">
        <f ca="1">IF(Table1[[#This Row],[County]]="Gloucestershire",Table1[[#This Row],[income]],0)</f>
        <v>0</v>
      </c>
      <c r="BS327" s="20">
        <f ca="1">IF(Table1[[#This Row],[County]]="West Sussex",Table1[[#This Row],[income]],0)</f>
        <v>0</v>
      </c>
      <c r="BT327" s="20">
        <f ca="1">IF(Table1[[#This Row],[County]]="Devon",Table1[[#This Row],[income]],0)</f>
        <v>0</v>
      </c>
      <c r="BU327" s="20">
        <f ca="1">IF(Table1[[#This Row],[County]]="Berkshire",Table1[[#This Row],[income]],0)</f>
        <v>0</v>
      </c>
      <c r="BV327" s="20">
        <f ca="1">IF(Table1[[#This Row],[County]]="Staffordshire",Table1[[#This Row],[income]],0)</f>
        <v>0</v>
      </c>
      <c r="BW327" s="20">
        <f ca="1">IF(Table1[[#This Row],[County]]="Leicestershire",Table1[[#This Row],[income]],0)</f>
        <v>0</v>
      </c>
      <c r="BX327" s="20">
        <f ca="1">IF(Table1[[#This Row],[County]]="Cornwall",Table1[[#This Row],[income]],0)</f>
        <v>0</v>
      </c>
      <c r="BY327" s="20">
        <f ca="1">IF(Table1[[#This Row],[County]]="Isle of Wight",Table1[[#This Row],[income]],0)</f>
        <v>0</v>
      </c>
      <c r="BZ327" s="20">
        <f ca="1">IF(Table1[[#This Row],[County]]="Surrey",Table1[[#This Row],[income]],0)</f>
        <v>0</v>
      </c>
      <c r="CA327" s="20">
        <f ca="1">IF(Table1[[#This Row],[County]]="Derbyshire",Table1[[#This Row],[income]],0)</f>
        <v>0</v>
      </c>
      <c r="CB327" s="20">
        <f ca="1">IF(Table1[[#This Row],[County]]="City of London",Table1[[#This Row],[income]],0)</f>
        <v>0</v>
      </c>
      <c r="CC327" s="20">
        <f ca="1">IF(Table1[[#This Row],[County]]="Bedfordshire",Table1[[#This Row],[income]],0)</f>
        <v>0</v>
      </c>
      <c r="CD327" s="20">
        <f ca="1">IF(Table1[[#This Row],[County]]="County Durham",Table1[[#This Row],[income]],0)</f>
        <v>0</v>
      </c>
      <c r="CE327" s="20">
        <f ca="1">IF(Table1[[#This Row],[County]]="East Riding of Yorkshire",Table1[[#This Row],[income]],0)</f>
        <v>0</v>
      </c>
      <c r="CF327" s="20">
        <f ca="1">IF(Table1[[#This Row],[County]]="West Yorkshire",Table1[[#This Row],[income]],0)</f>
        <v>0</v>
      </c>
      <c r="CG327" s="20">
        <f ca="1">IF(Table1[[#This Row],[County]]="Essex",Table1[[#This Row],[income]],0)</f>
        <v>0</v>
      </c>
      <c r="CH327" s="20">
        <f ca="1">IF(Table1[[#This Row],[County]]="East Sussex",Table1[[#This Row],[income]],0)</f>
        <v>0</v>
      </c>
      <c r="CI327" s="20">
        <f ca="1">IF(Table1[[#This Row],[County]]="Greater Manchester",Table1[[#This Row],[income]],0)</f>
        <v>0</v>
      </c>
      <c r="CJ327" s="20">
        <f ca="1">IF(Table1[[#This Row],[County]]="Hertfordshire",Table1[[#This Row],[income]],0)</f>
        <v>31894</v>
      </c>
      <c r="CK327" s="20">
        <f ca="1">IF(Table1[[#This Row],[County]]="Herefordshire",Table1[[#This Row],[income]],0)</f>
        <v>0</v>
      </c>
      <c r="CL327" s="20">
        <f ca="1">IF(Table1[[#This Row],[County]]="Lancashire",Table1[[#This Row],[income]],0)</f>
        <v>0</v>
      </c>
      <c r="CM327" s="20">
        <f ca="1">IF(Table1[[#This Row],[County]]="Merseyside",Table1[[#This Row],[income]],0)</f>
        <v>0</v>
      </c>
      <c r="CN327" s="20">
        <f ca="1">IF(Table1[[#This Row],[County]]="Northamptonshire",Table1[[#This Row],[income]],0)</f>
        <v>0</v>
      </c>
      <c r="CO327" s="20">
        <f ca="1">IF(Table1[[#This Row],[County]]="Northumberland",Table1[[#This Row],[income]],0)</f>
        <v>0</v>
      </c>
      <c r="CP327" s="20">
        <f ca="1">IF(Table1[[#This Row],[County]]="Wiltshire",Table1[[#This Row],[income]],0)</f>
        <v>0</v>
      </c>
      <c r="CQ327" s="20">
        <f ca="1">IF(Table1[[#This Row],[County]]="West Midlands",Table1[[#This Row],[income]],0)</f>
        <v>0</v>
      </c>
      <c r="CR327" s="20">
        <f ca="1">IF(Table1[[#This Row],[County]]="Warwickshire",Table1[[#This Row],[income]],0)</f>
        <v>0</v>
      </c>
      <c r="CS327" s="20">
        <f ca="1">IF(Table1[[#This Row],[County]]="Tyne and Wear",Table1[[#This Row],[income]],0)</f>
        <v>0</v>
      </c>
      <c r="CT327" s="20">
        <f ca="1">IF(Table1[[#This Row],[County]]="Worcestershire",Table1[[#This Row],[income]],0)</f>
        <v>0</v>
      </c>
      <c r="CU327" s="20">
        <f ca="1">IF(Table1[[#This Row],[County]]="Rutland",Table1[[#This Row],[income]],0)</f>
        <v>0</v>
      </c>
      <c r="CV327" s="20">
        <f ca="1">IF(Table1[[#This Row],[County]]="Shropshire",Table1[[#This Row],[income]],0)</f>
        <v>0</v>
      </c>
      <c r="CW327" s="20">
        <f ca="1">IF(Table1[[#This Row],[County]]="Dorset",Table1[[#This Row],[income]],0)</f>
        <v>0</v>
      </c>
      <c r="CX327" s="20">
        <f ca="1">IF(Table1[[#This Row],[County]]="Buckinghamshire",Table1[[#This Row],[income]],0)</f>
        <v>0</v>
      </c>
      <c r="CY327" s="20">
        <f ca="1">IF(Table1[[#This Row],[County]]="Suffolk",Table1[[#This Row],[income]],0)</f>
        <v>0</v>
      </c>
      <c r="CZ327" s="20">
        <f ca="1">IF(Table1[[#This Row],[County]]="North Yorkshire",Table1[[#This Row],[income]],0)</f>
        <v>0</v>
      </c>
      <c r="DA327" s="20">
        <f ca="1">IF(Table1[[#This Row],[County]]="Kent",Table1[[#This Row],[income]],0)</f>
        <v>0</v>
      </c>
      <c r="DB327" s="5">
        <f ca="1">IF(Table1[[#This Row],[County]]="Derbyshire",Table1[[#This Row],[income]],0)</f>
        <v>0</v>
      </c>
      <c r="DD327" s="6">
        <f ca="1">IF(Table1[[#This Row],[Column1]]="Health",Table1[[#This Row],[income]],0)</f>
        <v>31894</v>
      </c>
      <c r="DE327" s="20">
        <f ca="1">IF(Table1[[#This Row],[Column1]]="Agriculture",Table1[[#This Row],[income]],0)</f>
        <v>0</v>
      </c>
      <c r="DF327" s="20">
        <f ca="1">IF(Table1[[#This Row],[Column1]]="Technology",Table1[[#This Row],[income]],0)</f>
        <v>0</v>
      </c>
      <c r="DG327" s="20">
        <f ca="1">IF(Table1[[#This Row],[Column1]]="Social Service",Table1[[#This Row],[income]],0)</f>
        <v>0</v>
      </c>
      <c r="DH327" s="20">
        <f ca="1">IF(Table1[[#This Row],[Column1]]="Education",Table1[[#This Row],[income]],0)</f>
        <v>0</v>
      </c>
      <c r="DI327" s="5">
        <f ca="1">IF(Table1[[#This Row],[Column1]]="Construction",Table1[[#This Row],[income]],0)</f>
        <v>0</v>
      </c>
      <c r="DK327" s="6">
        <f ca="1">IF(Table1[[#This Row],[Value of Debts]]&gt;Table1[[#This Row],[income]],1,0)</f>
        <v>1</v>
      </c>
      <c r="DL327" s="20"/>
      <c r="DM327" s="20"/>
      <c r="DN327" s="5"/>
      <c r="DP327" s="6">
        <f ca="1">IF(Table1[[#This Row],[Net Worth (£)]]&gt;$DS$5,C327,0)</f>
        <v>0</v>
      </c>
      <c r="DQ327" s="20"/>
      <c r="DR327" s="20"/>
      <c r="DS327" s="5"/>
    </row>
    <row r="328" spans="1:123" x14ac:dyDescent="0.2">
      <c r="A328">
        <f t="shared" ca="1" si="16"/>
        <v>1</v>
      </c>
      <c r="B328" s="1" t="str">
        <f ca="1">IF(A328=1, "men", "women")</f>
        <v>men</v>
      </c>
      <c r="C328" s="1">
        <f ca="1">RANDBETWEEN(25,50)</f>
        <v>44</v>
      </c>
      <c r="D328">
        <f ca="1">RANDBETWEEN(1,6)</f>
        <v>3</v>
      </c>
      <c r="E328" t="str">
        <f ca="1">VLOOKUP(D328,$W$5:$X$10,2)</f>
        <v>Education</v>
      </c>
      <c r="F328">
        <f ca="1">RANDBETWEEN(1,5)</f>
        <v>5</v>
      </c>
      <c r="G328" t="str">
        <f ca="1">VLOOKUP(F328,$Y$5:$Z$9,2)</f>
        <v>Other</v>
      </c>
      <c r="H328">
        <f ca="1">RANDBETWEEN(0,4)</f>
        <v>2</v>
      </c>
      <c r="I328">
        <f ca="1">RANDBETWEEN(1,3)</f>
        <v>3</v>
      </c>
      <c r="J328">
        <f ca="1">RANDBETWEEN(30000,100000)</f>
        <v>56941</v>
      </c>
      <c r="K328">
        <f ca="1">RANDBETWEEN(1,48)</f>
        <v>9</v>
      </c>
      <c r="L328" t="str">
        <f ca="1">VLOOKUP(K328,$AA$5:$AB$52,2)</f>
        <v>Cumbria</v>
      </c>
      <c r="M328">
        <f ca="1">J328*(RANDBETWEEN(2,5))</f>
        <v>170823</v>
      </c>
      <c r="N328">
        <f ca="1">RAND()*M328</f>
        <v>117460.84551781169</v>
      </c>
      <c r="O328">
        <f ca="1">I328*RAND()*J328</f>
        <v>72166.477976414855</v>
      </c>
      <c r="P328">
        <f ca="1">RANDBETWEEN(0,O328)</f>
        <v>10136</v>
      </c>
      <c r="Q328">
        <f ca="1">RAND()*J328*2</f>
        <v>83380.291095413748</v>
      </c>
      <c r="R328">
        <f ca="1">RAND()*J328*1.5</f>
        <v>22505.468347962324</v>
      </c>
      <c r="S328">
        <f ca="1">J328+R328+O328</f>
        <v>151612.94632437718</v>
      </c>
      <c r="T328">
        <f ca="1">N328+P328+Q328</f>
        <v>210977.13661322545</v>
      </c>
      <c r="U328">
        <f ca="1">S328-T328</f>
        <v>-59364.190288848273</v>
      </c>
      <c r="AC328" s="6">
        <f ca="1">IF(Table1[[#This Row],[gender]]="men",1,0)</f>
        <v>1</v>
      </c>
      <c r="AD328">
        <f ca="1">IF(Table1[[#This Row],[gender]]="women",1,0)</f>
        <v>0</v>
      </c>
      <c r="AH328" s="5"/>
      <c r="AJ328" s="6">
        <f ca="1">IF(Table1[[#This Row],[Column1]]="Health",1,0)</f>
        <v>0</v>
      </c>
      <c r="AK328">
        <f ca="1">IF(Table1[[#This Row],[Column1]]="Construction",1,0)</f>
        <v>0</v>
      </c>
      <c r="AL328">
        <f ca="1">IF(Table1[[#This Row],[Column1]]="Technology",1,0)</f>
        <v>0</v>
      </c>
      <c r="AM328">
        <f ca="1">IF(Table1[[#This Row],[Column1]]="Education",1,0)</f>
        <v>1</v>
      </c>
      <c r="AN328">
        <f ca="1">IF(Table1[[#This Row],[Column1]]="Agriculture",1,0)</f>
        <v>0</v>
      </c>
      <c r="AO328">
        <f ca="1">IF(Table1[[#This Row],[Column1]]="Social Service", 1, 0)</f>
        <v>0</v>
      </c>
      <c r="AT328" s="5"/>
      <c r="AV328" s="17">
        <f t="shared" ca="1" si="15"/>
        <v>46179.611077309251</v>
      </c>
      <c r="AW328" s="5"/>
      <c r="AX328" s="6">
        <f ca="1">IF(Table1[[#This Row],[Value of Debts]]&gt;$AY$4,1,0)</f>
        <v>1</v>
      </c>
      <c r="AY328" s="20"/>
      <c r="AZ328" s="20"/>
      <c r="BA328" s="5"/>
      <c r="BB328" s="25">
        <f ca="1">Table1[[#This Row],[Mortage Left]]/Table1[[#This Row],[Value of House]]</f>
        <v>0.68761727353934587</v>
      </c>
      <c r="BC328" s="20">
        <f t="shared" ca="1" si="17"/>
        <v>0</v>
      </c>
      <c r="BD328" s="20"/>
      <c r="BE328" s="20"/>
      <c r="BF328" s="20"/>
      <c r="BG328" s="6">
        <f ca="1">IF(Table1[[#This Row],[County]]="Cumbria",Table1[[#This Row],[income]],0)</f>
        <v>56941</v>
      </c>
      <c r="BH328" s="20">
        <f ca="1">IF(Table1[[#This Row],[County]]="Cheshire",Table1[[#This Row],[income]],0)</f>
        <v>0</v>
      </c>
      <c r="BI328" s="20">
        <f ca="1">IF(Table1[[#This Row],[County]]="Bristol",Table1[[#This Row],[income]],0)</f>
        <v>0</v>
      </c>
      <c r="BJ328" s="20">
        <f ca="1">IF(Table1[[#This Row],[County]]="Surrey",Table1[[#This Row],[income]],0)</f>
        <v>0</v>
      </c>
      <c r="BK328" s="20">
        <f ca="1">IF(Table1[[#This Row],[County]]="Norfolk",Table1[[#This Row],[income]],0)</f>
        <v>0</v>
      </c>
      <c r="BL328" s="20">
        <f ca="1">IF(Table1[[#This Row],[County]]="Lincolnshire",Table1[[#This Row],[income]],0)</f>
        <v>0</v>
      </c>
      <c r="BM328" s="20">
        <f ca="1">IF(Table1[[#This Row],[County]]="Somerset",Table1[[#This Row],[income]],0)</f>
        <v>0</v>
      </c>
      <c r="BN328" s="20">
        <f ca="1">IF(Table1[[#This Row],[County]]="Cambridgeshire",Table1[[#This Row],[income]],0)</f>
        <v>0</v>
      </c>
      <c r="BO328" s="20">
        <f ca="1">IF(Table1[[#This Row],[County]]="South Yorkshire",Table1[[#This Row],[income]],0)</f>
        <v>0</v>
      </c>
      <c r="BP328" s="20">
        <f ca="1">IF(Table1[[#This Row],[County]]="Greater London",Table1[[#This Row],[income]],0)</f>
        <v>0</v>
      </c>
      <c r="BQ328" s="20">
        <f ca="1">IF(Table1[[#This Row],[County]]="Hampshire",Table1[[#This Row],[income]],0)</f>
        <v>0</v>
      </c>
      <c r="BR328" s="20">
        <f ca="1">IF(Table1[[#This Row],[County]]="Gloucestershire",Table1[[#This Row],[income]],0)</f>
        <v>0</v>
      </c>
      <c r="BS328" s="20">
        <f ca="1">IF(Table1[[#This Row],[County]]="West Sussex",Table1[[#This Row],[income]],0)</f>
        <v>0</v>
      </c>
      <c r="BT328" s="20">
        <f ca="1">IF(Table1[[#This Row],[County]]="Devon",Table1[[#This Row],[income]],0)</f>
        <v>0</v>
      </c>
      <c r="BU328" s="20">
        <f ca="1">IF(Table1[[#This Row],[County]]="Berkshire",Table1[[#This Row],[income]],0)</f>
        <v>0</v>
      </c>
      <c r="BV328" s="20">
        <f ca="1">IF(Table1[[#This Row],[County]]="Staffordshire",Table1[[#This Row],[income]],0)</f>
        <v>0</v>
      </c>
      <c r="BW328" s="20">
        <f ca="1">IF(Table1[[#This Row],[County]]="Leicestershire",Table1[[#This Row],[income]],0)</f>
        <v>0</v>
      </c>
      <c r="BX328" s="20">
        <f ca="1">IF(Table1[[#This Row],[County]]="Cornwall",Table1[[#This Row],[income]],0)</f>
        <v>0</v>
      </c>
      <c r="BY328" s="20">
        <f ca="1">IF(Table1[[#This Row],[County]]="Isle of Wight",Table1[[#This Row],[income]],0)</f>
        <v>0</v>
      </c>
      <c r="BZ328" s="20">
        <f ca="1">IF(Table1[[#This Row],[County]]="Surrey",Table1[[#This Row],[income]],0)</f>
        <v>0</v>
      </c>
      <c r="CA328" s="20">
        <f ca="1">IF(Table1[[#This Row],[County]]="Derbyshire",Table1[[#This Row],[income]],0)</f>
        <v>0</v>
      </c>
      <c r="CB328" s="20">
        <f ca="1">IF(Table1[[#This Row],[County]]="City of London",Table1[[#This Row],[income]],0)</f>
        <v>0</v>
      </c>
      <c r="CC328" s="20">
        <f ca="1">IF(Table1[[#This Row],[County]]="Bedfordshire",Table1[[#This Row],[income]],0)</f>
        <v>0</v>
      </c>
      <c r="CD328" s="20">
        <f ca="1">IF(Table1[[#This Row],[County]]="County Durham",Table1[[#This Row],[income]],0)</f>
        <v>0</v>
      </c>
      <c r="CE328" s="20">
        <f ca="1">IF(Table1[[#This Row],[County]]="East Riding of Yorkshire",Table1[[#This Row],[income]],0)</f>
        <v>0</v>
      </c>
      <c r="CF328" s="20">
        <f ca="1">IF(Table1[[#This Row],[County]]="West Yorkshire",Table1[[#This Row],[income]],0)</f>
        <v>0</v>
      </c>
      <c r="CG328" s="20">
        <f ca="1">IF(Table1[[#This Row],[County]]="Essex",Table1[[#This Row],[income]],0)</f>
        <v>0</v>
      </c>
      <c r="CH328" s="20">
        <f ca="1">IF(Table1[[#This Row],[County]]="East Sussex",Table1[[#This Row],[income]],0)</f>
        <v>0</v>
      </c>
      <c r="CI328" s="20">
        <f ca="1">IF(Table1[[#This Row],[County]]="Greater Manchester",Table1[[#This Row],[income]],0)</f>
        <v>0</v>
      </c>
      <c r="CJ328" s="20">
        <f ca="1">IF(Table1[[#This Row],[County]]="Hertfordshire",Table1[[#This Row],[income]],0)</f>
        <v>0</v>
      </c>
      <c r="CK328" s="20">
        <f ca="1">IF(Table1[[#This Row],[County]]="Herefordshire",Table1[[#This Row],[income]],0)</f>
        <v>0</v>
      </c>
      <c r="CL328" s="20">
        <f ca="1">IF(Table1[[#This Row],[County]]="Lancashire",Table1[[#This Row],[income]],0)</f>
        <v>0</v>
      </c>
      <c r="CM328" s="20">
        <f ca="1">IF(Table1[[#This Row],[County]]="Merseyside",Table1[[#This Row],[income]],0)</f>
        <v>0</v>
      </c>
      <c r="CN328" s="20">
        <f ca="1">IF(Table1[[#This Row],[County]]="Northamptonshire",Table1[[#This Row],[income]],0)</f>
        <v>0</v>
      </c>
      <c r="CO328" s="20">
        <f ca="1">IF(Table1[[#This Row],[County]]="Northumberland",Table1[[#This Row],[income]],0)</f>
        <v>0</v>
      </c>
      <c r="CP328" s="20">
        <f ca="1">IF(Table1[[#This Row],[County]]="Wiltshire",Table1[[#This Row],[income]],0)</f>
        <v>0</v>
      </c>
      <c r="CQ328" s="20">
        <f ca="1">IF(Table1[[#This Row],[County]]="West Midlands",Table1[[#This Row],[income]],0)</f>
        <v>0</v>
      </c>
      <c r="CR328" s="20">
        <f ca="1">IF(Table1[[#This Row],[County]]="Warwickshire",Table1[[#This Row],[income]],0)</f>
        <v>0</v>
      </c>
      <c r="CS328" s="20">
        <f ca="1">IF(Table1[[#This Row],[County]]="Tyne and Wear",Table1[[#This Row],[income]],0)</f>
        <v>0</v>
      </c>
      <c r="CT328" s="20">
        <f ca="1">IF(Table1[[#This Row],[County]]="Worcestershire",Table1[[#This Row],[income]],0)</f>
        <v>0</v>
      </c>
      <c r="CU328" s="20">
        <f ca="1">IF(Table1[[#This Row],[County]]="Rutland",Table1[[#This Row],[income]],0)</f>
        <v>0</v>
      </c>
      <c r="CV328" s="20">
        <f ca="1">IF(Table1[[#This Row],[County]]="Shropshire",Table1[[#This Row],[income]],0)</f>
        <v>0</v>
      </c>
      <c r="CW328" s="20">
        <f ca="1">IF(Table1[[#This Row],[County]]="Dorset",Table1[[#This Row],[income]],0)</f>
        <v>0</v>
      </c>
      <c r="CX328" s="20">
        <f ca="1">IF(Table1[[#This Row],[County]]="Buckinghamshire",Table1[[#This Row],[income]],0)</f>
        <v>0</v>
      </c>
      <c r="CY328" s="20">
        <f ca="1">IF(Table1[[#This Row],[County]]="Suffolk",Table1[[#This Row],[income]],0)</f>
        <v>0</v>
      </c>
      <c r="CZ328" s="20">
        <f ca="1">IF(Table1[[#This Row],[County]]="North Yorkshire",Table1[[#This Row],[income]],0)</f>
        <v>0</v>
      </c>
      <c r="DA328" s="20">
        <f ca="1">IF(Table1[[#This Row],[County]]="Kent",Table1[[#This Row],[income]],0)</f>
        <v>0</v>
      </c>
      <c r="DB328" s="5">
        <f ca="1">IF(Table1[[#This Row],[County]]="Derbyshire",Table1[[#This Row],[income]],0)</f>
        <v>0</v>
      </c>
      <c r="DD328" s="6">
        <f ca="1">IF(Table1[[#This Row],[Column1]]="Health",Table1[[#This Row],[income]],0)</f>
        <v>0</v>
      </c>
      <c r="DE328" s="20">
        <f ca="1">IF(Table1[[#This Row],[Column1]]="Agriculture",Table1[[#This Row],[income]],0)</f>
        <v>0</v>
      </c>
      <c r="DF328" s="20">
        <f ca="1">IF(Table1[[#This Row],[Column1]]="Technology",Table1[[#This Row],[income]],0)</f>
        <v>0</v>
      </c>
      <c r="DG328" s="20">
        <f ca="1">IF(Table1[[#This Row],[Column1]]="Social Service",Table1[[#This Row],[income]],0)</f>
        <v>0</v>
      </c>
      <c r="DH328" s="20">
        <f ca="1">IF(Table1[[#This Row],[Column1]]="Education",Table1[[#This Row],[income]],0)</f>
        <v>56941</v>
      </c>
      <c r="DI328" s="5">
        <f ca="1">IF(Table1[[#This Row],[Column1]]="Construction",Table1[[#This Row],[income]],0)</f>
        <v>0</v>
      </c>
      <c r="DK328" s="6">
        <f ca="1">IF(Table1[[#This Row],[Value of Debts]]&gt;Table1[[#This Row],[income]],1,0)</f>
        <v>1</v>
      </c>
      <c r="DL328" s="20"/>
      <c r="DM328" s="20"/>
      <c r="DN328" s="5"/>
      <c r="DP328" s="6">
        <f ca="1">IF(Table1[[#This Row],[Net Worth (£)]]&gt;$DS$5,C328,0)</f>
        <v>0</v>
      </c>
      <c r="DQ328" s="20"/>
      <c r="DR328" s="20"/>
      <c r="DS328" s="5"/>
    </row>
    <row r="329" spans="1:123" x14ac:dyDescent="0.2">
      <c r="A329">
        <f t="shared" ca="1" si="16"/>
        <v>1</v>
      </c>
      <c r="B329" s="1" t="str">
        <f ca="1">IF(A329=1, "men", "women")</f>
        <v>men</v>
      </c>
      <c r="C329" s="1">
        <f ca="1">RANDBETWEEN(25,50)</f>
        <v>35</v>
      </c>
      <c r="D329">
        <f ca="1">RANDBETWEEN(1,6)</f>
        <v>6</v>
      </c>
      <c r="E329" t="str">
        <f ca="1">VLOOKUP(D329,$W$5:$X$10,2)</f>
        <v>Agriculture</v>
      </c>
      <c r="F329">
        <f ca="1">RANDBETWEEN(1,5)</f>
        <v>4</v>
      </c>
      <c r="G329" t="str">
        <f ca="1">VLOOKUP(F329,$Y$5:$Z$9,2)</f>
        <v xml:space="preserve">Technical </v>
      </c>
      <c r="H329">
        <f ca="1">RANDBETWEEN(0,4)</f>
        <v>4</v>
      </c>
      <c r="I329">
        <f ca="1">RANDBETWEEN(1,3)</f>
        <v>2</v>
      </c>
      <c r="J329">
        <f ca="1">RANDBETWEEN(30000,100000)</f>
        <v>49504</v>
      </c>
      <c r="K329">
        <f ca="1">RANDBETWEEN(1,48)</f>
        <v>8</v>
      </c>
      <c r="L329" t="str">
        <f ca="1">VLOOKUP(K329,$AA$5:$AB$52,2)</f>
        <v>Cornwall</v>
      </c>
      <c r="M329">
        <f ca="1">J329*(RANDBETWEEN(2,5))</f>
        <v>247520</v>
      </c>
      <c r="N329">
        <f ca="1">RAND()*M329</f>
        <v>66744.968841229012</v>
      </c>
      <c r="O329">
        <f ca="1">I329*RAND()*J329</f>
        <v>92359.222154618503</v>
      </c>
      <c r="P329">
        <f ca="1">RANDBETWEEN(0,O329)</f>
        <v>71044</v>
      </c>
      <c r="Q329">
        <f ca="1">RAND()*J329*2</f>
        <v>3312.3250069675669</v>
      </c>
      <c r="R329">
        <f ca="1">RAND()*J329*1.5</f>
        <v>65966.575871432666</v>
      </c>
      <c r="S329">
        <f ca="1">J329+R329+O329</f>
        <v>207829.79802605117</v>
      </c>
      <c r="T329">
        <f ca="1">N329+P329+Q329</f>
        <v>141101.29384819657</v>
      </c>
      <c r="U329">
        <f ca="1">S329-T329</f>
        <v>66728.5041778546</v>
      </c>
      <c r="AC329" s="6">
        <f ca="1">IF(Table1[[#This Row],[gender]]="men",1,0)</f>
        <v>1</v>
      </c>
      <c r="AD329">
        <f ca="1">IF(Table1[[#This Row],[gender]]="women",1,0)</f>
        <v>0</v>
      </c>
      <c r="AH329" s="5"/>
      <c r="AJ329" s="6">
        <f ca="1">IF(Table1[[#This Row],[Column1]]="Health",1,0)</f>
        <v>0</v>
      </c>
      <c r="AK329">
        <f ca="1">IF(Table1[[#This Row],[Column1]]="Construction",1,0)</f>
        <v>0</v>
      </c>
      <c r="AL329">
        <f ca="1">IF(Table1[[#This Row],[Column1]]="Technology",1,0)</f>
        <v>0</v>
      </c>
      <c r="AM329">
        <f ca="1">IF(Table1[[#This Row],[Column1]]="Education",1,0)</f>
        <v>0</v>
      </c>
      <c r="AN329">
        <f ca="1">IF(Table1[[#This Row],[Column1]]="Agriculture",1,0)</f>
        <v>1</v>
      </c>
      <c r="AO329">
        <f ca="1">IF(Table1[[#This Row],[Column1]]="Social Service", 1, 0)</f>
        <v>0</v>
      </c>
      <c r="AT329" s="5"/>
      <c r="AV329" s="17">
        <f t="shared" ca="1" si="15"/>
        <v>27878.985379156511</v>
      </c>
      <c r="AW329" s="5"/>
      <c r="AX329" s="6">
        <f ca="1">IF(Table1[[#This Row],[Value of Debts]]&gt;$AY$4,1,0)</f>
        <v>1</v>
      </c>
      <c r="AY329" s="20"/>
      <c r="AZ329" s="20"/>
      <c r="BA329" s="5"/>
      <c r="BB329" s="25">
        <f ca="1">Table1[[#This Row],[Mortage Left]]/Table1[[#This Row],[Value of House]]</f>
        <v>0.26965485149171387</v>
      </c>
      <c r="BC329" s="20">
        <f t="shared" ca="1" si="17"/>
        <v>1</v>
      </c>
      <c r="BD329" s="20"/>
      <c r="BE329" s="20"/>
      <c r="BF329" s="20"/>
      <c r="BG329" s="6">
        <f ca="1">IF(Table1[[#This Row],[County]]="Cumbria",Table1[[#This Row],[income]],0)</f>
        <v>0</v>
      </c>
      <c r="BH329" s="20">
        <f ca="1">IF(Table1[[#This Row],[County]]="Cheshire",Table1[[#This Row],[income]],0)</f>
        <v>0</v>
      </c>
      <c r="BI329" s="20">
        <f ca="1">IF(Table1[[#This Row],[County]]="Bristol",Table1[[#This Row],[income]],0)</f>
        <v>0</v>
      </c>
      <c r="BJ329" s="20">
        <f ca="1">IF(Table1[[#This Row],[County]]="Surrey",Table1[[#This Row],[income]],0)</f>
        <v>0</v>
      </c>
      <c r="BK329" s="20">
        <f ca="1">IF(Table1[[#This Row],[County]]="Norfolk",Table1[[#This Row],[income]],0)</f>
        <v>0</v>
      </c>
      <c r="BL329" s="20">
        <f ca="1">IF(Table1[[#This Row],[County]]="Lincolnshire",Table1[[#This Row],[income]],0)</f>
        <v>0</v>
      </c>
      <c r="BM329" s="20">
        <f ca="1">IF(Table1[[#This Row],[County]]="Somerset",Table1[[#This Row],[income]],0)</f>
        <v>0</v>
      </c>
      <c r="BN329" s="20">
        <f ca="1">IF(Table1[[#This Row],[County]]="Cambridgeshire",Table1[[#This Row],[income]],0)</f>
        <v>0</v>
      </c>
      <c r="BO329" s="20">
        <f ca="1">IF(Table1[[#This Row],[County]]="South Yorkshire",Table1[[#This Row],[income]],0)</f>
        <v>0</v>
      </c>
      <c r="BP329" s="20">
        <f ca="1">IF(Table1[[#This Row],[County]]="Greater London",Table1[[#This Row],[income]],0)</f>
        <v>0</v>
      </c>
      <c r="BQ329" s="20">
        <f ca="1">IF(Table1[[#This Row],[County]]="Hampshire",Table1[[#This Row],[income]],0)</f>
        <v>0</v>
      </c>
      <c r="BR329" s="20">
        <f ca="1">IF(Table1[[#This Row],[County]]="Gloucestershire",Table1[[#This Row],[income]],0)</f>
        <v>0</v>
      </c>
      <c r="BS329" s="20">
        <f ca="1">IF(Table1[[#This Row],[County]]="West Sussex",Table1[[#This Row],[income]],0)</f>
        <v>0</v>
      </c>
      <c r="BT329" s="20">
        <f ca="1">IF(Table1[[#This Row],[County]]="Devon",Table1[[#This Row],[income]],0)</f>
        <v>0</v>
      </c>
      <c r="BU329" s="20">
        <f ca="1">IF(Table1[[#This Row],[County]]="Berkshire",Table1[[#This Row],[income]],0)</f>
        <v>0</v>
      </c>
      <c r="BV329" s="20">
        <f ca="1">IF(Table1[[#This Row],[County]]="Staffordshire",Table1[[#This Row],[income]],0)</f>
        <v>0</v>
      </c>
      <c r="BW329" s="20">
        <f ca="1">IF(Table1[[#This Row],[County]]="Leicestershire",Table1[[#This Row],[income]],0)</f>
        <v>0</v>
      </c>
      <c r="BX329" s="20">
        <f ca="1">IF(Table1[[#This Row],[County]]="Cornwall",Table1[[#This Row],[income]],0)</f>
        <v>49504</v>
      </c>
      <c r="BY329" s="20">
        <f ca="1">IF(Table1[[#This Row],[County]]="Isle of Wight",Table1[[#This Row],[income]],0)</f>
        <v>0</v>
      </c>
      <c r="BZ329" s="20">
        <f ca="1">IF(Table1[[#This Row],[County]]="Surrey",Table1[[#This Row],[income]],0)</f>
        <v>0</v>
      </c>
      <c r="CA329" s="20">
        <f ca="1">IF(Table1[[#This Row],[County]]="Derbyshire",Table1[[#This Row],[income]],0)</f>
        <v>0</v>
      </c>
      <c r="CB329" s="20">
        <f ca="1">IF(Table1[[#This Row],[County]]="City of London",Table1[[#This Row],[income]],0)</f>
        <v>0</v>
      </c>
      <c r="CC329" s="20">
        <f ca="1">IF(Table1[[#This Row],[County]]="Bedfordshire",Table1[[#This Row],[income]],0)</f>
        <v>0</v>
      </c>
      <c r="CD329" s="20">
        <f ca="1">IF(Table1[[#This Row],[County]]="County Durham",Table1[[#This Row],[income]],0)</f>
        <v>0</v>
      </c>
      <c r="CE329" s="20">
        <f ca="1">IF(Table1[[#This Row],[County]]="East Riding of Yorkshire",Table1[[#This Row],[income]],0)</f>
        <v>0</v>
      </c>
      <c r="CF329" s="20">
        <f ca="1">IF(Table1[[#This Row],[County]]="West Yorkshire",Table1[[#This Row],[income]],0)</f>
        <v>0</v>
      </c>
      <c r="CG329" s="20">
        <f ca="1">IF(Table1[[#This Row],[County]]="Essex",Table1[[#This Row],[income]],0)</f>
        <v>0</v>
      </c>
      <c r="CH329" s="20">
        <f ca="1">IF(Table1[[#This Row],[County]]="East Sussex",Table1[[#This Row],[income]],0)</f>
        <v>0</v>
      </c>
      <c r="CI329" s="20">
        <f ca="1">IF(Table1[[#This Row],[County]]="Greater Manchester",Table1[[#This Row],[income]],0)</f>
        <v>0</v>
      </c>
      <c r="CJ329" s="20">
        <f ca="1">IF(Table1[[#This Row],[County]]="Hertfordshire",Table1[[#This Row],[income]],0)</f>
        <v>0</v>
      </c>
      <c r="CK329" s="20">
        <f ca="1">IF(Table1[[#This Row],[County]]="Herefordshire",Table1[[#This Row],[income]],0)</f>
        <v>0</v>
      </c>
      <c r="CL329" s="20">
        <f ca="1">IF(Table1[[#This Row],[County]]="Lancashire",Table1[[#This Row],[income]],0)</f>
        <v>0</v>
      </c>
      <c r="CM329" s="20">
        <f ca="1">IF(Table1[[#This Row],[County]]="Merseyside",Table1[[#This Row],[income]],0)</f>
        <v>0</v>
      </c>
      <c r="CN329" s="20">
        <f ca="1">IF(Table1[[#This Row],[County]]="Northamptonshire",Table1[[#This Row],[income]],0)</f>
        <v>0</v>
      </c>
      <c r="CO329" s="20">
        <f ca="1">IF(Table1[[#This Row],[County]]="Northumberland",Table1[[#This Row],[income]],0)</f>
        <v>0</v>
      </c>
      <c r="CP329" s="20">
        <f ca="1">IF(Table1[[#This Row],[County]]="Wiltshire",Table1[[#This Row],[income]],0)</f>
        <v>0</v>
      </c>
      <c r="CQ329" s="20">
        <f ca="1">IF(Table1[[#This Row],[County]]="West Midlands",Table1[[#This Row],[income]],0)</f>
        <v>0</v>
      </c>
      <c r="CR329" s="20">
        <f ca="1">IF(Table1[[#This Row],[County]]="Warwickshire",Table1[[#This Row],[income]],0)</f>
        <v>0</v>
      </c>
      <c r="CS329" s="20">
        <f ca="1">IF(Table1[[#This Row],[County]]="Tyne and Wear",Table1[[#This Row],[income]],0)</f>
        <v>0</v>
      </c>
      <c r="CT329" s="20">
        <f ca="1">IF(Table1[[#This Row],[County]]="Worcestershire",Table1[[#This Row],[income]],0)</f>
        <v>0</v>
      </c>
      <c r="CU329" s="20">
        <f ca="1">IF(Table1[[#This Row],[County]]="Rutland",Table1[[#This Row],[income]],0)</f>
        <v>0</v>
      </c>
      <c r="CV329" s="20">
        <f ca="1">IF(Table1[[#This Row],[County]]="Shropshire",Table1[[#This Row],[income]],0)</f>
        <v>0</v>
      </c>
      <c r="CW329" s="20">
        <f ca="1">IF(Table1[[#This Row],[County]]="Dorset",Table1[[#This Row],[income]],0)</f>
        <v>0</v>
      </c>
      <c r="CX329" s="20">
        <f ca="1">IF(Table1[[#This Row],[County]]="Buckinghamshire",Table1[[#This Row],[income]],0)</f>
        <v>0</v>
      </c>
      <c r="CY329" s="20">
        <f ca="1">IF(Table1[[#This Row],[County]]="Suffolk",Table1[[#This Row],[income]],0)</f>
        <v>0</v>
      </c>
      <c r="CZ329" s="20">
        <f ca="1">IF(Table1[[#This Row],[County]]="North Yorkshire",Table1[[#This Row],[income]],0)</f>
        <v>0</v>
      </c>
      <c r="DA329" s="20">
        <f ca="1">IF(Table1[[#This Row],[County]]="Kent",Table1[[#This Row],[income]],0)</f>
        <v>0</v>
      </c>
      <c r="DB329" s="5">
        <f ca="1">IF(Table1[[#This Row],[County]]="Derbyshire",Table1[[#This Row],[income]],0)</f>
        <v>0</v>
      </c>
      <c r="DD329" s="6">
        <f ca="1">IF(Table1[[#This Row],[Column1]]="Health",Table1[[#This Row],[income]],0)</f>
        <v>0</v>
      </c>
      <c r="DE329" s="20">
        <f ca="1">IF(Table1[[#This Row],[Column1]]="Agriculture",Table1[[#This Row],[income]],0)</f>
        <v>49504</v>
      </c>
      <c r="DF329" s="20">
        <f ca="1">IF(Table1[[#This Row],[Column1]]="Technology",Table1[[#This Row],[income]],0)</f>
        <v>0</v>
      </c>
      <c r="DG329" s="20">
        <f ca="1">IF(Table1[[#This Row],[Column1]]="Social Service",Table1[[#This Row],[income]],0)</f>
        <v>0</v>
      </c>
      <c r="DH329" s="20">
        <f ca="1">IF(Table1[[#This Row],[Column1]]="Education",Table1[[#This Row],[income]],0)</f>
        <v>0</v>
      </c>
      <c r="DI329" s="5">
        <f ca="1">IF(Table1[[#This Row],[Column1]]="Construction",Table1[[#This Row],[income]],0)</f>
        <v>0</v>
      </c>
      <c r="DK329" s="6">
        <f ca="1">IF(Table1[[#This Row],[Value of Debts]]&gt;Table1[[#This Row],[income]],1,0)</f>
        <v>1</v>
      </c>
      <c r="DL329" s="20"/>
      <c r="DM329" s="20"/>
      <c r="DN329" s="5"/>
      <c r="DP329" s="6">
        <f ca="1">IF(Table1[[#This Row],[Net Worth (£)]]&gt;$DS$5,C329,0)</f>
        <v>35</v>
      </c>
      <c r="DQ329" s="20"/>
      <c r="DR329" s="20"/>
      <c r="DS329" s="5"/>
    </row>
    <row r="330" spans="1:123" x14ac:dyDescent="0.2">
      <c r="A330">
        <f t="shared" ca="1" si="16"/>
        <v>1</v>
      </c>
      <c r="B330" s="1" t="str">
        <f ca="1">IF(A330=1, "men", "women")</f>
        <v>men</v>
      </c>
      <c r="C330" s="1">
        <f ca="1">RANDBETWEEN(25,50)</f>
        <v>50</v>
      </c>
      <c r="D330">
        <f ca="1">RANDBETWEEN(1,6)</f>
        <v>2</v>
      </c>
      <c r="E330" t="str">
        <f ca="1">VLOOKUP(D330,$W$5:$X$10,2)</f>
        <v>Construction</v>
      </c>
      <c r="F330">
        <f ca="1">RANDBETWEEN(1,5)</f>
        <v>2</v>
      </c>
      <c r="G330" t="str">
        <f ca="1">VLOOKUP(F330,$Y$5:$Z$9,2)</f>
        <v>College</v>
      </c>
      <c r="H330">
        <f ca="1">RANDBETWEEN(0,4)</f>
        <v>1</v>
      </c>
      <c r="I330">
        <f ca="1">RANDBETWEEN(1,3)</f>
        <v>1</v>
      </c>
      <c r="J330">
        <f ca="1">RANDBETWEEN(30000,100000)</f>
        <v>76782</v>
      </c>
      <c r="K330">
        <f ca="1">RANDBETWEEN(1,48)</f>
        <v>38</v>
      </c>
      <c r="L330" t="str">
        <f ca="1">VLOOKUP(K330,$AA$5:$AB$52,2)</f>
        <v>South Yorkshire</v>
      </c>
      <c r="M330">
        <f ca="1">J330*(RANDBETWEEN(2,5))</f>
        <v>383910</v>
      </c>
      <c r="N330">
        <f ca="1">RAND()*M330</f>
        <v>162927.61951186298</v>
      </c>
      <c r="O330">
        <f ca="1">I330*RAND()*J330</f>
        <v>27878.985379156511</v>
      </c>
      <c r="P330">
        <f ca="1">RANDBETWEEN(0,O330)</f>
        <v>22231</v>
      </c>
      <c r="Q330">
        <f ca="1">RAND()*J330*2</f>
        <v>47345.557035416125</v>
      </c>
      <c r="R330">
        <f ca="1">RAND()*J330*1.5</f>
        <v>18637.531009856062</v>
      </c>
      <c r="S330">
        <f ca="1">J330+R330+O330</f>
        <v>123298.51638901257</v>
      </c>
      <c r="T330">
        <f ca="1">N330+P330+Q330</f>
        <v>232504.17654727912</v>
      </c>
      <c r="U330">
        <f ca="1">S330-T330</f>
        <v>-109205.66015826655</v>
      </c>
      <c r="AC330" s="6">
        <f ca="1">IF(Table1[[#This Row],[gender]]="men",1,0)</f>
        <v>1</v>
      </c>
      <c r="AD330">
        <f ca="1">IF(Table1[[#This Row],[gender]]="women",1,0)</f>
        <v>0</v>
      </c>
      <c r="AH330" s="5"/>
      <c r="AJ330" s="6">
        <f ca="1">IF(Table1[[#This Row],[Column1]]="Health",1,0)</f>
        <v>0</v>
      </c>
      <c r="AK330">
        <f ca="1">IF(Table1[[#This Row],[Column1]]="Construction",1,0)</f>
        <v>1</v>
      </c>
      <c r="AL330">
        <f ca="1">IF(Table1[[#This Row],[Column1]]="Technology",1,0)</f>
        <v>0</v>
      </c>
      <c r="AM330">
        <f ca="1">IF(Table1[[#This Row],[Column1]]="Education",1,0)</f>
        <v>0</v>
      </c>
      <c r="AN330">
        <f ca="1">IF(Table1[[#This Row],[Column1]]="Agriculture",1,0)</f>
        <v>0</v>
      </c>
      <c r="AO330">
        <f ca="1">IF(Table1[[#This Row],[Column1]]="Social Service", 1, 0)</f>
        <v>0</v>
      </c>
      <c r="AT330" s="5"/>
      <c r="AV330" s="17">
        <f t="shared" ca="1" si="15"/>
        <v>22328.862561565918</v>
      </c>
      <c r="AW330" s="5"/>
      <c r="AX330" s="6">
        <f ca="1">IF(Table1[[#This Row],[Value of Debts]]&gt;$AY$4,1,0)</f>
        <v>1</v>
      </c>
      <c r="AY330" s="20"/>
      <c r="AZ330" s="20"/>
      <c r="BA330" s="5"/>
      <c r="BB330" s="25">
        <f ca="1">Table1[[#This Row],[Mortage Left]]/Table1[[#This Row],[Value of House]]</f>
        <v>0.42439014225173344</v>
      </c>
      <c r="BC330" s="20">
        <f t="shared" ca="1" si="17"/>
        <v>0</v>
      </c>
      <c r="BD330" s="20"/>
      <c r="BE330" s="20"/>
      <c r="BF330" s="20"/>
      <c r="BG330" s="6">
        <f ca="1">IF(Table1[[#This Row],[County]]="Cumbria",Table1[[#This Row],[income]],0)</f>
        <v>0</v>
      </c>
      <c r="BH330" s="20">
        <f ca="1">IF(Table1[[#This Row],[County]]="Cheshire",Table1[[#This Row],[income]],0)</f>
        <v>0</v>
      </c>
      <c r="BI330" s="20">
        <f ca="1">IF(Table1[[#This Row],[County]]="Bristol",Table1[[#This Row],[income]],0)</f>
        <v>0</v>
      </c>
      <c r="BJ330" s="20">
        <f ca="1">IF(Table1[[#This Row],[County]]="Surrey",Table1[[#This Row],[income]],0)</f>
        <v>0</v>
      </c>
      <c r="BK330" s="20">
        <f ca="1">IF(Table1[[#This Row],[County]]="Norfolk",Table1[[#This Row],[income]],0)</f>
        <v>0</v>
      </c>
      <c r="BL330" s="20">
        <f ca="1">IF(Table1[[#This Row],[County]]="Lincolnshire",Table1[[#This Row],[income]],0)</f>
        <v>0</v>
      </c>
      <c r="BM330" s="20">
        <f ca="1">IF(Table1[[#This Row],[County]]="Somerset",Table1[[#This Row],[income]],0)</f>
        <v>0</v>
      </c>
      <c r="BN330" s="20">
        <f ca="1">IF(Table1[[#This Row],[County]]="Cambridgeshire",Table1[[#This Row],[income]],0)</f>
        <v>0</v>
      </c>
      <c r="BO330" s="20">
        <f ca="1">IF(Table1[[#This Row],[County]]="South Yorkshire",Table1[[#This Row],[income]],0)</f>
        <v>76782</v>
      </c>
      <c r="BP330" s="20">
        <f ca="1">IF(Table1[[#This Row],[County]]="Greater London",Table1[[#This Row],[income]],0)</f>
        <v>0</v>
      </c>
      <c r="BQ330" s="20">
        <f ca="1">IF(Table1[[#This Row],[County]]="Hampshire",Table1[[#This Row],[income]],0)</f>
        <v>0</v>
      </c>
      <c r="BR330" s="20">
        <f ca="1">IF(Table1[[#This Row],[County]]="Gloucestershire",Table1[[#This Row],[income]],0)</f>
        <v>0</v>
      </c>
      <c r="BS330" s="20">
        <f ca="1">IF(Table1[[#This Row],[County]]="West Sussex",Table1[[#This Row],[income]],0)</f>
        <v>0</v>
      </c>
      <c r="BT330" s="20">
        <f ca="1">IF(Table1[[#This Row],[County]]="Devon",Table1[[#This Row],[income]],0)</f>
        <v>0</v>
      </c>
      <c r="BU330" s="20">
        <f ca="1">IF(Table1[[#This Row],[County]]="Berkshire",Table1[[#This Row],[income]],0)</f>
        <v>0</v>
      </c>
      <c r="BV330" s="20">
        <f ca="1">IF(Table1[[#This Row],[County]]="Staffordshire",Table1[[#This Row],[income]],0)</f>
        <v>0</v>
      </c>
      <c r="BW330" s="20">
        <f ca="1">IF(Table1[[#This Row],[County]]="Leicestershire",Table1[[#This Row],[income]],0)</f>
        <v>0</v>
      </c>
      <c r="BX330" s="20">
        <f ca="1">IF(Table1[[#This Row],[County]]="Cornwall",Table1[[#This Row],[income]],0)</f>
        <v>0</v>
      </c>
      <c r="BY330" s="20">
        <f ca="1">IF(Table1[[#This Row],[County]]="Isle of Wight",Table1[[#This Row],[income]],0)</f>
        <v>0</v>
      </c>
      <c r="BZ330" s="20">
        <f ca="1">IF(Table1[[#This Row],[County]]="Surrey",Table1[[#This Row],[income]],0)</f>
        <v>0</v>
      </c>
      <c r="CA330" s="20">
        <f ca="1">IF(Table1[[#This Row],[County]]="Derbyshire",Table1[[#This Row],[income]],0)</f>
        <v>0</v>
      </c>
      <c r="CB330" s="20">
        <f ca="1">IF(Table1[[#This Row],[County]]="City of London",Table1[[#This Row],[income]],0)</f>
        <v>0</v>
      </c>
      <c r="CC330" s="20">
        <f ca="1">IF(Table1[[#This Row],[County]]="Bedfordshire",Table1[[#This Row],[income]],0)</f>
        <v>0</v>
      </c>
      <c r="CD330" s="20">
        <f ca="1">IF(Table1[[#This Row],[County]]="County Durham",Table1[[#This Row],[income]],0)</f>
        <v>0</v>
      </c>
      <c r="CE330" s="20">
        <f ca="1">IF(Table1[[#This Row],[County]]="East Riding of Yorkshire",Table1[[#This Row],[income]],0)</f>
        <v>0</v>
      </c>
      <c r="CF330" s="20">
        <f ca="1">IF(Table1[[#This Row],[County]]="West Yorkshire",Table1[[#This Row],[income]],0)</f>
        <v>0</v>
      </c>
      <c r="CG330" s="20">
        <f ca="1">IF(Table1[[#This Row],[County]]="Essex",Table1[[#This Row],[income]],0)</f>
        <v>0</v>
      </c>
      <c r="CH330" s="20">
        <f ca="1">IF(Table1[[#This Row],[County]]="East Sussex",Table1[[#This Row],[income]],0)</f>
        <v>0</v>
      </c>
      <c r="CI330" s="20">
        <f ca="1">IF(Table1[[#This Row],[County]]="Greater Manchester",Table1[[#This Row],[income]],0)</f>
        <v>0</v>
      </c>
      <c r="CJ330" s="20">
        <f ca="1">IF(Table1[[#This Row],[County]]="Hertfordshire",Table1[[#This Row],[income]],0)</f>
        <v>0</v>
      </c>
      <c r="CK330" s="20">
        <f ca="1">IF(Table1[[#This Row],[County]]="Herefordshire",Table1[[#This Row],[income]],0)</f>
        <v>0</v>
      </c>
      <c r="CL330" s="20">
        <f ca="1">IF(Table1[[#This Row],[County]]="Lancashire",Table1[[#This Row],[income]],0)</f>
        <v>0</v>
      </c>
      <c r="CM330" s="20">
        <f ca="1">IF(Table1[[#This Row],[County]]="Merseyside",Table1[[#This Row],[income]],0)</f>
        <v>0</v>
      </c>
      <c r="CN330" s="20">
        <f ca="1">IF(Table1[[#This Row],[County]]="Northamptonshire",Table1[[#This Row],[income]],0)</f>
        <v>0</v>
      </c>
      <c r="CO330" s="20">
        <f ca="1">IF(Table1[[#This Row],[County]]="Northumberland",Table1[[#This Row],[income]],0)</f>
        <v>0</v>
      </c>
      <c r="CP330" s="20">
        <f ca="1">IF(Table1[[#This Row],[County]]="Wiltshire",Table1[[#This Row],[income]],0)</f>
        <v>0</v>
      </c>
      <c r="CQ330" s="20">
        <f ca="1">IF(Table1[[#This Row],[County]]="West Midlands",Table1[[#This Row],[income]],0)</f>
        <v>0</v>
      </c>
      <c r="CR330" s="20">
        <f ca="1">IF(Table1[[#This Row],[County]]="Warwickshire",Table1[[#This Row],[income]],0)</f>
        <v>0</v>
      </c>
      <c r="CS330" s="20">
        <f ca="1">IF(Table1[[#This Row],[County]]="Tyne and Wear",Table1[[#This Row],[income]],0)</f>
        <v>0</v>
      </c>
      <c r="CT330" s="20">
        <f ca="1">IF(Table1[[#This Row],[County]]="Worcestershire",Table1[[#This Row],[income]],0)</f>
        <v>0</v>
      </c>
      <c r="CU330" s="20">
        <f ca="1">IF(Table1[[#This Row],[County]]="Rutland",Table1[[#This Row],[income]],0)</f>
        <v>0</v>
      </c>
      <c r="CV330" s="20">
        <f ca="1">IF(Table1[[#This Row],[County]]="Shropshire",Table1[[#This Row],[income]],0)</f>
        <v>0</v>
      </c>
      <c r="CW330" s="20">
        <f ca="1">IF(Table1[[#This Row],[County]]="Dorset",Table1[[#This Row],[income]],0)</f>
        <v>0</v>
      </c>
      <c r="CX330" s="20">
        <f ca="1">IF(Table1[[#This Row],[County]]="Buckinghamshire",Table1[[#This Row],[income]],0)</f>
        <v>0</v>
      </c>
      <c r="CY330" s="20">
        <f ca="1">IF(Table1[[#This Row],[County]]="Suffolk",Table1[[#This Row],[income]],0)</f>
        <v>0</v>
      </c>
      <c r="CZ330" s="20">
        <f ca="1">IF(Table1[[#This Row],[County]]="North Yorkshire",Table1[[#This Row],[income]],0)</f>
        <v>0</v>
      </c>
      <c r="DA330" s="20">
        <f ca="1">IF(Table1[[#This Row],[County]]="Kent",Table1[[#This Row],[income]],0)</f>
        <v>0</v>
      </c>
      <c r="DB330" s="5">
        <f ca="1">IF(Table1[[#This Row],[County]]="Derbyshire",Table1[[#This Row],[income]],0)</f>
        <v>0</v>
      </c>
      <c r="DD330" s="6">
        <f ca="1">IF(Table1[[#This Row],[Column1]]="Health",Table1[[#This Row],[income]],0)</f>
        <v>0</v>
      </c>
      <c r="DE330" s="20">
        <f ca="1">IF(Table1[[#This Row],[Column1]]="Agriculture",Table1[[#This Row],[income]],0)</f>
        <v>0</v>
      </c>
      <c r="DF330" s="20">
        <f ca="1">IF(Table1[[#This Row],[Column1]]="Technology",Table1[[#This Row],[income]],0)</f>
        <v>0</v>
      </c>
      <c r="DG330" s="20">
        <f ca="1">IF(Table1[[#This Row],[Column1]]="Social Service",Table1[[#This Row],[income]],0)</f>
        <v>0</v>
      </c>
      <c r="DH330" s="20">
        <f ca="1">IF(Table1[[#This Row],[Column1]]="Education",Table1[[#This Row],[income]],0)</f>
        <v>0</v>
      </c>
      <c r="DI330" s="5">
        <f ca="1">IF(Table1[[#This Row],[Column1]]="Construction",Table1[[#This Row],[income]],0)</f>
        <v>76782</v>
      </c>
      <c r="DK330" s="6">
        <f ca="1">IF(Table1[[#This Row],[Value of Debts]]&gt;Table1[[#This Row],[income]],1,0)</f>
        <v>1</v>
      </c>
      <c r="DL330" s="20"/>
      <c r="DM330" s="20"/>
      <c r="DN330" s="5"/>
      <c r="DP330" s="6">
        <f ca="1">IF(Table1[[#This Row],[Net Worth (£)]]&gt;$DS$5,C330,0)</f>
        <v>0</v>
      </c>
      <c r="DQ330" s="20"/>
      <c r="DR330" s="20"/>
      <c r="DS330" s="5"/>
    </row>
    <row r="331" spans="1:123" x14ac:dyDescent="0.2">
      <c r="A331">
        <f t="shared" ca="1" si="16"/>
        <v>2</v>
      </c>
      <c r="B331" s="1" t="str">
        <f ca="1">IF(A331=1, "men", "women")</f>
        <v>women</v>
      </c>
      <c r="C331" s="1">
        <f ca="1">RANDBETWEEN(25,50)</f>
        <v>40</v>
      </c>
      <c r="D331">
        <f ca="1">RANDBETWEEN(1,6)</f>
        <v>4</v>
      </c>
      <c r="E331" t="str">
        <f ca="1">VLOOKUP(D331,$W$5:$X$10,2)</f>
        <v>Technology</v>
      </c>
      <c r="F331">
        <f ca="1">RANDBETWEEN(1,5)</f>
        <v>3</v>
      </c>
      <c r="G331" t="str">
        <f ca="1">VLOOKUP(F331,$Y$5:$Z$9,2)</f>
        <v>University</v>
      </c>
      <c r="H331">
        <f ca="1">RANDBETWEEN(0,4)</f>
        <v>2</v>
      </c>
      <c r="I331">
        <f ca="1">RANDBETWEEN(1,3)</f>
        <v>2</v>
      </c>
      <c r="J331">
        <f ca="1">RANDBETWEEN(30000,100000)</f>
        <v>75381</v>
      </c>
      <c r="K331">
        <f ca="1">RANDBETWEEN(1,48)</f>
        <v>12</v>
      </c>
      <c r="L331" t="str">
        <f ca="1">VLOOKUP(K331,$AA$5:$AB$52,2)</f>
        <v>Dorset</v>
      </c>
      <c r="M331">
        <f ca="1">J331*(RANDBETWEEN(2,5))</f>
        <v>150762</v>
      </c>
      <c r="N331">
        <f ca="1">RAND()*M331</f>
        <v>111911.36519996503</v>
      </c>
      <c r="O331">
        <f ca="1">I331*RAND()*J331</f>
        <v>44657.725123131837</v>
      </c>
      <c r="P331">
        <f ca="1">RANDBETWEEN(0,O331)</f>
        <v>23007</v>
      </c>
      <c r="Q331">
        <f ca="1">RAND()*J331*2</f>
        <v>149479.07415925167</v>
      </c>
      <c r="R331">
        <f ca="1">RAND()*J331*1.5</f>
        <v>50019.527493593705</v>
      </c>
      <c r="S331">
        <f ca="1">J331+R331+O331</f>
        <v>170058.25261672554</v>
      </c>
      <c r="T331">
        <f ca="1">N331+P331+Q331</f>
        <v>284397.43935921672</v>
      </c>
      <c r="U331">
        <f ca="1">S331-T331</f>
        <v>-114339.18674249118</v>
      </c>
      <c r="AC331" s="6">
        <f ca="1">IF(Table1[[#This Row],[gender]]="men",1,0)</f>
        <v>0</v>
      </c>
      <c r="AD331">
        <f ca="1">IF(Table1[[#This Row],[gender]]="women",1,0)</f>
        <v>1</v>
      </c>
      <c r="AH331" s="5"/>
      <c r="AJ331" s="6">
        <f ca="1">IF(Table1[[#This Row],[Column1]]="Health",1,0)</f>
        <v>0</v>
      </c>
      <c r="AK331">
        <f ca="1">IF(Table1[[#This Row],[Column1]]="Construction",1,0)</f>
        <v>0</v>
      </c>
      <c r="AL331">
        <f ca="1">IF(Table1[[#This Row],[Column1]]="Technology",1,0)</f>
        <v>1</v>
      </c>
      <c r="AM331">
        <f ca="1">IF(Table1[[#This Row],[Column1]]="Education",1,0)</f>
        <v>0</v>
      </c>
      <c r="AN331">
        <f ca="1">IF(Table1[[#This Row],[Column1]]="Agriculture",1,0)</f>
        <v>0</v>
      </c>
      <c r="AO331">
        <f ca="1">IF(Table1[[#This Row],[Column1]]="Social Service", 1, 0)</f>
        <v>0</v>
      </c>
      <c r="AT331" s="5"/>
      <c r="AV331" s="17">
        <f t="shared" ca="1" si="15"/>
        <v>32974.430694230206</v>
      </c>
      <c r="AW331" s="5"/>
      <c r="AX331" s="6">
        <f ca="1">IF(Table1[[#This Row],[Value of Debts]]&gt;$AY$4,1,0)</f>
        <v>1</v>
      </c>
      <c r="AY331" s="20"/>
      <c r="AZ331" s="20"/>
      <c r="BA331" s="5"/>
      <c r="BB331" s="25">
        <f ca="1">Table1[[#This Row],[Mortage Left]]/Table1[[#This Row],[Value of House]]</f>
        <v>0.74230485931444945</v>
      </c>
      <c r="BC331" s="20">
        <f t="shared" ca="1" si="17"/>
        <v>0</v>
      </c>
      <c r="BD331" s="20"/>
      <c r="BE331" s="20"/>
      <c r="BF331" s="20"/>
      <c r="BG331" s="6">
        <f ca="1">IF(Table1[[#This Row],[County]]="Cumbria",Table1[[#This Row],[income]],0)</f>
        <v>0</v>
      </c>
      <c r="BH331" s="20">
        <f ca="1">IF(Table1[[#This Row],[County]]="Cheshire",Table1[[#This Row],[income]],0)</f>
        <v>0</v>
      </c>
      <c r="BI331" s="20">
        <f ca="1">IF(Table1[[#This Row],[County]]="Bristol",Table1[[#This Row],[income]],0)</f>
        <v>0</v>
      </c>
      <c r="BJ331" s="20">
        <f ca="1">IF(Table1[[#This Row],[County]]="Surrey",Table1[[#This Row],[income]],0)</f>
        <v>0</v>
      </c>
      <c r="BK331" s="20">
        <f ca="1">IF(Table1[[#This Row],[County]]="Norfolk",Table1[[#This Row],[income]],0)</f>
        <v>0</v>
      </c>
      <c r="BL331" s="20">
        <f ca="1">IF(Table1[[#This Row],[County]]="Lincolnshire",Table1[[#This Row],[income]],0)</f>
        <v>0</v>
      </c>
      <c r="BM331" s="20">
        <f ca="1">IF(Table1[[#This Row],[County]]="Somerset",Table1[[#This Row],[income]],0)</f>
        <v>0</v>
      </c>
      <c r="BN331" s="20">
        <f ca="1">IF(Table1[[#This Row],[County]]="Cambridgeshire",Table1[[#This Row],[income]],0)</f>
        <v>0</v>
      </c>
      <c r="BO331" s="20">
        <f ca="1">IF(Table1[[#This Row],[County]]="South Yorkshire",Table1[[#This Row],[income]],0)</f>
        <v>0</v>
      </c>
      <c r="BP331" s="20">
        <f ca="1">IF(Table1[[#This Row],[County]]="Greater London",Table1[[#This Row],[income]],0)</f>
        <v>0</v>
      </c>
      <c r="BQ331" s="20">
        <f ca="1">IF(Table1[[#This Row],[County]]="Hampshire",Table1[[#This Row],[income]],0)</f>
        <v>0</v>
      </c>
      <c r="BR331" s="20">
        <f ca="1">IF(Table1[[#This Row],[County]]="Gloucestershire",Table1[[#This Row],[income]],0)</f>
        <v>0</v>
      </c>
      <c r="BS331" s="20">
        <f ca="1">IF(Table1[[#This Row],[County]]="West Sussex",Table1[[#This Row],[income]],0)</f>
        <v>0</v>
      </c>
      <c r="BT331" s="20">
        <f ca="1">IF(Table1[[#This Row],[County]]="Devon",Table1[[#This Row],[income]],0)</f>
        <v>0</v>
      </c>
      <c r="BU331" s="20">
        <f ca="1">IF(Table1[[#This Row],[County]]="Berkshire",Table1[[#This Row],[income]],0)</f>
        <v>0</v>
      </c>
      <c r="BV331" s="20">
        <f ca="1">IF(Table1[[#This Row],[County]]="Staffordshire",Table1[[#This Row],[income]],0)</f>
        <v>0</v>
      </c>
      <c r="BW331" s="20">
        <f ca="1">IF(Table1[[#This Row],[County]]="Leicestershire",Table1[[#This Row],[income]],0)</f>
        <v>0</v>
      </c>
      <c r="BX331" s="20">
        <f ca="1">IF(Table1[[#This Row],[County]]="Cornwall",Table1[[#This Row],[income]],0)</f>
        <v>0</v>
      </c>
      <c r="BY331" s="20">
        <f ca="1">IF(Table1[[#This Row],[County]]="Isle of Wight",Table1[[#This Row],[income]],0)</f>
        <v>0</v>
      </c>
      <c r="BZ331" s="20">
        <f ca="1">IF(Table1[[#This Row],[County]]="Surrey",Table1[[#This Row],[income]],0)</f>
        <v>0</v>
      </c>
      <c r="CA331" s="20">
        <f ca="1">IF(Table1[[#This Row],[County]]="Derbyshire",Table1[[#This Row],[income]],0)</f>
        <v>0</v>
      </c>
      <c r="CB331" s="20">
        <f ca="1">IF(Table1[[#This Row],[County]]="City of London",Table1[[#This Row],[income]],0)</f>
        <v>0</v>
      </c>
      <c r="CC331" s="20">
        <f ca="1">IF(Table1[[#This Row],[County]]="Bedfordshire",Table1[[#This Row],[income]],0)</f>
        <v>0</v>
      </c>
      <c r="CD331" s="20">
        <f ca="1">IF(Table1[[#This Row],[County]]="County Durham",Table1[[#This Row],[income]],0)</f>
        <v>0</v>
      </c>
      <c r="CE331" s="20">
        <f ca="1">IF(Table1[[#This Row],[County]]="East Riding of Yorkshire",Table1[[#This Row],[income]],0)</f>
        <v>0</v>
      </c>
      <c r="CF331" s="20">
        <f ca="1">IF(Table1[[#This Row],[County]]="West Yorkshire",Table1[[#This Row],[income]],0)</f>
        <v>0</v>
      </c>
      <c r="CG331" s="20">
        <f ca="1">IF(Table1[[#This Row],[County]]="Essex",Table1[[#This Row],[income]],0)</f>
        <v>0</v>
      </c>
      <c r="CH331" s="20">
        <f ca="1">IF(Table1[[#This Row],[County]]="East Sussex",Table1[[#This Row],[income]],0)</f>
        <v>0</v>
      </c>
      <c r="CI331" s="20">
        <f ca="1">IF(Table1[[#This Row],[County]]="Greater Manchester",Table1[[#This Row],[income]],0)</f>
        <v>0</v>
      </c>
      <c r="CJ331" s="20">
        <f ca="1">IF(Table1[[#This Row],[County]]="Hertfordshire",Table1[[#This Row],[income]],0)</f>
        <v>0</v>
      </c>
      <c r="CK331" s="20">
        <f ca="1">IF(Table1[[#This Row],[County]]="Herefordshire",Table1[[#This Row],[income]],0)</f>
        <v>0</v>
      </c>
      <c r="CL331" s="20">
        <f ca="1">IF(Table1[[#This Row],[County]]="Lancashire",Table1[[#This Row],[income]],0)</f>
        <v>0</v>
      </c>
      <c r="CM331" s="20">
        <f ca="1">IF(Table1[[#This Row],[County]]="Merseyside",Table1[[#This Row],[income]],0)</f>
        <v>0</v>
      </c>
      <c r="CN331" s="20">
        <f ca="1">IF(Table1[[#This Row],[County]]="Northamptonshire",Table1[[#This Row],[income]],0)</f>
        <v>0</v>
      </c>
      <c r="CO331" s="20">
        <f ca="1">IF(Table1[[#This Row],[County]]="Northumberland",Table1[[#This Row],[income]],0)</f>
        <v>0</v>
      </c>
      <c r="CP331" s="20">
        <f ca="1">IF(Table1[[#This Row],[County]]="Wiltshire",Table1[[#This Row],[income]],0)</f>
        <v>0</v>
      </c>
      <c r="CQ331" s="20">
        <f ca="1">IF(Table1[[#This Row],[County]]="West Midlands",Table1[[#This Row],[income]],0)</f>
        <v>0</v>
      </c>
      <c r="CR331" s="20">
        <f ca="1">IF(Table1[[#This Row],[County]]="Warwickshire",Table1[[#This Row],[income]],0)</f>
        <v>0</v>
      </c>
      <c r="CS331" s="20">
        <f ca="1">IF(Table1[[#This Row],[County]]="Tyne and Wear",Table1[[#This Row],[income]],0)</f>
        <v>0</v>
      </c>
      <c r="CT331" s="20">
        <f ca="1">IF(Table1[[#This Row],[County]]="Worcestershire",Table1[[#This Row],[income]],0)</f>
        <v>0</v>
      </c>
      <c r="CU331" s="20">
        <f ca="1">IF(Table1[[#This Row],[County]]="Rutland",Table1[[#This Row],[income]],0)</f>
        <v>0</v>
      </c>
      <c r="CV331" s="20">
        <f ca="1">IF(Table1[[#This Row],[County]]="Shropshire",Table1[[#This Row],[income]],0)</f>
        <v>0</v>
      </c>
      <c r="CW331" s="20">
        <f ca="1">IF(Table1[[#This Row],[County]]="Dorset",Table1[[#This Row],[income]],0)</f>
        <v>75381</v>
      </c>
      <c r="CX331" s="20">
        <f ca="1">IF(Table1[[#This Row],[County]]="Buckinghamshire",Table1[[#This Row],[income]],0)</f>
        <v>0</v>
      </c>
      <c r="CY331" s="20">
        <f ca="1">IF(Table1[[#This Row],[County]]="Suffolk",Table1[[#This Row],[income]],0)</f>
        <v>0</v>
      </c>
      <c r="CZ331" s="20">
        <f ca="1">IF(Table1[[#This Row],[County]]="North Yorkshire",Table1[[#This Row],[income]],0)</f>
        <v>0</v>
      </c>
      <c r="DA331" s="20">
        <f ca="1">IF(Table1[[#This Row],[County]]="Kent",Table1[[#This Row],[income]],0)</f>
        <v>0</v>
      </c>
      <c r="DB331" s="5">
        <f ca="1">IF(Table1[[#This Row],[County]]="Derbyshire",Table1[[#This Row],[income]],0)</f>
        <v>0</v>
      </c>
      <c r="DD331" s="6">
        <f ca="1">IF(Table1[[#This Row],[Column1]]="Health",Table1[[#This Row],[income]],0)</f>
        <v>0</v>
      </c>
      <c r="DE331" s="20">
        <f ca="1">IF(Table1[[#This Row],[Column1]]="Agriculture",Table1[[#This Row],[income]],0)</f>
        <v>0</v>
      </c>
      <c r="DF331" s="20">
        <f ca="1">IF(Table1[[#This Row],[Column1]]="Technology",Table1[[#This Row],[income]],0)</f>
        <v>75381</v>
      </c>
      <c r="DG331" s="20">
        <f ca="1">IF(Table1[[#This Row],[Column1]]="Social Service",Table1[[#This Row],[income]],0)</f>
        <v>0</v>
      </c>
      <c r="DH331" s="20">
        <f ca="1">IF(Table1[[#This Row],[Column1]]="Education",Table1[[#This Row],[income]],0)</f>
        <v>0</v>
      </c>
      <c r="DI331" s="5">
        <f ca="1">IF(Table1[[#This Row],[Column1]]="Construction",Table1[[#This Row],[income]],0)</f>
        <v>0</v>
      </c>
      <c r="DK331" s="6">
        <f ca="1">IF(Table1[[#This Row],[Value of Debts]]&gt;Table1[[#This Row],[income]],1,0)</f>
        <v>1</v>
      </c>
      <c r="DL331" s="20"/>
      <c r="DM331" s="20"/>
      <c r="DN331" s="5"/>
      <c r="DP331" s="6">
        <f ca="1">IF(Table1[[#This Row],[Net Worth (£)]]&gt;$DS$5,C331,0)</f>
        <v>0</v>
      </c>
      <c r="DQ331" s="20"/>
      <c r="DR331" s="20"/>
      <c r="DS331" s="5"/>
    </row>
    <row r="332" spans="1:123" x14ac:dyDescent="0.2">
      <c r="A332">
        <f t="shared" ca="1" si="16"/>
        <v>2</v>
      </c>
      <c r="B332" s="1" t="str">
        <f ca="1">IF(A332=1, "men", "women")</f>
        <v>women</v>
      </c>
      <c r="C332" s="1">
        <f ca="1">RANDBETWEEN(25,50)</f>
        <v>31</v>
      </c>
      <c r="D332">
        <f ca="1">RANDBETWEEN(1,6)</f>
        <v>4</v>
      </c>
      <c r="E332" t="str">
        <f ca="1">VLOOKUP(D332,$W$5:$X$10,2)</f>
        <v>Technology</v>
      </c>
      <c r="F332">
        <f ca="1">RANDBETWEEN(1,5)</f>
        <v>3</v>
      </c>
      <c r="G332" t="str">
        <f ca="1">VLOOKUP(F332,$Y$5:$Z$9,2)</f>
        <v>University</v>
      </c>
      <c r="H332">
        <f ca="1">RANDBETWEEN(0,4)</f>
        <v>0</v>
      </c>
      <c r="I332">
        <f ca="1">RANDBETWEEN(1,3)</f>
        <v>1</v>
      </c>
      <c r="J332">
        <f ca="1">RANDBETWEEN(30000,100000)</f>
        <v>73912</v>
      </c>
      <c r="K332">
        <f ca="1">RANDBETWEEN(1,48)</f>
        <v>35</v>
      </c>
      <c r="L332" t="str">
        <f ca="1">VLOOKUP(K332,$AA$5:$AB$52,2)</f>
        <v>Rutland</v>
      </c>
      <c r="M332">
        <f ca="1">J332*(RANDBETWEEN(2,5))</f>
        <v>147824</v>
      </c>
      <c r="N332">
        <f ca="1">RAND()*M332</f>
        <v>107939.69919789255</v>
      </c>
      <c r="O332">
        <f ca="1">I332*RAND()*J332</f>
        <v>32974.430694230206</v>
      </c>
      <c r="P332">
        <f ca="1">RANDBETWEEN(0,O332)</f>
        <v>23688</v>
      </c>
      <c r="Q332">
        <f ca="1">RAND()*J332*2</f>
        <v>81610.17672856836</v>
      </c>
      <c r="R332">
        <f ca="1">RAND()*J332*1.5</f>
        <v>107452.75416853373</v>
      </c>
      <c r="S332">
        <f ca="1">J332+R332+O332</f>
        <v>214339.18486276391</v>
      </c>
      <c r="T332">
        <f ca="1">N332+P332+Q332</f>
        <v>213237.87592646093</v>
      </c>
      <c r="U332">
        <f ca="1">S332-T332</f>
        <v>1101.3089363029867</v>
      </c>
      <c r="AC332" s="6">
        <f ca="1">IF(Table1[[#This Row],[gender]]="men",1,0)</f>
        <v>0</v>
      </c>
      <c r="AD332">
        <f ca="1">IF(Table1[[#This Row],[gender]]="women",1,0)</f>
        <v>1</v>
      </c>
      <c r="AH332" s="5"/>
      <c r="AJ332" s="6">
        <f ca="1">IF(Table1[[#This Row],[Column1]]="Health",1,0)</f>
        <v>0</v>
      </c>
      <c r="AK332">
        <f ca="1">IF(Table1[[#This Row],[Column1]]="Construction",1,0)</f>
        <v>0</v>
      </c>
      <c r="AL332">
        <f ca="1">IF(Table1[[#This Row],[Column1]]="Technology",1,0)</f>
        <v>1</v>
      </c>
      <c r="AM332">
        <f ca="1">IF(Table1[[#This Row],[Column1]]="Education",1,0)</f>
        <v>0</v>
      </c>
      <c r="AN332">
        <f ca="1">IF(Table1[[#This Row],[Column1]]="Agriculture",1,0)</f>
        <v>0</v>
      </c>
      <c r="AO332">
        <f ca="1">IF(Table1[[#This Row],[Column1]]="Social Service", 1, 0)</f>
        <v>0</v>
      </c>
      <c r="AT332" s="5"/>
      <c r="AV332" s="17">
        <f t="shared" ca="1" si="15"/>
        <v>53335.003281402322</v>
      </c>
      <c r="AW332" s="5"/>
      <c r="AX332" s="6">
        <f ca="1">IF(Table1[[#This Row],[Value of Debts]]&gt;$AY$4,1,0)</f>
        <v>1</v>
      </c>
      <c r="AY332" s="20"/>
      <c r="AZ332" s="20"/>
      <c r="BA332" s="5"/>
      <c r="BB332" s="25">
        <f ca="1">Table1[[#This Row],[Mortage Left]]/Table1[[#This Row],[Value of House]]</f>
        <v>0.7301906266769439</v>
      </c>
      <c r="BC332" s="20">
        <f t="shared" ca="1" si="17"/>
        <v>0</v>
      </c>
      <c r="BD332" s="20"/>
      <c r="BE332" s="20"/>
      <c r="BF332" s="20"/>
      <c r="BG332" s="6">
        <f ca="1">IF(Table1[[#This Row],[County]]="Cumbria",Table1[[#This Row],[income]],0)</f>
        <v>0</v>
      </c>
      <c r="BH332" s="20">
        <f ca="1">IF(Table1[[#This Row],[County]]="Cheshire",Table1[[#This Row],[income]],0)</f>
        <v>0</v>
      </c>
      <c r="BI332" s="20">
        <f ca="1">IF(Table1[[#This Row],[County]]="Bristol",Table1[[#This Row],[income]],0)</f>
        <v>0</v>
      </c>
      <c r="BJ332" s="20">
        <f ca="1">IF(Table1[[#This Row],[County]]="Surrey",Table1[[#This Row],[income]],0)</f>
        <v>0</v>
      </c>
      <c r="BK332" s="20">
        <f ca="1">IF(Table1[[#This Row],[County]]="Norfolk",Table1[[#This Row],[income]],0)</f>
        <v>0</v>
      </c>
      <c r="BL332" s="20">
        <f ca="1">IF(Table1[[#This Row],[County]]="Lincolnshire",Table1[[#This Row],[income]],0)</f>
        <v>0</v>
      </c>
      <c r="BM332" s="20">
        <f ca="1">IF(Table1[[#This Row],[County]]="Somerset",Table1[[#This Row],[income]],0)</f>
        <v>0</v>
      </c>
      <c r="BN332" s="20">
        <f ca="1">IF(Table1[[#This Row],[County]]="Cambridgeshire",Table1[[#This Row],[income]],0)</f>
        <v>0</v>
      </c>
      <c r="BO332" s="20">
        <f ca="1">IF(Table1[[#This Row],[County]]="South Yorkshire",Table1[[#This Row],[income]],0)</f>
        <v>0</v>
      </c>
      <c r="BP332" s="20">
        <f ca="1">IF(Table1[[#This Row],[County]]="Greater London",Table1[[#This Row],[income]],0)</f>
        <v>0</v>
      </c>
      <c r="BQ332" s="20">
        <f ca="1">IF(Table1[[#This Row],[County]]="Hampshire",Table1[[#This Row],[income]],0)</f>
        <v>0</v>
      </c>
      <c r="BR332" s="20">
        <f ca="1">IF(Table1[[#This Row],[County]]="Gloucestershire",Table1[[#This Row],[income]],0)</f>
        <v>0</v>
      </c>
      <c r="BS332" s="20">
        <f ca="1">IF(Table1[[#This Row],[County]]="West Sussex",Table1[[#This Row],[income]],0)</f>
        <v>0</v>
      </c>
      <c r="BT332" s="20">
        <f ca="1">IF(Table1[[#This Row],[County]]="Devon",Table1[[#This Row],[income]],0)</f>
        <v>0</v>
      </c>
      <c r="BU332" s="20">
        <f ca="1">IF(Table1[[#This Row],[County]]="Berkshire",Table1[[#This Row],[income]],0)</f>
        <v>0</v>
      </c>
      <c r="BV332" s="20">
        <f ca="1">IF(Table1[[#This Row],[County]]="Staffordshire",Table1[[#This Row],[income]],0)</f>
        <v>0</v>
      </c>
      <c r="BW332" s="20">
        <f ca="1">IF(Table1[[#This Row],[County]]="Leicestershire",Table1[[#This Row],[income]],0)</f>
        <v>0</v>
      </c>
      <c r="BX332" s="20">
        <f ca="1">IF(Table1[[#This Row],[County]]="Cornwall",Table1[[#This Row],[income]],0)</f>
        <v>0</v>
      </c>
      <c r="BY332" s="20">
        <f ca="1">IF(Table1[[#This Row],[County]]="Isle of Wight",Table1[[#This Row],[income]],0)</f>
        <v>0</v>
      </c>
      <c r="BZ332" s="20">
        <f ca="1">IF(Table1[[#This Row],[County]]="Surrey",Table1[[#This Row],[income]],0)</f>
        <v>0</v>
      </c>
      <c r="CA332" s="20">
        <f ca="1">IF(Table1[[#This Row],[County]]="Derbyshire",Table1[[#This Row],[income]],0)</f>
        <v>0</v>
      </c>
      <c r="CB332" s="20">
        <f ca="1">IF(Table1[[#This Row],[County]]="City of London",Table1[[#This Row],[income]],0)</f>
        <v>0</v>
      </c>
      <c r="CC332" s="20">
        <f ca="1">IF(Table1[[#This Row],[County]]="Bedfordshire",Table1[[#This Row],[income]],0)</f>
        <v>0</v>
      </c>
      <c r="CD332" s="20">
        <f ca="1">IF(Table1[[#This Row],[County]]="County Durham",Table1[[#This Row],[income]],0)</f>
        <v>0</v>
      </c>
      <c r="CE332" s="20">
        <f ca="1">IF(Table1[[#This Row],[County]]="East Riding of Yorkshire",Table1[[#This Row],[income]],0)</f>
        <v>0</v>
      </c>
      <c r="CF332" s="20">
        <f ca="1">IF(Table1[[#This Row],[County]]="West Yorkshire",Table1[[#This Row],[income]],0)</f>
        <v>0</v>
      </c>
      <c r="CG332" s="20">
        <f ca="1">IF(Table1[[#This Row],[County]]="Essex",Table1[[#This Row],[income]],0)</f>
        <v>0</v>
      </c>
      <c r="CH332" s="20">
        <f ca="1">IF(Table1[[#This Row],[County]]="East Sussex",Table1[[#This Row],[income]],0)</f>
        <v>0</v>
      </c>
      <c r="CI332" s="20">
        <f ca="1">IF(Table1[[#This Row],[County]]="Greater Manchester",Table1[[#This Row],[income]],0)</f>
        <v>0</v>
      </c>
      <c r="CJ332" s="20">
        <f ca="1">IF(Table1[[#This Row],[County]]="Hertfordshire",Table1[[#This Row],[income]],0)</f>
        <v>0</v>
      </c>
      <c r="CK332" s="20">
        <f ca="1">IF(Table1[[#This Row],[County]]="Herefordshire",Table1[[#This Row],[income]],0)</f>
        <v>0</v>
      </c>
      <c r="CL332" s="20">
        <f ca="1">IF(Table1[[#This Row],[County]]="Lancashire",Table1[[#This Row],[income]],0)</f>
        <v>0</v>
      </c>
      <c r="CM332" s="20">
        <f ca="1">IF(Table1[[#This Row],[County]]="Merseyside",Table1[[#This Row],[income]],0)</f>
        <v>0</v>
      </c>
      <c r="CN332" s="20">
        <f ca="1">IF(Table1[[#This Row],[County]]="Northamptonshire",Table1[[#This Row],[income]],0)</f>
        <v>0</v>
      </c>
      <c r="CO332" s="20">
        <f ca="1">IF(Table1[[#This Row],[County]]="Northumberland",Table1[[#This Row],[income]],0)</f>
        <v>0</v>
      </c>
      <c r="CP332" s="20">
        <f ca="1">IF(Table1[[#This Row],[County]]="Wiltshire",Table1[[#This Row],[income]],0)</f>
        <v>0</v>
      </c>
      <c r="CQ332" s="20">
        <f ca="1">IF(Table1[[#This Row],[County]]="West Midlands",Table1[[#This Row],[income]],0)</f>
        <v>0</v>
      </c>
      <c r="CR332" s="20">
        <f ca="1">IF(Table1[[#This Row],[County]]="Warwickshire",Table1[[#This Row],[income]],0)</f>
        <v>0</v>
      </c>
      <c r="CS332" s="20">
        <f ca="1">IF(Table1[[#This Row],[County]]="Tyne and Wear",Table1[[#This Row],[income]],0)</f>
        <v>0</v>
      </c>
      <c r="CT332" s="20">
        <f ca="1">IF(Table1[[#This Row],[County]]="Worcestershire",Table1[[#This Row],[income]],0)</f>
        <v>0</v>
      </c>
      <c r="CU332" s="20">
        <f ca="1">IF(Table1[[#This Row],[County]]="Rutland",Table1[[#This Row],[income]],0)</f>
        <v>73912</v>
      </c>
      <c r="CV332" s="20">
        <f ca="1">IF(Table1[[#This Row],[County]]="Shropshire",Table1[[#This Row],[income]],0)</f>
        <v>0</v>
      </c>
      <c r="CW332" s="20">
        <f ca="1">IF(Table1[[#This Row],[County]]="Dorset",Table1[[#This Row],[income]],0)</f>
        <v>0</v>
      </c>
      <c r="CX332" s="20">
        <f ca="1">IF(Table1[[#This Row],[County]]="Buckinghamshire",Table1[[#This Row],[income]],0)</f>
        <v>0</v>
      </c>
      <c r="CY332" s="20">
        <f ca="1">IF(Table1[[#This Row],[County]]="Suffolk",Table1[[#This Row],[income]],0)</f>
        <v>0</v>
      </c>
      <c r="CZ332" s="20">
        <f ca="1">IF(Table1[[#This Row],[County]]="North Yorkshire",Table1[[#This Row],[income]],0)</f>
        <v>0</v>
      </c>
      <c r="DA332" s="20">
        <f ca="1">IF(Table1[[#This Row],[County]]="Kent",Table1[[#This Row],[income]],0)</f>
        <v>0</v>
      </c>
      <c r="DB332" s="5">
        <f ca="1">IF(Table1[[#This Row],[County]]="Derbyshire",Table1[[#This Row],[income]],0)</f>
        <v>0</v>
      </c>
      <c r="DD332" s="6">
        <f ca="1">IF(Table1[[#This Row],[Column1]]="Health",Table1[[#This Row],[income]],0)</f>
        <v>0</v>
      </c>
      <c r="DE332" s="20">
        <f ca="1">IF(Table1[[#This Row],[Column1]]="Agriculture",Table1[[#This Row],[income]],0)</f>
        <v>0</v>
      </c>
      <c r="DF332" s="20">
        <f ca="1">IF(Table1[[#This Row],[Column1]]="Technology",Table1[[#This Row],[income]],0)</f>
        <v>73912</v>
      </c>
      <c r="DG332" s="20">
        <f ca="1">IF(Table1[[#This Row],[Column1]]="Social Service",Table1[[#This Row],[income]],0)</f>
        <v>0</v>
      </c>
      <c r="DH332" s="20">
        <f ca="1">IF(Table1[[#This Row],[Column1]]="Education",Table1[[#This Row],[income]],0)</f>
        <v>0</v>
      </c>
      <c r="DI332" s="5">
        <f ca="1">IF(Table1[[#This Row],[Column1]]="Construction",Table1[[#This Row],[income]],0)</f>
        <v>0</v>
      </c>
      <c r="DK332" s="6">
        <f ca="1">IF(Table1[[#This Row],[Value of Debts]]&gt;Table1[[#This Row],[income]],1,0)</f>
        <v>1</v>
      </c>
      <c r="DL332" s="20"/>
      <c r="DM332" s="20"/>
      <c r="DN332" s="5"/>
      <c r="DP332" s="6">
        <f ca="1">IF(Table1[[#This Row],[Net Worth (£)]]&gt;$DS$5,C332,0)</f>
        <v>0</v>
      </c>
      <c r="DQ332" s="20"/>
      <c r="DR332" s="20"/>
      <c r="DS332" s="5"/>
    </row>
    <row r="333" spans="1:123" x14ac:dyDescent="0.2">
      <c r="A333">
        <f t="shared" ca="1" si="16"/>
        <v>1</v>
      </c>
      <c r="B333" s="1" t="str">
        <f ca="1">IF(A333=1, "men", "women")</f>
        <v>men</v>
      </c>
      <c r="C333" s="1">
        <f ca="1">RANDBETWEEN(25,50)</f>
        <v>33</v>
      </c>
      <c r="D333">
        <f ca="1">RANDBETWEEN(1,6)</f>
        <v>6</v>
      </c>
      <c r="E333" t="str">
        <f ca="1">VLOOKUP(D333,$W$5:$X$10,2)</f>
        <v>Agriculture</v>
      </c>
      <c r="F333">
        <f ca="1">RANDBETWEEN(1,5)</f>
        <v>5</v>
      </c>
      <c r="G333" t="str">
        <f ca="1">VLOOKUP(F333,$Y$5:$Z$9,2)</f>
        <v>Other</v>
      </c>
      <c r="H333">
        <f ca="1">RANDBETWEEN(0,4)</f>
        <v>0</v>
      </c>
      <c r="I333">
        <f ca="1">RANDBETWEEN(1,3)</f>
        <v>3</v>
      </c>
      <c r="J333">
        <f ca="1">RANDBETWEEN(30000,100000)</f>
        <v>99191</v>
      </c>
      <c r="K333">
        <f ca="1">RANDBETWEEN(1,48)</f>
        <v>23</v>
      </c>
      <c r="L333" t="str">
        <f ca="1">VLOOKUP(K333,$AA$5:$AB$52,2)</f>
        <v>Isle of Wight</v>
      </c>
      <c r="M333">
        <f ca="1">J333*(RANDBETWEEN(2,5))</f>
        <v>396764</v>
      </c>
      <c r="N333">
        <f ca="1">RAND()*M333</f>
        <v>8273.1591838367913</v>
      </c>
      <c r="O333">
        <f ca="1">I333*RAND()*J333</f>
        <v>160005.00984420697</v>
      </c>
      <c r="P333">
        <f ca="1">RANDBETWEEN(0,O333)</f>
        <v>54208</v>
      </c>
      <c r="Q333">
        <f ca="1">RAND()*J333*2</f>
        <v>93689.353729688475</v>
      </c>
      <c r="R333">
        <f ca="1">RAND()*J333*1.5</f>
        <v>64752.312469993631</v>
      </c>
      <c r="S333">
        <f ca="1">J333+R333+O333</f>
        <v>323948.32231420057</v>
      </c>
      <c r="T333">
        <f ca="1">N333+P333+Q333</f>
        <v>156170.51291352528</v>
      </c>
      <c r="U333">
        <f ca="1">S333-T333</f>
        <v>167777.80940067529</v>
      </c>
      <c r="AC333" s="6">
        <f ca="1">IF(Table1[[#This Row],[gender]]="men",1,0)</f>
        <v>1</v>
      </c>
      <c r="AD333">
        <f ca="1">IF(Table1[[#This Row],[gender]]="women",1,0)</f>
        <v>0</v>
      </c>
      <c r="AH333" s="5"/>
      <c r="AJ333" s="6">
        <f ca="1">IF(Table1[[#This Row],[Column1]]="Health",1,0)</f>
        <v>0</v>
      </c>
      <c r="AK333">
        <f ca="1">IF(Table1[[#This Row],[Column1]]="Construction",1,0)</f>
        <v>0</v>
      </c>
      <c r="AL333">
        <f ca="1">IF(Table1[[#This Row],[Column1]]="Technology",1,0)</f>
        <v>0</v>
      </c>
      <c r="AM333">
        <f ca="1">IF(Table1[[#This Row],[Column1]]="Education",1,0)</f>
        <v>0</v>
      </c>
      <c r="AN333">
        <f ca="1">IF(Table1[[#This Row],[Column1]]="Agriculture",1,0)</f>
        <v>1</v>
      </c>
      <c r="AO333">
        <f ca="1">IF(Table1[[#This Row],[Column1]]="Social Service", 1, 0)</f>
        <v>0</v>
      </c>
      <c r="AT333" s="5"/>
      <c r="AV333" s="17">
        <f t="shared" ca="1" si="15"/>
        <v>43217.861829410525</v>
      </c>
      <c r="AW333" s="5"/>
      <c r="AX333" s="6">
        <f ca="1">IF(Table1[[#This Row],[Value of Debts]]&gt;$AY$4,1,0)</f>
        <v>1</v>
      </c>
      <c r="AY333" s="20"/>
      <c r="AZ333" s="20"/>
      <c r="BA333" s="5"/>
      <c r="BB333" s="25">
        <f ca="1">Table1[[#This Row],[Mortage Left]]/Table1[[#This Row],[Value of House]]</f>
        <v>2.0851587300855904E-2</v>
      </c>
      <c r="BC333" s="20">
        <f t="shared" ca="1" si="17"/>
        <v>1</v>
      </c>
      <c r="BD333" s="20"/>
      <c r="BE333" s="20"/>
      <c r="BF333" s="20"/>
      <c r="BG333" s="6">
        <f ca="1">IF(Table1[[#This Row],[County]]="Cumbria",Table1[[#This Row],[income]],0)</f>
        <v>0</v>
      </c>
      <c r="BH333" s="20">
        <f ca="1">IF(Table1[[#This Row],[County]]="Cheshire",Table1[[#This Row],[income]],0)</f>
        <v>0</v>
      </c>
      <c r="BI333" s="20">
        <f ca="1">IF(Table1[[#This Row],[County]]="Bristol",Table1[[#This Row],[income]],0)</f>
        <v>0</v>
      </c>
      <c r="BJ333" s="20">
        <f ca="1">IF(Table1[[#This Row],[County]]="Surrey",Table1[[#This Row],[income]],0)</f>
        <v>0</v>
      </c>
      <c r="BK333" s="20">
        <f ca="1">IF(Table1[[#This Row],[County]]="Norfolk",Table1[[#This Row],[income]],0)</f>
        <v>0</v>
      </c>
      <c r="BL333" s="20">
        <f ca="1">IF(Table1[[#This Row],[County]]="Lincolnshire",Table1[[#This Row],[income]],0)</f>
        <v>0</v>
      </c>
      <c r="BM333" s="20">
        <f ca="1">IF(Table1[[#This Row],[County]]="Somerset",Table1[[#This Row],[income]],0)</f>
        <v>0</v>
      </c>
      <c r="BN333" s="20">
        <f ca="1">IF(Table1[[#This Row],[County]]="Cambridgeshire",Table1[[#This Row],[income]],0)</f>
        <v>0</v>
      </c>
      <c r="BO333" s="20">
        <f ca="1">IF(Table1[[#This Row],[County]]="South Yorkshire",Table1[[#This Row],[income]],0)</f>
        <v>0</v>
      </c>
      <c r="BP333" s="20">
        <f ca="1">IF(Table1[[#This Row],[County]]="Greater London",Table1[[#This Row],[income]],0)</f>
        <v>0</v>
      </c>
      <c r="BQ333" s="20">
        <f ca="1">IF(Table1[[#This Row],[County]]="Hampshire",Table1[[#This Row],[income]],0)</f>
        <v>0</v>
      </c>
      <c r="BR333" s="20">
        <f ca="1">IF(Table1[[#This Row],[County]]="Gloucestershire",Table1[[#This Row],[income]],0)</f>
        <v>0</v>
      </c>
      <c r="BS333" s="20">
        <f ca="1">IF(Table1[[#This Row],[County]]="West Sussex",Table1[[#This Row],[income]],0)</f>
        <v>0</v>
      </c>
      <c r="BT333" s="20">
        <f ca="1">IF(Table1[[#This Row],[County]]="Devon",Table1[[#This Row],[income]],0)</f>
        <v>0</v>
      </c>
      <c r="BU333" s="20">
        <f ca="1">IF(Table1[[#This Row],[County]]="Berkshire",Table1[[#This Row],[income]],0)</f>
        <v>0</v>
      </c>
      <c r="BV333" s="20">
        <f ca="1">IF(Table1[[#This Row],[County]]="Staffordshire",Table1[[#This Row],[income]],0)</f>
        <v>0</v>
      </c>
      <c r="BW333" s="20">
        <f ca="1">IF(Table1[[#This Row],[County]]="Leicestershire",Table1[[#This Row],[income]],0)</f>
        <v>0</v>
      </c>
      <c r="BX333" s="20">
        <f ca="1">IF(Table1[[#This Row],[County]]="Cornwall",Table1[[#This Row],[income]],0)</f>
        <v>0</v>
      </c>
      <c r="BY333" s="20">
        <f ca="1">IF(Table1[[#This Row],[County]]="Isle of Wight",Table1[[#This Row],[income]],0)</f>
        <v>99191</v>
      </c>
      <c r="BZ333" s="20">
        <f ca="1">IF(Table1[[#This Row],[County]]="Surrey",Table1[[#This Row],[income]],0)</f>
        <v>0</v>
      </c>
      <c r="CA333" s="20">
        <f ca="1">IF(Table1[[#This Row],[County]]="Derbyshire",Table1[[#This Row],[income]],0)</f>
        <v>0</v>
      </c>
      <c r="CB333" s="20">
        <f ca="1">IF(Table1[[#This Row],[County]]="City of London",Table1[[#This Row],[income]],0)</f>
        <v>0</v>
      </c>
      <c r="CC333" s="20">
        <f ca="1">IF(Table1[[#This Row],[County]]="Bedfordshire",Table1[[#This Row],[income]],0)</f>
        <v>0</v>
      </c>
      <c r="CD333" s="20">
        <f ca="1">IF(Table1[[#This Row],[County]]="County Durham",Table1[[#This Row],[income]],0)</f>
        <v>0</v>
      </c>
      <c r="CE333" s="20">
        <f ca="1">IF(Table1[[#This Row],[County]]="East Riding of Yorkshire",Table1[[#This Row],[income]],0)</f>
        <v>0</v>
      </c>
      <c r="CF333" s="20">
        <f ca="1">IF(Table1[[#This Row],[County]]="West Yorkshire",Table1[[#This Row],[income]],0)</f>
        <v>0</v>
      </c>
      <c r="CG333" s="20">
        <f ca="1">IF(Table1[[#This Row],[County]]="Essex",Table1[[#This Row],[income]],0)</f>
        <v>0</v>
      </c>
      <c r="CH333" s="20">
        <f ca="1">IF(Table1[[#This Row],[County]]="East Sussex",Table1[[#This Row],[income]],0)</f>
        <v>0</v>
      </c>
      <c r="CI333" s="20">
        <f ca="1">IF(Table1[[#This Row],[County]]="Greater Manchester",Table1[[#This Row],[income]],0)</f>
        <v>0</v>
      </c>
      <c r="CJ333" s="20">
        <f ca="1">IF(Table1[[#This Row],[County]]="Hertfordshire",Table1[[#This Row],[income]],0)</f>
        <v>0</v>
      </c>
      <c r="CK333" s="20">
        <f ca="1">IF(Table1[[#This Row],[County]]="Herefordshire",Table1[[#This Row],[income]],0)</f>
        <v>0</v>
      </c>
      <c r="CL333" s="20">
        <f ca="1">IF(Table1[[#This Row],[County]]="Lancashire",Table1[[#This Row],[income]],0)</f>
        <v>0</v>
      </c>
      <c r="CM333" s="20">
        <f ca="1">IF(Table1[[#This Row],[County]]="Merseyside",Table1[[#This Row],[income]],0)</f>
        <v>0</v>
      </c>
      <c r="CN333" s="20">
        <f ca="1">IF(Table1[[#This Row],[County]]="Northamptonshire",Table1[[#This Row],[income]],0)</f>
        <v>0</v>
      </c>
      <c r="CO333" s="20">
        <f ca="1">IF(Table1[[#This Row],[County]]="Northumberland",Table1[[#This Row],[income]],0)</f>
        <v>0</v>
      </c>
      <c r="CP333" s="20">
        <f ca="1">IF(Table1[[#This Row],[County]]="Wiltshire",Table1[[#This Row],[income]],0)</f>
        <v>0</v>
      </c>
      <c r="CQ333" s="20">
        <f ca="1">IF(Table1[[#This Row],[County]]="West Midlands",Table1[[#This Row],[income]],0)</f>
        <v>0</v>
      </c>
      <c r="CR333" s="20">
        <f ca="1">IF(Table1[[#This Row],[County]]="Warwickshire",Table1[[#This Row],[income]],0)</f>
        <v>0</v>
      </c>
      <c r="CS333" s="20">
        <f ca="1">IF(Table1[[#This Row],[County]]="Tyne and Wear",Table1[[#This Row],[income]],0)</f>
        <v>0</v>
      </c>
      <c r="CT333" s="20">
        <f ca="1">IF(Table1[[#This Row],[County]]="Worcestershire",Table1[[#This Row],[income]],0)</f>
        <v>0</v>
      </c>
      <c r="CU333" s="20">
        <f ca="1">IF(Table1[[#This Row],[County]]="Rutland",Table1[[#This Row],[income]],0)</f>
        <v>0</v>
      </c>
      <c r="CV333" s="20">
        <f ca="1">IF(Table1[[#This Row],[County]]="Shropshire",Table1[[#This Row],[income]],0)</f>
        <v>0</v>
      </c>
      <c r="CW333" s="20">
        <f ca="1">IF(Table1[[#This Row],[County]]="Dorset",Table1[[#This Row],[income]],0)</f>
        <v>0</v>
      </c>
      <c r="CX333" s="20">
        <f ca="1">IF(Table1[[#This Row],[County]]="Buckinghamshire",Table1[[#This Row],[income]],0)</f>
        <v>0</v>
      </c>
      <c r="CY333" s="20">
        <f ca="1">IF(Table1[[#This Row],[County]]="Suffolk",Table1[[#This Row],[income]],0)</f>
        <v>0</v>
      </c>
      <c r="CZ333" s="20">
        <f ca="1">IF(Table1[[#This Row],[County]]="North Yorkshire",Table1[[#This Row],[income]],0)</f>
        <v>0</v>
      </c>
      <c r="DA333" s="20">
        <f ca="1">IF(Table1[[#This Row],[County]]="Kent",Table1[[#This Row],[income]],0)</f>
        <v>0</v>
      </c>
      <c r="DB333" s="5">
        <f ca="1">IF(Table1[[#This Row],[County]]="Derbyshire",Table1[[#This Row],[income]],0)</f>
        <v>0</v>
      </c>
      <c r="DD333" s="6">
        <f ca="1">IF(Table1[[#This Row],[Column1]]="Health",Table1[[#This Row],[income]],0)</f>
        <v>0</v>
      </c>
      <c r="DE333" s="20">
        <f ca="1">IF(Table1[[#This Row],[Column1]]="Agriculture",Table1[[#This Row],[income]],0)</f>
        <v>99191</v>
      </c>
      <c r="DF333" s="20">
        <f ca="1">IF(Table1[[#This Row],[Column1]]="Technology",Table1[[#This Row],[income]],0)</f>
        <v>0</v>
      </c>
      <c r="DG333" s="20">
        <f ca="1">IF(Table1[[#This Row],[Column1]]="Social Service",Table1[[#This Row],[income]],0)</f>
        <v>0</v>
      </c>
      <c r="DH333" s="20">
        <f ca="1">IF(Table1[[#This Row],[Column1]]="Education",Table1[[#This Row],[income]],0)</f>
        <v>0</v>
      </c>
      <c r="DI333" s="5">
        <f ca="1">IF(Table1[[#This Row],[Column1]]="Construction",Table1[[#This Row],[income]],0)</f>
        <v>0</v>
      </c>
      <c r="DK333" s="6">
        <f ca="1">IF(Table1[[#This Row],[Value of Debts]]&gt;Table1[[#This Row],[income]],1,0)</f>
        <v>1</v>
      </c>
      <c r="DL333" s="20"/>
      <c r="DM333" s="20"/>
      <c r="DN333" s="5"/>
      <c r="DP333" s="6">
        <f ca="1">IF(Table1[[#This Row],[Net Worth (£)]]&gt;$DS$5,C333,0)</f>
        <v>33</v>
      </c>
      <c r="DQ333" s="20"/>
      <c r="DR333" s="20"/>
      <c r="DS333" s="5"/>
    </row>
    <row r="334" spans="1:123" hidden="1" x14ac:dyDescent="0.2">
      <c r="A334">
        <f t="shared" ca="1" si="16"/>
        <v>2</v>
      </c>
      <c r="B334" s="1" t="str">
        <f ca="1">IF(A334=1, "men", "women")</f>
        <v>women</v>
      </c>
      <c r="C334" s="1">
        <f ca="1">RANDBETWEEN(25,50)</f>
        <v>26</v>
      </c>
      <c r="D334">
        <f ca="1">RANDBETWEEN(1,6)</f>
        <v>1</v>
      </c>
      <c r="E334" t="str">
        <f ca="1">VLOOKUP(D334,$W$5:$X$10,2)</f>
        <v>Health</v>
      </c>
      <c r="F334">
        <f ca="1">RANDBETWEEN(1,5)</f>
        <v>3</v>
      </c>
      <c r="G334" t="str">
        <f ca="1">VLOOKUP(F334,$Y$5:$Z$9,2)</f>
        <v>University</v>
      </c>
      <c r="H334">
        <f ca="1">RANDBETWEEN(0,4)</f>
        <v>4</v>
      </c>
      <c r="I334">
        <f ca="1">RANDBETWEEN(1,3)</f>
        <v>2</v>
      </c>
      <c r="J334">
        <f ca="1">RANDBETWEEN(30000,100000)</f>
        <v>49155</v>
      </c>
      <c r="K334">
        <f ca="1">RANDBETWEEN(1,48)</f>
        <v>14</v>
      </c>
      <c r="L334" t="str">
        <f ca="1">VLOOKUP(K334,$AA$5:$AB$52,2)</f>
        <v>East Riding of Yorkshire</v>
      </c>
      <c r="M334">
        <f ca="1">J334*(RANDBETWEEN(2,5))</f>
        <v>98310</v>
      </c>
      <c r="N334">
        <f ca="1">RAND()*M334</f>
        <v>7887.0191372457994</v>
      </c>
      <c r="O334">
        <f ca="1">I334*RAND()*J334</f>
        <v>86435.723658821051</v>
      </c>
      <c r="P334">
        <f ca="1">RANDBETWEEN(0,O334)</f>
        <v>9520</v>
      </c>
      <c r="Q334">
        <f ca="1">RAND()*J334*2</f>
        <v>13258.880602840869</v>
      </c>
      <c r="R334">
        <f ca="1">RAND()*J334*1.5</f>
        <v>61671.033182990446</v>
      </c>
      <c r="S334">
        <f ca="1">J334+R334+O334</f>
        <v>197261.7568418115</v>
      </c>
      <c r="T334">
        <f ca="1">N334+P334+Q334</f>
        <v>30665.899740086668</v>
      </c>
      <c r="U334">
        <f ca="1">S334-T334</f>
        <v>166595.85710172483</v>
      </c>
      <c r="AC334" s="6">
        <f ca="1">IF(Table1[[#This Row],[gender]]="men",1,0)</f>
        <v>0</v>
      </c>
      <c r="AD334">
        <f ca="1">IF(Table1[[#This Row],[gender]]="women",1,0)</f>
        <v>1</v>
      </c>
      <c r="AH334" s="5"/>
      <c r="AJ334" s="6">
        <f ca="1">IF(Table1[[#This Row],[Column1]]="Health",1,0)</f>
        <v>1</v>
      </c>
      <c r="AK334">
        <f ca="1">IF(Table1[[#This Row],[Column1]]="Construction",1,0)</f>
        <v>0</v>
      </c>
      <c r="AL334">
        <f ca="1">IF(Table1[[#This Row],[Column1]]="Technology",1,0)</f>
        <v>0</v>
      </c>
      <c r="AM334">
        <f ca="1">IF(Table1[[#This Row],[Column1]]="Education",1,0)</f>
        <v>0</v>
      </c>
      <c r="AN334">
        <f ca="1">IF(Table1[[#This Row],[Column1]]="Agriculture",1,0)</f>
        <v>0</v>
      </c>
      <c r="AO334">
        <f ca="1">IF(Table1[[#This Row],[Column1]]="Social Service", 1, 0)</f>
        <v>0</v>
      </c>
      <c r="AT334" s="5"/>
      <c r="AV334" s="17">
        <f t="shared" ca="1" si="15"/>
        <v>18412.778843278804</v>
      </c>
      <c r="AW334" s="5"/>
      <c r="AX334" s="6">
        <f ca="1">IF(Table1[[#This Row],[Value of Debts]]&gt;$AY$4,1,0)</f>
        <v>0</v>
      </c>
      <c r="AY334" s="20"/>
      <c r="AZ334" s="20"/>
      <c r="BA334" s="5"/>
      <c r="BB334" s="25">
        <f ca="1">Table1[[#This Row],[Mortage Left]]/Table1[[#This Row],[Value of House]]</f>
        <v>8.0226010957642147E-2</v>
      </c>
      <c r="BC334" s="20">
        <f t="shared" ca="1" si="17"/>
        <v>1</v>
      </c>
      <c r="BD334" s="20"/>
      <c r="BE334" s="20"/>
      <c r="BF334" s="20"/>
      <c r="BG334" s="6">
        <f ca="1">IF(Table1[[#This Row],[County]]="Cumbria",Table1[[#This Row],[income]],0)</f>
        <v>0</v>
      </c>
      <c r="BH334" s="20">
        <f ca="1">IF(Table1[[#This Row],[County]]="Cheshire",Table1[[#This Row],[income]],0)</f>
        <v>0</v>
      </c>
      <c r="BI334" s="20">
        <f ca="1">IF(Table1[[#This Row],[County]]="Bristol",Table1[[#This Row],[income]],0)</f>
        <v>0</v>
      </c>
      <c r="BJ334" s="20">
        <f ca="1">IF(Table1[[#This Row],[County]]="Surrey",Table1[[#This Row],[income]],0)</f>
        <v>0</v>
      </c>
      <c r="BK334" s="20">
        <f ca="1">IF(Table1[[#This Row],[County]]="Norfolk",Table1[[#This Row],[income]],0)</f>
        <v>0</v>
      </c>
      <c r="BL334" s="20">
        <f ca="1">IF(Table1[[#This Row],[County]]="Lincolnshire",Table1[[#This Row],[income]],0)</f>
        <v>0</v>
      </c>
      <c r="BM334" s="20">
        <f ca="1">IF(Table1[[#This Row],[County]]="Somerset",Table1[[#This Row],[income]],0)</f>
        <v>0</v>
      </c>
      <c r="BN334" s="20">
        <f ca="1">IF(Table1[[#This Row],[County]]="Cambridgeshire",Table1[[#This Row],[income]],0)</f>
        <v>0</v>
      </c>
      <c r="BO334" s="20">
        <f ca="1">IF(Table1[[#This Row],[County]]="South Yorkshire",Table1[[#This Row],[income]],0)</f>
        <v>0</v>
      </c>
      <c r="BP334" s="20">
        <f ca="1">IF(Table1[[#This Row],[County]]="Greater London",Table1[[#This Row],[income]],0)</f>
        <v>0</v>
      </c>
      <c r="BQ334" s="20">
        <f ca="1">IF(Table1[[#This Row],[County]]="Hampshire",Table1[[#This Row],[income]],0)</f>
        <v>0</v>
      </c>
      <c r="BR334" s="20">
        <f ca="1">IF(Table1[[#This Row],[County]]="Gloucestershire",Table1[[#This Row],[income]],0)</f>
        <v>0</v>
      </c>
      <c r="BS334" s="20">
        <f ca="1">IF(Table1[[#This Row],[County]]="West Sussex",Table1[[#This Row],[income]],0)</f>
        <v>0</v>
      </c>
      <c r="BT334" s="20">
        <f ca="1">IF(Table1[[#This Row],[County]]="Devon",Table1[[#This Row],[income]],0)</f>
        <v>0</v>
      </c>
      <c r="BU334" s="20">
        <f ca="1">IF(Table1[[#This Row],[County]]="Berkshire",Table1[[#This Row],[income]],0)</f>
        <v>0</v>
      </c>
      <c r="BV334" s="20">
        <f ca="1">IF(Table1[[#This Row],[County]]="Staffordshire",Table1[[#This Row],[income]],0)</f>
        <v>0</v>
      </c>
      <c r="BW334" s="20">
        <f ca="1">IF(Table1[[#This Row],[County]]="Leicestershire",Table1[[#This Row],[income]],0)</f>
        <v>0</v>
      </c>
      <c r="BX334" s="20">
        <f ca="1">IF(Table1[[#This Row],[County]]="Cornwall",Table1[[#This Row],[income]],0)</f>
        <v>0</v>
      </c>
      <c r="BY334" s="20">
        <f ca="1">IF(Table1[[#This Row],[County]]="Isle of Wight",Table1[[#This Row],[income]],0)</f>
        <v>0</v>
      </c>
      <c r="BZ334" s="20">
        <f ca="1">IF(Table1[[#This Row],[County]]="Surrey",Table1[[#This Row],[income]],0)</f>
        <v>0</v>
      </c>
      <c r="CA334" s="20">
        <f ca="1">IF(Table1[[#This Row],[County]]="Derbyshire",Table1[[#This Row],[income]],0)</f>
        <v>0</v>
      </c>
      <c r="CB334" s="20">
        <f ca="1">IF(Table1[[#This Row],[County]]="City of London",Table1[[#This Row],[income]],0)</f>
        <v>0</v>
      </c>
      <c r="CC334" s="20">
        <f ca="1">IF(Table1[[#This Row],[County]]="Bedfordshire",Table1[[#This Row],[income]],0)</f>
        <v>0</v>
      </c>
      <c r="CD334" s="20">
        <f ca="1">IF(Table1[[#This Row],[County]]="County Durham",Table1[[#This Row],[income]],0)</f>
        <v>0</v>
      </c>
      <c r="CE334" s="20">
        <f ca="1">IF(Table1[[#This Row],[County]]="East Riding of Yorkshire",Table1[[#This Row],[income]],0)</f>
        <v>49155</v>
      </c>
      <c r="CF334" s="20">
        <f ca="1">IF(Table1[[#This Row],[County]]="West Yorkshire",Table1[[#This Row],[income]],0)</f>
        <v>0</v>
      </c>
      <c r="CG334" s="20">
        <f ca="1">IF(Table1[[#This Row],[County]]="Essex",Table1[[#This Row],[income]],0)</f>
        <v>0</v>
      </c>
      <c r="CH334" s="20">
        <f ca="1">IF(Table1[[#This Row],[County]]="East Sussex",Table1[[#This Row],[income]],0)</f>
        <v>0</v>
      </c>
      <c r="CI334" s="20">
        <f ca="1">IF(Table1[[#This Row],[County]]="Greater Manchester",Table1[[#This Row],[income]],0)</f>
        <v>0</v>
      </c>
      <c r="CJ334" s="20">
        <f ca="1">IF(Table1[[#This Row],[County]]="Hertfordshire",Table1[[#This Row],[income]],0)</f>
        <v>0</v>
      </c>
      <c r="CK334" s="20">
        <f ca="1">IF(Table1[[#This Row],[County]]="Herefordshire",Table1[[#This Row],[income]],0)</f>
        <v>0</v>
      </c>
      <c r="CL334" s="20">
        <f ca="1">IF(Table1[[#This Row],[County]]="Lancashire",Table1[[#This Row],[income]],0)</f>
        <v>0</v>
      </c>
      <c r="CM334" s="20">
        <f ca="1">IF(Table1[[#This Row],[County]]="Merseyside",Table1[[#This Row],[income]],0)</f>
        <v>0</v>
      </c>
      <c r="CN334" s="20">
        <f ca="1">IF(Table1[[#This Row],[County]]="Northamptonshire",Table1[[#This Row],[income]],0)</f>
        <v>0</v>
      </c>
      <c r="CO334" s="20">
        <f ca="1">IF(Table1[[#This Row],[County]]="Northumberland",Table1[[#This Row],[income]],0)</f>
        <v>0</v>
      </c>
      <c r="CP334" s="20">
        <f ca="1">IF(Table1[[#This Row],[County]]="Wiltshire",Table1[[#This Row],[income]],0)</f>
        <v>0</v>
      </c>
      <c r="CQ334" s="20">
        <f ca="1">IF(Table1[[#This Row],[County]]="West Midlands",Table1[[#This Row],[income]],0)</f>
        <v>0</v>
      </c>
      <c r="CR334" s="20">
        <f ca="1">IF(Table1[[#This Row],[County]]="Warwickshire",Table1[[#This Row],[income]],0)</f>
        <v>0</v>
      </c>
      <c r="CS334" s="20">
        <f ca="1">IF(Table1[[#This Row],[County]]="Tyne and Wear",Table1[[#This Row],[income]],0)</f>
        <v>0</v>
      </c>
      <c r="CT334" s="20">
        <f ca="1">IF(Table1[[#This Row],[County]]="Worcestershire",Table1[[#This Row],[income]],0)</f>
        <v>0</v>
      </c>
      <c r="CU334" s="20">
        <f ca="1">IF(Table1[[#This Row],[County]]="Rutland",Table1[[#This Row],[income]],0)</f>
        <v>0</v>
      </c>
      <c r="CV334" s="20">
        <f ca="1">IF(Table1[[#This Row],[County]]="Shropshire",Table1[[#This Row],[income]],0)</f>
        <v>0</v>
      </c>
      <c r="CW334" s="20">
        <f ca="1">IF(Table1[[#This Row],[County]]="Dorset",Table1[[#This Row],[income]],0)</f>
        <v>0</v>
      </c>
      <c r="CX334" s="20">
        <f ca="1">IF(Table1[[#This Row],[County]]="Buckinghamshire",Table1[[#This Row],[income]],0)</f>
        <v>0</v>
      </c>
      <c r="CY334" s="20">
        <f ca="1">IF(Table1[[#This Row],[County]]="Suffolk",Table1[[#This Row],[income]],0)</f>
        <v>0</v>
      </c>
      <c r="CZ334" s="20">
        <f ca="1">IF(Table1[[#This Row],[County]]="North Yorkshire",Table1[[#This Row],[income]],0)</f>
        <v>0</v>
      </c>
      <c r="DA334" s="20">
        <f ca="1">IF(Table1[[#This Row],[County]]="Kent",Table1[[#This Row],[income]],0)</f>
        <v>0</v>
      </c>
      <c r="DB334" s="5">
        <f ca="1">IF(Table1[[#This Row],[County]]="Derbyshire",Table1[[#This Row],[income]],0)</f>
        <v>0</v>
      </c>
      <c r="DD334" s="6">
        <f ca="1">IF(Table1[[#This Row],[Column1]]="Health",Table1[[#This Row],[income]],0)</f>
        <v>49155</v>
      </c>
      <c r="DE334" s="20">
        <f ca="1">IF(Table1[[#This Row],[Column1]]="Agriculture",Table1[[#This Row],[income]],0)</f>
        <v>0</v>
      </c>
      <c r="DF334" s="20">
        <f ca="1">IF(Table1[[#This Row],[Column1]]="Technology",Table1[[#This Row],[income]],0)</f>
        <v>0</v>
      </c>
      <c r="DG334" s="20">
        <f ca="1">IF(Table1[[#This Row],[Column1]]="Social Service",Table1[[#This Row],[income]],0)</f>
        <v>0</v>
      </c>
      <c r="DH334" s="20">
        <f ca="1">IF(Table1[[#This Row],[Column1]]="Education",Table1[[#This Row],[income]],0)</f>
        <v>0</v>
      </c>
      <c r="DI334" s="5">
        <f ca="1">IF(Table1[[#This Row],[Column1]]="Construction",Table1[[#This Row],[income]],0)</f>
        <v>0</v>
      </c>
      <c r="DK334" s="6">
        <f ca="1">IF(Table1[[#This Row],[Value of Debts]]&gt;Table1[[#This Row],[income]],1,0)</f>
        <v>0</v>
      </c>
      <c r="DL334" s="20"/>
      <c r="DM334" s="20"/>
      <c r="DN334" s="5"/>
      <c r="DP334" s="6">
        <f ca="1">IF(Table1[[#This Row],[Net Worth (£)]]&gt;$DS$5,C334,0)</f>
        <v>26</v>
      </c>
      <c r="DQ334" s="20"/>
      <c r="DR334" s="20"/>
      <c r="DS334" s="5"/>
    </row>
    <row r="335" spans="1:123" x14ac:dyDescent="0.2">
      <c r="A335">
        <f t="shared" ca="1" si="16"/>
        <v>1</v>
      </c>
      <c r="B335" s="1" t="str">
        <f ca="1">IF(A335=1, "men", "women")</f>
        <v>men</v>
      </c>
      <c r="C335" s="1">
        <f ca="1">RANDBETWEEN(25,50)</f>
        <v>45</v>
      </c>
      <c r="D335">
        <f ca="1">RANDBETWEEN(1,6)</f>
        <v>4</v>
      </c>
      <c r="E335" t="str">
        <f ca="1">VLOOKUP(D335,$W$5:$X$10,2)</f>
        <v>Technology</v>
      </c>
      <c r="F335">
        <f ca="1">RANDBETWEEN(1,5)</f>
        <v>4</v>
      </c>
      <c r="G335" t="str">
        <f ca="1">VLOOKUP(F335,$Y$5:$Z$9,2)</f>
        <v xml:space="preserve">Technical </v>
      </c>
      <c r="H335">
        <f ca="1">RANDBETWEEN(0,4)</f>
        <v>2</v>
      </c>
      <c r="I335">
        <f ca="1">RANDBETWEEN(1,3)</f>
        <v>2</v>
      </c>
      <c r="J335">
        <f ca="1">RANDBETWEEN(30000,100000)</f>
        <v>80501</v>
      </c>
      <c r="K335">
        <f ca="1">RANDBETWEEN(1,48)</f>
        <v>39</v>
      </c>
      <c r="L335" t="str">
        <f ca="1">VLOOKUP(K335,$AA$5:$AB$52,2)</f>
        <v>Staffordshire</v>
      </c>
      <c r="M335">
        <f ca="1">J335*(RANDBETWEEN(2,5))</f>
        <v>161002</v>
      </c>
      <c r="N335">
        <f ca="1">RAND()*M335</f>
        <v>74630.400431108865</v>
      </c>
      <c r="O335">
        <f ca="1">I335*RAND()*J335</f>
        <v>36825.557686557608</v>
      </c>
      <c r="P335">
        <f ca="1">RANDBETWEEN(0,O335)</f>
        <v>14228</v>
      </c>
      <c r="Q335">
        <f ca="1">RAND()*J335*2</f>
        <v>544.98617320665312</v>
      </c>
      <c r="R335">
        <f ca="1">RAND()*J335*1.5</f>
        <v>78674.748147594801</v>
      </c>
      <c r="S335">
        <f ca="1">J335+R335+O335</f>
        <v>196001.30583415242</v>
      </c>
      <c r="T335">
        <f ca="1">N335+P335+Q335</f>
        <v>89403.386604315514</v>
      </c>
      <c r="U335">
        <f ca="1">S335-T335</f>
        <v>106597.9192298369</v>
      </c>
      <c r="AC335" s="6">
        <f ca="1">IF(Table1[[#This Row],[gender]]="men",1,0)</f>
        <v>1</v>
      </c>
      <c r="AD335">
        <f ca="1">IF(Table1[[#This Row],[gender]]="women",1,0)</f>
        <v>0</v>
      </c>
      <c r="AH335" s="5"/>
      <c r="AJ335" s="6">
        <f ca="1">IF(Table1[[#This Row],[Column1]]="Health",1,0)</f>
        <v>0</v>
      </c>
      <c r="AK335">
        <f ca="1">IF(Table1[[#This Row],[Column1]]="Construction",1,0)</f>
        <v>0</v>
      </c>
      <c r="AL335">
        <f ca="1">IF(Table1[[#This Row],[Column1]]="Technology",1,0)</f>
        <v>1</v>
      </c>
      <c r="AM335">
        <f ca="1">IF(Table1[[#This Row],[Column1]]="Education",1,0)</f>
        <v>0</v>
      </c>
      <c r="AN335">
        <f ca="1">IF(Table1[[#This Row],[Column1]]="Agriculture",1,0)</f>
        <v>0</v>
      </c>
      <c r="AO335">
        <f ca="1">IF(Table1[[#This Row],[Column1]]="Social Service", 1, 0)</f>
        <v>0</v>
      </c>
      <c r="AT335" s="5"/>
      <c r="AV335" s="17">
        <f t="shared" ca="1" si="15"/>
        <v>13173.684154559451</v>
      </c>
      <c r="AW335" s="5"/>
      <c r="AX335" s="6">
        <f ca="1">IF(Table1[[#This Row],[Value of Debts]]&gt;$AY$4,1,0)</f>
        <v>0</v>
      </c>
      <c r="AY335" s="20"/>
      <c r="AZ335" s="20"/>
      <c r="BA335" s="5"/>
      <c r="BB335" s="25">
        <f ca="1">Table1[[#This Row],[Mortage Left]]/Table1[[#This Row],[Value of House]]</f>
        <v>0.4635371015956874</v>
      </c>
      <c r="BC335" s="20">
        <f t="shared" ca="1" si="17"/>
        <v>0</v>
      </c>
      <c r="BD335" s="20"/>
      <c r="BE335" s="20"/>
      <c r="BF335" s="20"/>
      <c r="BG335" s="6">
        <f ca="1">IF(Table1[[#This Row],[County]]="Cumbria",Table1[[#This Row],[income]],0)</f>
        <v>0</v>
      </c>
      <c r="BH335" s="20">
        <f ca="1">IF(Table1[[#This Row],[County]]="Cheshire",Table1[[#This Row],[income]],0)</f>
        <v>0</v>
      </c>
      <c r="BI335" s="20">
        <f ca="1">IF(Table1[[#This Row],[County]]="Bristol",Table1[[#This Row],[income]],0)</f>
        <v>0</v>
      </c>
      <c r="BJ335" s="20">
        <f ca="1">IF(Table1[[#This Row],[County]]="Surrey",Table1[[#This Row],[income]],0)</f>
        <v>0</v>
      </c>
      <c r="BK335" s="20">
        <f ca="1">IF(Table1[[#This Row],[County]]="Norfolk",Table1[[#This Row],[income]],0)</f>
        <v>0</v>
      </c>
      <c r="BL335" s="20">
        <f ca="1">IF(Table1[[#This Row],[County]]="Lincolnshire",Table1[[#This Row],[income]],0)</f>
        <v>0</v>
      </c>
      <c r="BM335" s="20">
        <f ca="1">IF(Table1[[#This Row],[County]]="Somerset",Table1[[#This Row],[income]],0)</f>
        <v>0</v>
      </c>
      <c r="BN335" s="20">
        <f ca="1">IF(Table1[[#This Row],[County]]="Cambridgeshire",Table1[[#This Row],[income]],0)</f>
        <v>0</v>
      </c>
      <c r="BO335" s="20">
        <f ca="1">IF(Table1[[#This Row],[County]]="South Yorkshire",Table1[[#This Row],[income]],0)</f>
        <v>0</v>
      </c>
      <c r="BP335" s="20">
        <f ca="1">IF(Table1[[#This Row],[County]]="Greater London",Table1[[#This Row],[income]],0)</f>
        <v>0</v>
      </c>
      <c r="BQ335" s="20">
        <f ca="1">IF(Table1[[#This Row],[County]]="Hampshire",Table1[[#This Row],[income]],0)</f>
        <v>0</v>
      </c>
      <c r="BR335" s="20">
        <f ca="1">IF(Table1[[#This Row],[County]]="Gloucestershire",Table1[[#This Row],[income]],0)</f>
        <v>0</v>
      </c>
      <c r="BS335" s="20">
        <f ca="1">IF(Table1[[#This Row],[County]]="West Sussex",Table1[[#This Row],[income]],0)</f>
        <v>0</v>
      </c>
      <c r="BT335" s="20">
        <f ca="1">IF(Table1[[#This Row],[County]]="Devon",Table1[[#This Row],[income]],0)</f>
        <v>0</v>
      </c>
      <c r="BU335" s="20">
        <f ca="1">IF(Table1[[#This Row],[County]]="Berkshire",Table1[[#This Row],[income]],0)</f>
        <v>0</v>
      </c>
      <c r="BV335" s="20">
        <f ca="1">IF(Table1[[#This Row],[County]]="Staffordshire",Table1[[#This Row],[income]],0)</f>
        <v>80501</v>
      </c>
      <c r="BW335" s="20">
        <f ca="1">IF(Table1[[#This Row],[County]]="Leicestershire",Table1[[#This Row],[income]],0)</f>
        <v>0</v>
      </c>
      <c r="BX335" s="20">
        <f ca="1">IF(Table1[[#This Row],[County]]="Cornwall",Table1[[#This Row],[income]],0)</f>
        <v>0</v>
      </c>
      <c r="BY335" s="20">
        <f ca="1">IF(Table1[[#This Row],[County]]="Isle of Wight",Table1[[#This Row],[income]],0)</f>
        <v>0</v>
      </c>
      <c r="BZ335" s="20">
        <f ca="1">IF(Table1[[#This Row],[County]]="Surrey",Table1[[#This Row],[income]],0)</f>
        <v>0</v>
      </c>
      <c r="CA335" s="20">
        <f ca="1">IF(Table1[[#This Row],[County]]="Derbyshire",Table1[[#This Row],[income]],0)</f>
        <v>0</v>
      </c>
      <c r="CB335" s="20">
        <f ca="1">IF(Table1[[#This Row],[County]]="City of London",Table1[[#This Row],[income]],0)</f>
        <v>0</v>
      </c>
      <c r="CC335" s="20">
        <f ca="1">IF(Table1[[#This Row],[County]]="Bedfordshire",Table1[[#This Row],[income]],0)</f>
        <v>0</v>
      </c>
      <c r="CD335" s="20">
        <f ca="1">IF(Table1[[#This Row],[County]]="County Durham",Table1[[#This Row],[income]],0)</f>
        <v>0</v>
      </c>
      <c r="CE335" s="20">
        <f ca="1">IF(Table1[[#This Row],[County]]="East Riding of Yorkshire",Table1[[#This Row],[income]],0)</f>
        <v>0</v>
      </c>
      <c r="CF335" s="20">
        <f ca="1">IF(Table1[[#This Row],[County]]="West Yorkshire",Table1[[#This Row],[income]],0)</f>
        <v>0</v>
      </c>
      <c r="CG335" s="20">
        <f ca="1">IF(Table1[[#This Row],[County]]="Essex",Table1[[#This Row],[income]],0)</f>
        <v>0</v>
      </c>
      <c r="CH335" s="20">
        <f ca="1">IF(Table1[[#This Row],[County]]="East Sussex",Table1[[#This Row],[income]],0)</f>
        <v>0</v>
      </c>
      <c r="CI335" s="20">
        <f ca="1">IF(Table1[[#This Row],[County]]="Greater Manchester",Table1[[#This Row],[income]],0)</f>
        <v>0</v>
      </c>
      <c r="CJ335" s="20">
        <f ca="1">IF(Table1[[#This Row],[County]]="Hertfordshire",Table1[[#This Row],[income]],0)</f>
        <v>0</v>
      </c>
      <c r="CK335" s="20">
        <f ca="1">IF(Table1[[#This Row],[County]]="Herefordshire",Table1[[#This Row],[income]],0)</f>
        <v>0</v>
      </c>
      <c r="CL335" s="20">
        <f ca="1">IF(Table1[[#This Row],[County]]="Lancashire",Table1[[#This Row],[income]],0)</f>
        <v>0</v>
      </c>
      <c r="CM335" s="20">
        <f ca="1">IF(Table1[[#This Row],[County]]="Merseyside",Table1[[#This Row],[income]],0)</f>
        <v>0</v>
      </c>
      <c r="CN335" s="20">
        <f ca="1">IF(Table1[[#This Row],[County]]="Northamptonshire",Table1[[#This Row],[income]],0)</f>
        <v>0</v>
      </c>
      <c r="CO335" s="20">
        <f ca="1">IF(Table1[[#This Row],[County]]="Northumberland",Table1[[#This Row],[income]],0)</f>
        <v>0</v>
      </c>
      <c r="CP335" s="20">
        <f ca="1">IF(Table1[[#This Row],[County]]="Wiltshire",Table1[[#This Row],[income]],0)</f>
        <v>0</v>
      </c>
      <c r="CQ335" s="20">
        <f ca="1">IF(Table1[[#This Row],[County]]="West Midlands",Table1[[#This Row],[income]],0)</f>
        <v>0</v>
      </c>
      <c r="CR335" s="20">
        <f ca="1">IF(Table1[[#This Row],[County]]="Warwickshire",Table1[[#This Row],[income]],0)</f>
        <v>0</v>
      </c>
      <c r="CS335" s="20">
        <f ca="1">IF(Table1[[#This Row],[County]]="Tyne and Wear",Table1[[#This Row],[income]],0)</f>
        <v>0</v>
      </c>
      <c r="CT335" s="20">
        <f ca="1">IF(Table1[[#This Row],[County]]="Worcestershire",Table1[[#This Row],[income]],0)</f>
        <v>0</v>
      </c>
      <c r="CU335" s="20">
        <f ca="1">IF(Table1[[#This Row],[County]]="Rutland",Table1[[#This Row],[income]],0)</f>
        <v>0</v>
      </c>
      <c r="CV335" s="20">
        <f ca="1">IF(Table1[[#This Row],[County]]="Shropshire",Table1[[#This Row],[income]],0)</f>
        <v>0</v>
      </c>
      <c r="CW335" s="20">
        <f ca="1">IF(Table1[[#This Row],[County]]="Dorset",Table1[[#This Row],[income]],0)</f>
        <v>0</v>
      </c>
      <c r="CX335" s="20">
        <f ca="1">IF(Table1[[#This Row],[County]]="Buckinghamshire",Table1[[#This Row],[income]],0)</f>
        <v>0</v>
      </c>
      <c r="CY335" s="20">
        <f ca="1">IF(Table1[[#This Row],[County]]="Suffolk",Table1[[#This Row],[income]],0)</f>
        <v>0</v>
      </c>
      <c r="CZ335" s="20">
        <f ca="1">IF(Table1[[#This Row],[County]]="North Yorkshire",Table1[[#This Row],[income]],0)</f>
        <v>0</v>
      </c>
      <c r="DA335" s="20">
        <f ca="1">IF(Table1[[#This Row],[County]]="Kent",Table1[[#This Row],[income]],0)</f>
        <v>0</v>
      </c>
      <c r="DB335" s="5">
        <f ca="1">IF(Table1[[#This Row],[County]]="Derbyshire",Table1[[#This Row],[income]],0)</f>
        <v>0</v>
      </c>
      <c r="DD335" s="6">
        <f ca="1">IF(Table1[[#This Row],[Column1]]="Health",Table1[[#This Row],[income]],0)</f>
        <v>0</v>
      </c>
      <c r="DE335" s="20">
        <f ca="1">IF(Table1[[#This Row],[Column1]]="Agriculture",Table1[[#This Row],[income]],0)</f>
        <v>0</v>
      </c>
      <c r="DF335" s="20">
        <f ca="1">IF(Table1[[#This Row],[Column1]]="Technology",Table1[[#This Row],[income]],0)</f>
        <v>80501</v>
      </c>
      <c r="DG335" s="20">
        <f ca="1">IF(Table1[[#This Row],[Column1]]="Social Service",Table1[[#This Row],[income]],0)</f>
        <v>0</v>
      </c>
      <c r="DH335" s="20">
        <f ca="1">IF(Table1[[#This Row],[Column1]]="Education",Table1[[#This Row],[income]],0)</f>
        <v>0</v>
      </c>
      <c r="DI335" s="5">
        <f ca="1">IF(Table1[[#This Row],[Column1]]="Construction",Table1[[#This Row],[income]],0)</f>
        <v>0</v>
      </c>
      <c r="DK335" s="6">
        <f ca="1">IF(Table1[[#This Row],[Value of Debts]]&gt;Table1[[#This Row],[income]],1,0)</f>
        <v>1</v>
      </c>
      <c r="DL335" s="20"/>
      <c r="DM335" s="20"/>
      <c r="DN335" s="5"/>
      <c r="DP335" s="6">
        <f ca="1">IF(Table1[[#This Row],[Net Worth (£)]]&gt;$DS$5,C335,0)</f>
        <v>45</v>
      </c>
      <c r="DQ335" s="20"/>
      <c r="DR335" s="20"/>
      <c r="DS335" s="5"/>
    </row>
    <row r="336" spans="1:123" x14ac:dyDescent="0.2">
      <c r="A336">
        <f t="shared" ca="1" si="16"/>
        <v>2</v>
      </c>
      <c r="B336" s="1" t="str">
        <f ca="1">IF(A336=1, "men", "women")</f>
        <v>women</v>
      </c>
      <c r="C336" s="1">
        <f ca="1">RANDBETWEEN(25,50)</f>
        <v>48</v>
      </c>
      <c r="D336">
        <f ca="1">RANDBETWEEN(1,6)</f>
        <v>6</v>
      </c>
      <c r="E336" t="str">
        <f ca="1">VLOOKUP(D336,$W$5:$X$10,2)</f>
        <v>Agriculture</v>
      </c>
      <c r="F336">
        <f ca="1">RANDBETWEEN(1,5)</f>
        <v>4</v>
      </c>
      <c r="G336" t="str">
        <f ca="1">VLOOKUP(F336,$Y$5:$Z$9,2)</f>
        <v xml:space="preserve">Technical </v>
      </c>
      <c r="H336">
        <f ca="1">RANDBETWEEN(0,4)</f>
        <v>0</v>
      </c>
      <c r="I336">
        <f ca="1">RANDBETWEEN(1,3)</f>
        <v>1</v>
      </c>
      <c r="J336">
        <f ca="1">RANDBETWEEN(30000,100000)</f>
        <v>67986</v>
      </c>
      <c r="K336">
        <f ca="1">RANDBETWEEN(1,48)</f>
        <v>35</v>
      </c>
      <c r="L336" t="str">
        <f ca="1">VLOOKUP(K336,$AA$5:$AB$52,2)</f>
        <v>Rutland</v>
      </c>
      <c r="M336">
        <f ca="1">J336*(RANDBETWEEN(2,5))</f>
        <v>203958</v>
      </c>
      <c r="N336">
        <f ca="1">RAND()*M336</f>
        <v>58512.558401473056</v>
      </c>
      <c r="O336">
        <f ca="1">I336*RAND()*J336</f>
        <v>13173.684154559451</v>
      </c>
      <c r="P336">
        <f ca="1">RANDBETWEEN(0,O336)</f>
        <v>10229</v>
      </c>
      <c r="Q336">
        <f ca="1">RAND()*J336*2</f>
        <v>26014.019881778157</v>
      </c>
      <c r="R336">
        <f ca="1">RAND()*J336*1.5</f>
        <v>31075.926768891906</v>
      </c>
      <c r="S336">
        <f ca="1">J336+R336+O336</f>
        <v>112235.61092345136</v>
      </c>
      <c r="T336">
        <f ca="1">N336+P336+Q336</f>
        <v>94755.578283251205</v>
      </c>
      <c r="U336">
        <f ca="1">S336-T336</f>
        <v>17480.032640200152</v>
      </c>
      <c r="AC336" s="6">
        <f ca="1">IF(Table1[[#This Row],[gender]]="men",1,0)</f>
        <v>0</v>
      </c>
      <c r="AD336">
        <f ca="1">IF(Table1[[#This Row],[gender]]="women",1,0)</f>
        <v>1</v>
      </c>
      <c r="AH336" s="5"/>
      <c r="AJ336" s="6">
        <f ca="1">IF(Table1[[#This Row],[Column1]]="Health",1,0)</f>
        <v>0</v>
      </c>
      <c r="AK336">
        <f ca="1">IF(Table1[[#This Row],[Column1]]="Construction",1,0)</f>
        <v>0</v>
      </c>
      <c r="AL336">
        <f ca="1">IF(Table1[[#This Row],[Column1]]="Technology",1,0)</f>
        <v>0</v>
      </c>
      <c r="AM336">
        <f ca="1">IF(Table1[[#This Row],[Column1]]="Education",1,0)</f>
        <v>0</v>
      </c>
      <c r="AN336">
        <f ca="1">IF(Table1[[#This Row],[Column1]]="Agriculture",1,0)</f>
        <v>1</v>
      </c>
      <c r="AO336">
        <f ca="1">IF(Table1[[#This Row],[Column1]]="Social Service", 1, 0)</f>
        <v>0</v>
      </c>
      <c r="AT336" s="5"/>
      <c r="AV336" s="17">
        <f t="shared" ca="1" si="15"/>
        <v>42561.140595062992</v>
      </c>
      <c r="AW336" s="5"/>
      <c r="AX336" s="6">
        <f ca="1">IF(Table1[[#This Row],[Value of Debts]]&gt;$AY$4,1,0)</f>
        <v>0</v>
      </c>
      <c r="AY336" s="20"/>
      <c r="AZ336" s="20"/>
      <c r="BA336" s="5"/>
      <c r="BB336" s="25">
        <f ca="1">Table1[[#This Row],[Mortage Left]]/Table1[[#This Row],[Value of House]]</f>
        <v>0.28688533130092009</v>
      </c>
      <c r="BC336" s="20">
        <f t="shared" ca="1" si="17"/>
        <v>1</v>
      </c>
      <c r="BD336" s="20"/>
      <c r="BE336" s="20"/>
      <c r="BF336" s="20"/>
      <c r="BG336" s="6">
        <f ca="1">IF(Table1[[#This Row],[County]]="Cumbria",Table1[[#This Row],[income]],0)</f>
        <v>0</v>
      </c>
      <c r="BH336" s="20">
        <f ca="1">IF(Table1[[#This Row],[County]]="Cheshire",Table1[[#This Row],[income]],0)</f>
        <v>0</v>
      </c>
      <c r="BI336" s="20">
        <f ca="1">IF(Table1[[#This Row],[County]]="Bristol",Table1[[#This Row],[income]],0)</f>
        <v>0</v>
      </c>
      <c r="BJ336" s="20">
        <f ca="1">IF(Table1[[#This Row],[County]]="Surrey",Table1[[#This Row],[income]],0)</f>
        <v>0</v>
      </c>
      <c r="BK336" s="20">
        <f ca="1">IF(Table1[[#This Row],[County]]="Norfolk",Table1[[#This Row],[income]],0)</f>
        <v>0</v>
      </c>
      <c r="BL336" s="20">
        <f ca="1">IF(Table1[[#This Row],[County]]="Lincolnshire",Table1[[#This Row],[income]],0)</f>
        <v>0</v>
      </c>
      <c r="BM336" s="20">
        <f ca="1">IF(Table1[[#This Row],[County]]="Somerset",Table1[[#This Row],[income]],0)</f>
        <v>0</v>
      </c>
      <c r="BN336" s="20">
        <f ca="1">IF(Table1[[#This Row],[County]]="Cambridgeshire",Table1[[#This Row],[income]],0)</f>
        <v>0</v>
      </c>
      <c r="BO336" s="20">
        <f ca="1">IF(Table1[[#This Row],[County]]="South Yorkshire",Table1[[#This Row],[income]],0)</f>
        <v>0</v>
      </c>
      <c r="BP336" s="20">
        <f ca="1">IF(Table1[[#This Row],[County]]="Greater London",Table1[[#This Row],[income]],0)</f>
        <v>0</v>
      </c>
      <c r="BQ336" s="20">
        <f ca="1">IF(Table1[[#This Row],[County]]="Hampshire",Table1[[#This Row],[income]],0)</f>
        <v>0</v>
      </c>
      <c r="BR336" s="20">
        <f ca="1">IF(Table1[[#This Row],[County]]="Gloucestershire",Table1[[#This Row],[income]],0)</f>
        <v>0</v>
      </c>
      <c r="BS336" s="20">
        <f ca="1">IF(Table1[[#This Row],[County]]="West Sussex",Table1[[#This Row],[income]],0)</f>
        <v>0</v>
      </c>
      <c r="BT336" s="20">
        <f ca="1">IF(Table1[[#This Row],[County]]="Devon",Table1[[#This Row],[income]],0)</f>
        <v>0</v>
      </c>
      <c r="BU336" s="20">
        <f ca="1">IF(Table1[[#This Row],[County]]="Berkshire",Table1[[#This Row],[income]],0)</f>
        <v>0</v>
      </c>
      <c r="BV336" s="20">
        <f ca="1">IF(Table1[[#This Row],[County]]="Staffordshire",Table1[[#This Row],[income]],0)</f>
        <v>0</v>
      </c>
      <c r="BW336" s="20">
        <f ca="1">IF(Table1[[#This Row],[County]]="Leicestershire",Table1[[#This Row],[income]],0)</f>
        <v>0</v>
      </c>
      <c r="BX336" s="20">
        <f ca="1">IF(Table1[[#This Row],[County]]="Cornwall",Table1[[#This Row],[income]],0)</f>
        <v>0</v>
      </c>
      <c r="BY336" s="20">
        <f ca="1">IF(Table1[[#This Row],[County]]="Isle of Wight",Table1[[#This Row],[income]],0)</f>
        <v>0</v>
      </c>
      <c r="BZ336" s="20">
        <f ca="1">IF(Table1[[#This Row],[County]]="Surrey",Table1[[#This Row],[income]],0)</f>
        <v>0</v>
      </c>
      <c r="CA336" s="20">
        <f ca="1">IF(Table1[[#This Row],[County]]="Derbyshire",Table1[[#This Row],[income]],0)</f>
        <v>0</v>
      </c>
      <c r="CB336" s="20">
        <f ca="1">IF(Table1[[#This Row],[County]]="City of London",Table1[[#This Row],[income]],0)</f>
        <v>0</v>
      </c>
      <c r="CC336" s="20">
        <f ca="1">IF(Table1[[#This Row],[County]]="Bedfordshire",Table1[[#This Row],[income]],0)</f>
        <v>0</v>
      </c>
      <c r="CD336" s="20">
        <f ca="1">IF(Table1[[#This Row],[County]]="County Durham",Table1[[#This Row],[income]],0)</f>
        <v>0</v>
      </c>
      <c r="CE336" s="20">
        <f ca="1">IF(Table1[[#This Row],[County]]="East Riding of Yorkshire",Table1[[#This Row],[income]],0)</f>
        <v>0</v>
      </c>
      <c r="CF336" s="20">
        <f ca="1">IF(Table1[[#This Row],[County]]="West Yorkshire",Table1[[#This Row],[income]],0)</f>
        <v>0</v>
      </c>
      <c r="CG336" s="20">
        <f ca="1">IF(Table1[[#This Row],[County]]="Essex",Table1[[#This Row],[income]],0)</f>
        <v>0</v>
      </c>
      <c r="CH336" s="20">
        <f ca="1">IF(Table1[[#This Row],[County]]="East Sussex",Table1[[#This Row],[income]],0)</f>
        <v>0</v>
      </c>
      <c r="CI336" s="20">
        <f ca="1">IF(Table1[[#This Row],[County]]="Greater Manchester",Table1[[#This Row],[income]],0)</f>
        <v>0</v>
      </c>
      <c r="CJ336" s="20">
        <f ca="1">IF(Table1[[#This Row],[County]]="Hertfordshire",Table1[[#This Row],[income]],0)</f>
        <v>0</v>
      </c>
      <c r="CK336" s="20">
        <f ca="1">IF(Table1[[#This Row],[County]]="Herefordshire",Table1[[#This Row],[income]],0)</f>
        <v>0</v>
      </c>
      <c r="CL336" s="20">
        <f ca="1">IF(Table1[[#This Row],[County]]="Lancashire",Table1[[#This Row],[income]],0)</f>
        <v>0</v>
      </c>
      <c r="CM336" s="20">
        <f ca="1">IF(Table1[[#This Row],[County]]="Merseyside",Table1[[#This Row],[income]],0)</f>
        <v>0</v>
      </c>
      <c r="CN336" s="20">
        <f ca="1">IF(Table1[[#This Row],[County]]="Northamptonshire",Table1[[#This Row],[income]],0)</f>
        <v>0</v>
      </c>
      <c r="CO336" s="20">
        <f ca="1">IF(Table1[[#This Row],[County]]="Northumberland",Table1[[#This Row],[income]],0)</f>
        <v>0</v>
      </c>
      <c r="CP336" s="20">
        <f ca="1">IF(Table1[[#This Row],[County]]="Wiltshire",Table1[[#This Row],[income]],0)</f>
        <v>0</v>
      </c>
      <c r="CQ336" s="20">
        <f ca="1">IF(Table1[[#This Row],[County]]="West Midlands",Table1[[#This Row],[income]],0)</f>
        <v>0</v>
      </c>
      <c r="CR336" s="20">
        <f ca="1">IF(Table1[[#This Row],[County]]="Warwickshire",Table1[[#This Row],[income]],0)</f>
        <v>0</v>
      </c>
      <c r="CS336" s="20">
        <f ca="1">IF(Table1[[#This Row],[County]]="Tyne and Wear",Table1[[#This Row],[income]],0)</f>
        <v>0</v>
      </c>
      <c r="CT336" s="20">
        <f ca="1">IF(Table1[[#This Row],[County]]="Worcestershire",Table1[[#This Row],[income]],0)</f>
        <v>0</v>
      </c>
      <c r="CU336" s="20">
        <f ca="1">IF(Table1[[#This Row],[County]]="Rutland",Table1[[#This Row],[income]],0)</f>
        <v>67986</v>
      </c>
      <c r="CV336" s="20">
        <f ca="1">IF(Table1[[#This Row],[County]]="Shropshire",Table1[[#This Row],[income]],0)</f>
        <v>0</v>
      </c>
      <c r="CW336" s="20">
        <f ca="1">IF(Table1[[#This Row],[County]]="Dorset",Table1[[#This Row],[income]],0)</f>
        <v>0</v>
      </c>
      <c r="CX336" s="20">
        <f ca="1">IF(Table1[[#This Row],[County]]="Buckinghamshire",Table1[[#This Row],[income]],0)</f>
        <v>0</v>
      </c>
      <c r="CY336" s="20">
        <f ca="1">IF(Table1[[#This Row],[County]]="Suffolk",Table1[[#This Row],[income]],0)</f>
        <v>0</v>
      </c>
      <c r="CZ336" s="20">
        <f ca="1">IF(Table1[[#This Row],[County]]="North Yorkshire",Table1[[#This Row],[income]],0)</f>
        <v>0</v>
      </c>
      <c r="DA336" s="20">
        <f ca="1">IF(Table1[[#This Row],[County]]="Kent",Table1[[#This Row],[income]],0)</f>
        <v>0</v>
      </c>
      <c r="DB336" s="5">
        <f ca="1">IF(Table1[[#This Row],[County]]="Derbyshire",Table1[[#This Row],[income]],0)</f>
        <v>0</v>
      </c>
      <c r="DD336" s="6">
        <f ca="1">IF(Table1[[#This Row],[Column1]]="Health",Table1[[#This Row],[income]],0)</f>
        <v>0</v>
      </c>
      <c r="DE336" s="20">
        <f ca="1">IF(Table1[[#This Row],[Column1]]="Agriculture",Table1[[#This Row],[income]],0)</f>
        <v>67986</v>
      </c>
      <c r="DF336" s="20">
        <f ca="1">IF(Table1[[#This Row],[Column1]]="Technology",Table1[[#This Row],[income]],0)</f>
        <v>0</v>
      </c>
      <c r="DG336" s="20">
        <f ca="1">IF(Table1[[#This Row],[Column1]]="Social Service",Table1[[#This Row],[income]],0)</f>
        <v>0</v>
      </c>
      <c r="DH336" s="20">
        <f ca="1">IF(Table1[[#This Row],[Column1]]="Education",Table1[[#This Row],[income]],0)</f>
        <v>0</v>
      </c>
      <c r="DI336" s="5">
        <f ca="1">IF(Table1[[#This Row],[Column1]]="Construction",Table1[[#This Row],[income]],0)</f>
        <v>0</v>
      </c>
      <c r="DK336" s="6">
        <f ca="1">IF(Table1[[#This Row],[Value of Debts]]&gt;Table1[[#This Row],[income]],1,0)</f>
        <v>1</v>
      </c>
      <c r="DL336" s="20"/>
      <c r="DM336" s="20"/>
      <c r="DN336" s="5"/>
      <c r="DP336" s="6">
        <f ca="1">IF(Table1[[#This Row],[Net Worth (£)]]&gt;$DS$5,C336,0)</f>
        <v>0</v>
      </c>
      <c r="DQ336" s="20"/>
      <c r="DR336" s="20"/>
      <c r="DS336" s="5"/>
    </row>
    <row r="337" spans="1:123" x14ac:dyDescent="0.2">
      <c r="A337">
        <f t="shared" ca="1" si="16"/>
        <v>1</v>
      </c>
      <c r="B337" s="1" t="str">
        <f ca="1">IF(A337=1, "men", "women")</f>
        <v>men</v>
      </c>
      <c r="C337" s="1">
        <f ca="1">RANDBETWEEN(25,50)</f>
        <v>38</v>
      </c>
      <c r="D337">
        <f ca="1">RANDBETWEEN(1,6)</f>
        <v>4</v>
      </c>
      <c r="E337" t="str">
        <f ca="1">VLOOKUP(D337,$W$5:$X$10,2)</f>
        <v>Technology</v>
      </c>
      <c r="F337">
        <f ca="1">RANDBETWEEN(1,5)</f>
        <v>2</v>
      </c>
      <c r="G337" t="str">
        <f ca="1">VLOOKUP(F337,$Y$5:$Z$9,2)</f>
        <v>College</v>
      </c>
      <c r="H337">
        <f ca="1">RANDBETWEEN(0,4)</f>
        <v>2</v>
      </c>
      <c r="I337">
        <f ca="1">RANDBETWEEN(1,3)</f>
        <v>2</v>
      </c>
      <c r="J337">
        <f ca="1">RANDBETWEEN(30000,100000)</f>
        <v>61024</v>
      </c>
      <c r="K337">
        <f ca="1">RANDBETWEEN(1,48)</f>
        <v>15</v>
      </c>
      <c r="L337" t="str">
        <f ca="1">VLOOKUP(K337,$AA$5:$AB$52,2)</f>
        <v>East Sussex</v>
      </c>
      <c r="M337">
        <f ca="1">J337*(RANDBETWEEN(2,5))</f>
        <v>122048</v>
      </c>
      <c r="N337">
        <f ca="1">RAND()*M337</f>
        <v>108386.49421010907</v>
      </c>
      <c r="O337">
        <f ca="1">I337*RAND()*J337</f>
        <v>85122.281190125985</v>
      </c>
      <c r="P337">
        <f ca="1">RANDBETWEEN(0,O337)</f>
        <v>23173</v>
      </c>
      <c r="Q337">
        <f ca="1">RAND()*J337*2</f>
        <v>115274.17942841029</v>
      </c>
      <c r="R337">
        <f ca="1">RAND()*J337*1.5</f>
        <v>55109.675450631708</v>
      </c>
      <c r="S337">
        <f ca="1">J337+R337+O337</f>
        <v>201255.95664075768</v>
      </c>
      <c r="T337">
        <f ca="1">N337+P337+Q337</f>
        <v>246833.67363851937</v>
      </c>
      <c r="U337">
        <f ca="1">S337-T337</f>
        <v>-45577.716997761687</v>
      </c>
      <c r="AC337" s="6">
        <f ca="1">IF(Table1[[#This Row],[gender]]="men",1,0)</f>
        <v>1</v>
      </c>
      <c r="AD337">
        <f ca="1">IF(Table1[[#This Row],[gender]]="women",1,0)</f>
        <v>0</v>
      </c>
      <c r="AH337" s="5"/>
      <c r="AJ337" s="6">
        <f ca="1">IF(Table1[[#This Row],[Column1]]="Health",1,0)</f>
        <v>0</v>
      </c>
      <c r="AK337">
        <f ca="1">IF(Table1[[#This Row],[Column1]]="Construction",1,0)</f>
        <v>0</v>
      </c>
      <c r="AL337">
        <f ca="1">IF(Table1[[#This Row],[Column1]]="Technology",1,0)</f>
        <v>1</v>
      </c>
      <c r="AM337">
        <f ca="1">IF(Table1[[#This Row],[Column1]]="Education",1,0)</f>
        <v>0</v>
      </c>
      <c r="AN337">
        <f ca="1">IF(Table1[[#This Row],[Column1]]="Agriculture",1,0)</f>
        <v>0</v>
      </c>
      <c r="AO337">
        <f ca="1">IF(Table1[[#This Row],[Column1]]="Social Service", 1, 0)</f>
        <v>0</v>
      </c>
      <c r="AT337" s="5"/>
      <c r="AV337" s="17">
        <f t="shared" ca="1" si="15"/>
        <v>9232.2116307389115</v>
      </c>
      <c r="AW337" s="5"/>
      <c r="AX337" s="6">
        <f ca="1">IF(Table1[[#This Row],[Value of Debts]]&gt;$AY$4,1,0)</f>
        <v>1</v>
      </c>
      <c r="AY337" s="20"/>
      <c r="AZ337" s="20"/>
      <c r="BA337" s="5"/>
      <c r="BB337" s="25">
        <f ca="1">Table1[[#This Row],[Mortage Left]]/Table1[[#This Row],[Value of House]]</f>
        <v>0.88806448454795717</v>
      </c>
      <c r="BC337" s="20">
        <f t="shared" ca="1" si="17"/>
        <v>0</v>
      </c>
      <c r="BD337" s="20"/>
      <c r="BE337" s="20"/>
      <c r="BF337" s="20"/>
      <c r="BG337" s="6">
        <f ca="1">IF(Table1[[#This Row],[County]]="Cumbria",Table1[[#This Row],[income]],0)</f>
        <v>0</v>
      </c>
      <c r="BH337" s="20">
        <f ca="1">IF(Table1[[#This Row],[County]]="Cheshire",Table1[[#This Row],[income]],0)</f>
        <v>0</v>
      </c>
      <c r="BI337" s="20">
        <f ca="1">IF(Table1[[#This Row],[County]]="Bristol",Table1[[#This Row],[income]],0)</f>
        <v>0</v>
      </c>
      <c r="BJ337" s="20">
        <f ca="1">IF(Table1[[#This Row],[County]]="Surrey",Table1[[#This Row],[income]],0)</f>
        <v>0</v>
      </c>
      <c r="BK337" s="20">
        <f ca="1">IF(Table1[[#This Row],[County]]="Norfolk",Table1[[#This Row],[income]],0)</f>
        <v>0</v>
      </c>
      <c r="BL337" s="20">
        <f ca="1">IF(Table1[[#This Row],[County]]="Lincolnshire",Table1[[#This Row],[income]],0)</f>
        <v>0</v>
      </c>
      <c r="BM337" s="20">
        <f ca="1">IF(Table1[[#This Row],[County]]="Somerset",Table1[[#This Row],[income]],0)</f>
        <v>0</v>
      </c>
      <c r="BN337" s="20">
        <f ca="1">IF(Table1[[#This Row],[County]]="Cambridgeshire",Table1[[#This Row],[income]],0)</f>
        <v>0</v>
      </c>
      <c r="BO337" s="20">
        <f ca="1">IF(Table1[[#This Row],[County]]="South Yorkshire",Table1[[#This Row],[income]],0)</f>
        <v>0</v>
      </c>
      <c r="BP337" s="20">
        <f ca="1">IF(Table1[[#This Row],[County]]="Greater London",Table1[[#This Row],[income]],0)</f>
        <v>0</v>
      </c>
      <c r="BQ337" s="20">
        <f ca="1">IF(Table1[[#This Row],[County]]="Hampshire",Table1[[#This Row],[income]],0)</f>
        <v>0</v>
      </c>
      <c r="BR337" s="20">
        <f ca="1">IF(Table1[[#This Row],[County]]="Gloucestershire",Table1[[#This Row],[income]],0)</f>
        <v>0</v>
      </c>
      <c r="BS337" s="20">
        <f ca="1">IF(Table1[[#This Row],[County]]="West Sussex",Table1[[#This Row],[income]],0)</f>
        <v>0</v>
      </c>
      <c r="BT337" s="20">
        <f ca="1">IF(Table1[[#This Row],[County]]="Devon",Table1[[#This Row],[income]],0)</f>
        <v>0</v>
      </c>
      <c r="BU337" s="20">
        <f ca="1">IF(Table1[[#This Row],[County]]="Berkshire",Table1[[#This Row],[income]],0)</f>
        <v>0</v>
      </c>
      <c r="BV337" s="20">
        <f ca="1">IF(Table1[[#This Row],[County]]="Staffordshire",Table1[[#This Row],[income]],0)</f>
        <v>0</v>
      </c>
      <c r="BW337" s="20">
        <f ca="1">IF(Table1[[#This Row],[County]]="Leicestershire",Table1[[#This Row],[income]],0)</f>
        <v>0</v>
      </c>
      <c r="BX337" s="20">
        <f ca="1">IF(Table1[[#This Row],[County]]="Cornwall",Table1[[#This Row],[income]],0)</f>
        <v>0</v>
      </c>
      <c r="BY337" s="20">
        <f ca="1">IF(Table1[[#This Row],[County]]="Isle of Wight",Table1[[#This Row],[income]],0)</f>
        <v>0</v>
      </c>
      <c r="BZ337" s="20">
        <f ca="1">IF(Table1[[#This Row],[County]]="Surrey",Table1[[#This Row],[income]],0)</f>
        <v>0</v>
      </c>
      <c r="CA337" s="20">
        <f ca="1">IF(Table1[[#This Row],[County]]="Derbyshire",Table1[[#This Row],[income]],0)</f>
        <v>0</v>
      </c>
      <c r="CB337" s="20">
        <f ca="1">IF(Table1[[#This Row],[County]]="City of London",Table1[[#This Row],[income]],0)</f>
        <v>0</v>
      </c>
      <c r="CC337" s="20">
        <f ca="1">IF(Table1[[#This Row],[County]]="Bedfordshire",Table1[[#This Row],[income]],0)</f>
        <v>0</v>
      </c>
      <c r="CD337" s="20">
        <f ca="1">IF(Table1[[#This Row],[County]]="County Durham",Table1[[#This Row],[income]],0)</f>
        <v>0</v>
      </c>
      <c r="CE337" s="20">
        <f ca="1">IF(Table1[[#This Row],[County]]="East Riding of Yorkshire",Table1[[#This Row],[income]],0)</f>
        <v>0</v>
      </c>
      <c r="CF337" s="20">
        <f ca="1">IF(Table1[[#This Row],[County]]="West Yorkshire",Table1[[#This Row],[income]],0)</f>
        <v>0</v>
      </c>
      <c r="CG337" s="20">
        <f ca="1">IF(Table1[[#This Row],[County]]="Essex",Table1[[#This Row],[income]],0)</f>
        <v>0</v>
      </c>
      <c r="CH337" s="20">
        <f ca="1">IF(Table1[[#This Row],[County]]="East Sussex",Table1[[#This Row],[income]],0)</f>
        <v>61024</v>
      </c>
      <c r="CI337" s="20">
        <f ca="1">IF(Table1[[#This Row],[County]]="Greater Manchester",Table1[[#This Row],[income]],0)</f>
        <v>0</v>
      </c>
      <c r="CJ337" s="20">
        <f ca="1">IF(Table1[[#This Row],[County]]="Hertfordshire",Table1[[#This Row],[income]],0)</f>
        <v>0</v>
      </c>
      <c r="CK337" s="20">
        <f ca="1">IF(Table1[[#This Row],[County]]="Herefordshire",Table1[[#This Row],[income]],0)</f>
        <v>0</v>
      </c>
      <c r="CL337" s="20">
        <f ca="1">IF(Table1[[#This Row],[County]]="Lancashire",Table1[[#This Row],[income]],0)</f>
        <v>0</v>
      </c>
      <c r="CM337" s="20">
        <f ca="1">IF(Table1[[#This Row],[County]]="Merseyside",Table1[[#This Row],[income]],0)</f>
        <v>0</v>
      </c>
      <c r="CN337" s="20">
        <f ca="1">IF(Table1[[#This Row],[County]]="Northamptonshire",Table1[[#This Row],[income]],0)</f>
        <v>0</v>
      </c>
      <c r="CO337" s="20">
        <f ca="1">IF(Table1[[#This Row],[County]]="Northumberland",Table1[[#This Row],[income]],0)</f>
        <v>0</v>
      </c>
      <c r="CP337" s="20">
        <f ca="1">IF(Table1[[#This Row],[County]]="Wiltshire",Table1[[#This Row],[income]],0)</f>
        <v>0</v>
      </c>
      <c r="CQ337" s="20">
        <f ca="1">IF(Table1[[#This Row],[County]]="West Midlands",Table1[[#This Row],[income]],0)</f>
        <v>0</v>
      </c>
      <c r="CR337" s="20">
        <f ca="1">IF(Table1[[#This Row],[County]]="Warwickshire",Table1[[#This Row],[income]],0)</f>
        <v>0</v>
      </c>
      <c r="CS337" s="20">
        <f ca="1">IF(Table1[[#This Row],[County]]="Tyne and Wear",Table1[[#This Row],[income]],0)</f>
        <v>0</v>
      </c>
      <c r="CT337" s="20">
        <f ca="1">IF(Table1[[#This Row],[County]]="Worcestershire",Table1[[#This Row],[income]],0)</f>
        <v>0</v>
      </c>
      <c r="CU337" s="20">
        <f ca="1">IF(Table1[[#This Row],[County]]="Rutland",Table1[[#This Row],[income]],0)</f>
        <v>0</v>
      </c>
      <c r="CV337" s="20">
        <f ca="1">IF(Table1[[#This Row],[County]]="Shropshire",Table1[[#This Row],[income]],0)</f>
        <v>0</v>
      </c>
      <c r="CW337" s="20">
        <f ca="1">IF(Table1[[#This Row],[County]]="Dorset",Table1[[#This Row],[income]],0)</f>
        <v>0</v>
      </c>
      <c r="CX337" s="20">
        <f ca="1">IF(Table1[[#This Row],[County]]="Buckinghamshire",Table1[[#This Row],[income]],0)</f>
        <v>0</v>
      </c>
      <c r="CY337" s="20">
        <f ca="1">IF(Table1[[#This Row],[County]]="Suffolk",Table1[[#This Row],[income]],0)</f>
        <v>0</v>
      </c>
      <c r="CZ337" s="20">
        <f ca="1">IF(Table1[[#This Row],[County]]="North Yorkshire",Table1[[#This Row],[income]],0)</f>
        <v>0</v>
      </c>
      <c r="DA337" s="20">
        <f ca="1">IF(Table1[[#This Row],[County]]="Kent",Table1[[#This Row],[income]],0)</f>
        <v>0</v>
      </c>
      <c r="DB337" s="5">
        <f ca="1">IF(Table1[[#This Row],[County]]="Derbyshire",Table1[[#This Row],[income]],0)</f>
        <v>0</v>
      </c>
      <c r="DD337" s="6">
        <f ca="1">IF(Table1[[#This Row],[Column1]]="Health",Table1[[#This Row],[income]],0)</f>
        <v>0</v>
      </c>
      <c r="DE337" s="20">
        <f ca="1">IF(Table1[[#This Row],[Column1]]="Agriculture",Table1[[#This Row],[income]],0)</f>
        <v>0</v>
      </c>
      <c r="DF337" s="20">
        <f ca="1">IF(Table1[[#This Row],[Column1]]="Technology",Table1[[#This Row],[income]],0)</f>
        <v>61024</v>
      </c>
      <c r="DG337" s="20">
        <f ca="1">IF(Table1[[#This Row],[Column1]]="Social Service",Table1[[#This Row],[income]],0)</f>
        <v>0</v>
      </c>
      <c r="DH337" s="20">
        <f ca="1">IF(Table1[[#This Row],[Column1]]="Education",Table1[[#This Row],[income]],0)</f>
        <v>0</v>
      </c>
      <c r="DI337" s="5">
        <f ca="1">IF(Table1[[#This Row],[Column1]]="Construction",Table1[[#This Row],[income]],0)</f>
        <v>0</v>
      </c>
      <c r="DK337" s="6">
        <f ca="1">IF(Table1[[#This Row],[Value of Debts]]&gt;Table1[[#This Row],[income]],1,0)</f>
        <v>1</v>
      </c>
      <c r="DL337" s="20"/>
      <c r="DM337" s="20"/>
      <c r="DN337" s="5"/>
      <c r="DP337" s="6">
        <f ca="1">IF(Table1[[#This Row],[Net Worth (£)]]&gt;$DS$5,C337,0)</f>
        <v>0</v>
      </c>
      <c r="DQ337" s="20"/>
      <c r="DR337" s="20"/>
      <c r="DS337" s="5"/>
    </row>
    <row r="338" spans="1:123" x14ac:dyDescent="0.2">
      <c r="A338">
        <f t="shared" ca="1" si="16"/>
        <v>2</v>
      </c>
      <c r="B338" s="1" t="str">
        <f ca="1">IF(A338=1, "men", "women")</f>
        <v>women</v>
      </c>
      <c r="C338" s="1">
        <f ca="1">RANDBETWEEN(25,50)</f>
        <v>33</v>
      </c>
      <c r="D338">
        <f ca="1">RANDBETWEEN(1,6)</f>
        <v>2</v>
      </c>
      <c r="E338" t="str">
        <f ca="1">VLOOKUP(D338,$W$5:$X$10,2)</f>
        <v>Construction</v>
      </c>
      <c r="F338">
        <f ca="1">RANDBETWEEN(1,5)</f>
        <v>2</v>
      </c>
      <c r="G338" t="str">
        <f ca="1">VLOOKUP(F338,$Y$5:$Z$9,2)</f>
        <v>College</v>
      </c>
      <c r="H338">
        <f ca="1">RANDBETWEEN(0,4)</f>
        <v>2</v>
      </c>
      <c r="I338">
        <f ca="1">RANDBETWEEN(1,3)</f>
        <v>1</v>
      </c>
      <c r="J338">
        <f ca="1">RANDBETWEEN(30000,100000)</f>
        <v>54153</v>
      </c>
      <c r="K338">
        <f ca="1">RANDBETWEEN(1,48)</f>
        <v>41</v>
      </c>
      <c r="L338" t="str">
        <f ca="1">VLOOKUP(K338,$AA$5:$AB$52,2)</f>
        <v>Surrey</v>
      </c>
      <c r="M338">
        <f ca="1">J338*(RANDBETWEEN(2,5))</f>
        <v>216612</v>
      </c>
      <c r="N338">
        <f ca="1">RAND()*M338</f>
        <v>20974.257311806683</v>
      </c>
      <c r="O338">
        <f ca="1">I338*RAND()*J338</f>
        <v>9232.2116307389115</v>
      </c>
      <c r="P338">
        <f ca="1">RANDBETWEEN(0,O338)</f>
        <v>5163</v>
      </c>
      <c r="Q338">
        <f ca="1">RAND()*J338*2</f>
        <v>67486.567187785287</v>
      </c>
      <c r="R338">
        <f ca="1">RAND()*J338*1.5</f>
        <v>46408.617035113559</v>
      </c>
      <c r="S338">
        <f ca="1">J338+R338+O338</f>
        <v>109793.82866585247</v>
      </c>
      <c r="T338">
        <f ca="1">N338+P338+Q338</f>
        <v>93623.824499591967</v>
      </c>
      <c r="U338">
        <f ca="1">S338-T338</f>
        <v>16170.004166260507</v>
      </c>
      <c r="AC338" s="6">
        <f ca="1">IF(Table1[[#This Row],[gender]]="men",1,0)</f>
        <v>0</v>
      </c>
      <c r="AD338">
        <f ca="1">IF(Table1[[#This Row],[gender]]="women",1,0)</f>
        <v>1</v>
      </c>
      <c r="AH338" s="5"/>
      <c r="AJ338" s="6">
        <f ca="1">IF(Table1[[#This Row],[Column1]]="Health",1,0)</f>
        <v>0</v>
      </c>
      <c r="AK338">
        <f ca="1">IF(Table1[[#This Row],[Column1]]="Construction",1,0)</f>
        <v>1</v>
      </c>
      <c r="AL338">
        <f ca="1">IF(Table1[[#This Row],[Column1]]="Technology",1,0)</f>
        <v>0</v>
      </c>
      <c r="AM338">
        <f ca="1">IF(Table1[[#This Row],[Column1]]="Education",1,0)</f>
        <v>0</v>
      </c>
      <c r="AN338">
        <f ca="1">IF(Table1[[#This Row],[Column1]]="Agriculture",1,0)</f>
        <v>0</v>
      </c>
      <c r="AO338">
        <f ca="1">IF(Table1[[#This Row],[Column1]]="Social Service", 1, 0)</f>
        <v>0</v>
      </c>
      <c r="AT338" s="5"/>
      <c r="AV338" s="17">
        <f t="shared" ca="1" si="15"/>
        <v>22995.930008703373</v>
      </c>
      <c r="AW338" s="5"/>
      <c r="AX338" s="6">
        <f ca="1">IF(Table1[[#This Row],[Value of Debts]]&gt;$AY$4,1,0)</f>
        <v>0</v>
      </c>
      <c r="AY338" s="20"/>
      <c r="AZ338" s="20"/>
      <c r="BA338" s="5"/>
      <c r="BB338" s="25">
        <f ca="1">Table1[[#This Row],[Mortage Left]]/Table1[[#This Row],[Value of House]]</f>
        <v>9.6828695140650942E-2</v>
      </c>
      <c r="BC338" s="20">
        <f t="shared" ca="1" si="17"/>
        <v>1</v>
      </c>
      <c r="BD338" s="20"/>
      <c r="BE338" s="20"/>
      <c r="BF338" s="20"/>
      <c r="BG338" s="6">
        <f ca="1">IF(Table1[[#This Row],[County]]="Cumbria",Table1[[#This Row],[income]],0)</f>
        <v>0</v>
      </c>
      <c r="BH338" s="20">
        <f ca="1">IF(Table1[[#This Row],[County]]="Cheshire",Table1[[#This Row],[income]],0)</f>
        <v>0</v>
      </c>
      <c r="BI338" s="20">
        <f ca="1">IF(Table1[[#This Row],[County]]="Bristol",Table1[[#This Row],[income]],0)</f>
        <v>0</v>
      </c>
      <c r="BJ338" s="20">
        <f ca="1">IF(Table1[[#This Row],[County]]="Surrey",Table1[[#This Row],[income]],0)</f>
        <v>54153</v>
      </c>
      <c r="BK338" s="20">
        <f ca="1">IF(Table1[[#This Row],[County]]="Norfolk",Table1[[#This Row],[income]],0)</f>
        <v>0</v>
      </c>
      <c r="BL338" s="20">
        <f ca="1">IF(Table1[[#This Row],[County]]="Lincolnshire",Table1[[#This Row],[income]],0)</f>
        <v>0</v>
      </c>
      <c r="BM338" s="20">
        <f ca="1">IF(Table1[[#This Row],[County]]="Somerset",Table1[[#This Row],[income]],0)</f>
        <v>0</v>
      </c>
      <c r="BN338" s="20">
        <f ca="1">IF(Table1[[#This Row],[County]]="Cambridgeshire",Table1[[#This Row],[income]],0)</f>
        <v>0</v>
      </c>
      <c r="BO338" s="20">
        <f ca="1">IF(Table1[[#This Row],[County]]="South Yorkshire",Table1[[#This Row],[income]],0)</f>
        <v>0</v>
      </c>
      <c r="BP338" s="20">
        <f ca="1">IF(Table1[[#This Row],[County]]="Greater London",Table1[[#This Row],[income]],0)</f>
        <v>0</v>
      </c>
      <c r="BQ338" s="20">
        <f ca="1">IF(Table1[[#This Row],[County]]="Hampshire",Table1[[#This Row],[income]],0)</f>
        <v>0</v>
      </c>
      <c r="BR338" s="20">
        <f ca="1">IF(Table1[[#This Row],[County]]="Gloucestershire",Table1[[#This Row],[income]],0)</f>
        <v>0</v>
      </c>
      <c r="BS338" s="20">
        <f ca="1">IF(Table1[[#This Row],[County]]="West Sussex",Table1[[#This Row],[income]],0)</f>
        <v>0</v>
      </c>
      <c r="BT338" s="20">
        <f ca="1">IF(Table1[[#This Row],[County]]="Devon",Table1[[#This Row],[income]],0)</f>
        <v>0</v>
      </c>
      <c r="BU338" s="20">
        <f ca="1">IF(Table1[[#This Row],[County]]="Berkshire",Table1[[#This Row],[income]],0)</f>
        <v>0</v>
      </c>
      <c r="BV338" s="20">
        <f ca="1">IF(Table1[[#This Row],[County]]="Staffordshire",Table1[[#This Row],[income]],0)</f>
        <v>0</v>
      </c>
      <c r="BW338" s="20">
        <f ca="1">IF(Table1[[#This Row],[County]]="Leicestershire",Table1[[#This Row],[income]],0)</f>
        <v>0</v>
      </c>
      <c r="BX338" s="20">
        <f ca="1">IF(Table1[[#This Row],[County]]="Cornwall",Table1[[#This Row],[income]],0)</f>
        <v>0</v>
      </c>
      <c r="BY338" s="20">
        <f ca="1">IF(Table1[[#This Row],[County]]="Isle of Wight",Table1[[#This Row],[income]],0)</f>
        <v>0</v>
      </c>
      <c r="BZ338" s="20">
        <f ca="1">IF(Table1[[#This Row],[County]]="Surrey",Table1[[#This Row],[income]],0)</f>
        <v>54153</v>
      </c>
      <c r="CA338" s="20">
        <f ca="1">IF(Table1[[#This Row],[County]]="Derbyshire",Table1[[#This Row],[income]],0)</f>
        <v>0</v>
      </c>
      <c r="CB338" s="20">
        <f ca="1">IF(Table1[[#This Row],[County]]="City of London",Table1[[#This Row],[income]],0)</f>
        <v>0</v>
      </c>
      <c r="CC338" s="20">
        <f ca="1">IF(Table1[[#This Row],[County]]="Bedfordshire",Table1[[#This Row],[income]],0)</f>
        <v>0</v>
      </c>
      <c r="CD338" s="20">
        <f ca="1">IF(Table1[[#This Row],[County]]="County Durham",Table1[[#This Row],[income]],0)</f>
        <v>0</v>
      </c>
      <c r="CE338" s="20">
        <f ca="1">IF(Table1[[#This Row],[County]]="East Riding of Yorkshire",Table1[[#This Row],[income]],0)</f>
        <v>0</v>
      </c>
      <c r="CF338" s="20">
        <f ca="1">IF(Table1[[#This Row],[County]]="West Yorkshire",Table1[[#This Row],[income]],0)</f>
        <v>0</v>
      </c>
      <c r="CG338" s="20">
        <f ca="1">IF(Table1[[#This Row],[County]]="Essex",Table1[[#This Row],[income]],0)</f>
        <v>0</v>
      </c>
      <c r="CH338" s="20">
        <f ca="1">IF(Table1[[#This Row],[County]]="East Sussex",Table1[[#This Row],[income]],0)</f>
        <v>0</v>
      </c>
      <c r="CI338" s="20">
        <f ca="1">IF(Table1[[#This Row],[County]]="Greater Manchester",Table1[[#This Row],[income]],0)</f>
        <v>0</v>
      </c>
      <c r="CJ338" s="20">
        <f ca="1">IF(Table1[[#This Row],[County]]="Hertfordshire",Table1[[#This Row],[income]],0)</f>
        <v>0</v>
      </c>
      <c r="CK338" s="20">
        <f ca="1">IF(Table1[[#This Row],[County]]="Herefordshire",Table1[[#This Row],[income]],0)</f>
        <v>0</v>
      </c>
      <c r="CL338" s="20">
        <f ca="1">IF(Table1[[#This Row],[County]]="Lancashire",Table1[[#This Row],[income]],0)</f>
        <v>0</v>
      </c>
      <c r="CM338" s="20">
        <f ca="1">IF(Table1[[#This Row],[County]]="Merseyside",Table1[[#This Row],[income]],0)</f>
        <v>0</v>
      </c>
      <c r="CN338" s="20">
        <f ca="1">IF(Table1[[#This Row],[County]]="Northamptonshire",Table1[[#This Row],[income]],0)</f>
        <v>0</v>
      </c>
      <c r="CO338" s="20">
        <f ca="1">IF(Table1[[#This Row],[County]]="Northumberland",Table1[[#This Row],[income]],0)</f>
        <v>0</v>
      </c>
      <c r="CP338" s="20">
        <f ca="1">IF(Table1[[#This Row],[County]]="Wiltshire",Table1[[#This Row],[income]],0)</f>
        <v>0</v>
      </c>
      <c r="CQ338" s="20">
        <f ca="1">IF(Table1[[#This Row],[County]]="West Midlands",Table1[[#This Row],[income]],0)</f>
        <v>0</v>
      </c>
      <c r="CR338" s="20">
        <f ca="1">IF(Table1[[#This Row],[County]]="Warwickshire",Table1[[#This Row],[income]],0)</f>
        <v>0</v>
      </c>
      <c r="CS338" s="20">
        <f ca="1">IF(Table1[[#This Row],[County]]="Tyne and Wear",Table1[[#This Row],[income]],0)</f>
        <v>0</v>
      </c>
      <c r="CT338" s="20">
        <f ca="1">IF(Table1[[#This Row],[County]]="Worcestershire",Table1[[#This Row],[income]],0)</f>
        <v>0</v>
      </c>
      <c r="CU338" s="20">
        <f ca="1">IF(Table1[[#This Row],[County]]="Rutland",Table1[[#This Row],[income]],0)</f>
        <v>0</v>
      </c>
      <c r="CV338" s="20">
        <f ca="1">IF(Table1[[#This Row],[County]]="Shropshire",Table1[[#This Row],[income]],0)</f>
        <v>0</v>
      </c>
      <c r="CW338" s="20">
        <f ca="1">IF(Table1[[#This Row],[County]]="Dorset",Table1[[#This Row],[income]],0)</f>
        <v>0</v>
      </c>
      <c r="CX338" s="20">
        <f ca="1">IF(Table1[[#This Row],[County]]="Buckinghamshire",Table1[[#This Row],[income]],0)</f>
        <v>0</v>
      </c>
      <c r="CY338" s="20">
        <f ca="1">IF(Table1[[#This Row],[County]]="Suffolk",Table1[[#This Row],[income]],0)</f>
        <v>0</v>
      </c>
      <c r="CZ338" s="20">
        <f ca="1">IF(Table1[[#This Row],[County]]="North Yorkshire",Table1[[#This Row],[income]],0)</f>
        <v>0</v>
      </c>
      <c r="DA338" s="20">
        <f ca="1">IF(Table1[[#This Row],[County]]="Kent",Table1[[#This Row],[income]],0)</f>
        <v>0</v>
      </c>
      <c r="DB338" s="5">
        <f ca="1">IF(Table1[[#This Row],[County]]="Derbyshire",Table1[[#This Row],[income]],0)</f>
        <v>0</v>
      </c>
      <c r="DD338" s="6">
        <f ca="1">IF(Table1[[#This Row],[Column1]]="Health",Table1[[#This Row],[income]],0)</f>
        <v>0</v>
      </c>
      <c r="DE338" s="20">
        <f ca="1">IF(Table1[[#This Row],[Column1]]="Agriculture",Table1[[#This Row],[income]],0)</f>
        <v>0</v>
      </c>
      <c r="DF338" s="20">
        <f ca="1">IF(Table1[[#This Row],[Column1]]="Technology",Table1[[#This Row],[income]],0)</f>
        <v>0</v>
      </c>
      <c r="DG338" s="20">
        <f ca="1">IF(Table1[[#This Row],[Column1]]="Social Service",Table1[[#This Row],[income]],0)</f>
        <v>0</v>
      </c>
      <c r="DH338" s="20">
        <f ca="1">IF(Table1[[#This Row],[Column1]]="Education",Table1[[#This Row],[income]],0)</f>
        <v>0</v>
      </c>
      <c r="DI338" s="5">
        <f ca="1">IF(Table1[[#This Row],[Column1]]="Construction",Table1[[#This Row],[income]],0)</f>
        <v>54153</v>
      </c>
      <c r="DK338" s="6">
        <f ca="1">IF(Table1[[#This Row],[Value of Debts]]&gt;Table1[[#This Row],[income]],1,0)</f>
        <v>1</v>
      </c>
      <c r="DL338" s="20"/>
      <c r="DM338" s="20"/>
      <c r="DN338" s="5"/>
      <c r="DP338" s="6">
        <f ca="1">IF(Table1[[#This Row],[Net Worth (£)]]&gt;$DS$5,C338,0)</f>
        <v>0</v>
      </c>
      <c r="DQ338" s="20"/>
      <c r="DR338" s="20"/>
      <c r="DS338" s="5"/>
    </row>
    <row r="339" spans="1:123" x14ac:dyDescent="0.2">
      <c r="A339">
        <f t="shared" ca="1" si="16"/>
        <v>2</v>
      </c>
      <c r="B339" s="1" t="str">
        <f ca="1">IF(A339=1, "men", "women")</f>
        <v>women</v>
      </c>
      <c r="C339" s="1">
        <f ca="1">RANDBETWEEN(25,50)</f>
        <v>34</v>
      </c>
      <c r="D339">
        <f ca="1">RANDBETWEEN(1,6)</f>
        <v>1</v>
      </c>
      <c r="E339" t="str">
        <f ca="1">VLOOKUP(D339,$W$5:$X$10,2)</f>
        <v>Health</v>
      </c>
      <c r="F339">
        <f ca="1">RANDBETWEEN(1,5)</f>
        <v>2</v>
      </c>
      <c r="G339" t="str">
        <f ca="1">VLOOKUP(F339,$Y$5:$Z$9,2)</f>
        <v>College</v>
      </c>
      <c r="H339">
        <f ca="1">RANDBETWEEN(0,4)</f>
        <v>3</v>
      </c>
      <c r="I339">
        <f ca="1">RANDBETWEEN(1,3)</f>
        <v>2</v>
      </c>
      <c r="J339">
        <f ca="1">RANDBETWEEN(30000,100000)</f>
        <v>36633</v>
      </c>
      <c r="K339">
        <f ca="1">RANDBETWEEN(1,48)</f>
        <v>48</v>
      </c>
      <c r="L339" t="str">
        <f ca="1">VLOOKUP(K339,$AA$5:$AB$52,2)</f>
        <v>Worcestershire</v>
      </c>
      <c r="M339">
        <f ca="1">J339*(RANDBETWEEN(2,5))</f>
        <v>183165</v>
      </c>
      <c r="N339">
        <f ca="1">RAND()*M339</f>
        <v>82260.827067121863</v>
      </c>
      <c r="O339">
        <f ca="1">I339*RAND()*J339</f>
        <v>45991.860017406747</v>
      </c>
      <c r="P339">
        <f ca="1">RANDBETWEEN(0,O339)</f>
        <v>35545</v>
      </c>
      <c r="Q339">
        <f ca="1">RAND()*J339*2</f>
        <v>11521.829892597643</v>
      </c>
      <c r="R339">
        <f ca="1">RAND()*J339*1.5</f>
        <v>44205.219728179261</v>
      </c>
      <c r="S339">
        <f ca="1">J339+R339+O339</f>
        <v>126830.079745586</v>
      </c>
      <c r="T339">
        <f ca="1">N339+P339+Q339</f>
        <v>129327.6569597195</v>
      </c>
      <c r="U339">
        <f ca="1">S339-T339</f>
        <v>-2497.5772141335037</v>
      </c>
      <c r="AC339" s="6">
        <f ca="1">IF(Table1[[#This Row],[gender]]="men",1,0)</f>
        <v>0</v>
      </c>
      <c r="AD339">
        <f ca="1">IF(Table1[[#This Row],[gender]]="women",1,0)</f>
        <v>1</v>
      </c>
      <c r="AH339" s="5"/>
      <c r="AJ339" s="6">
        <f ca="1">IF(Table1[[#This Row],[Column1]]="Health",1,0)</f>
        <v>1</v>
      </c>
      <c r="AK339">
        <f ca="1">IF(Table1[[#This Row],[Column1]]="Construction",1,0)</f>
        <v>0</v>
      </c>
      <c r="AL339">
        <f ca="1">IF(Table1[[#This Row],[Column1]]="Technology",1,0)</f>
        <v>0</v>
      </c>
      <c r="AM339">
        <f ca="1">IF(Table1[[#This Row],[Column1]]="Education",1,0)</f>
        <v>0</v>
      </c>
      <c r="AN339">
        <f ca="1">IF(Table1[[#This Row],[Column1]]="Agriculture",1,0)</f>
        <v>0</v>
      </c>
      <c r="AO339">
        <f ca="1">IF(Table1[[#This Row],[Column1]]="Social Service", 1, 0)</f>
        <v>0</v>
      </c>
      <c r="AT339" s="5"/>
      <c r="AV339" s="17">
        <f t="shared" ca="1" si="15"/>
        <v>2279.8029941908071</v>
      </c>
      <c r="AW339" s="5"/>
      <c r="AX339" s="6">
        <f ca="1">IF(Table1[[#This Row],[Value of Debts]]&gt;$AY$4,1,0)</f>
        <v>1</v>
      </c>
      <c r="AY339" s="20"/>
      <c r="AZ339" s="20"/>
      <c r="BA339" s="5"/>
      <c r="BB339" s="25">
        <f ca="1">Table1[[#This Row],[Mortage Left]]/Table1[[#This Row],[Value of House]]</f>
        <v>0.44910778296684334</v>
      </c>
      <c r="BC339" s="20">
        <f t="shared" ca="1" si="17"/>
        <v>0</v>
      </c>
      <c r="BD339" s="20"/>
      <c r="BE339" s="20"/>
      <c r="BF339" s="20"/>
      <c r="BG339" s="6">
        <f ca="1">IF(Table1[[#This Row],[County]]="Cumbria",Table1[[#This Row],[income]],0)</f>
        <v>0</v>
      </c>
      <c r="BH339" s="20">
        <f ca="1">IF(Table1[[#This Row],[County]]="Cheshire",Table1[[#This Row],[income]],0)</f>
        <v>0</v>
      </c>
      <c r="BI339" s="20">
        <f ca="1">IF(Table1[[#This Row],[County]]="Bristol",Table1[[#This Row],[income]],0)</f>
        <v>0</v>
      </c>
      <c r="BJ339" s="20">
        <f ca="1">IF(Table1[[#This Row],[County]]="Surrey",Table1[[#This Row],[income]],0)</f>
        <v>0</v>
      </c>
      <c r="BK339" s="20">
        <f ca="1">IF(Table1[[#This Row],[County]]="Norfolk",Table1[[#This Row],[income]],0)</f>
        <v>0</v>
      </c>
      <c r="BL339" s="20">
        <f ca="1">IF(Table1[[#This Row],[County]]="Lincolnshire",Table1[[#This Row],[income]],0)</f>
        <v>0</v>
      </c>
      <c r="BM339" s="20">
        <f ca="1">IF(Table1[[#This Row],[County]]="Somerset",Table1[[#This Row],[income]],0)</f>
        <v>0</v>
      </c>
      <c r="BN339" s="20">
        <f ca="1">IF(Table1[[#This Row],[County]]="Cambridgeshire",Table1[[#This Row],[income]],0)</f>
        <v>0</v>
      </c>
      <c r="BO339" s="20">
        <f ca="1">IF(Table1[[#This Row],[County]]="South Yorkshire",Table1[[#This Row],[income]],0)</f>
        <v>0</v>
      </c>
      <c r="BP339" s="20">
        <f ca="1">IF(Table1[[#This Row],[County]]="Greater London",Table1[[#This Row],[income]],0)</f>
        <v>0</v>
      </c>
      <c r="BQ339" s="20">
        <f ca="1">IF(Table1[[#This Row],[County]]="Hampshire",Table1[[#This Row],[income]],0)</f>
        <v>0</v>
      </c>
      <c r="BR339" s="20">
        <f ca="1">IF(Table1[[#This Row],[County]]="Gloucestershire",Table1[[#This Row],[income]],0)</f>
        <v>0</v>
      </c>
      <c r="BS339" s="20">
        <f ca="1">IF(Table1[[#This Row],[County]]="West Sussex",Table1[[#This Row],[income]],0)</f>
        <v>0</v>
      </c>
      <c r="BT339" s="20">
        <f ca="1">IF(Table1[[#This Row],[County]]="Devon",Table1[[#This Row],[income]],0)</f>
        <v>0</v>
      </c>
      <c r="BU339" s="20">
        <f ca="1">IF(Table1[[#This Row],[County]]="Berkshire",Table1[[#This Row],[income]],0)</f>
        <v>0</v>
      </c>
      <c r="BV339" s="20">
        <f ca="1">IF(Table1[[#This Row],[County]]="Staffordshire",Table1[[#This Row],[income]],0)</f>
        <v>0</v>
      </c>
      <c r="BW339" s="20">
        <f ca="1">IF(Table1[[#This Row],[County]]="Leicestershire",Table1[[#This Row],[income]],0)</f>
        <v>0</v>
      </c>
      <c r="BX339" s="20">
        <f ca="1">IF(Table1[[#This Row],[County]]="Cornwall",Table1[[#This Row],[income]],0)</f>
        <v>0</v>
      </c>
      <c r="BY339" s="20">
        <f ca="1">IF(Table1[[#This Row],[County]]="Isle of Wight",Table1[[#This Row],[income]],0)</f>
        <v>0</v>
      </c>
      <c r="BZ339" s="20">
        <f ca="1">IF(Table1[[#This Row],[County]]="Surrey",Table1[[#This Row],[income]],0)</f>
        <v>0</v>
      </c>
      <c r="CA339" s="20">
        <f ca="1">IF(Table1[[#This Row],[County]]="Derbyshire",Table1[[#This Row],[income]],0)</f>
        <v>0</v>
      </c>
      <c r="CB339" s="20">
        <f ca="1">IF(Table1[[#This Row],[County]]="City of London",Table1[[#This Row],[income]],0)</f>
        <v>0</v>
      </c>
      <c r="CC339" s="20">
        <f ca="1">IF(Table1[[#This Row],[County]]="Bedfordshire",Table1[[#This Row],[income]],0)</f>
        <v>0</v>
      </c>
      <c r="CD339" s="20">
        <f ca="1">IF(Table1[[#This Row],[County]]="County Durham",Table1[[#This Row],[income]],0)</f>
        <v>0</v>
      </c>
      <c r="CE339" s="20">
        <f ca="1">IF(Table1[[#This Row],[County]]="East Riding of Yorkshire",Table1[[#This Row],[income]],0)</f>
        <v>0</v>
      </c>
      <c r="CF339" s="20">
        <f ca="1">IF(Table1[[#This Row],[County]]="West Yorkshire",Table1[[#This Row],[income]],0)</f>
        <v>0</v>
      </c>
      <c r="CG339" s="20">
        <f ca="1">IF(Table1[[#This Row],[County]]="Essex",Table1[[#This Row],[income]],0)</f>
        <v>0</v>
      </c>
      <c r="CH339" s="20">
        <f ca="1">IF(Table1[[#This Row],[County]]="East Sussex",Table1[[#This Row],[income]],0)</f>
        <v>0</v>
      </c>
      <c r="CI339" s="20">
        <f ca="1">IF(Table1[[#This Row],[County]]="Greater Manchester",Table1[[#This Row],[income]],0)</f>
        <v>0</v>
      </c>
      <c r="CJ339" s="20">
        <f ca="1">IF(Table1[[#This Row],[County]]="Hertfordshire",Table1[[#This Row],[income]],0)</f>
        <v>0</v>
      </c>
      <c r="CK339" s="20">
        <f ca="1">IF(Table1[[#This Row],[County]]="Herefordshire",Table1[[#This Row],[income]],0)</f>
        <v>0</v>
      </c>
      <c r="CL339" s="20">
        <f ca="1">IF(Table1[[#This Row],[County]]="Lancashire",Table1[[#This Row],[income]],0)</f>
        <v>0</v>
      </c>
      <c r="CM339" s="20">
        <f ca="1">IF(Table1[[#This Row],[County]]="Merseyside",Table1[[#This Row],[income]],0)</f>
        <v>0</v>
      </c>
      <c r="CN339" s="20">
        <f ca="1">IF(Table1[[#This Row],[County]]="Northamptonshire",Table1[[#This Row],[income]],0)</f>
        <v>0</v>
      </c>
      <c r="CO339" s="20">
        <f ca="1">IF(Table1[[#This Row],[County]]="Northumberland",Table1[[#This Row],[income]],0)</f>
        <v>0</v>
      </c>
      <c r="CP339" s="20">
        <f ca="1">IF(Table1[[#This Row],[County]]="Wiltshire",Table1[[#This Row],[income]],0)</f>
        <v>0</v>
      </c>
      <c r="CQ339" s="20">
        <f ca="1">IF(Table1[[#This Row],[County]]="West Midlands",Table1[[#This Row],[income]],0)</f>
        <v>0</v>
      </c>
      <c r="CR339" s="20">
        <f ca="1">IF(Table1[[#This Row],[County]]="Warwickshire",Table1[[#This Row],[income]],0)</f>
        <v>0</v>
      </c>
      <c r="CS339" s="20">
        <f ca="1">IF(Table1[[#This Row],[County]]="Tyne and Wear",Table1[[#This Row],[income]],0)</f>
        <v>0</v>
      </c>
      <c r="CT339" s="20">
        <f ca="1">IF(Table1[[#This Row],[County]]="Worcestershire",Table1[[#This Row],[income]],0)</f>
        <v>36633</v>
      </c>
      <c r="CU339" s="20">
        <f ca="1">IF(Table1[[#This Row],[County]]="Rutland",Table1[[#This Row],[income]],0)</f>
        <v>0</v>
      </c>
      <c r="CV339" s="20">
        <f ca="1">IF(Table1[[#This Row],[County]]="Shropshire",Table1[[#This Row],[income]],0)</f>
        <v>0</v>
      </c>
      <c r="CW339" s="20">
        <f ca="1">IF(Table1[[#This Row],[County]]="Dorset",Table1[[#This Row],[income]],0)</f>
        <v>0</v>
      </c>
      <c r="CX339" s="20">
        <f ca="1">IF(Table1[[#This Row],[County]]="Buckinghamshire",Table1[[#This Row],[income]],0)</f>
        <v>0</v>
      </c>
      <c r="CY339" s="20">
        <f ca="1">IF(Table1[[#This Row],[County]]="Suffolk",Table1[[#This Row],[income]],0)</f>
        <v>0</v>
      </c>
      <c r="CZ339" s="20">
        <f ca="1">IF(Table1[[#This Row],[County]]="North Yorkshire",Table1[[#This Row],[income]],0)</f>
        <v>0</v>
      </c>
      <c r="DA339" s="20">
        <f ca="1">IF(Table1[[#This Row],[County]]="Kent",Table1[[#This Row],[income]],0)</f>
        <v>0</v>
      </c>
      <c r="DB339" s="5">
        <f ca="1">IF(Table1[[#This Row],[County]]="Derbyshire",Table1[[#This Row],[income]],0)</f>
        <v>0</v>
      </c>
      <c r="DD339" s="6">
        <f ca="1">IF(Table1[[#This Row],[Column1]]="Health",Table1[[#This Row],[income]],0)</f>
        <v>36633</v>
      </c>
      <c r="DE339" s="20">
        <f ca="1">IF(Table1[[#This Row],[Column1]]="Agriculture",Table1[[#This Row],[income]],0)</f>
        <v>0</v>
      </c>
      <c r="DF339" s="20">
        <f ca="1">IF(Table1[[#This Row],[Column1]]="Technology",Table1[[#This Row],[income]],0)</f>
        <v>0</v>
      </c>
      <c r="DG339" s="20">
        <f ca="1">IF(Table1[[#This Row],[Column1]]="Social Service",Table1[[#This Row],[income]],0)</f>
        <v>0</v>
      </c>
      <c r="DH339" s="20">
        <f ca="1">IF(Table1[[#This Row],[Column1]]="Education",Table1[[#This Row],[income]],0)</f>
        <v>0</v>
      </c>
      <c r="DI339" s="5">
        <f ca="1">IF(Table1[[#This Row],[Column1]]="Construction",Table1[[#This Row],[income]],0)</f>
        <v>0</v>
      </c>
      <c r="DK339" s="6">
        <f ca="1">IF(Table1[[#This Row],[Value of Debts]]&gt;Table1[[#This Row],[income]],1,0)</f>
        <v>1</v>
      </c>
      <c r="DL339" s="20"/>
      <c r="DM339" s="20"/>
      <c r="DN339" s="5"/>
      <c r="DP339" s="6">
        <f ca="1">IF(Table1[[#This Row],[Net Worth (£)]]&gt;$DS$5,C339,0)</f>
        <v>0</v>
      </c>
      <c r="DQ339" s="20"/>
      <c r="DR339" s="20"/>
      <c r="DS339" s="5"/>
    </row>
    <row r="340" spans="1:123" x14ac:dyDescent="0.2">
      <c r="A340">
        <f t="shared" ca="1" si="16"/>
        <v>1</v>
      </c>
      <c r="B340" s="1" t="str">
        <f ca="1">IF(A340=1, "men", "women")</f>
        <v>men</v>
      </c>
      <c r="C340" s="1">
        <f ca="1">RANDBETWEEN(25,50)</f>
        <v>32</v>
      </c>
      <c r="D340">
        <f ca="1">RANDBETWEEN(1,6)</f>
        <v>2</v>
      </c>
      <c r="E340" t="str">
        <f ca="1">VLOOKUP(D340,$W$5:$X$10,2)</f>
        <v>Construction</v>
      </c>
      <c r="F340">
        <f ca="1">RANDBETWEEN(1,5)</f>
        <v>5</v>
      </c>
      <c r="G340" t="str">
        <f ca="1">VLOOKUP(F340,$Y$5:$Z$9,2)</f>
        <v>Other</v>
      </c>
      <c r="H340">
        <f ca="1">RANDBETWEEN(0,4)</f>
        <v>1</v>
      </c>
      <c r="I340">
        <f ca="1">RANDBETWEEN(1,3)</f>
        <v>3</v>
      </c>
      <c r="J340">
        <f ca="1">RANDBETWEEN(30000,100000)</f>
        <v>41715</v>
      </c>
      <c r="K340">
        <f ca="1">RANDBETWEEN(1,48)</f>
        <v>34</v>
      </c>
      <c r="L340" t="str">
        <f ca="1">VLOOKUP(K340,$AA$5:$AB$52,2)</f>
        <v>Oxfordshire</v>
      </c>
      <c r="M340">
        <f ca="1">J340*(RANDBETWEEN(2,5))</f>
        <v>125145</v>
      </c>
      <c r="N340">
        <f ca="1">RAND()*M340</f>
        <v>121341.75377466081</v>
      </c>
      <c r="O340">
        <f ca="1">I340*RAND()*J340</f>
        <v>6839.4089825724213</v>
      </c>
      <c r="P340">
        <f ca="1">RANDBETWEEN(0,O340)</f>
        <v>4433</v>
      </c>
      <c r="Q340">
        <f ca="1">RAND()*J340*2</f>
        <v>36725.875997837364</v>
      </c>
      <c r="R340">
        <f ca="1">RAND()*J340*1.5</f>
        <v>26105.16628248577</v>
      </c>
      <c r="S340">
        <f ca="1">J340+R340+O340</f>
        <v>74659.575265058185</v>
      </c>
      <c r="T340">
        <f ca="1">N340+P340+Q340</f>
        <v>162500.62977249819</v>
      </c>
      <c r="U340">
        <f ca="1">S340-T340</f>
        <v>-87841.05450744</v>
      </c>
      <c r="AC340" s="6">
        <f ca="1">IF(Table1[[#This Row],[gender]]="men",1,0)</f>
        <v>1</v>
      </c>
      <c r="AD340">
        <f ca="1">IF(Table1[[#This Row],[gender]]="women",1,0)</f>
        <v>0</v>
      </c>
      <c r="AH340" s="5"/>
      <c r="AJ340" s="6">
        <f ca="1">IF(Table1[[#This Row],[Column1]]="Health",1,0)</f>
        <v>0</v>
      </c>
      <c r="AK340">
        <f ca="1">IF(Table1[[#This Row],[Column1]]="Construction",1,0)</f>
        <v>1</v>
      </c>
      <c r="AL340">
        <f ca="1">IF(Table1[[#This Row],[Column1]]="Technology",1,0)</f>
        <v>0</v>
      </c>
      <c r="AM340">
        <f ca="1">IF(Table1[[#This Row],[Column1]]="Education",1,0)</f>
        <v>0</v>
      </c>
      <c r="AN340">
        <f ca="1">IF(Table1[[#This Row],[Column1]]="Agriculture",1,0)</f>
        <v>0</v>
      </c>
      <c r="AO340">
        <f ca="1">IF(Table1[[#This Row],[Column1]]="Social Service", 1, 0)</f>
        <v>0</v>
      </c>
      <c r="AT340" s="5"/>
      <c r="AV340" s="17">
        <f t="shared" ca="1" si="15"/>
        <v>59771.480832240406</v>
      </c>
      <c r="AW340" s="5"/>
      <c r="AX340" s="6">
        <f ca="1">IF(Table1[[#This Row],[Value of Debts]]&gt;$AY$4,1,0)</f>
        <v>1</v>
      </c>
      <c r="AY340" s="20"/>
      <c r="AZ340" s="20"/>
      <c r="BA340" s="5"/>
      <c r="BB340" s="25">
        <f ca="1">Table1[[#This Row],[Mortage Left]]/Table1[[#This Row],[Value of House]]</f>
        <v>0.96960928342850949</v>
      </c>
      <c r="BC340" s="20">
        <f t="shared" ca="1" si="17"/>
        <v>0</v>
      </c>
      <c r="BD340" s="20"/>
      <c r="BE340" s="20"/>
      <c r="BF340" s="20"/>
      <c r="BG340" s="6">
        <f ca="1">IF(Table1[[#This Row],[County]]="Cumbria",Table1[[#This Row],[income]],0)</f>
        <v>0</v>
      </c>
      <c r="BH340" s="20">
        <f ca="1">IF(Table1[[#This Row],[County]]="Cheshire",Table1[[#This Row],[income]],0)</f>
        <v>0</v>
      </c>
      <c r="BI340" s="20">
        <f ca="1">IF(Table1[[#This Row],[County]]="Bristol",Table1[[#This Row],[income]],0)</f>
        <v>0</v>
      </c>
      <c r="BJ340" s="20">
        <f ca="1">IF(Table1[[#This Row],[County]]="Surrey",Table1[[#This Row],[income]],0)</f>
        <v>0</v>
      </c>
      <c r="BK340" s="20">
        <f ca="1">IF(Table1[[#This Row],[County]]="Norfolk",Table1[[#This Row],[income]],0)</f>
        <v>0</v>
      </c>
      <c r="BL340" s="20">
        <f ca="1">IF(Table1[[#This Row],[County]]="Lincolnshire",Table1[[#This Row],[income]],0)</f>
        <v>0</v>
      </c>
      <c r="BM340" s="20">
        <f ca="1">IF(Table1[[#This Row],[County]]="Somerset",Table1[[#This Row],[income]],0)</f>
        <v>0</v>
      </c>
      <c r="BN340" s="20">
        <f ca="1">IF(Table1[[#This Row],[County]]="Cambridgeshire",Table1[[#This Row],[income]],0)</f>
        <v>0</v>
      </c>
      <c r="BO340" s="20">
        <f ca="1">IF(Table1[[#This Row],[County]]="South Yorkshire",Table1[[#This Row],[income]],0)</f>
        <v>0</v>
      </c>
      <c r="BP340" s="20">
        <f ca="1">IF(Table1[[#This Row],[County]]="Greater London",Table1[[#This Row],[income]],0)</f>
        <v>0</v>
      </c>
      <c r="BQ340" s="20">
        <f ca="1">IF(Table1[[#This Row],[County]]="Hampshire",Table1[[#This Row],[income]],0)</f>
        <v>0</v>
      </c>
      <c r="BR340" s="20">
        <f ca="1">IF(Table1[[#This Row],[County]]="Gloucestershire",Table1[[#This Row],[income]],0)</f>
        <v>0</v>
      </c>
      <c r="BS340" s="20">
        <f ca="1">IF(Table1[[#This Row],[County]]="West Sussex",Table1[[#This Row],[income]],0)</f>
        <v>0</v>
      </c>
      <c r="BT340" s="20">
        <f ca="1">IF(Table1[[#This Row],[County]]="Devon",Table1[[#This Row],[income]],0)</f>
        <v>0</v>
      </c>
      <c r="BU340" s="20">
        <f ca="1">IF(Table1[[#This Row],[County]]="Berkshire",Table1[[#This Row],[income]],0)</f>
        <v>0</v>
      </c>
      <c r="BV340" s="20">
        <f ca="1">IF(Table1[[#This Row],[County]]="Staffordshire",Table1[[#This Row],[income]],0)</f>
        <v>0</v>
      </c>
      <c r="BW340" s="20">
        <f ca="1">IF(Table1[[#This Row],[County]]="Leicestershire",Table1[[#This Row],[income]],0)</f>
        <v>0</v>
      </c>
      <c r="BX340" s="20">
        <f ca="1">IF(Table1[[#This Row],[County]]="Cornwall",Table1[[#This Row],[income]],0)</f>
        <v>0</v>
      </c>
      <c r="BY340" s="20">
        <f ca="1">IF(Table1[[#This Row],[County]]="Isle of Wight",Table1[[#This Row],[income]],0)</f>
        <v>0</v>
      </c>
      <c r="BZ340" s="20">
        <f ca="1">IF(Table1[[#This Row],[County]]="Surrey",Table1[[#This Row],[income]],0)</f>
        <v>0</v>
      </c>
      <c r="CA340" s="20">
        <f ca="1">IF(Table1[[#This Row],[County]]="Derbyshire",Table1[[#This Row],[income]],0)</f>
        <v>0</v>
      </c>
      <c r="CB340" s="20">
        <f ca="1">IF(Table1[[#This Row],[County]]="City of London",Table1[[#This Row],[income]],0)</f>
        <v>0</v>
      </c>
      <c r="CC340" s="20">
        <f ca="1">IF(Table1[[#This Row],[County]]="Bedfordshire",Table1[[#This Row],[income]],0)</f>
        <v>0</v>
      </c>
      <c r="CD340" s="20">
        <f ca="1">IF(Table1[[#This Row],[County]]="County Durham",Table1[[#This Row],[income]],0)</f>
        <v>0</v>
      </c>
      <c r="CE340" s="20">
        <f ca="1">IF(Table1[[#This Row],[County]]="East Riding of Yorkshire",Table1[[#This Row],[income]],0)</f>
        <v>0</v>
      </c>
      <c r="CF340" s="20">
        <f ca="1">IF(Table1[[#This Row],[County]]="West Yorkshire",Table1[[#This Row],[income]],0)</f>
        <v>0</v>
      </c>
      <c r="CG340" s="20">
        <f ca="1">IF(Table1[[#This Row],[County]]="Essex",Table1[[#This Row],[income]],0)</f>
        <v>0</v>
      </c>
      <c r="CH340" s="20">
        <f ca="1">IF(Table1[[#This Row],[County]]="East Sussex",Table1[[#This Row],[income]],0)</f>
        <v>0</v>
      </c>
      <c r="CI340" s="20">
        <f ca="1">IF(Table1[[#This Row],[County]]="Greater Manchester",Table1[[#This Row],[income]],0)</f>
        <v>0</v>
      </c>
      <c r="CJ340" s="20">
        <f ca="1">IF(Table1[[#This Row],[County]]="Hertfordshire",Table1[[#This Row],[income]],0)</f>
        <v>0</v>
      </c>
      <c r="CK340" s="20">
        <f ca="1">IF(Table1[[#This Row],[County]]="Herefordshire",Table1[[#This Row],[income]],0)</f>
        <v>0</v>
      </c>
      <c r="CL340" s="20">
        <f ca="1">IF(Table1[[#This Row],[County]]="Lancashire",Table1[[#This Row],[income]],0)</f>
        <v>0</v>
      </c>
      <c r="CM340" s="20">
        <f ca="1">IF(Table1[[#This Row],[County]]="Merseyside",Table1[[#This Row],[income]],0)</f>
        <v>0</v>
      </c>
      <c r="CN340" s="20">
        <f ca="1">IF(Table1[[#This Row],[County]]="Northamptonshire",Table1[[#This Row],[income]],0)</f>
        <v>0</v>
      </c>
      <c r="CO340" s="20">
        <f ca="1">IF(Table1[[#This Row],[County]]="Northumberland",Table1[[#This Row],[income]],0)</f>
        <v>0</v>
      </c>
      <c r="CP340" s="20">
        <f ca="1">IF(Table1[[#This Row],[County]]="Wiltshire",Table1[[#This Row],[income]],0)</f>
        <v>0</v>
      </c>
      <c r="CQ340" s="20">
        <f ca="1">IF(Table1[[#This Row],[County]]="West Midlands",Table1[[#This Row],[income]],0)</f>
        <v>0</v>
      </c>
      <c r="CR340" s="20">
        <f ca="1">IF(Table1[[#This Row],[County]]="Warwickshire",Table1[[#This Row],[income]],0)</f>
        <v>0</v>
      </c>
      <c r="CS340" s="20">
        <f ca="1">IF(Table1[[#This Row],[County]]="Tyne and Wear",Table1[[#This Row],[income]],0)</f>
        <v>0</v>
      </c>
      <c r="CT340" s="20">
        <f ca="1">IF(Table1[[#This Row],[County]]="Worcestershire",Table1[[#This Row],[income]],0)</f>
        <v>0</v>
      </c>
      <c r="CU340" s="20">
        <f ca="1">IF(Table1[[#This Row],[County]]="Rutland",Table1[[#This Row],[income]],0)</f>
        <v>0</v>
      </c>
      <c r="CV340" s="20">
        <f ca="1">IF(Table1[[#This Row],[County]]="Shropshire",Table1[[#This Row],[income]],0)</f>
        <v>0</v>
      </c>
      <c r="CW340" s="20">
        <f ca="1">IF(Table1[[#This Row],[County]]="Dorset",Table1[[#This Row],[income]],0)</f>
        <v>0</v>
      </c>
      <c r="CX340" s="20">
        <f ca="1">IF(Table1[[#This Row],[County]]="Buckinghamshire",Table1[[#This Row],[income]],0)</f>
        <v>0</v>
      </c>
      <c r="CY340" s="20">
        <f ca="1">IF(Table1[[#This Row],[County]]="Suffolk",Table1[[#This Row],[income]],0)</f>
        <v>0</v>
      </c>
      <c r="CZ340" s="20">
        <f ca="1">IF(Table1[[#This Row],[County]]="North Yorkshire",Table1[[#This Row],[income]],0)</f>
        <v>0</v>
      </c>
      <c r="DA340" s="20">
        <f ca="1">IF(Table1[[#This Row],[County]]="Kent",Table1[[#This Row],[income]],0)</f>
        <v>0</v>
      </c>
      <c r="DB340" s="5">
        <f ca="1">IF(Table1[[#This Row],[County]]="Derbyshire",Table1[[#This Row],[income]],0)</f>
        <v>0</v>
      </c>
      <c r="DD340" s="6">
        <f ca="1">IF(Table1[[#This Row],[Column1]]="Health",Table1[[#This Row],[income]],0)</f>
        <v>0</v>
      </c>
      <c r="DE340" s="20">
        <f ca="1">IF(Table1[[#This Row],[Column1]]="Agriculture",Table1[[#This Row],[income]],0)</f>
        <v>0</v>
      </c>
      <c r="DF340" s="20">
        <f ca="1">IF(Table1[[#This Row],[Column1]]="Technology",Table1[[#This Row],[income]],0)</f>
        <v>0</v>
      </c>
      <c r="DG340" s="20">
        <f ca="1">IF(Table1[[#This Row],[Column1]]="Social Service",Table1[[#This Row],[income]],0)</f>
        <v>0</v>
      </c>
      <c r="DH340" s="20">
        <f ca="1">IF(Table1[[#This Row],[Column1]]="Education",Table1[[#This Row],[income]],0)</f>
        <v>0</v>
      </c>
      <c r="DI340" s="5">
        <f ca="1">IF(Table1[[#This Row],[Column1]]="Construction",Table1[[#This Row],[income]],0)</f>
        <v>41715</v>
      </c>
      <c r="DK340" s="6">
        <f ca="1">IF(Table1[[#This Row],[Value of Debts]]&gt;Table1[[#This Row],[income]],1,0)</f>
        <v>1</v>
      </c>
      <c r="DL340" s="20"/>
      <c r="DM340" s="20"/>
      <c r="DN340" s="5"/>
      <c r="DP340" s="6">
        <f ca="1">IF(Table1[[#This Row],[Net Worth (£)]]&gt;$DS$5,C340,0)</f>
        <v>0</v>
      </c>
      <c r="DQ340" s="20"/>
      <c r="DR340" s="20"/>
      <c r="DS340" s="5"/>
    </row>
    <row r="341" spans="1:123" x14ac:dyDescent="0.2">
      <c r="A341">
        <f t="shared" ca="1" si="16"/>
        <v>2</v>
      </c>
      <c r="B341" s="1" t="str">
        <f ca="1">IF(A341=1, "men", "women")</f>
        <v>women</v>
      </c>
      <c r="C341" s="1">
        <f ca="1">RANDBETWEEN(25,50)</f>
        <v>44</v>
      </c>
      <c r="D341">
        <f ca="1">RANDBETWEEN(1,6)</f>
        <v>3</v>
      </c>
      <c r="E341" t="str">
        <f ca="1">VLOOKUP(D341,$W$5:$X$10,2)</f>
        <v>Education</v>
      </c>
      <c r="F341">
        <f ca="1">RANDBETWEEN(1,5)</f>
        <v>4</v>
      </c>
      <c r="G341" t="str">
        <f ca="1">VLOOKUP(F341,$Y$5:$Z$9,2)</f>
        <v xml:space="preserve">Technical </v>
      </c>
      <c r="H341">
        <f ca="1">RANDBETWEEN(0,4)</f>
        <v>0</v>
      </c>
      <c r="I341">
        <f ca="1">RANDBETWEEN(1,3)</f>
        <v>2</v>
      </c>
      <c r="J341">
        <f ca="1">RANDBETWEEN(30000,100000)</f>
        <v>72625</v>
      </c>
      <c r="K341">
        <f ca="1">RANDBETWEEN(1,48)</f>
        <v>44</v>
      </c>
      <c r="L341" t="str">
        <f ca="1">VLOOKUP(K341,$AA$5:$AB$52,2)</f>
        <v>West Midlands</v>
      </c>
      <c r="M341">
        <f ca="1">J341*(RANDBETWEEN(2,5))</f>
        <v>145250</v>
      </c>
      <c r="N341">
        <f ca="1">RAND()*M341</f>
        <v>87752.867615983894</v>
      </c>
      <c r="O341">
        <f ca="1">I341*RAND()*J341</f>
        <v>119542.96166448081</v>
      </c>
      <c r="P341">
        <f ca="1">RANDBETWEEN(0,O341)</f>
        <v>15723</v>
      </c>
      <c r="Q341">
        <f ca="1">RAND()*J341*2</f>
        <v>119226.48555367313</v>
      </c>
      <c r="R341">
        <f ca="1">RAND()*J341*1.5</f>
        <v>9796.3108602850625</v>
      </c>
      <c r="S341">
        <f ca="1">J341+R341+O341</f>
        <v>201964.27252476587</v>
      </c>
      <c r="T341">
        <f ca="1">N341+P341+Q341</f>
        <v>222702.35316965703</v>
      </c>
      <c r="U341">
        <f ca="1">S341-T341</f>
        <v>-20738.080644891161</v>
      </c>
      <c r="AC341" s="6">
        <f ca="1">IF(Table1[[#This Row],[gender]]="men",1,0)</f>
        <v>0</v>
      </c>
      <c r="AD341">
        <f ca="1">IF(Table1[[#This Row],[gender]]="women",1,0)</f>
        <v>1</v>
      </c>
      <c r="AH341" s="5"/>
      <c r="AJ341" s="6">
        <f ca="1">IF(Table1[[#This Row],[Column1]]="Health",1,0)</f>
        <v>0</v>
      </c>
      <c r="AK341">
        <f ca="1">IF(Table1[[#This Row],[Column1]]="Construction",1,0)</f>
        <v>0</v>
      </c>
      <c r="AL341">
        <f ca="1">IF(Table1[[#This Row],[Column1]]="Technology",1,0)</f>
        <v>0</v>
      </c>
      <c r="AM341">
        <f ca="1">IF(Table1[[#This Row],[Column1]]="Education",1,0)</f>
        <v>1</v>
      </c>
      <c r="AN341">
        <f ca="1">IF(Table1[[#This Row],[Column1]]="Agriculture",1,0)</f>
        <v>0</v>
      </c>
      <c r="AO341">
        <f ca="1">IF(Table1[[#This Row],[Column1]]="Social Service", 1, 0)</f>
        <v>0</v>
      </c>
      <c r="AT341" s="5"/>
      <c r="AV341" s="17">
        <f t="shared" ca="1" si="15"/>
        <v>3088.8611349012649</v>
      </c>
      <c r="AW341" s="5"/>
      <c r="AX341" s="6">
        <f ca="1">IF(Table1[[#This Row],[Value of Debts]]&gt;$AY$4,1,0)</f>
        <v>1</v>
      </c>
      <c r="AY341" s="20"/>
      <c r="AZ341" s="20"/>
      <c r="BA341" s="5"/>
      <c r="BB341" s="25">
        <f ca="1">Table1[[#This Row],[Mortage Left]]/Table1[[#This Row],[Value of House]]</f>
        <v>0.60415055157303887</v>
      </c>
      <c r="BC341" s="20">
        <f t="shared" ca="1" si="17"/>
        <v>0</v>
      </c>
      <c r="BD341" s="20"/>
      <c r="BE341" s="20"/>
      <c r="BF341" s="20"/>
      <c r="BG341" s="6">
        <f ca="1">IF(Table1[[#This Row],[County]]="Cumbria",Table1[[#This Row],[income]],0)</f>
        <v>0</v>
      </c>
      <c r="BH341" s="20">
        <f ca="1">IF(Table1[[#This Row],[County]]="Cheshire",Table1[[#This Row],[income]],0)</f>
        <v>0</v>
      </c>
      <c r="BI341" s="20">
        <f ca="1">IF(Table1[[#This Row],[County]]="Bristol",Table1[[#This Row],[income]],0)</f>
        <v>0</v>
      </c>
      <c r="BJ341" s="20">
        <f ca="1">IF(Table1[[#This Row],[County]]="Surrey",Table1[[#This Row],[income]],0)</f>
        <v>0</v>
      </c>
      <c r="BK341" s="20">
        <f ca="1">IF(Table1[[#This Row],[County]]="Norfolk",Table1[[#This Row],[income]],0)</f>
        <v>0</v>
      </c>
      <c r="BL341" s="20">
        <f ca="1">IF(Table1[[#This Row],[County]]="Lincolnshire",Table1[[#This Row],[income]],0)</f>
        <v>0</v>
      </c>
      <c r="BM341" s="20">
        <f ca="1">IF(Table1[[#This Row],[County]]="Somerset",Table1[[#This Row],[income]],0)</f>
        <v>0</v>
      </c>
      <c r="BN341" s="20">
        <f ca="1">IF(Table1[[#This Row],[County]]="Cambridgeshire",Table1[[#This Row],[income]],0)</f>
        <v>0</v>
      </c>
      <c r="BO341" s="20">
        <f ca="1">IF(Table1[[#This Row],[County]]="South Yorkshire",Table1[[#This Row],[income]],0)</f>
        <v>0</v>
      </c>
      <c r="BP341" s="20">
        <f ca="1">IF(Table1[[#This Row],[County]]="Greater London",Table1[[#This Row],[income]],0)</f>
        <v>0</v>
      </c>
      <c r="BQ341" s="20">
        <f ca="1">IF(Table1[[#This Row],[County]]="Hampshire",Table1[[#This Row],[income]],0)</f>
        <v>0</v>
      </c>
      <c r="BR341" s="20">
        <f ca="1">IF(Table1[[#This Row],[County]]="Gloucestershire",Table1[[#This Row],[income]],0)</f>
        <v>0</v>
      </c>
      <c r="BS341" s="20">
        <f ca="1">IF(Table1[[#This Row],[County]]="West Sussex",Table1[[#This Row],[income]],0)</f>
        <v>0</v>
      </c>
      <c r="BT341" s="20">
        <f ca="1">IF(Table1[[#This Row],[County]]="Devon",Table1[[#This Row],[income]],0)</f>
        <v>0</v>
      </c>
      <c r="BU341" s="20">
        <f ca="1">IF(Table1[[#This Row],[County]]="Berkshire",Table1[[#This Row],[income]],0)</f>
        <v>0</v>
      </c>
      <c r="BV341" s="20">
        <f ca="1">IF(Table1[[#This Row],[County]]="Staffordshire",Table1[[#This Row],[income]],0)</f>
        <v>0</v>
      </c>
      <c r="BW341" s="20">
        <f ca="1">IF(Table1[[#This Row],[County]]="Leicestershire",Table1[[#This Row],[income]],0)</f>
        <v>0</v>
      </c>
      <c r="BX341" s="20">
        <f ca="1">IF(Table1[[#This Row],[County]]="Cornwall",Table1[[#This Row],[income]],0)</f>
        <v>0</v>
      </c>
      <c r="BY341" s="20">
        <f ca="1">IF(Table1[[#This Row],[County]]="Isle of Wight",Table1[[#This Row],[income]],0)</f>
        <v>0</v>
      </c>
      <c r="BZ341" s="20">
        <f ca="1">IF(Table1[[#This Row],[County]]="Surrey",Table1[[#This Row],[income]],0)</f>
        <v>0</v>
      </c>
      <c r="CA341" s="20">
        <f ca="1">IF(Table1[[#This Row],[County]]="Derbyshire",Table1[[#This Row],[income]],0)</f>
        <v>0</v>
      </c>
      <c r="CB341" s="20">
        <f ca="1">IF(Table1[[#This Row],[County]]="City of London",Table1[[#This Row],[income]],0)</f>
        <v>0</v>
      </c>
      <c r="CC341" s="20">
        <f ca="1">IF(Table1[[#This Row],[County]]="Bedfordshire",Table1[[#This Row],[income]],0)</f>
        <v>0</v>
      </c>
      <c r="CD341" s="20">
        <f ca="1">IF(Table1[[#This Row],[County]]="County Durham",Table1[[#This Row],[income]],0)</f>
        <v>0</v>
      </c>
      <c r="CE341" s="20">
        <f ca="1">IF(Table1[[#This Row],[County]]="East Riding of Yorkshire",Table1[[#This Row],[income]],0)</f>
        <v>0</v>
      </c>
      <c r="CF341" s="20">
        <f ca="1">IF(Table1[[#This Row],[County]]="West Yorkshire",Table1[[#This Row],[income]],0)</f>
        <v>0</v>
      </c>
      <c r="CG341" s="20">
        <f ca="1">IF(Table1[[#This Row],[County]]="Essex",Table1[[#This Row],[income]],0)</f>
        <v>0</v>
      </c>
      <c r="CH341" s="20">
        <f ca="1">IF(Table1[[#This Row],[County]]="East Sussex",Table1[[#This Row],[income]],0)</f>
        <v>0</v>
      </c>
      <c r="CI341" s="20">
        <f ca="1">IF(Table1[[#This Row],[County]]="Greater Manchester",Table1[[#This Row],[income]],0)</f>
        <v>0</v>
      </c>
      <c r="CJ341" s="20">
        <f ca="1">IF(Table1[[#This Row],[County]]="Hertfordshire",Table1[[#This Row],[income]],0)</f>
        <v>0</v>
      </c>
      <c r="CK341" s="20">
        <f ca="1">IF(Table1[[#This Row],[County]]="Herefordshire",Table1[[#This Row],[income]],0)</f>
        <v>0</v>
      </c>
      <c r="CL341" s="20">
        <f ca="1">IF(Table1[[#This Row],[County]]="Lancashire",Table1[[#This Row],[income]],0)</f>
        <v>0</v>
      </c>
      <c r="CM341" s="20">
        <f ca="1">IF(Table1[[#This Row],[County]]="Merseyside",Table1[[#This Row],[income]],0)</f>
        <v>0</v>
      </c>
      <c r="CN341" s="20">
        <f ca="1">IF(Table1[[#This Row],[County]]="Northamptonshire",Table1[[#This Row],[income]],0)</f>
        <v>0</v>
      </c>
      <c r="CO341" s="20">
        <f ca="1">IF(Table1[[#This Row],[County]]="Northumberland",Table1[[#This Row],[income]],0)</f>
        <v>0</v>
      </c>
      <c r="CP341" s="20">
        <f ca="1">IF(Table1[[#This Row],[County]]="Wiltshire",Table1[[#This Row],[income]],0)</f>
        <v>0</v>
      </c>
      <c r="CQ341" s="20">
        <f ca="1">IF(Table1[[#This Row],[County]]="West Midlands",Table1[[#This Row],[income]],0)</f>
        <v>72625</v>
      </c>
      <c r="CR341" s="20">
        <f ca="1">IF(Table1[[#This Row],[County]]="Warwickshire",Table1[[#This Row],[income]],0)</f>
        <v>0</v>
      </c>
      <c r="CS341" s="20">
        <f ca="1">IF(Table1[[#This Row],[County]]="Tyne and Wear",Table1[[#This Row],[income]],0)</f>
        <v>0</v>
      </c>
      <c r="CT341" s="20">
        <f ca="1">IF(Table1[[#This Row],[County]]="Worcestershire",Table1[[#This Row],[income]],0)</f>
        <v>0</v>
      </c>
      <c r="CU341" s="20">
        <f ca="1">IF(Table1[[#This Row],[County]]="Rutland",Table1[[#This Row],[income]],0)</f>
        <v>0</v>
      </c>
      <c r="CV341" s="20">
        <f ca="1">IF(Table1[[#This Row],[County]]="Shropshire",Table1[[#This Row],[income]],0)</f>
        <v>0</v>
      </c>
      <c r="CW341" s="20">
        <f ca="1">IF(Table1[[#This Row],[County]]="Dorset",Table1[[#This Row],[income]],0)</f>
        <v>0</v>
      </c>
      <c r="CX341" s="20">
        <f ca="1">IF(Table1[[#This Row],[County]]="Buckinghamshire",Table1[[#This Row],[income]],0)</f>
        <v>0</v>
      </c>
      <c r="CY341" s="20">
        <f ca="1">IF(Table1[[#This Row],[County]]="Suffolk",Table1[[#This Row],[income]],0)</f>
        <v>0</v>
      </c>
      <c r="CZ341" s="20">
        <f ca="1">IF(Table1[[#This Row],[County]]="North Yorkshire",Table1[[#This Row],[income]],0)</f>
        <v>0</v>
      </c>
      <c r="DA341" s="20">
        <f ca="1">IF(Table1[[#This Row],[County]]="Kent",Table1[[#This Row],[income]],0)</f>
        <v>0</v>
      </c>
      <c r="DB341" s="5">
        <f ca="1">IF(Table1[[#This Row],[County]]="Derbyshire",Table1[[#This Row],[income]],0)</f>
        <v>0</v>
      </c>
      <c r="DD341" s="6">
        <f ca="1">IF(Table1[[#This Row],[Column1]]="Health",Table1[[#This Row],[income]],0)</f>
        <v>0</v>
      </c>
      <c r="DE341" s="20">
        <f ca="1">IF(Table1[[#This Row],[Column1]]="Agriculture",Table1[[#This Row],[income]],0)</f>
        <v>0</v>
      </c>
      <c r="DF341" s="20">
        <f ca="1">IF(Table1[[#This Row],[Column1]]="Technology",Table1[[#This Row],[income]],0)</f>
        <v>0</v>
      </c>
      <c r="DG341" s="20">
        <f ca="1">IF(Table1[[#This Row],[Column1]]="Social Service",Table1[[#This Row],[income]],0)</f>
        <v>0</v>
      </c>
      <c r="DH341" s="20">
        <f ca="1">IF(Table1[[#This Row],[Column1]]="Education",Table1[[#This Row],[income]],0)</f>
        <v>72625</v>
      </c>
      <c r="DI341" s="5">
        <f ca="1">IF(Table1[[#This Row],[Column1]]="Construction",Table1[[#This Row],[income]],0)</f>
        <v>0</v>
      </c>
      <c r="DK341" s="6">
        <f ca="1">IF(Table1[[#This Row],[Value of Debts]]&gt;Table1[[#This Row],[income]],1,0)</f>
        <v>1</v>
      </c>
      <c r="DL341" s="20"/>
      <c r="DM341" s="20"/>
      <c r="DN341" s="5"/>
      <c r="DP341" s="6">
        <f ca="1">IF(Table1[[#This Row],[Net Worth (£)]]&gt;$DS$5,C341,0)</f>
        <v>0</v>
      </c>
      <c r="DQ341" s="20"/>
      <c r="DR341" s="20"/>
      <c r="DS341" s="5"/>
    </row>
    <row r="342" spans="1:123" x14ac:dyDescent="0.2">
      <c r="A342">
        <f t="shared" ca="1" si="16"/>
        <v>2</v>
      </c>
      <c r="B342" s="1" t="str">
        <f ca="1">IF(A342=1, "men", "women")</f>
        <v>women</v>
      </c>
      <c r="C342" s="1">
        <f ca="1">RANDBETWEEN(25,50)</f>
        <v>29</v>
      </c>
      <c r="D342">
        <f ca="1">RANDBETWEEN(1,6)</f>
        <v>4</v>
      </c>
      <c r="E342" t="str">
        <f ca="1">VLOOKUP(D342,$W$5:$X$10,2)</f>
        <v>Technology</v>
      </c>
      <c r="F342">
        <f ca="1">RANDBETWEEN(1,5)</f>
        <v>4</v>
      </c>
      <c r="G342" t="str">
        <f ca="1">VLOOKUP(F342,$Y$5:$Z$9,2)</f>
        <v xml:space="preserve">Technical </v>
      </c>
      <c r="H342">
        <f ca="1">RANDBETWEEN(0,4)</f>
        <v>1</v>
      </c>
      <c r="I342">
        <f ca="1">RANDBETWEEN(1,3)</f>
        <v>2</v>
      </c>
      <c r="J342">
        <f ca="1">RANDBETWEEN(30000,100000)</f>
        <v>93556</v>
      </c>
      <c r="K342">
        <f ca="1">RANDBETWEEN(1,48)</f>
        <v>24</v>
      </c>
      <c r="L342" t="str">
        <f ca="1">VLOOKUP(K342,$AA$5:$AB$52,2)</f>
        <v>Kent</v>
      </c>
      <c r="M342">
        <f ca="1">J342*(RANDBETWEEN(2,5))</f>
        <v>187112</v>
      </c>
      <c r="N342">
        <f ca="1">RAND()*M342</f>
        <v>114692.9347844533</v>
      </c>
      <c r="O342">
        <f ca="1">I342*RAND()*J342</f>
        <v>6177.7222698025298</v>
      </c>
      <c r="P342">
        <f ca="1">RANDBETWEEN(0,O342)</f>
        <v>3255</v>
      </c>
      <c r="Q342">
        <f ca="1">RAND()*J342*2</f>
        <v>170955.34389172602</v>
      </c>
      <c r="R342">
        <f ca="1">RAND()*J342*1.5</f>
        <v>86122.490706303186</v>
      </c>
      <c r="S342">
        <f ca="1">J342+R342+O342</f>
        <v>185856.21297610571</v>
      </c>
      <c r="T342">
        <f ca="1">N342+P342+Q342</f>
        <v>288903.27867617935</v>
      </c>
      <c r="U342">
        <f ca="1">S342-T342</f>
        <v>-103047.06570007364</v>
      </c>
      <c r="AC342" s="6">
        <f ca="1">IF(Table1[[#This Row],[gender]]="men",1,0)</f>
        <v>0</v>
      </c>
      <c r="AD342">
        <f ca="1">IF(Table1[[#This Row],[gender]]="women",1,0)</f>
        <v>1</v>
      </c>
      <c r="AH342" s="5"/>
      <c r="AJ342" s="6">
        <f ca="1">IF(Table1[[#This Row],[Column1]]="Health",1,0)</f>
        <v>0</v>
      </c>
      <c r="AK342">
        <f ca="1">IF(Table1[[#This Row],[Column1]]="Construction",1,0)</f>
        <v>0</v>
      </c>
      <c r="AL342">
        <f ca="1">IF(Table1[[#This Row],[Column1]]="Technology",1,0)</f>
        <v>1</v>
      </c>
      <c r="AM342">
        <f ca="1">IF(Table1[[#This Row],[Column1]]="Education",1,0)</f>
        <v>0</v>
      </c>
      <c r="AN342">
        <f ca="1">IF(Table1[[#This Row],[Column1]]="Agriculture",1,0)</f>
        <v>0</v>
      </c>
      <c r="AO342">
        <f ca="1">IF(Table1[[#This Row],[Column1]]="Social Service", 1, 0)</f>
        <v>0</v>
      </c>
      <c r="AT342" s="5"/>
      <c r="AV342" s="17">
        <f t="shared" ca="1" si="15"/>
        <v>6250.253659272933</v>
      </c>
      <c r="AW342" s="5"/>
      <c r="AX342" s="6">
        <f ca="1">IF(Table1[[#This Row],[Value of Debts]]&gt;$AY$4,1,0)</f>
        <v>1</v>
      </c>
      <c r="AY342" s="20"/>
      <c r="AZ342" s="20"/>
      <c r="BA342" s="5"/>
      <c r="BB342" s="25">
        <f ca="1">Table1[[#This Row],[Mortage Left]]/Table1[[#This Row],[Value of House]]</f>
        <v>0.61296407918494433</v>
      </c>
      <c r="BC342" s="20">
        <f t="shared" ca="1" si="17"/>
        <v>0</v>
      </c>
      <c r="BD342" s="20"/>
      <c r="BE342" s="20"/>
      <c r="BF342" s="20"/>
      <c r="BG342" s="6">
        <f ca="1">IF(Table1[[#This Row],[County]]="Cumbria",Table1[[#This Row],[income]],0)</f>
        <v>0</v>
      </c>
      <c r="BH342" s="20">
        <f ca="1">IF(Table1[[#This Row],[County]]="Cheshire",Table1[[#This Row],[income]],0)</f>
        <v>0</v>
      </c>
      <c r="BI342" s="20">
        <f ca="1">IF(Table1[[#This Row],[County]]="Bristol",Table1[[#This Row],[income]],0)</f>
        <v>0</v>
      </c>
      <c r="BJ342" s="20">
        <f ca="1">IF(Table1[[#This Row],[County]]="Surrey",Table1[[#This Row],[income]],0)</f>
        <v>0</v>
      </c>
      <c r="BK342" s="20">
        <f ca="1">IF(Table1[[#This Row],[County]]="Norfolk",Table1[[#This Row],[income]],0)</f>
        <v>0</v>
      </c>
      <c r="BL342" s="20">
        <f ca="1">IF(Table1[[#This Row],[County]]="Lincolnshire",Table1[[#This Row],[income]],0)</f>
        <v>0</v>
      </c>
      <c r="BM342" s="20">
        <f ca="1">IF(Table1[[#This Row],[County]]="Somerset",Table1[[#This Row],[income]],0)</f>
        <v>0</v>
      </c>
      <c r="BN342" s="20">
        <f ca="1">IF(Table1[[#This Row],[County]]="Cambridgeshire",Table1[[#This Row],[income]],0)</f>
        <v>0</v>
      </c>
      <c r="BO342" s="20">
        <f ca="1">IF(Table1[[#This Row],[County]]="South Yorkshire",Table1[[#This Row],[income]],0)</f>
        <v>0</v>
      </c>
      <c r="BP342" s="20">
        <f ca="1">IF(Table1[[#This Row],[County]]="Greater London",Table1[[#This Row],[income]],0)</f>
        <v>0</v>
      </c>
      <c r="BQ342" s="20">
        <f ca="1">IF(Table1[[#This Row],[County]]="Hampshire",Table1[[#This Row],[income]],0)</f>
        <v>0</v>
      </c>
      <c r="BR342" s="20">
        <f ca="1">IF(Table1[[#This Row],[County]]="Gloucestershire",Table1[[#This Row],[income]],0)</f>
        <v>0</v>
      </c>
      <c r="BS342" s="20">
        <f ca="1">IF(Table1[[#This Row],[County]]="West Sussex",Table1[[#This Row],[income]],0)</f>
        <v>0</v>
      </c>
      <c r="BT342" s="20">
        <f ca="1">IF(Table1[[#This Row],[County]]="Devon",Table1[[#This Row],[income]],0)</f>
        <v>0</v>
      </c>
      <c r="BU342" s="20">
        <f ca="1">IF(Table1[[#This Row],[County]]="Berkshire",Table1[[#This Row],[income]],0)</f>
        <v>0</v>
      </c>
      <c r="BV342" s="20">
        <f ca="1">IF(Table1[[#This Row],[County]]="Staffordshire",Table1[[#This Row],[income]],0)</f>
        <v>0</v>
      </c>
      <c r="BW342" s="20">
        <f ca="1">IF(Table1[[#This Row],[County]]="Leicestershire",Table1[[#This Row],[income]],0)</f>
        <v>0</v>
      </c>
      <c r="BX342" s="20">
        <f ca="1">IF(Table1[[#This Row],[County]]="Cornwall",Table1[[#This Row],[income]],0)</f>
        <v>0</v>
      </c>
      <c r="BY342" s="20">
        <f ca="1">IF(Table1[[#This Row],[County]]="Isle of Wight",Table1[[#This Row],[income]],0)</f>
        <v>0</v>
      </c>
      <c r="BZ342" s="20">
        <f ca="1">IF(Table1[[#This Row],[County]]="Surrey",Table1[[#This Row],[income]],0)</f>
        <v>0</v>
      </c>
      <c r="CA342" s="20">
        <f ca="1">IF(Table1[[#This Row],[County]]="Derbyshire",Table1[[#This Row],[income]],0)</f>
        <v>0</v>
      </c>
      <c r="CB342" s="20">
        <f ca="1">IF(Table1[[#This Row],[County]]="City of London",Table1[[#This Row],[income]],0)</f>
        <v>0</v>
      </c>
      <c r="CC342" s="20">
        <f ca="1">IF(Table1[[#This Row],[County]]="Bedfordshire",Table1[[#This Row],[income]],0)</f>
        <v>0</v>
      </c>
      <c r="CD342" s="20">
        <f ca="1">IF(Table1[[#This Row],[County]]="County Durham",Table1[[#This Row],[income]],0)</f>
        <v>0</v>
      </c>
      <c r="CE342" s="20">
        <f ca="1">IF(Table1[[#This Row],[County]]="East Riding of Yorkshire",Table1[[#This Row],[income]],0)</f>
        <v>0</v>
      </c>
      <c r="CF342" s="20">
        <f ca="1">IF(Table1[[#This Row],[County]]="West Yorkshire",Table1[[#This Row],[income]],0)</f>
        <v>0</v>
      </c>
      <c r="CG342" s="20">
        <f ca="1">IF(Table1[[#This Row],[County]]="Essex",Table1[[#This Row],[income]],0)</f>
        <v>0</v>
      </c>
      <c r="CH342" s="20">
        <f ca="1">IF(Table1[[#This Row],[County]]="East Sussex",Table1[[#This Row],[income]],0)</f>
        <v>0</v>
      </c>
      <c r="CI342" s="20">
        <f ca="1">IF(Table1[[#This Row],[County]]="Greater Manchester",Table1[[#This Row],[income]],0)</f>
        <v>0</v>
      </c>
      <c r="CJ342" s="20">
        <f ca="1">IF(Table1[[#This Row],[County]]="Hertfordshire",Table1[[#This Row],[income]],0)</f>
        <v>0</v>
      </c>
      <c r="CK342" s="20">
        <f ca="1">IF(Table1[[#This Row],[County]]="Herefordshire",Table1[[#This Row],[income]],0)</f>
        <v>0</v>
      </c>
      <c r="CL342" s="20">
        <f ca="1">IF(Table1[[#This Row],[County]]="Lancashire",Table1[[#This Row],[income]],0)</f>
        <v>0</v>
      </c>
      <c r="CM342" s="20">
        <f ca="1">IF(Table1[[#This Row],[County]]="Merseyside",Table1[[#This Row],[income]],0)</f>
        <v>0</v>
      </c>
      <c r="CN342" s="20">
        <f ca="1">IF(Table1[[#This Row],[County]]="Northamptonshire",Table1[[#This Row],[income]],0)</f>
        <v>0</v>
      </c>
      <c r="CO342" s="20">
        <f ca="1">IF(Table1[[#This Row],[County]]="Northumberland",Table1[[#This Row],[income]],0)</f>
        <v>0</v>
      </c>
      <c r="CP342" s="20">
        <f ca="1">IF(Table1[[#This Row],[County]]="Wiltshire",Table1[[#This Row],[income]],0)</f>
        <v>0</v>
      </c>
      <c r="CQ342" s="20">
        <f ca="1">IF(Table1[[#This Row],[County]]="West Midlands",Table1[[#This Row],[income]],0)</f>
        <v>0</v>
      </c>
      <c r="CR342" s="20">
        <f ca="1">IF(Table1[[#This Row],[County]]="Warwickshire",Table1[[#This Row],[income]],0)</f>
        <v>0</v>
      </c>
      <c r="CS342" s="20">
        <f ca="1">IF(Table1[[#This Row],[County]]="Tyne and Wear",Table1[[#This Row],[income]],0)</f>
        <v>0</v>
      </c>
      <c r="CT342" s="20">
        <f ca="1">IF(Table1[[#This Row],[County]]="Worcestershire",Table1[[#This Row],[income]],0)</f>
        <v>0</v>
      </c>
      <c r="CU342" s="20">
        <f ca="1">IF(Table1[[#This Row],[County]]="Rutland",Table1[[#This Row],[income]],0)</f>
        <v>0</v>
      </c>
      <c r="CV342" s="20">
        <f ca="1">IF(Table1[[#This Row],[County]]="Shropshire",Table1[[#This Row],[income]],0)</f>
        <v>0</v>
      </c>
      <c r="CW342" s="20">
        <f ca="1">IF(Table1[[#This Row],[County]]="Dorset",Table1[[#This Row],[income]],0)</f>
        <v>0</v>
      </c>
      <c r="CX342" s="20">
        <f ca="1">IF(Table1[[#This Row],[County]]="Buckinghamshire",Table1[[#This Row],[income]],0)</f>
        <v>0</v>
      </c>
      <c r="CY342" s="20">
        <f ca="1">IF(Table1[[#This Row],[County]]="Suffolk",Table1[[#This Row],[income]],0)</f>
        <v>0</v>
      </c>
      <c r="CZ342" s="20">
        <f ca="1">IF(Table1[[#This Row],[County]]="North Yorkshire",Table1[[#This Row],[income]],0)</f>
        <v>0</v>
      </c>
      <c r="DA342" s="20">
        <f ca="1">IF(Table1[[#This Row],[County]]="Kent",Table1[[#This Row],[income]],0)</f>
        <v>93556</v>
      </c>
      <c r="DB342" s="5">
        <f ca="1">IF(Table1[[#This Row],[County]]="Derbyshire",Table1[[#This Row],[income]],0)</f>
        <v>0</v>
      </c>
      <c r="DD342" s="6">
        <f ca="1">IF(Table1[[#This Row],[Column1]]="Health",Table1[[#This Row],[income]],0)</f>
        <v>0</v>
      </c>
      <c r="DE342" s="20">
        <f ca="1">IF(Table1[[#This Row],[Column1]]="Agriculture",Table1[[#This Row],[income]],0)</f>
        <v>0</v>
      </c>
      <c r="DF342" s="20">
        <f ca="1">IF(Table1[[#This Row],[Column1]]="Technology",Table1[[#This Row],[income]],0)</f>
        <v>93556</v>
      </c>
      <c r="DG342" s="20">
        <f ca="1">IF(Table1[[#This Row],[Column1]]="Social Service",Table1[[#This Row],[income]],0)</f>
        <v>0</v>
      </c>
      <c r="DH342" s="20">
        <f ca="1">IF(Table1[[#This Row],[Column1]]="Education",Table1[[#This Row],[income]],0)</f>
        <v>0</v>
      </c>
      <c r="DI342" s="5">
        <f ca="1">IF(Table1[[#This Row],[Column1]]="Construction",Table1[[#This Row],[income]],0)</f>
        <v>0</v>
      </c>
      <c r="DK342" s="6">
        <f ca="1">IF(Table1[[#This Row],[Value of Debts]]&gt;Table1[[#This Row],[income]],1,0)</f>
        <v>1</v>
      </c>
      <c r="DL342" s="20"/>
      <c r="DM342" s="20"/>
      <c r="DN342" s="5"/>
      <c r="DP342" s="6">
        <f ca="1">IF(Table1[[#This Row],[Net Worth (£)]]&gt;$DS$5,C342,0)</f>
        <v>0</v>
      </c>
      <c r="DQ342" s="20"/>
      <c r="DR342" s="20"/>
      <c r="DS342" s="5"/>
    </row>
    <row r="343" spans="1:123" x14ac:dyDescent="0.2">
      <c r="A343">
        <f t="shared" ca="1" si="16"/>
        <v>1</v>
      </c>
      <c r="B343" s="1" t="str">
        <f ca="1">IF(A343=1, "men", "women")</f>
        <v>men</v>
      </c>
      <c r="C343" s="1">
        <f ca="1">RANDBETWEEN(25,50)</f>
        <v>25</v>
      </c>
      <c r="D343">
        <f ca="1">RANDBETWEEN(1,6)</f>
        <v>5</v>
      </c>
      <c r="E343" t="str">
        <f ca="1">VLOOKUP(D343,$W$5:$X$10,2)</f>
        <v>Social Service</v>
      </c>
      <c r="F343">
        <f ca="1">RANDBETWEEN(1,5)</f>
        <v>4</v>
      </c>
      <c r="G343" t="str">
        <f ca="1">VLOOKUP(F343,$Y$5:$Z$9,2)</f>
        <v xml:space="preserve">Technical </v>
      </c>
      <c r="H343">
        <f ca="1">RANDBETWEEN(0,4)</f>
        <v>0</v>
      </c>
      <c r="I343">
        <f ca="1">RANDBETWEEN(1,3)</f>
        <v>2</v>
      </c>
      <c r="J343">
        <f ca="1">RANDBETWEEN(30000,100000)</f>
        <v>62355</v>
      </c>
      <c r="K343">
        <f ca="1">RANDBETWEEN(1,48)</f>
        <v>9</v>
      </c>
      <c r="L343" t="str">
        <f ca="1">VLOOKUP(K343,$AA$5:$AB$52,2)</f>
        <v>Cumbria</v>
      </c>
      <c r="M343">
        <f ca="1">J343*(RANDBETWEEN(2,5))</f>
        <v>187065</v>
      </c>
      <c r="N343">
        <f ca="1">RAND()*M343</f>
        <v>68825.286670497968</v>
      </c>
      <c r="O343">
        <f ca="1">I343*RAND()*J343</f>
        <v>12500.507318545866</v>
      </c>
      <c r="P343">
        <f ca="1">RANDBETWEEN(0,O343)</f>
        <v>3263</v>
      </c>
      <c r="Q343">
        <f ca="1">RAND()*J343*2</f>
        <v>59053.201613047808</v>
      </c>
      <c r="R343">
        <f ca="1">RAND()*J343*1.5</f>
        <v>8399.9052985065919</v>
      </c>
      <c r="S343">
        <f ca="1">J343+R343+O343</f>
        <v>83255.412617052454</v>
      </c>
      <c r="T343">
        <f ca="1">N343+P343+Q343</f>
        <v>131141.48828354577</v>
      </c>
      <c r="U343">
        <f ca="1">S343-T343</f>
        <v>-47886.075666493314</v>
      </c>
      <c r="AC343" s="6">
        <f ca="1">IF(Table1[[#This Row],[gender]]="men",1,0)</f>
        <v>1</v>
      </c>
      <c r="AD343">
        <f ca="1">IF(Table1[[#This Row],[gender]]="women",1,0)</f>
        <v>0</v>
      </c>
      <c r="AH343" s="5"/>
      <c r="AJ343" s="6">
        <f ca="1">IF(Table1[[#This Row],[Column1]]="Health",1,0)</f>
        <v>0</v>
      </c>
      <c r="AK343">
        <f ca="1">IF(Table1[[#This Row],[Column1]]="Construction",1,0)</f>
        <v>0</v>
      </c>
      <c r="AL343">
        <f ca="1">IF(Table1[[#This Row],[Column1]]="Technology",1,0)</f>
        <v>0</v>
      </c>
      <c r="AM343">
        <f ca="1">IF(Table1[[#This Row],[Column1]]="Education",1,0)</f>
        <v>0</v>
      </c>
      <c r="AN343">
        <f ca="1">IF(Table1[[#This Row],[Column1]]="Agriculture",1,0)</f>
        <v>0</v>
      </c>
      <c r="AO343">
        <f ca="1">IF(Table1[[#This Row],[Column1]]="Social Service", 1, 0)</f>
        <v>1</v>
      </c>
      <c r="AT343" s="5"/>
      <c r="AV343" s="17">
        <f t="shared" ca="1" si="15"/>
        <v>6193.3537478457811</v>
      </c>
      <c r="AW343" s="5"/>
      <c r="AX343" s="6">
        <f ca="1">IF(Table1[[#This Row],[Value of Debts]]&gt;$AY$4,1,0)</f>
        <v>1</v>
      </c>
      <c r="AY343" s="20"/>
      <c r="AZ343" s="20"/>
      <c r="BA343" s="5"/>
      <c r="BB343" s="25">
        <f ca="1">Table1[[#This Row],[Mortage Left]]/Table1[[#This Row],[Value of House]]</f>
        <v>0.36792177409188231</v>
      </c>
      <c r="BC343" s="20">
        <f t="shared" ca="1" si="17"/>
        <v>0</v>
      </c>
      <c r="BD343" s="20"/>
      <c r="BE343" s="20"/>
      <c r="BF343" s="20"/>
      <c r="BG343" s="6">
        <f ca="1">IF(Table1[[#This Row],[County]]="Cumbria",Table1[[#This Row],[income]],0)</f>
        <v>62355</v>
      </c>
      <c r="BH343" s="20">
        <f ca="1">IF(Table1[[#This Row],[County]]="Cheshire",Table1[[#This Row],[income]],0)</f>
        <v>0</v>
      </c>
      <c r="BI343" s="20">
        <f ca="1">IF(Table1[[#This Row],[County]]="Bristol",Table1[[#This Row],[income]],0)</f>
        <v>0</v>
      </c>
      <c r="BJ343" s="20">
        <f ca="1">IF(Table1[[#This Row],[County]]="Surrey",Table1[[#This Row],[income]],0)</f>
        <v>0</v>
      </c>
      <c r="BK343" s="20">
        <f ca="1">IF(Table1[[#This Row],[County]]="Norfolk",Table1[[#This Row],[income]],0)</f>
        <v>0</v>
      </c>
      <c r="BL343" s="20">
        <f ca="1">IF(Table1[[#This Row],[County]]="Lincolnshire",Table1[[#This Row],[income]],0)</f>
        <v>0</v>
      </c>
      <c r="BM343" s="20">
        <f ca="1">IF(Table1[[#This Row],[County]]="Somerset",Table1[[#This Row],[income]],0)</f>
        <v>0</v>
      </c>
      <c r="BN343" s="20">
        <f ca="1">IF(Table1[[#This Row],[County]]="Cambridgeshire",Table1[[#This Row],[income]],0)</f>
        <v>0</v>
      </c>
      <c r="BO343" s="20">
        <f ca="1">IF(Table1[[#This Row],[County]]="South Yorkshire",Table1[[#This Row],[income]],0)</f>
        <v>0</v>
      </c>
      <c r="BP343" s="20">
        <f ca="1">IF(Table1[[#This Row],[County]]="Greater London",Table1[[#This Row],[income]],0)</f>
        <v>0</v>
      </c>
      <c r="BQ343" s="20">
        <f ca="1">IF(Table1[[#This Row],[County]]="Hampshire",Table1[[#This Row],[income]],0)</f>
        <v>0</v>
      </c>
      <c r="BR343" s="20">
        <f ca="1">IF(Table1[[#This Row],[County]]="Gloucestershire",Table1[[#This Row],[income]],0)</f>
        <v>0</v>
      </c>
      <c r="BS343" s="20">
        <f ca="1">IF(Table1[[#This Row],[County]]="West Sussex",Table1[[#This Row],[income]],0)</f>
        <v>0</v>
      </c>
      <c r="BT343" s="20">
        <f ca="1">IF(Table1[[#This Row],[County]]="Devon",Table1[[#This Row],[income]],0)</f>
        <v>0</v>
      </c>
      <c r="BU343" s="20">
        <f ca="1">IF(Table1[[#This Row],[County]]="Berkshire",Table1[[#This Row],[income]],0)</f>
        <v>0</v>
      </c>
      <c r="BV343" s="20">
        <f ca="1">IF(Table1[[#This Row],[County]]="Staffordshire",Table1[[#This Row],[income]],0)</f>
        <v>0</v>
      </c>
      <c r="BW343" s="20">
        <f ca="1">IF(Table1[[#This Row],[County]]="Leicestershire",Table1[[#This Row],[income]],0)</f>
        <v>0</v>
      </c>
      <c r="BX343" s="20">
        <f ca="1">IF(Table1[[#This Row],[County]]="Cornwall",Table1[[#This Row],[income]],0)</f>
        <v>0</v>
      </c>
      <c r="BY343" s="20">
        <f ca="1">IF(Table1[[#This Row],[County]]="Isle of Wight",Table1[[#This Row],[income]],0)</f>
        <v>0</v>
      </c>
      <c r="BZ343" s="20">
        <f ca="1">IF(Table1[[#This Row],[County]]="Surrey",Table1[[#This Row],[income]],0)</f>
        <v>0</v>
      </c>
      <c r="CA343" s="20">
        <f ca="1">IF(Table1[[#This Row],[County]]="Derbyshire",Table1[[#This Row],[income]],0)</f>
        <v>0</v>
      </c>
      <c r="CB343" s="20">
        <f ca="1">IF(Table1[[#This Row],[County]]="City of London",Table1[[#This Row],[income]],0)</f>
        <v>0</v>
      </c>
      <c r="CC343" s="20">
        <f ca="1">IF(Table1[[#This Row],[County]]="Bedfordshire",Table1[[#This Row],[income]],0)</f>
        <v>0</v>
      </c>
      <c r="CD343" s="20">
        <f ca="1">IF(Table1[[#This Row],[County]]="County Durham",Table1[[#This Row],[income]],0)</f>
        <v>0</v>
      </c>
      <c r="CE343" s="20">
        <f ca="1">IF(Table1[[#This Row],[County]]="East Riding of Yorkshire",Table1[[#This Row],[income]],0)</f>
        <v>0</v>
      </c>
      <c r="CF343" s="20">
        <f ca="1">IF(Table1[[#This Row],[County]]="West Yorkshire",Table1[[#This Row],[income]],0)</f>
        <v>0</v>
      </c>
      <c r="CG343" s="20">
        <f ca="1">IF(Table1[[#This Row],[County]]="Essex",Table1[[#This Row],[income]],0)</f>
        <v>0</v>
      </c>
      <c r="CH343" s="20">
        <f ca="1">IF(Table1[[#This Row],[County]]="East Sussex",Table1[[#This Row],[income]],0)</f>
        <v>0</v>
      </c>
      <c r="CI343" s="20">
        <f ca="1">IF(Table1[[#This Row],[County]]="Greater Manchester",Table1[[#This Row],[income]],0)</f>
        <v>0</v>
      </c>
      <c r="CJ343" s="20">
        <f ca="1">IF(Table1[[#This Row],[County]]="Hertfordshire",Table1[[#This Row],[income]],0)</f>
        <v>0</v>
      </c>
      <c r="CK343" s="20">
        <f ca="1">IF(Table1[[#This Row],[County]]="Herefordshire",Table1[[#This Row],[income]],0)</f>
        <v>0</v>
      </c>
      <c r="CL343" s="20">
        <f ca="1">IF(Table1[[#This Row],[County]]="Lancashire",Table1[[#This Row],[income]],0)</f>
        <v>0</v>
      </c>
      <c r="CM343" s="20">
        <f ca="1">IF(Table1[[#This Row],[County]]="Merseyside",Table1[[#This Row],[income]],0)</f>
        <v>0</v>
      </c>
      <c r="CN343" s="20">
        <f ca="1">IF(Table1[[#This Row],[County]]="Northamptonshire",Table1[[#This Row],[income]],0)</f>
        <v>0</v>
      </c>
      <c r="CO343" s="20">
        <f ca="1">IF(Table1[[#This Row],[County]]="Northumberland",Table1[[#This Row],[income]],0)</f>
        <v>0</v>
      </c>
      <c r="CP343" s="20">
        <f ca="1">IF(Table1[[#This Row],[County]]="Wiltshire",Table1[[#This Row],[income]],0)</f>
        <v>0</v>
      </c>
      <c r="CQ343" s="20">
        <f ca="1">IF(Table1[[#This Row],[County]]="West Midlands",Table1[[#This Row],[income]],0)</f>
        <v>0</v>
      </c>
      <c r="CR343" s="20">
        <f ca="1">IF(Table1[[#This Row],[County]]="Warwickshire",Table1[[#This Row],[income]],0)</f>
        <v>0</v>
      </c>
      <c r="CS343" s="20">
        <f ca="1">IF(Table1[[#This Row],[County]]="Tyne and Wear",Table1[[#This Row],[income]],0)</f>
        <v>0</v>
      </c>
      <c r="CT343" s="20">
        <f ca="1">IF(Table1[[#This Row],[County]]="Worcestershire",Table1[[#This Row],[income]],0)</f>
        <v>0</v>
      </c>
      <c r="CU343" s="20">
        <f ca="1">IF(Table1[[#This Row],[County]]="Rutland",Table1[[#This Row],[income]],0)</f>
        <v>0</v>
      </c>
      <c r="CV343" s="20">
        <f ca="1">IF(Table1[[#This Row],[County]]="Shropshire",Table1[[#This Row],[income]],0)</f>
        <v>0</v>
      </c>
      <c r="CW343" s="20">
        <f ca="1">IF(Table1[[#This Row],[County]]="Dorset",Table1[[#This Row],[income]],0)</f>
        <v>0</v>
      </c>
      <c r="CX343" s="20">
        <f ca="1">IF(Table1[[#This Row],[County]]="Buckinghamshire",Table1[[#This Row],[income]],0)</f>
        <v>0</v>
      </c>
      <c r="CY343" s="20">
        <f ca="1">IF(Table1[[#This Row],[County]]="Suffolk",Table1[[#This Row],[income]],0)</f>
        <v>0</v>
      </c>
      <c r="CZ343" s="20">
        <f ca="1">IF(Table1[[#This Row],[County]]="North Yorkshire",Table1[[#This Row],[income]],0)</f>
        <v>0</v>
      </c>
      <c r="DA343" s="20">
        <f ca="1">IF(Table1[[#This Row],[County]]="Kent",Table1[[#This Row],[income]],0)</f>
        <v>0</v>
      </c>
      <c r="DB343" s="5">
        <f ca="1">IF(Table1[[#This Row],[County]]="Derbyshire",Table1[[#This Row],[income]],0)</f>
        <v>0</v>
      </c>
      <c r="DD343" s="6">
        <f ca="1">IF(Table1[[#This Row],[Column1]]="Health",Table1[[#This Row],[income]],0)</f>
        <v>0</v>
      </c>
      <c r="DE343" s="20">
        <f ca="1">IF(Table1[[#This Row],[Column1]]="Agriculture",Table1[[#This Row],[income]],0)</f>
        <v>0</v>
      </c>
      <c r="DF343" s="20">
        <f ca="1">IF(Table1[[#This Row],[Column1]]="Technology",Table1[[#This Row],[income]],0)</f>
        <v>0</v>
      </c>
      <c r="DG343" s="20">
        <f ca="1">IF(Table1[[#This Row],[Column1]]="Social Service",Table1[[#This Row],[income]],0)</f>
        <v>62355</v>
      </c>
      <c r="DH343" s="20">
        <f ca="1">IF(Table1[[#This Row],[Column1]]="Education",Table1[[#This Row],[income]],0)</f>
        <v>0</v>
      </c>
      <c r="DI343" s="5">
        <f ca="1">IF(Table1[[#This Row],[Column1]]="Construction",Table1[[#This Row],[income]],0)</f>
        <v>0</v>
      </c>
      <c r="DK343" s="6">
        <f ca="1">IF(Table1[[#This Row],[Value of Debts]]&gt;Table1[[#This Row],[income]],1,0)</f>
        <v>1</v>
      </c>
      <c r="DL343" s="20"/>
      <c r="DM343" s="20"/>
      <c r="DN343" s="5"/>
      <c r="DP343" s="6">
        <f ca="1">IF(Table1[[#This Row],[Net Worth (£)]]&gt;$DS$5,C343,0)</f>
        <v>0</v>
      </c>
      <c r="DQ343" s="20"/>
      <c r="DR343" s="20"/>
      <c r="DS343" s="5"/>
    </row>
    <row r="344" spans="1:123" x14ac:dyDescent="0.2">
      <c r="A344">
        <f t="shared" ca="1" si="16"/>
        <v>2</v>
      </c>
      <c r="B344" s="1" t="str">
        <f ca="1">IF(A344=1, "men", "women")</f>
        <v>women</v>
      </c>
      <c r="C344" s="1">
        <f ca="1">RANDBETWEEN(25,50)</f>
        <v>27</v>
      </c>
      <c r="D344">
        <f ca="1">RANDBETWEEN(1,6)</f>
        <v>1</v>
      </c>
      <c r="E344" t="str">
        <f ca="1">VLOOKUP(D344,$W$5:$X$10,2)</f>
        <v>Health</v>
      </c>
      <c r="F344">
        <f ca="1">RANDBETWEEN(1,5)</f>
        <v>4</v>
      </c>
      <c r="G344" t="str">
        <f ca="1">VLOOKUP(F344,$Y$5:$Z$9,2)</f>
        <v xml:space="preserve">Technical </v>
      </c>
      <c r="H344">
        <f ca="1">RANDBETWEEN(0,4)</f>
        <v>0</v>
      </c>
      <c r="I344">
        <f ca="1">RANDBETWEEN(1,3)</f>
        <v>3</v>
      </c>
      <c r="J344">
        <f ca="1">RANDBETWEEN(30000,100000)</f>
        <v>63477</v>
      </c>
      <c r="K344">
        <f ca="1">RANDBETWEEN(1,48)</f>
        <v>8</v>
      </c>
      <c r="L344" t="str">
        <f ca="1">VLOOKUP(K344,$AA$5:$AB$52,2)</f>
        <v>Cornwall</v>
      </c>
      <c r="M344">
        <f ca="1">J344*(RANDBETWEEN(2,5))</f>
        <v>190431</v>
      </c>
      <c r="N344">
        <f ca="1">RAND()*M344</f>
        <v>64474.379858855653</v>
      </c>
      <c r="O344">
        <f ca="1">I344*RAND()*J344</f>
        <v>18580.061243537344</v>
      </c>
      <c r="P344">
        <f ca="1">RANDBETWEEN(0,O344)</f>
        <v>11960</v>
      </c>
      <c r="Q344">
        <f ca="1">RAND()*J344*2</f>
        <v>80838.140852723212</v>
      </c>
      <c r="R344">
        <f ca="1">RAND()*J344*1.5</f>
        <v>40810.172681812051</v>
      </c>
      <c r="S344">
        <f ca="1">J344+R344+O344</f>
        <v>122867.2339253494</v>
      </c>
      <c r="T344">
        <f ca="1">N344+P344+Q344</f>
        <v>157272.52071157887</v>
      </c>
      <c r="U344">
        <f ca="1">S344-T344</f>
        <v>-34405.286786229466</v>
      </c>
      <c r="AC344" s="6">
        <f ca="1">IF(Table1[[#This Row],[gender]]="men",1,0)</f>
        <v>0</v>
      </c>
      <c r="AD344">
        <f ca="1">IF(Table1[[#This Row],[gender]]="women",1,0)</f>
        <v>1</v>
      </c>
      <c r="AH344" s="5"/>
      <c r="AJ344" s="6">
        <f ca="1">IF(Table1[[#This Row],[Column1]]="Health",1,0)</f>
        <v>1</v>
      </c>
      <c r="AK344">
        <f ca="1">IF(Table1[[#This Row],[Column1]]="Construction",1,0)</f>
        <v>0</v>
      </c>
      <c r="AL344">
        <f ca="1">IF(Table1[[#This Row],[Column1]]="Technology",1,0)</f>
        <v>0</v>
      </c>
      <c r="AM344">
        <f ca="1">IF(Table1[[#This Row],[Column1]]="Education",1,0)</f>
        <v>0</v>
      </c>
      <c r="AN344">
        <f ca="1">IF(Table1[[#This Row],[Column1]]="Agriculture",1,0)</f>
        <v>0</v>
      </c>
      <c r="AO344">
        <f ca="1">IF(Table1[[#This Row],[Column1]]="Social Service", 1, 0)</f>
        <v>0</v>
      </c>
      <c r="AT344" s="5"/>
      <c r="AV344" s="17">
        <f t="shared" ca="1" si="15"/>
        <v>33341.739689557551</v>
      </c>
      <c r="AW344" s="5"/>
      <c r="AX344" s="6">
        <f ca="1">IF(Table1[[#This Row],[Value of Debts]]&gt;$AY$4,1,0)</f>
        <v>1</v>
      </c>
      <c r="AY344" s="20"/>
      <c r="AZ344" s="20"/>
      <c r="BA344" s="5"/>
      <c r="BB344" s="25">
        <f ca="1">Table1[[#This Row],[Mortage Left]]/Table1[[#This Row],[Value of House]]</f>
        <v>0.33857082018608131</v>
      </c>
      <c r="BC344" s="20">
        <f t="shared" ca="1" si="17"/>
        <v>0</v>
      </c>
      <c r="BD344" s="20"/>
      <c r="BE344" s="20"/>
      <c r="BF344" s="20"/>
      <c r="BG344" s="6">
        <f ca="1">IF(Table1[[#This Row],[County]]="Cumbria",Table1[[#This Row],[income]],0)</f>
        <v>0</v>
      </c>
      <c r="BH344" s="20">
        <f ca="1">IF(Table1[[#This Row],[County]]="Cheshire",Table1[[#This Row],[income]],0)</f>
        <v>0</v>
      </c>
      <c r="BI344" s="20">
        <f ca="1">IF(Table1[[#This Row],[County]]="Bristol",Table1[[#This Row],[income]],0)</f>
        <v>0</v>
      </c>
      <c r="BJ344" s="20">
        <f ca="1">IF(Table1[[#This Row],[County]]="Surrey",Table1[[#This Row],[income]],0)</f>
        <v>0</v>
      </c>
      <c r="BK344" s="20">
        <f ca="1">IF(Table1[[#This Row],[County]]="Norfolk",Table1[[#This Row],[income]],0)</f>
        <v>0</v>
      </c>
      <c r="BL344" s="20">
        <f ca="1">IF(Table1[[#This Row],[County]]="Lincolnshire",Table1[[#This Row],[income]],0)</f>
        <v>0</v>
      </c>
      <c r="BM344" s="20">
        <f ca="1">IF(Table1[[#This Row],[County]]="Somerset",Table1[[#This Row],[income]],0)</f>
        <v>0</v>
      </c>
      <c r="BN344" s="20">
        <f ca="1">IF(Table1[[#This Row],[County]]="Cambridgeshire",Table1[[#This Row],[income]],0)</f>
        <v>0</v>
      </c>
      <c r="BO344" s="20">
        <f ca="1">IF(Table1[[#This Row],[County]]="South Yorkshire",Table1[[#This Row],[income]],0)</f>
        <v>0</v>
      </c>
      <c r="BP344" s="20">
        <f ca="1">IF(Table1[[#This Row],[County]]="Greater London",Table1[[#This Row],[income]],0)</f>
        <v>0</v>
      </c>
      <c r="BQ344" s="20">
        <f ca="1">IF(Table1[[#This Row],[County]]="Hampshire",Table1[[#This Row],[income]],0)</f>
        <v>0</v>
      </c>
      <c r="BR344" s="20">
        <f ca="1">IF(Table1[[#This Row],[County]]="Gloucestershire",Table1[[#This Row],[income]],0)</f>
        <v>0</v>
      </c>
      <c r="BS344" s="20">
        <f ca="1">IF(Table1[[#This Row],[County]]="West Sussex",Table1[[#This Row],[income]],0)</f>
        <v>0</v>
      </c>
      <c r="BT344" s="20">
        <f ca="1">IF(Table1[[#This Row],[County]]="Devon",Table1[[#This Row],[income]],0)</f>
        <v>0</v>
      </c>
      <c r="BU344" s="20">
        <f ca="1">IF(Table1[[#This Row],[County]]="Berkshire",Table1[[#This Row],[income]],0)</f>
        <v>0</v>
      </c>
      <c r="BV344" s="20">
        <f ca="1">IF(Table1[[#This Row],[County]]="Staffordshire",Table1[[#This Row],[income]],0)</f>
        <v>0</v>
      </c>
      <c r="BW344" s="20">
        <f ca="1">IF(Table1[[#This Row],[County]]="Leicestershire",Table1[[#This Row],[income]],0)</f>
        <v>0</v>
      </c>
      <c r="BX344" s="20">
        <f ca="1">IF(Table1[[#This Row],[County]]="Cornwall",Table1[[#This Row],[income]],0)</f>
        <v>63477</v>
      </c>
      <c r="BY344" s="20">
        <f ca="1">IF(Table1[[#This Row],[County]]="Isle of Wight",Table1[[#This Row],[income]],0)</f>
        <v>0</v>
      </c>
      <c r="BZ344" s="20">
        <f ca="1">IF(Table1[[#This Row],[County]]="Surrey",Table1[[#This Row],[income]],0)</f>
        <v>0</v>
      </c>
      <c r="CA344" s="20">
        <f ca="1">IF(Table1[[#This Row],[County]]="Derbyshire",Table1[[#This Row],[income]],0)</f>
        <v>0</v>
      </c>
      <c r="CB344" s="20">
        <f ca="1">IF(Table1[[#This Row],[County]]="City of London",Table1[[#This Row],[income]],0)</f>
        <v>0</v>
      </c>
      <c r="CC344" s="20">
        <f ca="1">IF(Table1[[#This Row],[County]]="Bedfordshire",Table1[[#This Row],[income]],0)</f>
        <v>0</v>
      </c>
      <c r="CD344" s="20">
        <f ca="1">IF(Table1[[#This Row],[County]]="County Durham",Table1[[#This Row],[income]],0)</f>
        <v>0</v>
      </c>
      <c r="CE344" s="20">
        <f ca="1">IF(Table1[[#This Row],[County]]="East Riding of Yorkshire",Table1[[#This Row],[income]],0)</f>
        <v>0</v>
      </c>
      <c r="CF344" s="20">
        <f ca="1">IF(Table1[[#This Row],[County]]="West Yorkshire",Table1[[#This Row],[income]],0)</f>
        <v>0</v>
      </c>
      <c r="CG344" s="20">
        <f ca="1">IF(Table1[[#This Row],[County]]="Essex",Table1[[#This Row],[income]],0)</f>
        <v>0</v>
      </c>
      <c r="CH344" s="20">
        <f ca="1">IF(Table1[[#This Row],[County]]="East Sussex",Table1[[#This Row],[income]],0)</f>
        <v>0</v>
      </c>
      <c r="CI344" s="20">
        <f ca="1">IF(Table1[[#This Row],[County]]="Greater Manchester",Table1[[#This Row],[income]],0)</f>
        <v>0</v>
      </c>
      <c r="CJ344" s="20">
        <f ca="1">IF(Table1[[#This Row],[County]]="Hertfordshire",Table1[[#This Row],[income]],0)</f>
        <v>0</v>
      </c>
      <c r="CK344" s="20">
        <f ca="1">IF(Table1[[#This Row],[County]]="Herefordshire",Table1[[#This Row],[income]],0)</f>
        <v>0</v>
      </c>
      <c r="CL344" s="20">
        <f ca="1">IF(Table1[[#This Row],[County]]="Lancashire",Table1[[#This Row],[income]],0)</f>
        <v>0</v>
      </c>
      <c r="CM344" s="20">
        <f ca="1">IF(Table1[[#This Row],[County]]="Merseyside",Table1[[#This Row],[income]],0)</f>
        <v>0</v>
      </c>
      <c r="CN344" s="20">
        <f ca="1">IF(Table1[[#This Row],[County]]="Northamptonshire",Table1[[#This Row],[income]],0)</f>
        <v>0</v>
      </c>
      <c r="CO344" s="20">
        <f ca="1">IF(Table1[[#This Row],[County]]="Northumberland",Table1[[#This Row],[income]],0)</f>
        <v>0</v>
      </c>
      <c r="CP344" s="20">
        <f ca="1">IF(Table1[[#This Row],[County]]="Wiltshire",Table1[[#This Row],[income]],0)</f>
        <v>0</v>
      </c>
      <c r="CQ344" s="20">
        <f ca="1">IF(Table1[[#This Row],[County]]="West Midlands",Table1[[#This Row],[income]],0)</f>
        <v>0</v>
      </c>
      <c r="CR344" s="20">
        <f ca="1">IF(Table1[[#This Row],[County]]="Warwickshire",Table1[[#This Row],[income]],0)</f>
        <v>0</v>
      </c>
      <c r="CS344" s="20">
        <f ca="1">IF(Table1[[#This Row],[County]]="Tyne and Wear",Table1[[#This Row],[income]],0)</f>
        <v>0</v>
      </c>
      <c r="CT344" s="20">
        <f ca="1">IF(Table1[[#This Row],[County]]="Worcestershire",Table1[[#This Row],[income]],0)</f>
        <v>0</v>
      </c>
      <c r="CU344" s="20">
        <f ca="1">IF(Table1[[#This Row],[County]]="Rutland",Table1[[#This Row],[income]],0)</f>
        <v>0</v>
      </c>
      <c r="CV344" s="20">
        <f ca="1">IF(Table1[[#This Row],[County]]="Shropshire",Table1[[#This Row],[income]],0)</f>
        <v>0</v>
      </c>
      <c r="CW344" s="20">
        <f ca="1">IF(Table1[[#This Row],[County]]="Dorset",Table1[[#This Row],[income]],0)</f>
        <v>0</v>
      </c>
      <c r="CX344" s="20">
        <f ca="1">IF(Table1[[#This Row],[County]]="Buckinghamshire",Table1[[#This Row],[income]],0)</f>
        <v>0</v>
      </c>
      <c r="CY344" s="20">
        <f ca="1">IF(Table1[[#This Row],[County]]="Suffolk",Table1[[#This Row],[income]],0)</f>
        <v>0</v>
      </c>
      <c r="CZ344" s="20">
        <f ca="1">IF(Table1[[#This Row],[County]]="North Yorkshire",Table1[[#This Row],[income]],0)</f>
        <v>0</v>
      </c>
      <c r="DA344" s="20">
        <f ca="1">IF(Table1[[#This Row],[County]]="Kent",Table1[[#This Row],[income]],0)</f>
        <v>0</v>
      </c>
      <c r="DB344" s="5">
        <f ca="1">IF(Table1[[#This Row],[County]]="Derbyshire",Table1[[#This Row],[income]],0)</f>
        <v>0</v>
      </c>
      <c r="DD344" s="6">
        <f ca="1">IF(Table1[[#This Row],[Column1]]="Health",Table1[[#This Row],[income]],0)</f>
        <v>63477</v>
      </c>
      <c r="DE344" s="20">
        <f ca="1">IF(Table1[[#This Row],[Column1]]="Agriculture",Table1[[#This Row],[income]],0)</f>
        <v>0</v>
      </c>
      <c r="DF344" s="20">
        <f ca="1">IF(Table1[[#This Row],[Column1]]="Technology",Table1[[#This Row],[income]],0)</f>
        <v>0</v>
      </c>
      <c r="DG344" s="20">
        <f ca="1">IF(Table1[[#This Row],[Column1]]="Social Service",Table1[[#This Row],[income]],0)</f>
        <v>0</v>
      </c>
      <c r="DH344" s="20">
        <f ca="1">IF(Table1[[#This Row],[Column1]]="Education",Table1[[#This Row],[income]],0)</f>
        <v>0</v>
      </c>
      <c r="DI344" s="5">
        <f ca="1">IF(Table1[[#This Row],[Column1]]="Construction",Table1[[#This Row],[income]],0)</f>
        <v>0</v>
      </c>
      <c r="DK344" s="6">
        <f ca="1">IF(Table1[[#This Row],[Value of Debts]]&gt;Table1[[#This Row],[income]],1,0)</f>
        <v>1</v>
      </c>
      <c r="DL344" s="20"/>
      <c r="DM344" s="20"/>
      <c r="DN344" s="5"/>
      <c r="DP344" s="6">
        <f ca="1">IF(Table1[[#This Row],[Net Worth (£)]]&gt;$DS$5,C344,0)</f>
        <v>0</v>
      </c>
      <c r="DQ344" s="20"/>
      <c r="DR344" s="20"/>
      <c r="DS344" s="5"/>
    </row>
    <row r="345" spans="1:123" x14ac:dyDescent="0.2">
      <c r="A345">
        <f t="shared" ca="1" si="16"/>
        <v>1</v>
      </c>
      <c r="B345" s="1" t="str">
        <f ca="1">IF(A345=1, "men", "women")</f>
        <v>men</v>
      </c>
      <c r="C345" s="1">
        <f ca="1">RANDBETWEEN(25,50)</f>
        <v>31</v>
      </c>
      <c r="D345">
        <f ca="1">RANDBETWEEN(1,6)</f>
        <v>6</v>
      </c>
      <c r="E345" t="str">
        <f ca="1">VLOOKUP(D345,$W$5:$X$10,2)</f>
        <v>Agriculture</v>
      </c>
      <c r="F345">
        <f ca="1">RANDBETWEEN(1,5)</f>
        <v>4</v>
      </c>
      <c r="G345" t="str">
        <f ca="1">VLOOKUP(F345,$Y$5:$Z$9,2)</f>
        <v xml:space="preserve">Technical </v>
      </c>
      <c r="H345">
        <f ca="1">RANDBETWEEN(0,4)</f>
        <v>3</v>
      </c>
      <c r="I345">
        <f ca="1">RANDBETWEEN(1,3)</f>
        <v>1</v>
      </c>
      <c r="J345">
        <f ca="1">RANDBETWEEN(30000,100000)</f>
        <v>48850</v>
      </c>
      <c r="K345">
        <f ca="1">RANDBETWEEN(1,48)</f>
        <v>40</v>
      </c>
      <c r="L345" t="str">
        <f ca="1">VLOOKUP(K345,$AA$5:$AB$52,2)</f>
        <v>Suffolk</v>
      </c>
      <c r="M345">
        <f ca="1">J345*(RANDBETWEEN(2,5))</f>
        <v>244250</v>
      </c>
      <c r="N345">
        <f ca="1">RAND()*M345</f>
        <v>143422.96999798171</v>
      </c>
      <c r="O345">
        <f ca="1">I345*RAND()*J345</f>
        <v>33341.739689557551</v>
      </c>
      <c r="P345">
        <f ca="1">RANDBETWEEN(0,O345)</f>
        <v>13089</v>
      </c>
      <c r="Q345">
        <f ca="1">RAND()*J345*2</f>
        <v>4616.4680556329422</v>
      </c>
      <c r="R345">
        <f ca="1">RAND()*J345*1.5</f>
        <v>5295.7511811498098</v>
      </c>
      <c r="S345">
        <f ca="1">J345+R345+O345</f>
        <v>87487.490870707363</v>
      </c>
      <c r="T345">
        <f ca="1">N345+P345+Q345</f>
        <v>161128.43805361466</v>
      </c>
      <c r="U345">
        <f ca="1">S345-T345</f>
        <v>-73640.947182907301</v>
      </c>
      <c r="AC345" s="6">
        <f ca="1">IF(Table1[[#This Row],[gender]]="men",1,0)</f>
        <v>1</v>
      </c>
      <c r="AD345">
        <f ca="1">IF(Table1[[#This Row],[gender]]="women",1,0)</f>
        <v>0</v>
      </c>
      <c r="AH345" s="5"/>
      <c r="AJ345" s="6">
        <f ca="1">IF(Table1[[#This Row],[Column1]]="Health",1,0)</f>
        <v>0</v>
      </c>
      <c r="AK345">
        <f ca="1">IF(Table1[[#This Row],[Column1]]="Construction",1,0)</f>
        <v>0</v>
      </c>
      <c r="AL345">
        <f ca="1">IF(Table1[[#This Row],[Column1]]="Technology",1,0)</f>
        <v>0</v>
      </c>
      <c r="AM345">
        <f ca="1">IF(Table1[[#This Row],[Column1]]="Education",1,0)</f>
        <v>0</v>
      </c>
      <c r="AN345">
        <f ca="1">IF(Table1[[#This Row],[Column1]]="Agriculture",1,0)</f>
        <v>1</v>
      </c>
      <c r="AO345">
        <f ca="1">IF(Table1[[#This Row],[Column1]]="Social Service", 1, 0)</f>
        <v>0</v>
      </c>
      <c r="AT345" s="5"/>
      <c r="AV345" s="17">
        <f t="shared" ca="1" si="15"/>
        <v>39217.245172643656</v>
      </c>
      <c r="AW345" s="5"/>
      <c r="AX345" s="6">
        <f ca="1">IF(Table1[[#This Row],[Value of Debts]]&gt;$AY$4,1,0)</f>
        <v>1</v>
      </c>
      <c r="AY345" s="20"/>
      <c r="AZ345" s="20"/>
      <c r="BA345" s="5"/>
      <c r="BB345" s="25">
        <f ca="1">Table1[[#This Row],[Mortage Left]]/Table1[[#This Row],[Value of House]]</f>
        <v>0.58719742066727409</v>
      </c>
      <c r="BC345" s="20">
        <f t="shared" ca="1" si="17"/>
        <v>0</v>
      </c>
      <c r="BD345" s="20"/>
      <c r="BE345" s="20"/>
      <c r="BF345" s="20"/>
      <c r="BG345" s="6">
        <f ca="1">IF(Table1[[#This Row],[County]]="Cumbria",Table1[[#This Row],[income]],0)</f>
        <v>0</v>
      </c>
      <c r="BH345" s="20">
        <f ca="1">IF(Table1[[#This Row],[County]]="Cheshire",Table1[[#This Row],[income]],0)</f>
        <v>0</v>
      </c>
      <c r="BI345" s="20">
        <f ca="1">IF(Table1[[#This Row],[County]]="Bristol",Table1[[#This Row],[income]],0)</f>
        <v>0</v>
      </c>
      <c r="BJ345" s="20">
        <f ca="1">IF(Table1[[#This Row],[County]]="Surrey",Table1[[#This Row],[income]],0)</f>
        <v>0</v>
      </c>
      <c r="BK345" s="20">
        <f ca="1">IF(Table1[[#This Row],[County]]="Norfolk",Table1[[#This Row],[income]],0)</f>
        <v>0</v>
      </c>
      <c r="BL345" s="20">
        <f ca="1">IF(Table1[[#This Row],[County]]="Lincolnshire",Table1[[#This Row],[income]],0)</f>
        <v>0</v>
      </c>
      <c r="BM345" s="20">
        <f ca="1">IF(Table1[[#This Row],[County]]="Somerset",Table1[[#This Row],[income]],0)</f>
        <v>0</v>
      </c>
      <c r="BN345" s="20">
        <f ca="1">IF(Table1[[#This Row],[County]]="Cambridgeshire",Table1[[#This Row],[income]],0)</f>
        <v>0</v>
      </c>
      <c r="BO345" s="20">
        <f ca="1">IF(Table1[[#This Row],[County]]="South Yorkshire",Table1[[#This Row],[income]],0)</f>
        <v>0</v>
      </c>
      <c r="BP345" s="20">
        <f ca="1">IF(Table1[[#This Row],[County]]="Greater London",Table1[[#This Row],[income]],0)</f>
        <v>0</v>
      </c>
      <c r="BQ345" s="20">
        <f ca="1">IF(Table1[[#This Row],[County]]="Hampshire",Table1[[#This Row],[income]],0)</f>
        <v>0</v>
      </c>
      <c r="BR345" s="20">
        <f ca="1">IF(Table1[[#This Row],[County]]="Gloucestershire",Table1[[#This Row],[income]],0)</f>
        <v>0</v>
      </c>
      <c r="BS345" s="20">
        <f ca="1">IF(Table1[[#This Row],[County]]="West Sussex",Table1[[#This Row],[income]],0)</f>
        <v>0</v>
      </c>
      <c r="BT345" s="20">
        <f ca="1">IF(Table1[[#This Row],[County]]="Devon",Table1[[#This Row],[income]],0)</f>
        <v>0</v>
      </c>
      <c r="BU345" s="20">
        <f ca="1">IF(Table1[[#This Row],[County]]="Berkshire",Table1[[#This Row],[income]],0)</f>
        <v>0</v>
      </c>
      <c r="BV345" s="20">
        <f ca="1">IF(Table1[[#This Row],[County]]="Staffordshire",Table1[[#This Row],[income]],0)</f>
        <v>0</v>
      </c>
      <c r="BW345" s="20">
        <f ca="1">IF(Table1[[#This Row],[County]]="Leicestershire",Table1[[#This Row],[income]],0)</f>
        <v>0</v>
      </c>
      <c r="BX345" s="20">
        <f ca="1">IF(Table1[[#This Row],[County]]="Cornwall",Table1[[#This Row],[income]],0)</f>
        <v>0</v>
      </c>
      <c r="BY345" s="20">
        <f ca="1">IF(Table1[[#This Row],[County]]="Isle of Wight",Table1[[#This Row],[income]],0)</f>
        <v>0</v>
      </c>
      <c r="BZ345" s="20">
        <f ca="1">IF(Table1[[#This Row],[County]]="Surrey",Table1[[#This Row],[income]],0)</f>
        <v>0</v>
      </c>
      <c r="CA345" s="20">
        <f ca="1">IF(Table1[[#This Row],[County]]="Derbyshire",Table1[[#This Row],[income]],0)</f>
        <v>0</v>
      </c>
      <c r="CB345" s="20">
        <f ca="1">IF(Table1[[#This Row],[County]]="City of London",Table1[[#This Row],[income]],0)</f>
        <v>0</v>
      </c>
      <c r="CC345" s="20">
        <f ca="1">IF(Table1[[#This Row],[County]]="Bedfordshire",Table1[[#This Row],[income]],0)</f>
        <v>0</v>
      </c>
      <c r="CD345" s="20">
        <f ca="1">IF(Table1[[#This Row],[County]]="County Durham",Table1[[#This Row],[income]],0)</f>
        <v>0</v>
      </c>
      <c r="CE345" s="20">
        <f ca="1">IF(Table1[[#This Row],[County]]="East Riding of Yorkshire",Table1[[#This Row],[income]],0)</f>
        <v>0</v>
      </c>
      <c r="CF345" s="20">
        <f ca="1">IF(Table1[[#This Row],[County]]="West Yorkshire",Table1[[#This Row],[income]],0)</f>
        <v>0</v>
      </c>
      <c r="CG345" s="20">
        <f ca="1">IF(Table1[[#This Row],[County]]="Essex",Table1[[#This Row],[income]],0)</f>
        <v>0</v>
      </c>
      <c r="CH345" s="20">
        <f ca="1">IF(Table1[[#This Row],[County]]="East Sussex",Table1[[#This Row],[income]],0)</f>
        <v>0</v>
      </c>
      <c r="CI345" s="20">
        <f ca="1">IF(Table1[[#This Row],[County]]="Greater Manchester",Table1[[#This Row],[income]],0)</f>
        <v>0</v>
      </c>
      <c r="CJ345" s="20">
        <f ca="1">IF(Table1[[#This Row],[County]]="Hertfordshire",Table1[[#This Row],[income]],0)</f>
        <v>0</v>
      </c>
      <c r="CK345" s="20">
        <f ca="1">IF(Table1[[#This Row],[County]]="Herefordshire",Table1[[#This Row],[income]],0)</f>
        <v>0</v>
      </c>
      <c r="CL345" s="20">
        <f ca="1">IF(Table1[[#This Row],[County]]="Lancashire",Table1[[#This Row],[income]],0)</f>
        <v>0</v>
      </c>
      <c r="CM345" s="20">
        <f ca="1">IF(Table1[[#This Row],[County]]="Merseyside",Table1[[#This Row],[income]],0)</f>
        <v>0</v>
      </c>
      <c r="CN345" s="20">
        <f ca="1">IF(Table1[[#This Row],[County]]="Northamptonshire",Table1[[#This Row],[income]],0)</f>
        <v>0</v>
      </c>
      <c r="CO345" s="20">
        <f ca="1">IF(Table1[[#This Row],[County]]="Northumberland",Table1[[#This Row],[income]],0)</f>
        <v>0</v>
      </c>
      <c r="CP345" s="20">
        <f ca="1">IF(Table1[[#This Row],[County]]="Wiltshire",Table1[[#This Row],[income]],0)</f>
        <v>0</v>
      </c>
      <c r="CQ345" s="20">
        <f ca="1">IF(Table1[[#This Row],[County]]="West Midlands",Table1[[#This Row],[income]],0)</f>
        <v>0</v>
      </c>
      <c r="CR345" s="20">
        <f ca="1">IF(Table1[[#This Row],[County]]="Warwickshire",Table1[[#This Row],[income]],0)</f>
        <v>0</v>
      </c>
      <c r="CS345" s="20">
        <f ca="1">IF(Table1[[#This Row],[County]]="Tyne and Wear",Table1[[#This Row],[income]],0)</f>
        <v>0</v>
      </c>
      <c r="CT345" s="20">
        <f ca="1">IF(Table1[[#This Row],[County]]="Worcestershire",Table1[[#This Row],[income]],0)</f>
        <v>0</v>
      </c>
      <c r="CU345" s="20">
        <f ca="1">IF(Table1[[#This Row],[County]]="Rutland",Table1[[#This Row],[income]],0)</f>
        <v>0</v>
      </c>
      <c r="CV345" s="20">
        <f ca="1">IF(Table1[[#This Row],[County]]="Shropshire",Table1[[#This Row],[income]],0)</f>
        <v>0</v>
      </c>
      <c r="CW345" s="20">
        <f ca="1">IF(Table1[[#This Row],[County]]="Dorset",Table1[[#This Row],[income]],0)</f>
        <v>0</v>
      </c>
      <c r="CX345" s="20">
        <f ca="1">IF(Table1[[#This Row],[County]]="Buckinghamshire",Table1[[#This Row],[income]],0)</f>
        <v>0</v>
      </c>
      <c r="CY345" s="20">
        <f ca="1">IF(Table1[[#This Row],[County]]="Suffolk",Table1[[#This Row],[income]],0)</f>
        <v>48850</v>
      </c>
      <c r="CZ345" s="20">
        <f ca="1">IF(Table1[[#This Row],[County]]="North Yorkshire",Table1[[#This Row],[income]],0)</f>
        <v>0</v>
      </c>
      <c r="DA345" s="20">
        <f ca="1">IF(Table1[[#This Row],[County]]="Kent",Table1[[#This Row],[income]],0)</f>
        <v>0</v>
      </c>
      <c r="DB345" s="5">
        <f ca="1">IF(Table1[[#This Row],[County]]="Derbyshire",Table1[[#This Row],[income]],0)</f>
        <v>0</v>
      </c>
      <c r="DD345" s="6">
        <f ca="1">IF(Table1[[#This Row],[Column1]]="Health",Table1[[#This Row],[income]],0)</f>
        <v>0</v>
      </c>
      <c r="DE345" s="20">
        <f ca="1">IF(Table1[[#This Row],[Column1]]="Agriculture",Table1[[#This Row],[income]],0)</f>
        <v>48850</v>
      </c>
      <c r="DF345" s="20">
        <f ca="1">IF(Table1[[#This Row],[Column1]]="Technology",Table1[[#This Row],[income]],0)</f>
        <v>0</v>
      </c>
      <c r="DG345" s="20">
        <f ca="1">IF(Table1[[#This Row],[Column1]]="Social Service",Table1[[#This Row],[income]],0)</f>
        <v>0</v>
      </c>
      <c r="DH345" s="20">
        <f ca="1">IF(Table1[[#This Row],[Column1]]="Education",Table1[[#This Row],[income]],0)</f>
        <v>0</v>
      </c>
      <c r="DI345" s="5">
        <f ca="1">IF(Table1[[#This Row],[Column1]]="Construction",Table1[[#This Row],[income]],0)</f>
        <v>0</v>
      </c>
      <c r="DK345" s="6">
        <f ca="1">IF(Table1[[#This Row],[Value of Debts]]&gt;Table1[[#This Row],[income]],1,0)</f>
        <v>1</v>
      </c>
      <c r="DL345" s="20"/>
      <c r="DM345" s="20"/>
      <c r="DN345" s="5"/>
      <c r="DP345" s="6">
        <f ca="1">IF(Table1[[#This Row],[Net Worth (£)]]&gt;$DS$5,C345,0)</f>
        <v>0</v>
      </c>
      <c r="DQ345" s="20"/>
      <c r="DR345" s="20"/>
      <c r="DS345" s="5"/>
    </row>
    <row r="346" spans="1:123" x14ac:dyDescent="0.2">
      <c r="A346">
        <f t="shared" ca="1" si="16"/>
        <v>2</v>
      </c>
      <c r="B346" s="1" t="str">
        <f ca="1">IF(A346=1, "men", "women")</f>
        <v>women</v>
      </c>
      <c r="C346" s="1">
        <f ca="1">RANDBETWEEN(25,50)</f>
        <v>49</v>
      </c>
      <c r="D346">
        <f ca="1">RANDBETWEEN(1,6)</f>
        <v>1</v>
      </c>
      <c r="E346" t="str">
        <f ca="1">VLOOKUP(D346,$W$5:$X$10,2)</f>
        <v>Health</v>
      </c>
      <c r="F346">
        <f ca="1">RANDBETWEEN(1,5)</f>
        <v>5</v>
      </c>
      <c r="G346" t="str">
        <f ca="1">VLOOKUP(F346,$Y$5:$Z$9,2)</f>
        <v>Other</v>
      </c>
      <c r="H346">
        <f ca="1">RANDBETWEEN(0,4)</f>
        <v>1</v>
      </c>
      <c r="I346">
        <f ca="1">RANDBETWEEN(1,3)</f>
        <v>3</v>
      </c>
      <c r="J346">
        <f ca="1">RANDBETWEEN(30000,100000)</f>
        <v>52586</v>
      </c>
      <c r="K346">
        <f ca="1">RANDBETWEEN(1,48)</f>
        <v>12</v>
      </c>
      <c r="L346" t="str">
        <f ca="1">VLOOKUP(K346,$AA$5:$AB$52,2)</f>
        <v>Dorset</v>
      </c>
      <c r="M346">
        <f ca="1">J346*(RANDBETWEEN(2,5))</f>
        <v>105172</v>
      </c>
      <c r="N346">
        <f ca="1">RAND()*M346</f>
        <v>36397.558120650909</v>
      </c>
      <c r="O346">
        <f ca="1">I346*RAND()*J346</f>
        <v>117651.73551793097</v>
      </c>
      <c r="P346">
        <f ca="1">RANDBETWEEN(0,O346)</f>
        <v>88856</v>
      </c>
      <c r="Q346">
        <f ca="1">RAND()*J346*2</f>
        <v>101654.30422145946</v>
      </c>
      <c r="R346">
        <f ca="1">RAND()*J346*1.5</f>
        <v>15395.912169926632</v>
      </c>
      <c r="S346">
        <f ca="1">J346+R346+O346</f>
        <v>185633.64768785759</v>
      </c>
      <c r="T346">
        <f ca="1">N346+P346+Q346</f>
        <v>226907.86234211037</v>
      </c>
      <c r="U346">
        <f ca="1">S346-T346</f>
        <v>-41274.214654252777</v>
      </c>
      <c r="AC346" s="6">
        <f ca="1">IF(Table1[[#This Row],[gender]]="men",1,0)</f>
        <v>0</v>
      </c>
      <c r="AD346">
        <f ca="1">IF(Table1[[#This Row],[gender]]="women",1,0)</f>
        <v>1</v>
      </c>
      <c r="AH346" s="5"/>
      <c r="AJ346" s="6">
        <f ca="1">IF(Table1[[#This Row],[Column1]]="Health",1,0)</f>
        <v>1</v>
      </c>
      <c r="AK346">
        <f ca="1">IF(Table1[[#This Row],[Column1]]="Construction",1,0)</f>
        <v>0</v>
      </c>
      <c r="AL346">
        <f ca="1">IF(Table1[[#This Row],[Column1]]="Technology",1,0)</f>
        <v>0</v>
      </c>
      <c r="AM346">
        <f ca="1">IF(Table1[[#This Row],[Column1]]="Education",1,0)</f>
        <v>0</v>
      </c>
      <c r="AN346">
        <f ca="1">IF(Table1[[#This Row],[Column1]]="Agriculture",1,0)</f>
        <v>0</v>
      </c>
      <c r="AO346">
        <f ca="1">IF(Table1[[#This Row],[Column1]]="Social Service", 1, 0)</f>
        <v>0</v>
      </c>
      <c r="AT346" s="5"/>
      <c r="AV346" s="17">
        <f t="shared" ca="1" si="15"/>
        <v>90116.219970217659</v>
      </c>
      <c r="AW346" s="5"/>
      <c r="AX346" s="6">
        <f ca="1">IF(Table1[[#This Row],[Value of Debts]]&gt;$AY$4,1,0)</f>
        <v>1</v>
      </c>
      <c r="AY346" s="20"/>
      <c r="AZ346" s="20"/>
      <c r="BA346" s="5"/>
      <c r="BB346" s="25">
        <f ca="1">Table1[[#This Row],[Mortage Left]]/Table1[[#This Row],[Value of House]]</f>
        <v>0.34607650439899318</v>
      </c>
      <c r="BC346" s="20">
        <f t="shared" ca="1" si="17"/>
        <v>0</v>
      </c>
      <c r="BD346" s="20"/>
      <c r="BE346" s="20"/>
      <c r="BF346" s="20"/>
      <c r="BG346" s="6">
        <f ca="1">IF(Table1[[#This Row],[County]]="Cumbria",Table1[[#This Row],[income]],0)</f>
        <v>0</v>
      </c>
      <c r="BH346" s="20">
        <f ca="1">IF(Table1[[#This Row],[County]]="Cheshire",Table1[[#This Row],[income]],0)</f>
        <v>0</v>
      </c>
      <c r="BI346" s="20">
        <f ca="1">IF(Table1[[#This Row],[County]]="Bristol",Table1[[#This Row],[income]],0)</f>
        <v>0</v>
      </c>
      <c r="BJ346" s="20">
        <f ca="1">IF(Table1[[#This Row],[County]]="Surrey",Table1[[#This Row],[income]],0)</f>
        <v>0</v>
      </c>
      <c r="BK346" s="20">
        <f ca="1">IF(Table1[[#This Row],[County]]="Norfolk",Table1[[#This Row],[income]],0)</f>
        <v>0</v>
      </c>
      <c r="BL346" s="20">
        <f ca="1">IF(Table1[[#This Row],[County]]="Lincolnshire",Table1[[#This Row],[income]],0)</f>
        <v>0</v>
      </c>
      <c r="BM346" s="20">
        <f ca="1">IF(Table1[[#This Row],[County]]="Somerset",Table1[[#This Row],[income]],0)</f>
        <v>0</v>
      </c>
      <c r="BN346" s="20">
        <f ca="1">IF(Table1[[#This Row],[County]]="Cambridgeshire",Table1[[#This Row],[income]],0)</f>
        <v>0</v>
      </c>
      <c r="BO346" s="20">
        <f ca="1">IF(Table1[[#This Row],[County]]="South Yorkshire",Table1[[#This Row],[income]],0)</f>
        <v>0</v>
      </c>
      <c r="BP346" s="20">
        <f ca="1">IF(Table1[[#This Row],[County]]="Greater London",Table1[[#This Row],[income]],0)</f>
        <v>0</v>
      </c>
      <c r="BQ346" s="20">
        <f ca="1">IF(Table1[[#This Row],[County]]="Hampshire",Table1[[#This Row],[income]],0)</f>
        <v>0</v>
      </c>
      <c r="BR346" s="20">
        <f ca="1">IF(Table1[[#This Row],[County]]="Gloucestershire",Table1[[#This Row],[income]],0)</f>
        <v>0</v>
      </c>
      <c r="BS346" s="20">
        <f ca="1">IF(Table1[[#This Row],[County]]="West Sussex",Table1[[#This Row],[income]],0)</f>
        <v>0</v>
      </c>
      <c r="BT346" s="20">
        <f ca="1">IF(Table1[[#This Row],[County]]="Devon",Table1[[#This Row],[income]],0)</f>
        <v>0</v>
      </c>
      <c r="BU346" s="20">
        <f ca="1">IF(Table1[[#This Row],[County]]="Berkshire",Table1[[#This Row],[income]],0)</f>
        <v>0</v>
      </c>
      <c r="BV346" s="20">
        <f ca="1">IF(Table1[[#This Row],[County]]="Staffordshire",Table1[[#This Row],[income]],0)</f>
        <v>0</v>
      </c>
      <c r="BW346" s="20">
        <f ca="1">IF(Table1[[#This Row],[County]]="Leicestershire",Table1[[#This Row],[income]],0)</f>
        <v>0</v>
      </c>
      <c r="BX346" s="20">
        <f ca="1">IF(Table1[[#This Row],[County]]="Cornwall",Table1[[#This Row],[income]],0)</f>
        <v>0</v>
      </c>
      <c r="BY346" s="20">
        <f ca="1">IF(Table1[[#This Row],[County]]="Isle of Wight",Table1[[#This Row],[income]],0)</f>
        <v>0</v>
      </c>
      <c r="BZ346" s="20">
        <f ca="1">IF(Table1[[#This Row],[County]]="Surrey",Table1[[#This Row],[income]],0)</f>
        <v>0</v>
      </c>
      <c r="CA346" s="20">
        <f ca="1">IF(Table1[[#This Row],[County]]="Derbyshire",Table1[[#This Row],[income]],0)</f>
        <v>0</v>
      </c>
      <c r="CB346" s="20">
        <f ca="1">IF(Table1[[#This Row],[County]]="City of London",Table1[[#This Row],[income]],0)</f>
        <v>0</v>
      </c>
      <c r="CC346" s="20">
        <f ca="1">IF(Table1[[#This Row],[County]]="Bedfordshire",Table1[[#This Row],[income]],0)</f>
        <v>0</v>
      </c>
      <c r="CD346" s="20">
        <f ca="1">IF(Table1[[#This Row],[County]]="County Durham",Table1[[#This Row],[income]],0)</f>
        <v>0</v>
      </c>
      <c r="CE346" s="20">
        <f ca="1">IF(Table1[[#This Row],[County]]="East Riding of Yorkshire",Table1[[#This Row],[income]],0)</f>
        <v>0</v>
      </c>
      <c r="CF346" s="20">
        <f ca="1">IF(Table1[[#This Row],[County]]="West Yorkshire",Table1[[#This Row],[income]],0)</f>
        <v>0</v>
      </c>
      <c r="CG346" s="20">
        <f ca="1">IF(Table1[[#This Row],[County]]="Essex",Table1[[#This Row],[income]],0)</f>
        <v>0</v>
      </c>
      <c r="CH346" s="20">
        <f ca="1">IF(Table1[[#This Row],[County]]="East Sussex",Table1[[#This Row],[income]],0)</f>
        <v>0</v>
      </c>
      <c r="CI346" s="20">
        <f ca="1">IF(Table1[[#This Row],[County]]="Greater Manchester",Table1[[#This Row],[income]],0)</f>
        <v>0</v>
      </c>
      <c r="CJ346" s="20">
        <f ca="1">IF(Table1[[#This Row],[County]]="Hertfordshire",Table1[[#This Row],[income]],0)</f>
        <v>0</v>
      </c>
      <c r="CK346" s="20">
        <f ca="1">IF(Table1[[#This Row],[County]]="Herefordshire",Table1[[#This Row],[income]],0)</f>
        <v>0</v>
      </c>
      <c r="CL346" s="20">
        <f ca="1">IF(Table1[[#This Row],[County]]="Lancashire",Table1[[#This Row],[income]],0)</f>
        <v>0</v>
      </c>
      <c r="CM346" s="20">
        <f ca="1">IF(Table1[[#This Row],[County]]="Merseyside",Table1[[#This Row],[income]],0)</f>
        <v>0</v>
      </c>
      <c r="CN346" s="20">
        <f ca="1">IF(Table1[[#This Row],[County]]="Northamptonshire",Table1[[#This Row],[income]],0)</f>
        <v>0</v>
      </c>
      <c r="CO346" s="20">
        <f ca="1">IF(Table1[[#This Row],[County]]="Northumberland",Table1[[#This Row],[income]],0)</f>
        <v>0</v>
      </c>
      <c r="CP346" s="20">
        <f ca="1">IF(Table1[[#This Row],[County]]="Wiltshire",Table1[[#This Row],[income]],0)</f>
        <v>0</v>
      </c>
      <c r="CQ346" s="20">
        <f ca="1">IF(Table1[[#This Row],[County]]="West Midlands",Table1[[#This Row],[income]],0)</f>
        <v>0</v>
      </c>
      <c r="CR346" s="20">
        <f ca="1">IF(Table1[[#This Row],[County]]="Warwickshire",Table1[[#This Row],[income]],0)</f>
        <v>0</v>
      </c>
      <c r="CS346" s="20">
        <f ca="1">IF(Table1[[#This Row],[County]]="Tyne and Wear",Table1[[#This Row],[income]],0)</f>
        <v>0</v>
      </c>
      <c r="CT346" s="20">
        <f ca="1">IF(Table1[[#This Row],[County]]="Worcestershire",Table1[[#This Row],[income]],0)</f>
        <v>0</v>
      </c>
      <c r="CU346" s="20">
        <f ca="1">IF(Table1[[#This Row],[County]]="Rutland",Table1[[#This Row],[income]],0)</f>
        <v>0</v>
      </c>
      <c r="CV346" s="20">
        <f ca="1">IF(Table1[[#This Row],[County]]="Shropshire",Table1[[#This Row],[income]],0)</f>
        <v>0</v>
      </c>
      <c r="CW346" s="20">
        <f ca="1">IF(Table1[[#This Row],[County]]="Dorset",Table1[[#This Row],[income]],0)</f>
        <v>52586</v>
      </c>
      <c r="CX346" s="20">
        <f ca="1">IF(Table1[[#This Row],[County]]="Buckinghamshire",Table1[[#This Row],[income]],0)</f>
        <v>0</v>
      </c>
      <c r="CY346" s="20">
        <f ca="1">IF(Table1[[#This Row],[County]]="Suffolk",Table1[[#This Row],[income]],0)</f>
        <v>0</v>
      </c>
      <c r="CZ346" s="20">
        <f ca="1">IF(Table1[[#This Row],[County]]="North Yorkshire",Table1[[#This Row],[income]],0)</f>
        <v>0</v>
      </c>
      <c r="DA346" s="20">
        <f ca="1">IF(Table1[[#This Row],[County]]="Kent",Table1[[#This Row],[income]],0)</f>
        <v>0</v>
      </c>
      <c r="DB346" s="5">
        <f ca="1">IF(Table1[[#This Row],[County]]="Derbyshire",Table1[[#This Row],[income]],0)</f>
        <v>0</v>
      </c>
      <c r="DD346" s="6">
        <f ca="1">IF(Table1[[#This Row],[Column1]]="Health",Table1[[#This Row],[income]],0)</f>
        <v>52586</v>
      </c>
      <c r="DE346" s="20">
        <f ca="1">IF(Table1[[#This Row],[Column1]]="Agriculture",Table1[[#This Row],[income]],0)</f>
        <v>0</v>
      </c>
      <c r="DF346" s="20">
        <f ca="1">IF(Table1[[#This Row],[Column1]]="Technology",Table1[[#This Row],[income]],0)</f>
        <v>0</v>
      </c>
      <c r="DG346" s="20">
        <f ca="1">IF(Table1[[#This Row],[Column1]]="Social Service",Table1[[#This Row],[income]],0)</f>
        <v>0</v>
      </c>
      <c r="DH346" s="20">
        <f ca="1">IF(Table1[[#This Row],[Column1]]="Education",Table1[[#This Row],[income]],0)</f>
        <v>0</v>
      </c>
      <c r="DI346" s="5">
        <f ca="1">IF(Table1[[#This Row],[Column1]]="Construction",Table1[[#This Row],[income]],0)</f>
        <v>0</v>
      </c>
      <c r="DK346" s="6">
        <f ca="1">IF(Table1[[#This Row],[Value of Debts]]&gt;Table1[[#This Row],[income]],1,0)</f>
        <v>1</v>
      </c>
      <c r="DL346" s="20"/>
      <c r="DM346" s="20"/>
      <c r="DN346" s="5"/>
      <c r="DP346" s="6">
        <f ca="1">IF(Table1[[#This Row],[Net Worth (£)]]&gt;$DS$5,C346,0)</f>
        <v>0</v>
      </c>
      <c r="DQ346" s="20"/>
      <c r="DR346" s="20"/>
      <c r="DS346" s="5"/>
    </row>
    <row r="347" spans="1:123" x14ac:dyDescent="0.2">
      <c r="A347">
        <f t="shared" ca="1" si="16"/>
        <v>2</v>
      </c>
      <c r="B347" s="1" t="str">
        <f ca="1">IF(A347=1, "men", "women")</f>
        <v>women</v>
      </c>
      <c r="C347" s="1">
        <f ca="1">RANDBETWEEN(25,50)</f>
        <v>42</v>
      </c>
      <c r="D347">
        <f ca="1">RANDBETWEEN(1,6)</f>
        <v>3</v>
      </c>
      <c r="E347" t="str">
        <f ca="1">VLOOKUP(D347,$W$5:$X$10,2)</f>
        <v>Education</v>
      </c>
      <c r="F347">
        <f ca="1">RANDBETWEEN(1,5)</f>
        <v>1</v>
      </c>
      <c r="G347" t="str">
        <f ca="1">VLOOKUP(F347,$Y$5:$Z$9,2)</f>
        <v>High School</v>
      </c>
      <c r="H347">
        <f ca="1">RANDBETWEEN(0,4)</f>
        <v>1</v>
      </c>
      <c r="I347">
        <f ca="1">RANDBETWEEN(1,3)</f>
        <v>3</v>
      </c>
      <c r="J347">
        <f ca="1">RANDBETWEEN(30000,100000)</f>
        <v>96361</v>
      </c>
      <c r="K347">
        <f ca="1">RANDBETWEEN(1,48)</f>
        <v>5</v>
      </c>
      <c r="L347" t="str">
        <f ca="1">VLOOKUP(K347,$AA$5:$AB$52,2)</f>
        <v>Cambridgeshire</v>
      </c>
      <c r="M347">
        <f ca="1">J347*(RANDBETWEEN(2,5))</f>
        <v>192722</v>
      </c>
      <c r="N347">
        <f ca="1">RAND()*M347</f>
        <v>110566.86914771415</v>
      </c>
      <c r="O347">
        <f ca="1">I347*RAND()*J347</f>
        <v>270348.65991065296</v>
      </c>
      <c r="P347">
        <f ca="1">RANDBETWEEN(0,O347)</f>
        <v>82657</v>
      </c>
      <c r="Q347">
        <f ca="1">RAND()*J347*2</f>
        <v>180827.32369153021</v>
      </c>
      <c r="R347">
        <f ca="1">RAND()*J347*1.5</f>
        <v>53037.927229783374</v>
      </c>
      <c r="S347">
        <f ca="1">J347+R347+O347</f>
        <v>419747.58714043634</v>
      </c>
      <c r="T347">
        <f ca="1">N347+P347+Q347</f>
        <v>374051.19283924438</v>
      </c>
      <c r="U347">
        <f ca="1">S347-T347</f>
        <v>45696.394301191962</v>
      </c>
      <c r="AC347" s="6">
        <f ca="1">IF(Table1[[#This Row],[gender]]="men",1,0)</f>
        <v>0</v>
      </c>
      <c r="AD347">
        <f ca="1">IF(Table1[[#This Row],[gender]]="women",1,0)</f>
        <v>1</v>
      </c>
      <c r="AH347" s="5"/>
      <c r="AJ347" s="6">
        <f ca="1">IF(Table1[[#This Row],[Column1]]="Health",1,0)</f>
        <v>0</v>
      </c>
      <c r="AK347">
        <f ca="1">IF(Table1[[#This Row],[Column1]]="Construction",1,0)</f>
        <v>0</v>
      </c>
      <c r="AL347">
        <f ca="1">IF(Table1[[#This Row],[Column1]]="Technology",1,0)</f>
        <v>0</v>
      </c>
      <c r="AM347">
        <f ca="1">IF(Table1[[#This Row],[Column1]]="Education",1,0)</f>
        <v>1</v>
      </c>
      <c r="AN347">
        <f ca="1">IF(Table1[[#This Row],[Column1]]="Agriculture",1,0)</f>
        <v>0</v>
      </c>
      <c r="AO347">
        <f ca="1">IF(Table1[[#This Row],[Column1]]="Social Service", 1, 0)</f>
        <v>0</v>
      </c>
      <c r="AT347" s="5"/>
      <c r="AV347" s="17">
        <f t="shared" ca="1" si="15"/>
        <v>39402.123735231515</v>
      </c>
      <c r="AW347" s="5"/>
      <c r="AX347" s="6">
        <f ca="1">IF(Table1[[#This Row],[Value of Debts]]&gt;$AY$4,1,0)</f>
        <v>1</v>
      </c>
      <c r="AY347" s="20"/>
      <c r="AZ347" s="20"/>
      <c r="BA347" s="5"/>
      <c r="BB347" s="25">
        <f ca="1">Table1[[#This Row],[Mortage Left]]/Table1[[#This Row],[Value of House]]</f>
        <v>0.57371171504921159</v>
      </c>
      <c r="BC347" s="20">
        <f t="shared" ca="1" si="17"/>
        <v>0</v>
      </c>
      <c r="BD347" s="20"/>
      <c r="BE347" s="20"/>
      <c r="BF347" s="20"/>
      <c r="BG347" s="6">
        <f ca="1">IF(Table1[[#This Row],[County]]="Cumbria",Table1[[#This Row],[income]],0)</f>
        <v>0</v>
      </c>
      <c r="BH347" s="20">
        <f ca="1">IF(Table1[[#This Row],[County]]="Cheshire",Table1[[#This Row],[income]],0)</f>
        <v>0</v>
      </c>
      <c r="BI347" s="20">
        <f ca="1">IF(Table1[[#This Row],[County]]="Bristol",Table1[[#This Row],[income]],0)</f>
        <v>0</v>
      </c>
      <c r="BJ347" s="20">
        <f ca="1">IF(Table1[[#This Row],[County]]="Surrey",Table1[[#This Row],[income]],0)</f>
        <v>0</v>
      </c>
      <c r="BK347" s="20">
        <f ca="1">IF(Table1[[#This Row],[County]]="Norfolk",Table1[[#This Row],[income]],0)</f>
        <v>0</v>
      </c>
      <c r="BL347" s="20">
        <f ca="1">IF(Table1[[#This Row],[County]]="Lincolnshire",Table1[[#This Row],[income]],0)</f>
        <v>0</v>
      </c>
      <c r="BM347" s="20">
        <f ca="1">IF(Table1[[#This Row],[County]]="Somerset",Table1[[#This Row],[income]],0)</f>
        <v>0</v>
      </c>
      <c r="BN347" s="20">
        <f ca="1">IF(Table1[[#This Row],[County]]="Cambridgeshire",Table1[[#This Row],[income]],0)</f>
        <v>96361</v>
      </c>
      <c r="BO347" s="20">
        <f ca="1">IF(Table1[[#This Row],[County]]="South Yorkshire",Table1[[#This Row],[income]],0)</f>
        <v>0</v>
      </c>
      <c r="BP347" s="20">
        <f ca="1">IF(Table1[[#This Row],[County]]="Greater London",Table1[[#This Row],[income]],0)</f>
        <v>0</v>
      </c>
      <c r="BQ347" s="20">
        <f ca="1">IF(Table1[[#This Row],[County]]="Hampshire",Table1[[#This Row],[income]],0)</f>
        <v>0</v>
      </c>
      <c r="BR347" s="20">
        <f ca="1">IF(Table1[[#This Row],[County]]="Gloucestershire",Table1[[#This Row],[income]],0)</f>
        <v>0</v>
      </c>
      <c r="BS347" s="20">
        <f ca="1">IF(Table1[[#This Row],[County]]="West Sussex",Table1[[#This Row],[income]],0)</f>
        <v>0</v>
      </c>
      <c r="BT347" s="20">
        <f ca="1">IF(Table1[[#This Row],[County]]="Devon",Table1[[#This Row],[income]],0)</f>
        <v>0</v>
      </c>
      <c r="BU347" s="20">
        <f ca="1">IF(Table1[[#This Row],[County]]="Berkshire",Table1[[#This Row],[income]],0)</f>
        <v>0</v>
      </c>
      <c r="BV347" s="20">
        <f ca="1">IF(Table1[[#This Row],[County]]="Staffordshire",Table1[[#This Row],[income]],0)</f>
        <v>0</v>
      </c>
      <c r="BW347" s="20">
        <f ca="1">IF(Table1[[#This Row],[County]]="Leicestershire",Table1[[#This Row],[income]],0)</f>
        <v>0</v>
      </c>
      <c r="BX347" s="20">
        <f ca="1">IF(Table1[[#This Row],[County]]="Cornwall",Table1[[#This Row],[income]],0)</f>
        <v>0</v>
      </c>
      <c r="BY347" s="20">
        <f ca="1">IF(Table1[[#This Row],[County]]="Isle of Wight",Table1[[#This Row],[income]],0)</f>
        <v>0</v>
      </c>
      <c r="BZ347" s="20">
        <f ca="1">IF(Table1[[#This Row],[County]]="Surrey",Table1[[#This Row],[income]],0)</f>
        <v>0</v>
      </c>
      <c r="CA347" s="20">
        <f ca="1">IF(Table1[[#This Row],[County]]="Derbyshire",Table1[[#This Row],[income]],0)</f>
        <v>0</v>
      </c>
      <c r="CB347" s="20">
        <f ca="1">IF(Table1[[#This Row],[County]]="City of London",Table1[[#This Row],[income]],0)</f>
        <v>0</v>
      </c>
      <c r="CC347" s="20">
        <f ca="1">IF(Table1[[#This Row],[County]]="Bedfordshire",Table1[[#This Row],[income]],0)</f>
        <v>0</v>
      </c>
      <c r="CD347" s="20">
        <f ca="1">IF(Table1[[#This Row],[County]]="County Durham",Table1[[#This Row],[income]],0)</f>
        <v>0</v>
      </c>
      <c r="CE347" s="20">
        <f ca="1">IF(Table1[[#This Row],[County]]="East Riding of Yorkshire",Table1[[#This Row],[income]],0)</f>
        <v>0</v>
      </c>
      <c r="CF347" s="20">
        <f ca="1">IF(Table1[[#This Row],[County]]="West Yorkshire",Table1[[#This Row],[income]],0)</f>
        <v>0</v>
      </c>
      <c r="CG347" s="20">
        <f ca="1">IF(Table1[[#This Row],[County]]="Essex",Table1[[#This Row],[income]],0)</f>
        <v>0</v>
      </c>
      <c r="CH347" s="20">
        <f ca="1">IF(Table1[[#This Row],[County]]="East Sussex",Table1[[#This Row],[income]],0)</f>
        <v>0</v>
      </c>
      <c r="CI347" s="20">
        <f ca="1">IF(Table1[[#This Row],[County]]="Greater Manchester",Table1[[#This Row],[income]],0)</f>
        <v>0</v>
      </c>
      <c r="CJ347" s="20">
        <f ca="1">IF(Table1[[#This Row],[County]]="Hertfordshire",Table1[[#This Row],[income]],0)</f>
        <v>0</v>
      </c>
      <c r="CK347" s="20">
        <f ca="1">IF(Table1[[#This Row],[County]]="Herefordshire",Table1[[#This Row],[income]],0)</f>
        <v>0</v>
      </c>
      <c r="CL347" s="20">
        <f ca="1">IF(Table1[[#This Row],[County]]="Lancashire",Table1[[#This Row],[income]],0)</f>
        <v>0</v>
      </c>
      <c r="CM347" s="20">
        <f ca="1">IF(Table1[[#This Row],[County]]="Merseyside",Table1[[#This Row],[income]],0)</f>
        <v>0</v>
      </c>
      <c r="CN347" s="20">
        <f ca="1">IF(Table1[[#This Row],[County]]="Northamptonshire",Table1[[#This Row],[income]],0)</f>
        <v>0</v>
      </c>
      <c r="CO347" s="20">
        <f ca="1">IF(Table1[[#This Row],[County]]="Northumberland",Table1[[#This Row],[income]],0)</f>
        <v>0</v>
      </c>
      <c r="CP347" s="20">
        <f ca="1">IF(Table1[[#This Row],[County]]="Wiltshire",Table1[[#This Row],[income]],0)</f>
        <v>0</v>
      </c>
      <c r="CQ347" s="20">
        <f ca="1">IF(Table1[[#This Row],[County]]="West Midlands",Table1[[#This Row],[income]],0)</f>
        <v>0</v>
      </c>
      <c r="CR347" s="20">
        <f ca="1">IF(Table1[[#This Row],[County]]="Warwickshire",Table1[[#This Row],[income]],0)</f>
        <v>0</v>
      </c>
      <c r="CS347" s="20">
        <f ca="1">IF(Table1[[#This Row],[County]]="Tyne and Wear",Table1[[#This Row],[income]],0)</f>
        <v>0</v>
      </c>
      <c r="CT347" s="20">
        <f ca="1">IF(Table1[[#This Row],[County]]="Worcestershire",Table1[[#This Row],[income]],0)</f>
        <v>0</v>
      </c>
      <c r="CU347" s="20">
        <f ca="1">IF(Table1[[#This Row],[County]]="Rutland",Table1[[#This Row],[income]],0)</f>
        <v>0</v>
      </c>
      <c r="CV347" s="20">
        <f ca="1">IF(Table1[[#This Row],[County]]="Shropshire",Table1[[#This Row],[income]],0)</f>
        <v>0</v>
      </c>
      <c r="CW347" s="20">
        <f ca="1">IF(Table1[[#This Row],[County]]="Dorset",Table1[[#This Row],[income]],0)</f>
        <v>0</v>
      </c>
      <c r="CX347" s="20">
        <f ca="1">IF(Table1[[#This Row],[County]]="Buckinghamshire",Table1[[#This Row],[income]],0)</f>
        <v>0</v>
      </c>
      <c r="CY347" s="20">
        <f ca="1">IF(Table1[[#This Row],[County]]="Suffolk",Table1[[#This Row],[income]],0)</f>
        <v>0</v>
      </c>
      <c r="CZ347" s="20">
        <f ca="1">IF(Table1[[#This Row],[County]]="North Yorkshire",Table1[[#This Row],[income]],0)</f>
        <v>0</v>
      </c>
      <c r="DA347" s="20">
        <f ca="1">IF(Table1[[#This Row],[County]]="Kent",Table1[[#This Row],[income]],0)</f>
        <v>0</v>
      </c>
      <c r="DB347" s="5">
        <f ca="1">IF(Table1[[#This Row],[County]]="Derbyshire",Table1[[#This Row],[income]],0)</f>
        <v>0</v>
      </c>
      <c r="DD347" s="6">
        <f ca="1">IF(Table1[[#This Row],[Column1]]="Health",Table1[[#This Row],[income]],0)</f>
        <v>0</v>
      </c>
      <c r="DE347" s="20">
        <f ca="1">IF(Table1[[#This Row],[Column1]]="Agriculture",Table1[[#This Row],[income]],0)</f>
        <v>0</v>
      </c>
      <c r="DF347" s="20">
        <f ca="1">IF(Table1[[#This Row],[Column1]]="Technology",Table1[[#This Row],[income]],0)</f>
        <v>0</v>
      </c>
      <c r="DG347" s="20">
        <f ca="1">IF(Table1[[#This Row],[Column1]]="Social Service",Table1[[#This Row],[income]],0)</f>
        <v>0</v>
      </c>
      <c r="DH347" s="20">
        <f ca="1">IF(Table1[[#This Row],[Column1]]="Education",Table1[[#This Row],[income]],0)</f>
        <v>96361</v>
      </c>
      <c r="DI347" s="5">
        <f ca="1">IF(Table1[[#This Row],[Column1]]="Construction",Table1[[#This Row],[income]],0)</f>
        <v>0</v>
      </c>
      <c r="DK347" s="6">
        <f ca="1">IF(Table1[[#This Row],[Value of Debts]]&gt;Table1[[#This Row],[income]],1,0)</f>
        <v>1</v>
      </c>
      <c r="DL347" s="20"/>
      <c r="DM347" s="20"/>
      <c r="DN347" s="5"/>
      <c r="DP347" s="6">
        <f ca="1">IF(Table1[[#This Row],[Net Worth (£)]]&gt;$DS$5,C347,0)</f>
        <v>0</v>
      </c>
      <c r="DQ347" s="20"/>
      <c r="DR347" s="20"/>
      <c r="DS347" s="5"/>
    </row>
    <row r="348" spans="1:123" x14ac:dyDescent="0.2">
      <c r="A348">
        <f t="shared" ca="1" si="16"/>
        <v>2</v>
      </c>
      <c r="B348" s="1" t="str">
        <f ca="1">IF(A348=1, "men", "women")</f>
        <v>women</v>
      </c>
      <c r="C348" s="1">
        <f ca="1">RANDBETWEEN(25,50)</f>
        <v>35</v>
      </c>
      <c r="D348">
        <f ca="1">RANDBETWEEN(1,6)</f>
        <v>2</v>
      </c>
      <c r="E348" t="str">
        <f ca="1">VLOOKUP(D348,$W$5:$X$10,2)</f>
        <v>Construction</v>
      </c>
      <c r="F348">
        <f ca="1">RANDBETWEEN(1,5)</f>
        <v>1</v>
      </c>
      <c r="G348" t="str">
        <f ca="1">VLOOKUP(F348,$Y$5:$Z$9,2)</f>
        <v>High School</v>
      </c>
      <c r="H348">
        <f ca="1">RANDBETWEEN(0,4)</f>
        <v>0</v>
      </c>
      <c r="I348">
        <f ca="1">RANDBETWEEN(1,3)</f>
        <v>2</v>
      </c>
      <c r="J348">
        <f ca="1">RANDBETWEEN(30000,100000)</f>
        <v>84785</v>
      </c>
      <c r="K348">
        <f ca="1">RANDBETWEEN(1,48)</f>
        <v>24</v>
      </c>
      <c r="L348" t="str">
        <f ca="1">VLOOKUP(K348,$AA$5:$AB$52,2)</f>
        <v>Kent</v>
      </c>
      <c r="M348">
        <f ca="1">J348*(RANDBETWEEN(2,5))</f>
        <v>169570</v>
      </c>
      <c r="N348">
        <f ca="1">RAND()*M348</f>
        <v>81967.184529433347</v>
      </c>
      <c r="O348">
        <f ca="1">I348*RAND()*J348</f>
        <v>78804.247470463029</v>
      </c>
      <c r="P348">
        <f ca="1">RANDBETWEEN(0,O348)</f>
        <v>26827</v>
      </c>
      <c r="Q348">
        <f ca="1">RAND()*J348*2</f>
        <v>53589.672561887492</v>
      </c>
      <c r="R348">
        <f ca="1">RAND()*J348*1.5</f>
        <v>42130.074733182322</v>
      </c>
      <c r="S348">
        <f ca="1">J348+R348+O348</f>
        <v>205719.32220364537</v>
      </c>
      <c r="T348">
        <f ca="1">N348+P348+Q348</f>
        <v>162383.85709132085</v>
      </c>
      <c r="U348">
        <f ca="1">S348-T348</f>
        <v>43335.465112324513</v>
      </c>
      <c r="AC348" s="6">
        <f ca="1">IF(Table1[[#This Row],[gender]]="men",1,0)</f>
        <v>0</v>
      </c>
      <c r="AD348">
        <f ca="1">IF(Table1[[#This Row],[gender]]="women",1,0)</f>
        <v>1</v>
      </c>
      <c r="AH348" s="5"/>
      <c r="AJ348" s="6">
        <f ca="1">IF(Table1[[#This Row],[Column1]]="Health",1,0)</f>
        <v>0</v>
      </c>
      <c r="AK348">
        <f ca="1">IF(Table1[[#This Row],[Column1]]="Construction",1,0)</f>
        <v>1</v>
      </c>
      <c r="AL348">
        <f ca="1">IF(Table1[[#This Row],[Column1]]="Technology",1,0)</f>
        <v>0</v>
      </c>
      <c r="AM348">
        <f ca="1">IF(Table1[[#This Row],[Column1]]="Education",1,0)</f>
        <v>0</v>
      </c>
      <c r="AN348">
        <f ca="1">IF(Table1[[#This Row],[Column1]]="Agriculture",1,0)</f>
        <v>0</v>
      </c>
      <c r="AO348">
        <f ca="1">IF(Table1[[#This Row],[Column1]]="Social Service", 1, 0)</f>
        <v>0</v>
      </c>
      <c r="AT348" s="5"/>
      <c r="AV348" s="17">
        <f t="shared" ca="1" si="15"/>
        <v>2642.3566674115709</v>
      </c>
      <c r="AW348" s="5"/>
      <c r="AX348" s="6">
        <f ca="1">IF(Table1[[#This Row],[Value of Debts]]&gt;$AY$4,1,0)</f>
        <v>1</v>
      </c>
      <c r="AY348" s="20"/>
      <c r="AZ348" s="20"/>
      <c r="BA348" s="5"/>
      <c r="BB348" s="25">
        <f ca="1">Table1[[#This Row],[Mortage Left]]/Table1[[#This Row],[Value of House]]</f>
        <v>0.48338258258791855</v>
      </c>
      <c r="BC348" s="20">
        <f t="shared" ca="1" si="17"/>
        <v>0</v>
      </c>
      <c r="BD348" s="20"/>
      <c r="BE348" s="20"/>
      <c r="BF348" s="20"/>
      <c r="BG348" s="6">
        <f ca="1">IF(Table1[[#This Row],[County]]="Cumbria",Table1[[#This Row],[income]],0)</f>
        <v>0</v>
      </c>
      <c r="BH348" s="20">
        <f ca="1">IF(Table1[[#This Row],[County]]="Cheshire",Table1[[#This Row],[income]],0)</f>
        <v>0</v>
      </c>
      <c r="BI348" s="20">
        <f ca="1">IF(Table1[[#This Row],[County]]="Bristol",Table1[[#This Row],[income]],0)</f>
        <v>0</v>
      </c>
      <c r="BJ348" s="20">
        <f ca="1">IF(Table1[[#This Row],[County]]="Surrey",Table1[[#This Row],[income]],0)</f>
        <v>0</v>
      </c>
      <c r="BK348" s="20">
        <f ca="1">IF(Table1[[#This Row],[County]]="Norfolk",Table1[[#This Row],[income]],0)</f>
        <v>0</v>
      </c>
      <c r="BL348" s="20">
        <f ca="1">IF(Table1[[#This Row],[County]]="Lincolnshire",Table1[[#This Row],[income]],0)</f>
        <v>0</v>
      </c>
      <c r="BM348" s="20">
        <f ca="1">IF(Table1[[#This Row],[County]]="Somerset",Table1[[#This Row],[income]],0)</f>
        <v>0</v>
      </c>
      <c r="BN348" s="20">
        <f ca="1">IF(Table1[[#This Row],[County]]="Cambridgeshire",Table1[[#This Row],[income]],0)</f>
        <v>0</v>
      </c>
      <c r="BO348" s="20">
        <f ca="1">IF(Table1[[#This Row],[County]]="South Yorkshire",Table1[[#This Row],[income]],0)</f>
        <v>0</v>
      </c>
      <c r="BP348" s="20">
        <f ca="1">IF(Table1[[#This Row],[County]]="Greater London",Table1[[#This Row],[income]],0)</f>
        <v>0</v>
      </c>
      <c r="BQ348" s="20">
        <f ca="1">IF(Table1[[#This Row],[County]]="Hampshire",Table1[[#This Row],[income]],0)</f>
        <v>0</v>
      </c>
      <c r="BR348" s="20">
        <f ca="1">IF(Table1[[#This Row],[County]]="Gloucestershire",Table1[[#This Row],[income]],0)</f>
        <v>0</v>
      </c>
      <c r="BS348" s="20">
        <f ca="1">IF(Table1[[#This Row],[County]]="West Sussex",Table1[[#This Row],[income]],0)</f>
        <v>0</v>
      </c>
      <c r="BT348" s="20">
        <f ca="1">IF(Table1[[#This Row],[County]]="Devon",Table1[[#This Row],[income]],0)</f>
        <v>0</v>
      </c>
      <c r="BU348" s="20">
        <f ca="1">IF(Table1[[#This Row],[County]]="Berkshire",Table1[[#This Row],[income]],0)</f>
        <v>0</v>
      </c>
      <c r="BV348" s="20">
        <f ca="1">IF(Table1[[#This Row],[County]]="Staffordshire",Table1[[#This Row],[income]],0)</f>
        <v>0</v>
      </c>
      <c r="BW348" s="20">
        <f ca="1">IF(Table1[[#This Row],[County]]="Leicestershire",Table1[[#This Row],[income]],0)</f>
        <v>0</v>
      </c>
      <c r="BX348" s="20">
        <f ca="1">IF(Table1[[#This Row],[County]]="Cornwall",Table1[[#This Row],[income]],0)</f>
        <v>0</v>
      </c>
      <c r="BY348" s="20">
        <f ca="1">IF(Table1[[#This Row],[County]]="Isle of Wight",Table1[[#This Row],[income]],0)</f>
        <v>0</v>
      </c>
      <c r="BZ348" s="20">
        <f ca="1">IF(Table1[[#This Row],[County]]="Surrey",Table1[[#This Row],[income]],0)</f>
        <v>0</v>
      </c>
      <c r="CA348" s="20">
        <f ca="1">IF(Table1[[#This Row],[County]]="Derbyshire",Table1[[#This Row],[income]],0)</f>
        <v>0</v>
      </c>
      <c r="CB348" s="20">
        <f ca="1">IF(Table1[[#This Row],[County]]="City of London",Table1[[#This Row],[income]],0)</f>
        <v>0</v>
      </c>
      <c r="CC348" s="20">
        <f ca="1">IF(Table1[[#This Row],[County]]="Bedfordshire",Table1[[#This Row],[income]],0)</f>
        <v>0</v>
      </c>
      <c r="CD348" s="20">
        <f ca="1">IF(Table1[[#This Row],[County]]="County Durham",Table1[[#This Row],[income]],0)</f>
        <v>0</v>
      </c>
      <c r="CE348" s="20">
        <f ca="1">IF(Table1[[#This Row],[County]]="East Riding of Yorkshire",Table1[[#This Row],[income]],0)</f>
        <v>0</v>
      </c>
      <c r="CF348" s="20">
        <f ca="1">IF(Table1[[#This Row],[County]]="West Yorkshire",Table1[[#This Row],[income]],0)</f>
        <v>0</v>
      </c>
      <c r="CG348" s="20">
        <f ca="1">IF(Table1[[#This Row],[County]]="Essex",Table1[[#This Row],[income]],0)</f>
        <v>0</v>
      </c>
      <c r="CH348" s="20">
        <f ca="1">IF(Table1[[#This Row],[County]]="East Sussex",Table1[[#This Row],[income]],0)</f>
        <v>0</v>
      </c>
      <c r="CI348" s="20">
        <f ca="1">IF(Table1[[#This Row],[County]]="Greater Manchester",Table1[[#This Row],[income]],0)</f>
        <v>0</v>
      </c>
      <c r="CJ348" s="20">
        <f ca="1">IF(Table1[[#This Row],[County]]="Hertfordshire",Table1[[#This Row],[income]],0)</f>
        <v>0</v>
      </c>
      <c r="CK348" s="20">
        <f ca="1">IF(Table1[[#This Row],[County]]="Herefordshire",Table1[[#This Row],[income]],0)</f>
        <v>0</v>
      </c>
      <c r="CL348" s="20">
        <f ca="1">IF(Table1[[#This Row],[County]]="Lancashire",Table1[[#This Row],[income]],0)</f>
        <v>0</v>
      </c>
      <c r="CM348" s="20">
        <f ca="1">IF(Table1[[#This Row],[County]]="Merseyside",Table1[[#This Row],[income]],0)</f>
        <v>0</v>
      </c>
      <c r="CN348" s="20">
        <f ca="1">IF(Table1[[#This Row],[County]]="Northamptonshire",Table1[[#This Row],[income]],0)</f>
        <v>0</v>
      </c>
      <c r="CO348" s="20">
        <f ca="1">IF(Table1[[#This Row],[County]]="Northumberland",Table1[[#This Row],[income]],0)</f>
        <v>0</v>
      </c>
      <c r="CP348" s="20">
        <f ca="1">IF(Table1[[#This Row],[County]]="Wiltshire",Table1[[#This Row],[income]],0)</f>
        <v>0</v>
      </c>
      <c r="CQ348" s="20">
        <f ca="1">IF(Table1[[#This Row],[County]]="West Midlands",Table1[[#This Row],[income]],0)</f>
        <v>0</v>
      </c>
      <c r="CR348" s="20">
        <f ca="1">IF(Table1[[#This Row],[County]]="Warwickshire",Table1[[#This Row],[income]],0)</f>
        <v>0</v>
      </c>
      <c r="CS348" s="20">
        <f ca="1">IF(Table1[[#This Row],[County]]="Tyne and Wear",Table1[[#This Row],[income]],0)</f>
        <v>0</v>
      </c>
      <c r="CT348" s="20">
        <f ca="1">IF(Table1[[#This Row],[County]]="Worcestershire",Table1[[#This Row],[income]],0)</f>
        <v>0</v>
      </c>
      <c r="CU348" s="20">
        <f ca="1">IF(Table1[[#This Row],[County]]="Rutland",Table1[[#This Row],[income]],0)</f>
        <v>0</v>
      </c>
      <c r="CV348" s="20">
        <f ca="1">IF(Table1[[#This Row],[County]]="Shropshire",Table1[[#This Row],[income]],0)</f>
        <v>0</v>
      </c>
      <c r="CW348" s="20">
        <f ca="1">IF(Table1[[#This Row],[County]]="Dorset",Table1[[#This Row],[income]],0)</f>
        <v>0</v>
      </c>
      <c r="CX348" s="20">
        <f ca="1">IF(Table1[[#This Row],[County]]="Buckinghamshire",Table1[[#This Row],[income]],0)</f>
        <v>0</v>
      </c>
      <c r="CY348" s="20">
        <f ca="1">IF(Table1[[#This Row],[County]]="Suffolk",Table1[[#This Row],[income]],0)</f>
        <v>0</v>
      </c>
      <c r="CZ348" s="20">
        <f ca="1">IF(Table1[[#This Row],[County]]="North Yorkshire",Table1[[#This Row],[income]],0)</f>
        <v>0</v>
      </c>
      <c r="DA348" s="20">
        <f ca="1">IF(Table1[[#This Row],[County]]="Kent",Table1[[#This Row],[income]],0)</f>
        <v>84785</v>
      </c>
      <c r="DB348" s="5">
        <f ca="1">IF(Table1[[#This Row],[County]]="Derbyshire",Table1[[#This Row],[income]],0)</f>
        <v>0</v>
      </c>
      <c r="DD348" s="6">
        <f ca="1">IF(Table1[[#This Row],[Column1]]="Health",Table1[[#This Row],[income]],0)</f>
        <v>0</v>
      </c>
      <c r="DE348" s="20">
        <f ca="1">IF(Table1[[#This Row],[Column1]]="Agriculture",Table1[[#This Row],[income]],0)</f>
        <v>0</v>
      </c>
      <c r="DF348" s="20">
        <f ca="1">IF(Table1[[#This Row],[Column1]]="Technology",Table1[[#This Row],[income]],0)</f>
        <v>0</v>
      </c>
      <c r="DG348" s="20">
        <f ca="1">IF(Table1[[#This Row],[Column1]]="Social Service",Table1[[#This Row],[income]],0)</f>
        <v>0</v>
      </c>
      <c r="DH348" s="20">
        <f ca="1">IF(Table1[[#This Row],[Column1]]="Education",Table1[[#This Row],[income]],0)</f>
        <v>0</v>
      </c>
      <c r="DI348" s="5">
        <f ca="1">IF(Table1[[#This Row],[Column1]]="Construction",Table1[[#This Row],[income]],0)</f>
        <v>84785</v>
      </c>
      <c r="DK348" s="6">
        <f ca="1">IF(Table1[[#This Row],[Value of Debts]]&gt;Table1[[#This Row],[income]],1,0)</f>
        <v>1</v>
      </c>
      <c r="DL348" s="20"/>
      <c r="DM348" s="20"/>
      <c r="DN348" s="5"/>
      <c r="DP348" s="6">
        <f ca="1">IF(Table1[[#This Row],[Net Worth (£)]]&gt;$DS$5,C348,0)</f>
        <v>0</v>
      </c>
      <c r="DQ348" s="20"/>
      <c r="DR348" s="20"/>
      <c r="DS348" s="5"/>
    </row>
    <row r="349" spans="1:123" x14ac:dyDescent="0.2">
      <c r="A349">
        <f t="shared" ca="1" si="16"/>
        <v>1</v>
      </c>
      <c r="B349" s="1" t="str">
        <f ca="1">IF(A349=1, "men", "women")</f>
        <v>men</v>
      </c>
      <c r="C349" s="1">
        <f ca="1">RANDBETWEEN(25,50)</f>
        <v>37</v>
      </c>
      <c r="D349">
        <f ca="1">RANDBETWEEN(1,6)</f>
        <v>5</v>
      </c>
      <c r="E349" t="str">
        <f ca="1">VLOOKUP(D349,$W$5:$X$10,2)</f>
        <v>Social Service</v>
      </c>
      <c r="F349">
        <f ca="1">RANDBETWEEN(1,5)</f>
        <v>3</v>
      </c>
      <c r="G349" t="str">
        <f ca="1">VLOOKUP(F349,$Y$5:$Z$9,2)</f>
        <v>University</v>
      </c>
      <c r="H349">
        <f ca="1">RANDBETWEEN(0,4)</f>
        <v>1</v>
      </c>
      <c r="I349">
        <f ca="1">RANDBETWEEN(1,3)</f>
        <v>2</v>
      </c>
      <c r="J349">
        <f ca="1">RANDBETWEEN(30000,100000)</f>
        <v>75753</v>
      </c>
      <c r="K349">
        <f ca="1">RANDBETWEEN(1,48)</f>
        <v>3</v>
      </c>
      <c r="L349" t="str">
        <f ca="1">VLOOKUP(K349,$AA$5:$AB$52,2)</f>
        <v>Bristol</v>
      </c>
      <c r="M349">
        <f ca="1">J349*(RANDBETWEEN(2,5))</f>
        <v>227259</v>
      </c>
      <c r="N349">
        <f ca="1">RAND()*M349</f>
        <v>92636.054027552789</v>
      </c>
      <c r="O349">
        <f ca="1">I349*RAND()*J349</f>
        <v>5284.7133348231418</v>
      </c>
      <c r="P349">
        <f ca="1">RANDBETWEEN(0,O349)</f>
        <v>1138</v>
      </c>
      <c r="Q349">
        <f ca="1">RAND()*J349*2</f>
        <v>137813.60508798971</v>
      </c>
      <c r="R349">
        <f ca="1">RAND()*J349*1.5</f>
        <v>88648.05448467235</v>
      </c>
      <c r="S349">
        <f ca="1">J349+R349+O349</f>
        <v>169685.76781949549</v>
      </c>
      <c r="T349">
        <f ca="1">N349+P349+Q349</f>
        <v>231587.65911554248</v>
      </c>
      <c r="U349">
        <f ca="1">S349-T349</f>
        <v>-61901.89129604699</v>
      </c>
      <c r="AC349" s="6">
        <f ca="1">IF(Table1[[#This Row],[gender]]="men",1,0)</f>
        <v>1</v>
      </c>
      <c r="AD349">
        <f ca="1">IF(Table1[[#This Row],[gender]]="women",1,0)</f>
        <v>0</v>
      </c>
      <c r="AH349" s="5"/>
      <c r="AJ349" s="6">
        <f ca="1">IF(Table1[[#This Row],[Column1]]="Health",1,0)</f>
        <v>0</v>
      </c>
      <c r="AK349">
        <f ca="1">IF(Table1[[#This Row],[Column1]]="Construction",1,0)</f>
        <v>0</v>
      </c>
      <c r="AL349">
        <f ca="1">IF(Table1[[#This Row],[Column1]]="Technology",1,0)</f>
        <v>0</v>
      </c>
      <c r="AM349">
        <f ca="1">IF(Table1[[#This Row],[Column1]]="Education",1,0)</f>
        <v>0</v>
      </c>
      <c r="AN349">
        <f ca="1">IF(Table1[[#This Row],[Column1]]="Agriculture",1,0)</f>
        <v>0</v>
      </c>
      <c r="AO349">
        <f ca="1">IF(Table1[[#This Row],[Column1]]="Social Service", 1, 0)</f>
        <v>1</v>
      </c>
      <c r="AT349" s="5"/>
      <c r="AV349" s="17">
        <f t="shared" ca="1" si="15"/>
        <v>11374.658243958715</v>
      </c>
      <c r="AW349" s="5"/>
      <c r="AX349" s="6">
        <f ca="1">IF(Table1[[#This Row],[Value of Debts]]&gt;$AY$4,1,0)</f>
        <v>1</v>
      </c>
      <c r="AY349" s="20"/>
      <c r="AZ349" s="20"/>
      <c r="BA349" s="5"/>
      <c r="BB349" s="25">
        <f ca="1">Table1[[#This Row],[Mortage Left]]/Table1[[#This Row],[Value of House]]</f>
        <v>0.40762325816602551</v>
      </c>
      <c r="BC349" s="20">
        <f t="shared" ca="1" si="17"/>
        <v>0</v>
      </c>
      <c r="BD349" s="20"/>
      <c r="BE349" s="20"/>
      <c r="BF349" s="20"/>
      <c r="BG349" s="6">
        <f ca="1">IF(Table1[[#This Row],[County]]="Cumbria",Table1[[#This Row],[income]],0)</f>
        <v>0</v>
      </c>
      <c r="BH349" s="20">
        <f ca="1">IF(Table1[[#This Row],[County]]="Cheshire",Table1[[#This Row],[income]],0)</f>
        <v>0</v>
      </c>
      <c r="BI349" s="20">
        <f ca="1">IF(Table1[[#This Row],[County]]="Bristol",Table1[[#This Row],[income]],0)</f>
        <v>75753</v>
      </c>
      <c r="BJ349" s="20">
        <f ca="1">IF(Table1[[#This Row],[County]]="Surrey",Table1[[#This Row],[income]],0)</f>
        <v>0</v>
      </c>
      <c r="BK349" s="20">
        <f ca="1">IF(Table1[[#This Row],[County]]="Norfolk",Table1[[#This Row],[income]],0)</f>
        <v>0</v>
      </c>
      <c r="BL349" s="20">
        <f ca="1">IF(Table1[[#This Row],[County]]="Lincolnshire",Table1[[#This Row],[income]],0)</f>
        <v>0</v>
      </c>
      <c r="BM349" s="20">
        <f ca="1">IF(Table1[[#This Row],[County]]="Somerset",Table1[[#This Row],[income]],0)</f>
        <v>0</v>
      </c>
      <c r="BN349" s="20">
        <f ca="1">IF(Table1[[#This Row],[County]]="Cambridgeshire",Table1[[#This Row],[income]],0)</f>
        <v>0</v>
      </c>
      <c r="BO349" s="20">
        <f ca="1">IF(Table1[[#This Row],[County]]="South Yorkshire",Table1[[#This Row],[income]],0)</f>
        <v>0</v>
      </c>
      <c r="BP349" s="20">
        <f ca="1">IF(Table1[[#This Row],[County]]="Greater London",Table1[[#This Row],[income]],0)</f>
        <v>0</v>
      </c>
      <c r="BQ349" s="20">
        <f ca="1">IF(Table1[[#This Row],[County]]="Hampshire",Table1[[#This Row],[income]],0)</f>
        <v>0</v>
      </c>
      <c r="BR349" s="20">
        <f ca="1">IF(Table1[[#This Row],[County]]="Gloucestershire",Table1[[#This Row],[income]],0)</f>
        <v>0</v>
      </c>
      <c r="BS349" s="20">
        <f ca="1">IF(Table1[[#This Row],[County]]="West Sussex",Table1[[#This Row],[income]],0)</f>
        <v>0</v>
      </c>
      <c r="BT349" s="20">
        <f ca="1">IF(Table1[[#This Row],[County]]="Devon",Table1[[#This Row],[income]],0)</f>
        <v>0</v>
      </c>
      <c r="BU349" s="20">
        <f ca="1">IF(Table1[[#This Row],[County]]="Berkshire",Table1[[#This Row],[income]],0)</f>
        <v>0</v>
      </c>
      <c r="BV349" s="20">
        <f ca="1">IF(Table1[[#This Row],[County]]="Staffordshire",Table1[[#This Row],[income]],0)</f>
        <v>0</v>
      </c>
      <c r="BW349" s="20">
        <f ca="1">IF(Table1[[#This Row],[County]]="Leicestershire",Table1[[#This Row],[income]],0)</f>
        <v>0</v>
      </c>
      <c r="BX349" s="20">
        <f ca="1">IF(Table1[[#This Row],[County]]="Cornwall",Table1[[#This Row],[income]],0)</f>
        <v>0</v>
      </c>
      <c r="BY349" s="20">
        <f ca="1">IF(Table1[[#This Row],[County]]="Isle of Wight",Table1[[#This Row],[income]],0)</f>
        <v>0</v>
      </c>
      <c r="BZ349" s="20">
        <f ca="1">IF(Table1[[#This Row],[County]]="Surrey",Table1[[#This Row],[income]],0)</f>
        <v>0</v>
      </c>
      <c r="CA349" s="20">
        <f ca="1">IF(Table1[[#This Row],[County]]="Derbyshire",Table1[[#This Row],[income]],0)</f>
        <v>0</v>
      </c>
      <c r="CB349" s="20">
        <f ca="1">IF(Table1[[#This Row],[County]]="City of London",Table1[[#This Row],[income]],0)</f>
        <v>0</v>
      </c>
      <c r="CC349" s="20">
        <f ca="1">IF(Table1[[#This Row],[County]]="Bedfordshire",Table1[[#This Row],[income]],0)</f>
        <v>0</v>
      </c>
      <c r="CD349" s="20">
        <f ca="1">IF(Table1[[#This Row],[County]]="County Durham",Table1[[#This Row],[income]],0)</f>
        <v>0</v>
      </c>
      <c r="CE349" s="20">
        <f ca="1">IF(Table1[[#This Row],[County]]="East Riding of Yorkshire",Table1[[#This Row],[income]],0)</f>
        <v>0</v>
      </c>
      <c r="CF349" s="20">
        <f ca="1">IF(Table1[[#This Row],[County]]="West Yorkshire",Table1[[#This Row],[income]],0)</f>
        <v>0</v>
      </c>
      <c r="CG349" s="20">
        <f ca="1">IF(Table1[[#This Row],[County]]="Essex",Table1[[#This Row],[income]],0)</f>
        <v>0</v>
      </c>
      <c r="CH349" s="20">
        <f ca="1">IF(Table1[[#This Row],[County]]="East Sussex",Table1[[#This Row],[income]],0)</f>
        <v>0</v>
      </c>
      <c r="CI349" s="20">
        <f ca="1">IF(Table1[[#This Row],[County]]="Greater Manchester",Table1[[#This Row],[income]],0)</f>
        <v>0</v>
      </c>
      <c r="CJ349" s="20">
        <f ca="1">IF(Table1[[#This Row],[County]]="Hertfordshire",Table1[[#This Row],[income]],0)</f>
        <v>0</v>
      </c>
      <c r="CK349" s="20">
        <f ca="1">IF(Table1[[#This Row],[County]]="Herefordshire",Table1[[#This Row],[income]],0)</f>
        <v>0</v>
      </c>
      <c r="CL349" s="20">
        <f ca="1">IF(Table1[[#This Row],[County]]="Lancashire",Table1[[#This Row],[income]],0)</f>
        <v>0</v>
      </c>
      <c r="CM349" s="20">
        <f ca="1">IF(Table1[[#This Row],[County]]="Merseyside",Table1[[#This Row],[income]],0)</f>
        <v>0</v>
      </c>
      <c r="CN349" s="20">
        <f ca="1">IF(Table1[[#This Row],[County]]="Northamptonshire",Table1[[#This Row],[income]],0)</f>
        <v>0</v>
      </c>
      <c r="CO349" s="20">
        <f ca="1">IF(Table1[[#This Row],[County]]="Northumberland",Table1[[#This Row],[income]],0)</f>
        <v>0</v>
      </c>
      <c r="CP349" s="20">
        <f ca="1">IF(Table1[[#This Row],[County]]="Wiltshire",Table1[[#This Row],[income]],0)</f>
        <v>0</v>
      </c>
      <c r="CQ349" s="20">
        <f ca="1">IF(Table1[[#This Row],[County]]="West Midlands",Table1[[#This Row],[income]],0)</f>
        <v>0</v>
      </c>
      <c r="CR349" s="20">
        <f ca="1">IF(Table1[[#This Row],[County]]="Warwickshire",Table1[[#This Row],[income]],0)</f>
        <v>0</v>
      </c>
      <c r="CS349" s="20">
        <f ca="1">IF(Table1[[#This Row],[County]]="Tyne and Wear",Table1[[#This Row],[income]],0)</f>
        <v>0</v>
      </c>
      <c r="CT349" s="20">
        <f ca="1">IF(Table1[[#This Row],[County]]="Worcestershire",Table1[[#This Row],[income]],0)</f>
        <v>0</v>
      </c>
      <c r="CU349" s="20">
        <f ca="1">IF(Table1[[#This Row],[County]]="Rutland",Table1[[#This Row],[income]],0)</f>
        <v>0</v>
      </c>
      <c r="CV349" s="20">
        <f ca="1">IF(Table1[[#This Row],[County]]="Shropshire",Table1[[#This Row],[income]],0)</f>
        <v>0</v>
      </c>
      <c r="CW349" s="20">
        <f ca="1">IF(Table1[[#This Row],[County]]="Dorset",Table1[[#This Row],[income]],0)</f>
        <v>0</v>
      </c>
      <c r="CX349" s="20">
        <f ca="1">IF(Table1[[#This Row],[County]]="Buckinghamshire",Table1[[#This Row],[income]],0)</f>
        <v>0</v>
      </c>
      <c r="CY349" s="20">
        <f ca="1">IF(Table1[[#This Row],[County]]="Suffolk",Table1[[#This Row],[income]],0)</f>
        <v>0</v>
      </c>
      <c r="CZ349" s="20">
        <f ca="1">IF(Table1[[#This Row],[County]]="North Yorkshire",Table1[[#This Row],[income]],0)</f>
        <v>0</v>
      </c>
      <c r="DA349" s="20">
        <f ca="1">IF(Table1[[#This Row],[County]]="Kent",Table1[[#This Row],[income]],0)</f>
        <v>0</v>
      </c>
      <c r="DB349" s="5">
        <f ca="1">IF(Table1[[#This Row],[County]]="Derbyshire",Table1[[#This Row],[income]],0)</f>
        <v>0</v>
      </c>
      <c r="DD349" s="6">
        <f ca="1">IF(Table1[[#This Row],[Column1]]="Health",Table1[[#This Row],[income]],0)</f>
        <v>0</v>
      </c>
      <c r="DE349" s="20">
        <f ca="1">IF(Table1[[#This Row],[Column1]]="Agriculture",Table1[[#This Row],[income]],0)</f>
        <v>0</v>
      </c>
      <c r="DF349" s="20">
        <f ca="1">IF(Table1[[#This Row],[Column1]]="Technology",Table1[[#This Row],[income]],0)</f>
        <v>0</v>
      </c>
      <c r="DG349" s="20">
        <f ca="1">IF(Table1[[#This Row],[Column1]]="Social Service",Table1[[#This Row],[income]],0)</f>
        <v>75753</v>
      </c>
      <c r="DH349" s="20">
        <f ca="1">IF(Table1[[#This Row],[Column1]]="Education",Table1[[#This Row],[income]],0)</f>
        <v>0</v>
      </c>
      <c r="DI349" s="5">
        <f ca="1">IF(Table1[[#This Row],[Column1]]="Construction",Table1[[#This Row],[income]],0)</f>
        <v>0</v>
      </c>
      <c r="DK349" s="6">
        <f ca="1">IF(Table1[[#This Row],[Value of Debts]]&gt;Table1[[#This Row],[income]],1,0)</f>
        <v>1</v>
      </c>
      <c r="DL349" s="20"/>
      <c r="DM349" s="20"/>
      <c r="DN349" s="5"/>
      <c r="DP349" s="6">
        <f ca="1">IF(Table1[[#This Row],[Net Worth (£)]]&gt;$DS$5,C349,0)</f>
        <v>0</v>
      </c>
      <c r="DQ349" s="20"/>
      <c r="DR349" s="20"/>
      <c r="DS349" s="5"/>
    </row>
    <row r="350" spans="1:123" x14ac:dyDescent="0.2">
      <c r="A350">
        <f t="shared" ca="1" si="16"/>
        <v>1</v>
      </c>
      <c r="B350" s="1" t="str">
        <f ca="1">IF(A350=1, "men", "women")</f>
        <v>men</v>
      </c>
      <c r="C350" s="1">
        <f ca="1">RANDBETWEEN(25,50)</f>
        <v>39</v>
      </c>
      <c r="D350">
        <f ca="1">RANDBETWEEN(1,6)</f>
        <v>1</v>
      </c>
      <c r="E350" t="str">
        <f ca="1">VLOOKUP(D350,$W$5:$X$10,2)</f>
        <v>Health</v>
      </c>
      <c r="F350">
        <f ca="1">RANDBETWEEN(1,5)</f>
        <v>1</v>
      </c>
      <c r="G350" t="str">
        <f ca="1">VLOOKUP(F350,$Y$5:$Z$9,2)</f>
        <v>High School</v>
      </c>
      <c r="H350">
        <f ca="1">RANDBETWEEN(0,4)</f>
        <v>4</v>
      </c>
      <c r="I350">
        <f ca="1">RANDBETWEEN(1,3)</f>
        <v>3</v>
      </c>
      <c r="J350">
        <f ca="1">RANDBETWEEN(30000,100000)</f>
        <v>64005</v>
      </c>
      <c r="K350">
        <f ca="1">RANDBETWEEN(1,48)</f>
        <v>26</v>
      </c>
      <c r="L350" t="str">
        <f ca="1">VLOOKUP(K350,$AA$5:$AB$52,2)</f>
        <v>Leicestershire</v>
      </c>
      <c r="M350">
        <f ca="1">J350*(RANDBETWEEN(2,5))</f>
        <v>320025</v>
      </c>
      <c r="N350">
        <f ca="1">RAND()*M350</f>
        <v>47864.564768944023</v>
      </c>
      <c r="O350">
        <f ca="1">I350*RAND()*J350</f>
        <v>34123.974731876144</v>
      </c>
      <c r="P350">
        <f ca="1">RANDBETWEEN(0,O350)</f>
        <v>5567</v>
      </c>
      <c r="Q350">
        <f ca="1">RAND()*J350*2</f>
        <v>33330.058970271573</v>
      </c>
      <c r="R350">
        <f ca="1">RAND()*J350*1.5</f>
        <v>37006.212158839509</v>
      </c>
      <c r="S350">
        <f ca="1">J350+R350+O350</f>
        <v>135135.18689071565</v>
      </c>
      <c r="T350">
        <f ca="1">N350+P350+Q350</f>
        <v>86761.623739215604</v>
      </c>
      <c r="U350">
        <f ca="1">S350-T350</f>
        <v>48373.563151500042</v>
      </c>
      <c r="AC350" s="6">
        <f ca="1">IF(Table1[[#This Row],[gender]]="men",1,0)</f>
        <v>1</v>
      </c>
      <c r="AD350">
        <f ca="1">IF(Table1[[#This Row],[gender]]="women",1,0)</f>
        <v>0</v>
      </c>
      <c r="AH350" s="5"/>
      <c r="AJ350" s="6">
        <f ca="1">IF(Table1[[#This Row],[Column1]]="Health",1,0)</f>
        <v>1</v>
      </c>
      <c r="AK350">
        <f ca="1">IF(Table1[[#This Row],[Column1]]="Construction",1,0)</f>
        <v>0</v>
      </c>
      <c r="AL350">
        <f ca="1">IF(Table1[[#This Row],[Column1]]="Technology",1,0)</f>
        <v>0</v>
      </c>
      <c r="AM350">
        <f ca="1">IF(Table1[[#This Row],[Column1]]="Education",1,0)</f>
        <v>0</v>
      </c>
      <c r="AN350">
        <f ca="1">IF(Table1[[#This Row],[Column1]]="Agriculture",1,0)</f>
        <v>0</v>
      </c>
      <c r="AO350">
        <f ca="1">IF(Table1[[#This Row],[Column1]]="Social Service", 1, 0)</f>
        <v>0</v>
      </c>
      <c r="AT350" s="5"/>
      <c r="AV350" s="17">
        <f t="shared" ca="1" si="15"/>
        <v>15699.725429264676</v>
      </c>
      <c r="AW350" s="5"/>
      <c r="AX350" s="6">
        <f ca="1">IF(Table1[[#This Row],[Value of Debts]]&gt;$AY$4,1,0)</f>
        <v>0</v>
      </c>
      <c r="AY350" s="20"/>
      <c r="AZ350" s="20"/>
      <c r="BA350" s="5"/>
      <c r="BB350" s="25">
        <f ca="1">Table1[[#This Row],[Mortage Left]]/Table1[[#This Row],[Value of House]]</f>
        <v>0.14956508013106484</v>
      </c>
      <c r="BC350" s="20">
        <f t="shared" ca="1" si="17"/>
        <v>1</v>
      </c>
      <c r="BD350" s="20"/>
      <c r="BE350" s="20"/>
      <c r="BF350" s="20"/>
      <c r="BG350" s="6">
        <f ca="1">IF(Table1[[#This Row],[County]]="Cumbria",Table1[[#This Row],[income]],0)</f>
        <v>0</v>
      </c>
      <c r="BH350" s="20">
        <f ca="1">IF(Table1[[#This Row],[County]]="Cheshire",Table1[[#This Row],[income]],0)</f>
        <v>0</v>
      </c>
      <c r="BI350" s="20">
        <f ca="1">IF(Table1[[#This Row],[County]]="Bristol",Table1[[#This Row],[income]],0)</f>
        <v>0</v>
      </c>
      <c r="BJ350" s="20">
        <f ca="1">IF(Table1[[#This Row],[County]]="Surrey",Table1[[#This Row],[income]],0)</f>
        <v>0</v>
      </c>
      <c r="BK350" s="20">
        <f ca="1">IF(Table1[[#This Row],[County]]="Norfolk",Table1[[#This Row],[income]],0)</f>
        <v>0</v>
      </c>
      <c r="BL350" s="20">
        <f ca="1">IF(Table1[[#This Row],[County]]="Lincolnshire",Table1[[#This Row],[income]],0)</f>
        <v>0</v>
      </c>
      <c r="BM350" s="20">
        <f ca="1">IF(Table1[[#This Row],[County]]="Somerset",Table1[[#This Row],[income]],0)</f>
        <v>0</v>
      </c>
      <c r="BN350" s="20">
        <f ca="1">IF(Table1[[#This Row],[County]]="Cambridgeshire",Table1[[#This Row],[income]],0)</f>
        <v>0</v>
      </c>
      <c r="BO350" s="20">
        <f ca="1">IF(Table1[[#This Row],[County]]="South Yorkshire",Table1[[#This Row],[income]],0)</f>
        <v>0</v>
      </c>
      <c r="BP350" s="20">
        <f ca="1">IF(Table1[[#This Row],[County]]="Greater London",Table1[[#This Row],[income]],0)</f>
        <v>0</v>
      </c>
      <c r="BQ350" s="20">
        <f ca="1">IF(Table1[[#This Row],[County]]="Hampshire",Table1[[#This Row],[income]],0)</f>
        <v>0</v>
      </c>
      <c r="BR350" s="20">
        <f ca="1">IF(Table1[[#This Row],[County]]="Gloucestershire",Table1[[#This Row],[income]],0)</f>
        <v>0</v>
      </c>
      <c r="BS350" s="20">
        <f ca="1">IF(Table1[[#This Row],[County]]="West Sussex",Table1[[#This Row],[income]],0)</f>
        <v>0</v>
      </c>
      <c r="BT350" s="20">
        <f ca="1">IF(Table1[[#This Row],[County]]="Devon",Table1[[#This Row],[income]],0)</f>
        <v>0</v>
      </c>
      <c r="BU350" s="20">
        <f ca="1">IF(Table1[[#This Row],[County]]="Berkshire",Table1[[#This Row],[income]],0)</f>
        <v>0</v>
      </c>
      <c r="BV350" s="20">
        <f ca="1">IF(Table1[[#This Row],[County]]="Staffordshire",Table1[[#This Row],[income]],0)</f>
        <v>0</v>
      </c>
      <c r="BW350" s="20">
        <f ca="1">IF(Table1[[#This Row],[County]]="Leicestershire",Table1[[#This Row],[income]],0)</f>
        <v>64005</v>
      </c>
      <c r="BX350" s="20">
        <f ca="1">IF(Table1[[#This Row],[County]]="Cornwall",Table1[[#This Row],[income]],0)</f>
        <v>0</v>
      </c>
      <c r="BY350" s="20">
        <f ca="1">IF(Table1[[#This Row],[County]]="Isle of Wight",Table1[[#This Row],[income]],0)</f>
        <v>0</v>
      </c>
      <c r="BZ350" s="20">
        <f ca="1">IF(Table1[[#This Row],[County]]="Surrey",Table1[[#This Row],[income]],0)</f>
        <v>0</v>
      </c>
      <c r="CA350" s="20">
        <f ca="1">IF(Table1[[#This Row],[County]]="Derbyshire",Table1[[#This Row],[income]],0)</f>
        <v>0</v>
      </c>
      <c r="CB350" s="20">
        <f ca="1">IF(Table1[[#This Row],[County]]="City of London",Table1[[#This Row],[income]],0)</f>
        <v>0</v>
      </c>
      <c r="CC350" s="20">
        <f ca="1">IF(Table1[[#This Row],[County]]="Bedfordshire",Table1[[#This Row],[income]],0)</f>
        <v>0</v>
      </c>
      <c r="CD350" s="20">
        <f ca="1">IF(Table1[[#This Row],[County]]="County Durham",Table1[[#This Row],[income]],0)</f>
        <v>0</v>
      </c>
      <c r="CE350" s="20">
        <f ca="1">IF(Table1[[#This Row],[County]]="East Riding of Yorkshire",Table1[[#This Row],[income]],0)</f>
        <v>0</v>
      </c>
      <c r="CF350" s="20">
        <f ca="1">IF(Table1[[#This Row],[County]]="West Yorkshire",Table1[[#This Row],[income]],0)</f>
        <v>0</v>
      </c>
      <c r="CG350" s="20">
        <f ca="1">IF(Table1[[#This Row],[County]]="Essex",Table1[[#This Row],[income]],0)</f>
        <v>0</v>
      </c>
      <c r="CH350" s="20">
        <f ca="1">IF(Table1[[#This Row],[County]]="East Sussex",Table1[[#This Row],[income]],0)</f>
        <v>0</v>
      </c>
      <c r="CI350" s="20">
        <f ca="1">IF(Table1[[#This Row],[County]]="Greater Manchester",Table1[[#This Row],[income]],0)</f>
        <v>0</v>
      </c>
      <c r="CJ350" s="20">
        <f ca="1">IF(Table1[[#This Row],[County]]="Hertfordshire",Table1[[#This Row],[income]],0)</f>
        <v>0</v>
      </c>
      <c r="CK350" s="20">
        <f ca="1">IF(Table1[[#This Row],[County]]="Herefordshire",Table1[[#This Row],[income]],0)</f>
        <v>0</v>
      </c>
      <c r="CL350" s="20">
        <f ca="1">IF(Table1[[#This Row],[County]]="Lancashire",Table1[[#This Row],[income]],0)</f>
        <v>0</v>
      </c>
      <c r="CM350" s="20">
        <f ca="1">IF(Table1[[#This Row],[County]]="Merseyside",Table1[[#This Row],[income]],0)</f>
        <v>0</v>
      </c>
      <c r="CN350" s="20">
        <f ca="1">IF(Table1[[#This Row],[County]]="Northamptonshire",Table1[[#This Row],[income]],0)</f>
        <v>0</v>
      </c>
      <c r="CO350" s="20">
        <f ca="1">IF(Table1[[#This Row],[County]]="Northumberland",Table1[[#This Row],[income]],0)</f>
        <v>0</v>
      </c>
      <c r="CP350" s="20">
        <f ca="1">IF(Table1[[#This Row],[County]]="Wiltshire",Table1[[#This Row],[income]],0)</f>
        <v>0</v>
      </c>
      <c r="CQ350" s="20">
        <f ca="1">IF(Table1[[#This Row],[County]]="West Midlands",Table1[[#This Row],[income]],0)</f>
        <v>0</v>
      </c>
      <c r="CR350" s="20">
        <f ca="1">IF(Table1[[#This Row],[County]]="Warwickshire",Table1[[#This Row],[income]],0)</f>
        <v>0</v>
      </c>
      <c r="CS350" s="20">
        <f ca="1">IF(Table1[[#This Row],[County]]="Tyne and Wear",Table1[[#This Row],[income]],0)</f>
        <v>0</v>
      </c>
      <c r="CT350" s="20">
        <f ca="1">IF(Table1[[#This Row],[County]]="Worcestershire",Table1[[#This Row],[income]],0)</f>
        <v>0</v>
      </c>
      <c r="CU350" s="20">
        <f ca="1">IF(Table1[[#This Row],[County]]="Rutland",Table1[[#This Row],[income]],0)</f>
        <v>0</v>
      </c>
      <c r="CV350" s="20">
        <f ca="1">IF(Table1[[#This Row],[County]]="Shropshire",Table1[[#This Row],[income]],0)</f>
        <v>0</v>
      </c>
      <c r="CW350" s="20">
        <f ca="1">IF(Table1[[#This Row],[County]]="Dorset",Table1[[#This Row],[income]],0)</f>
        <v>0</v>
      </c>
      <c r="CX350" s="20">
        <f ca="1">IF(Table1[[#This Row],[County]]="Buckinghamshire",Table1[[#This Row],[income]],0)</f>
        <v>0</v>
      </c>
      <c r="CY350" s="20">
        <f ca="1">IF(Table1[[#This Row],[County]]="Suffolk",Table1[[#This Row],[income]],0)</f>
        <v>0</v>
      </c>
      <c r="CZ350" s="20">
        <f ca="1">IF(Table1[[#This Row],[County]]="North Yorkshire",Table1[[#This Row],[income]],0)</f>
        <v>0</v>
      </c>
      <c r="DA350" s="20">
        <f ca="1">IF(Table1[[#This Row],[County]]="Kent",Table1[[#This Row],[income]],0)</f>
        <v>0</v>
      </c>
      <c r="DB350" s="5">
        <f ca="1">IF(Table1[[#This Row],[County]]="Derbyshire",Table1[[#This Row],[income]],0)</f>
        <v>0</v>
      </c>
      <c r="DD350" s="6">
        <f ca="1">IF(Table1[[#This Row],[Column1]]="Health",Table1[[#This Row],[income]],0)</f>
        <v>64005</v>
      </c>
      <c r="DE350" s="20">
        <f ca="1">IF(Table1[[#This Row],[Column1]]="Agriculture",Table1[[#This Row],[income]],0)</f>
        <v>0</v>
      </c>
      <c r="DF350" s="20">
        <f ca="1">IF(Table1[[#This Row],[Column1]]="Technology",Table1[[#This Row],[income]],0)</f>
        <v>0</v>
      </c>
      <c r="DG350" s="20">
        <f ca="1">IF(Table1[[#This Row],[Column1]]="Social Service",Table1[[#This Row],[income]],0)</f>
        <v>0</v>
      </c>
      <c r="DH350" s="20">
        <f ca="1">IF(Table1[[#This Row],[Column1]]="Education",Table1[[#This Row],[income]],0)</f>
        <v>0</v>
      </c>
      <c r="DI350" s="5">
        <f ca="1">IF(Table1[[#This Row],[Column1]]="Construction",Table1[[#This Row],[income]],0)</f>
        <v>0</v>
      </c>
      <c r="DK350" s="6">
        <f ca="1">IF(Table1[[#This Row],[Value of Debts]]&gt;Table1[[#This Row],[income]],1,0)</f>
        <v>1</v>
      </c>
      <c r="DL350" s="20"/>
      <c r="DM350" s="20"/>
      <c r="DN350" s="5"/>
      <c r="DP350" s="6">
        <f ca="1">IF(Table1[[#This Row],[Net Worth (£)]]&gt;$DS$5,C350,0)</f>
        <v>0</v>
      </c>
      <c r="DQ350" s="20"/>
      <c r="DR350" s="20"/>
      <c r="DS350" s="5"/>
    </row>
    <row r="351" spans="1:123" x14ac:dyDescent="0.2">
      <c r="A351">
        <f t="shared" ca="1" si="16"/>
        <v>1</v>
      </c>
      <c r="B351" s="1" t="str">
        <f ca="1">IF(A351=1, "men", "women")</f>
        <v>men</v>
      </c>
      <c r="C351" s="1">
        <f ca="1">RANDBETWEEN(25,50)</f>
        <v>38</v>
      </c>
      <c r="D351">
        <f ca="1">RANDBETWEEN(1,6)</f>
        <v>3</v>
      </c>
      <c r="E351" t="str">
        <f ca="1">VLOOKUP(D351,$W$5:$X$10,2)</f>
        <v>Education</v>
      </c>
      <c r="F351">
        <f ca="1">RANDBETWEEN(1,5)</f>
        <v>3</v>
      </c>
      <c r="G351" t="str">
        <f ca="1">VLOOKUP(F351,$Y$5:$Z$9,2)</f>
        <v>University</v>
      </c>
      <c r="H351">
        <f ca="1">RANDBETWEEN(0,4)</f>
        <v>4</v>
      </c>
      <c r="I351">
        <f ca="1">RANDBETWEEN(1,3)</f>
        <v>1</v>
      </c>
      <c r="J351">
        <f ca="1">RANDBETWEEN(30000,100000)</f>
        <v>46203</v>
      </c>
      <c r="K351">
        <f ca="1">RANDBETWEEN(1,48)</f>
        <v>19</v>
      </c>
      <c r="L351" t="str">
        <f ca="1">VLOOKUP(K351,$AA$5:$AB$52,2)</f>
        <v>Greater Manchester</v>
      </c>
      <c r="M351">
        <f ca="1">J351*(RANDBETWEEN(2,5))</f>
        <v>184812</v>
      </c>
      <c r="N351">
        <f ca="1">RAND()*M351</f>
        <v>77878.618469193578</v>
      </c>
      <c r="O351">
        <f ca="1">I351*RAND()*J351</f>
        <v>15699.725429264676</v>
      </c>
      <c r="P351">
        <f ca="1">RANDBETWEEN(0,O351)</f>
        <v>9014</v>
      </c>
      <c r="Q351">
        <f ca="1">RAND()*J351*2</f>
        <v>67660.17261411871</v>
      </c>
      <c r="R351">
        <f ca="1">RAND()*J351*1.5</f>
        <v>34836.19619061501</v>
      </c>
      <c r="S351">
        <f ca="1">J351+R351+O351</f>
        <v>96738.921619879693</v>
      </c>
      <c r="T351">
        <f ca="1">N351+P351+Q351</f>
        <v>154552.7910833123</v>
      </c>
      <c r="U351">
        <f ca="1">S351-T351</f>
        <v>-57813.869463432609</v>
      </c>
      <c r="AC351" s="6">
        <f ca="1">IF(Table1[[#This Row],[gender]]="men",1,0)</f>
        <v>1</v>
      </c>
      <c r="AD351">
        <f ca="1">IF(Table1[[#This Row],[gender]]="women",1,0)</f>
        <v>0</v>
      </c>
      <c r="AH351" s="5"/>
      <c r="AJ351" s="6">
        <f ca="1">IF(Table1[[#This Row],[Column1]]="Health",1,0)</f>
        <v>0</v>
      </c>
      <c r="AK351">
        <f ca="1">IF(Table1[[#This Row],[Column1]]="Construction",1,0)</f>
        <v>0</v>
      </c>
      <c r="AL351">
        <f ca="1">IF(Table1[[#This Row],[Column1]]="Technology",1,0)</f>
        <v>0</v>
      </c>
      <c r="AM351">
        <f ca="1">IF(Table1[[#This Row],[Column1]]="Education",1,0)</f>
        <v>1</v>
      </c>
      <c r="AN351">
        <f ca="1">IF(Table1[[#This Row],[Column1]]="Agriculture",1,0)</f>
        <v>0</v>
      </c>
      <c r="AO351">
        <f ca="1">IF(Table1[[#This Row],[Column1]]="Social Service", 1, 0)</f>
        <v>0</v>
      </c>
      <c r="AT351" s="5"/>
      <c r="AV351" s="17">
        <f t="shared" ca="1" si="15"/>
        <v>60734.014161205705</v>
      </c>
      <c r="AW351" s="5"/>
      <c r="AX351" s="6">
        <f ca="1">IF(Table1[[#This Row],[Value of Debts]]&gt;$AY$4,1,0)</f>
        <v>1</v>
      </c>
      <c r="AY351" s="20"/>
      <c r="AZ351" s="20"/>
      <c r="BA351" s="5"/>
      <c r="BB351" s="25">
        <f ca="1">Table1[[#This Row],[Mortage Left]]/Table1[[#This Row],[Value of House]]</f>
        <v>0.42139373238314382</v>
      </c>
      <c r="BC351" s="20">
        <f t="shared" ca="1" si="17"/>
        <v>0</v>
      </c>
      <c r="BD351" s="20"/>
      <c r="BE351" s="20"/>
      <c r="BF351" s="20"/>
      <c r="BG351" s="6">
        <f ca="1">IF(Table1[[#This Row],[County]]="Cumbria",Table1[[#This Row],[income]],0)</f>
        <v>0</v>
      </c>
      <c r="BH351" s="20">
        <f ca="1">IF(Table1[[#This Row],[County]]="Cheshire",Table1[[#This Row],[income]],0)</f>
        <v>0</v>
      </c>
      <c r="BI351" s="20">
        <f ca="1">IF(Table1[[#This Row],[County]]="Bristol",Table1[[#This Row],[income]],0)</f>
        <v>0</v>
      </c>
      <c r="BJ351" s="20">
        <f ca="1">IF(Table1[[#This Row],[County]]="Surrey",Table1[[#This Row],[income]],0)</f>
        <v>0</v>
      </c>
      <c r="BK351" s="20">
        <f ca="1">IF(Table1[[#This Row],[County]]="Norfolk",Table1[[#This Row],[income]],0)</f>
        <v>0</v>
      </c>
      <c r="BL351" s="20">
        <f ca="1">IF(Table1[[#This Row],[County]]="Lincolnshire",Table1[[#This Row],[income]],0)</f>
        <v>0</v>
      </c>
      <c r="BM351" s="20">
        <f ca="1">IF(Table1[[#This Row],[County]]="Somerset",Table1[[#This Row],[income]],0)</f>
        <v>0</v>
      </c>
      <c r="BN351" s="20">
        <f ca="1">IF(Table1[[#This Row],[County]]="Cambridgeshire",Table1[[#This Row],[income]],0)</f>
        <v>0</v>
      </c>
      <c r="BO351" s="20">
        <f ca="1">IF(Table1[[#This Row],[County]]="South Yorkshire",Table1[[#This Row],[income]],0)</f>
        <v>0</v>
      </c>
      <c r="BP351" s="20">
        <f ca="1">IF(Table1[[#This Row],[County]]="Greater London",Table1[[#This Row],[income]],0)</f>
        <v>0</v>
      </c>
      <c r="BQ351" s="20">
        <f ca="1">IF(Table1[[#This Row],[County]]="Hampshire",Table1[[#This Row],[income]],0)</f>
        <v>0</v>
      </c>
      <c r="BR351" s="20">
        <f ca="1">IF(Table1[[#This Row],[County]]="Gloucestershire",Table1[[#This Row],[income]],0)</f>
        <v>0</v>
      </c>
      <c r="BS351" s="20">
        <f ca="1">IF(Table1[[#This Row],[County]]="West Sussex",Table1[[#This Row],[income]],0)</f>
        <v>0</v>
      </c>
      <c r="BT351" s="20">
        <f ca="1">IF(Table1[[#This Row],[County]]="Devon",Table1[[#This Row],[income]],0)</f>
        <v>0</v>
      </c>
      <c r="BU351" s="20">
        <f ca="1">IF(Table1[[#This Row],[County]]="Berkshire",Table1[[#This Row],[income]],0)</f>
        <v>0</v>
      </c>
      <c r="BV351" s="20">
        <f ca="1">IF(Table1[[#This Row],[County]]="Staffordshire",Table1[[#This Row],[income]],0)</f>
        <v>0</v>
      </c>
      <c r="BW351" s="20">
        <f ca="1">IF(Table1[[#This Row],[County]]="Leicestershire",Table1[[#This Row],[income]],0)</f>
        <v>0</v>
      </c>
      <c r="BX351" s="20">
        <f ca="1">IF(Table1[[#This Row],[County]]="Cornwall",Table1[[#This Row],[income]],0)</f>
        <v>0</v>
      </c>
      <c r="BY351" s="20">
        <f ca="1">IF(Table1[[#This Row],[County]]="Isle of Wight",Table1[[#This Row],[income]],0)</f>
        <v>0</v>
      </c>
      <c r="BZ351" s="20">
        <f ca="1">IF(Table1[[#This Row],[County]]="Surrey",Table1[[#This Row],[income]],0)</f>
        <v>0</v>
      </c>
      <c r="CA351" s="20">
        <f ca="1">IF(Table1[[#This Row],[County]]="Derbyshire",Table1[[#This Row],[income]],0)</f>
        <v>0</v>
      </c>
      <c r="CB351" s="20">
        <f ca="1">IF(Table1[[#This Row],[County]]="City of London",Table1[[#This Row],[income]],0)</f>
        <v>0</v>
      </c>
      <c r="CC351" s="20">
        <f ca="1">IF(Table1[[#This Row],[County]]="Bedfordshire",Table1[[#This Row],[income]],0)</f>
        <v>0</v>
      </c>
      <c r="CD351" s="20">
        <f ca="1">IF(Table1[[#This Row],[County]]="County Durham",Table1[[#This Row],[income]],0)</f>
        <v>0</v>
      </c>
      <c r="CE351" s="20">
        <f ca="1">IF(Table1[[#This Row],[County]]="East Riding of Yorkshire",Table1[[#This Row],[income]],0)</f>
        <v>0</v>
      </c>
      <c r="CF351" s="20">
        <f ca="1">IF(Table1[[#This Row],[County]]="West Yorkshire",Table1[[#This Row],[income]],0)</f>
        <v>0</v>
      </c>
      <c r="CG351" s="20">
        <f ca="1">IF(Table1[[#This Row],[County]]="Essex",Table1[[#This Row],[income]],0)</f>
        <v>0</v>
      </c>
      <c r="CH351" s="20">
        <f ca="1">IF(Table1[[#This Row],[County]]="East Sussex",Table1[[#This Row],[income]],0)</f>
        <v>0</v>
      </c>
      <c r="CI351" s="20">
        <f ca="1">IF(Table1[[#This Row],[County]]="Greater Manchester",Table1[[#This Row],[income]],0)</f>
        <v>46203</v>
      </c>
      <c r="CJ351" s="20">
        <f ca="1">IF(Table1[[#This Row],[County]]="Hertfordshire",Table1[[#This Row],[income]],0)</f>
        <v>0</v>
      </c>
      <c r="CK351" s="20">
        <f ca="1">IF(Table1[[#This Row],[County]]="Herefordshire",Table1[[#This Row],[income]],0)</f>
        <v>0</v>
      </c>
      <c r="CL351" s="20">
        <f ca="1">IF(Table1[[#This Row],[County]]="Lancashire",Table1[[#This Row],[income]],0)</f>
        <v>0</v>
      </c>
      <c r="CM351" s="20">
        <f ca="1">IF(Table1[[#This Row],[County]]="Merseyside",Table1[[#This Row],[income]],0)</f>
        <v>0</v>
      </c>
      <c r="CN351" s="20">
        <f ca="1">IF(Table1[[#This Row],[County]]="Northamptonshire",Table1[[#This Row],[income]],0)</f>
        <v>0</v>
      </c>
      <c r="CO351" s="20">
        <f ca="1">IF(Table1[[#This Row],[County]]="Northumberland",Table1[[#This Row],[income]],0)</f>
        <v>0</v>
      </c>
      <c r="CP351" s="20">
        <f ca="1">IF(Table1[[#This Row],[County]]="Wiltshire",Table1[[#This Row],[income]],0)</f>
        <v>0</v>
      </c>
      <c r="CQ351" s="20">
        <f ca="1">IF(Table1[[#This Row],[County]]="West Midlands",Table1[[#This Row],[income]],0)</f>
        <v>0</v>
      </c>
      <c r="CR351" s="20">
        <f ca="1">IF(Table1[[#This Row],[County]]="Warwickshire",Table1[[#This Row],[income]],0)</f>
        <v>0</v>
      </c>
      <c r="CS351" s="20">
        <f ca="1">IF(Table1[[#This Row],[County]]="Tyne and Wear",Table1[[#This Row],[income]],0)</f>
        <v>0</v>
      </c>
      <c r="CT351" s="20">
        <f ca="1">IF(Table1[[#This Row],[County]]="Worcestershire",Table1[[#This Row],[income]],0)</f>
        <v>0</v>
      </c>
      <c r="CU351" s="20">
        <f ca="1">IF(Table1[[#This Row],[County]]="Rutland",Table1[[#This Row],[income]],0)</f>
        <v>0</v>
      </c>
      <c r="CV351" s="20">
        <f ca="1">IF(Table1[[#This Row],[County]]="Shropshire",Table1[[#This Row],[income]],0)</f>
        <v>0</v>
      </c>
      <c r="CW351" s="20">
        <f ca="1">IF(Table1[[#This Row],[County]]="Dorset",Table1[[#This Row],[income]],0)</f>
        <v>0</v>
      </c>
      <c r="CX351" s="20">
        <f ca="1">IF(Table1[[#This Row],[County]]="Buckinghamshire",Table1[[#This Row],[income]],0)</f>
        <v>0</v>
      </c>
      <c r="CY351" s="20">
        <f ca="1">IF(Table1[[#This Row],[County]]="Suffolk",Table1[[#This Row],[income]],0)</f>
        <v>0</v>
      </c>
      <c r="CZ351" s="20">
        <f ca="1">IF(Table1[[#This Row],[County]]="North Yorkshire",Table1[[#This Row],[income]],0)</f>
        <v>0</v>
      </c>
      <c r="DA351" s="20">
        <f ca="1">IF(Table1[[#This Row],[County]]="Kent",Table1[[#This Row],[income]],0)</f>
        <v>0</v>
      </c>
      <c r="DB351" s="5">
        <f ca="1">IF(Table1[[#This Row],[County]]="Derbyshire",Table1[[#This Row],[income]],0)</f>
        <v>0</v>
      </c>
      <c r="DD351" s="6">
        <f ca="1">IF(Table1[[#This Row],[Column1]]="Health",Table1[[#This Row],[income]],0)</f>
        <v>0</v>
      </c>
      <c r="DE351" s="20">
        <f ca="1">IF(Table1[[#This Row],[Column1]]="Agriculture",Table1[[#This Row],[income]],0)</f>
        <v>0</v>
      </c>
      <c r="DF351" s="20">
        <f ca="1">IF(Table1[[#This Row],[Column1]]="Technology",Table1[[#This Row],[income]],0)</f>
        <v>0</v>
      </c>
      <c r="DG351" s="20">
        <f ca="1">IF(Table1[[#This Row],[Column1]]="Social Service",Table1[[#This Row],[income]],0)</f>
        <v>0</v>
      </c>
      <c r="DH351" s="20">
        <f ca="1">IF(Table1[[#This Row],[Column1]]="Education",Table1[[#This Row],[income]],0)</f>
        <v>46203</v>
      </c>
      <c r="DI351" s="5">
        <f ca="1">IF(Table1[[#This Row],[Column1]]="Construction",Table1[[#This Row],[income]],0)</f>
        <v>0</v>
      </c>
      <c r="DK351" s="6">
        <f ca="1">IF(Table1[[#This Row],[Value of Debts]]&gt;Table1[[#This Row],[income]],1,0)</f>
        <v>1</v>
      </c>
      <c r="DL351" s="20"/>
      <c r="DM351" s="20"/>
      <c r="DN351" s="5"/>
      <c r="DP351" s="6">
        <f ca="1">IF(Table1[[#This Row],[Net Worth (£)]]&gt;$DS$5,C351,0)</f>
        <v>0</v>
      </c>
      <c r="DQ351" s="20"/>
      <c r="DR351" s="20"/>
      <c r="DS351" s="5"/>
    </row>
    <row r="352" spans="1:123" x14ac:dyDescent="0.2">
      <c r="A352">
        <f t="shared" ca="1" si="16"/>
        <v>1</v>
      </c>
      <c r="B352" s="1" t="str">
        <f ca="1">IF(A352=1, "men", "women")</f>
        <v>men</v>
      </c>
      <c r="C352" s="1">
        <f ca="1">RANDBETWEEN(25,50)</f>
        <v>40</v>
      </c>
      <c r="D352">
        <f ca="1">RANDBETWEEN(1,6)</f>
        <v>6</v>
      </c>
      <c r="E352" t="str">
        <f ca="1">VLOOKUP(D352,$W$5:$X$10,2)</f>
        <v>Agriculture</v>
      </c>
      <c r="F352">
        <f ca="1">RANDBETWEEN(1,5)</f>
        <v>4</v>
      </c>
      <c r="G352" t="str">
        <f ca="1">VLOOKUP(F352,$Y$5:$Z$9,2)</f>
        <v xml:space="preserve">Technical </v>
      </c>
      <c r="H352">
        <f ca="1">RANDBETWEEN(0,4)</f>
        <v>0</v>
      </c>
      <c r="I352">
        <f ca="1">RANDBETWEEN(1,3)</f>
        <v>2</v>
      </c>
      <c r="J352">
        <f ca="1">RANDBETWEEN(30000,100000)</f>
        <v>96952</v>
      </c>
      <c r="K352">
        <f ca="1">RANDBETWEEN(1,48)</f>
        <v>20</v>
      </c>
      <c r="L352" t="str">
        <f ca="1">VLOOKUP(K352,$AA$5:$AB$52,2)</f>
        <v>Hampshire</v>
      </c>
      <c r="M352">
        <f ca="1">J352*(RANDBETWEEN(2,5))</f>
        <v>387808</v>
      </c>
      <c r="N352">
        <f ca="1">RAND()*M352</f>
        <v>148388.85988865671</v>
      </c>
      <c r="O352">
        <f ca="1">I352*RAND()*J352</f>
        <v>121468.02832241141</v>
      </c>
      <c r="P352">
        <f ca="1">RANDBETWEEN(0,O352)</f>
        <v>114604</v>
      </c>
      <c r="Q352">
        <f ca="1">RAND()*J352*2</f>
        <v>156010.90739666921</v>
      </c>
      <c r="R352">
        <f ca="1">RAND()*J352*1.5</f>
        <v>35178.180855262079</v>
      </c>
      <c r="S352">
        <f ca="1">J352+R352+O352</f>
        <v>253598.2091776735</v>
      </c>
      <c r="T352">
        <f ca="1">N352+P352+Q352</f>
        <v>419003.76728532591</v>
      </c>
      <c r="U352">
        <f ca="1">S352-T352</f>
        <v>-165405.55810765241</v>
      </c>
      <c r="AC352" s="6">
        <f ca="1">IF(Table1[[#This Row],[gender]]="men",1,0)</f>
        <v>1</v>
      </c>
      <c r="AD352">
        <f ca="1">IF(Table1[[#This Row],[gender]]="women",1,0)</f>
        <v>0</v>
      </c>
      <c r="AH352" s="5"/>
      <c r="AJ352" s="6">
        <f ca="1">IF(Table1[[#This Row],[Column1]]="Health",1,0)</f>
        <v>0</v>
      </c>
      <c r="AK352">
        <f ca="1">IF(Table1[[#This Row],[Column1]]="Construction",1,0)</f>
        <v>0</v>
      </c>
      <c r="AL352">
        <f ca="1">IF(Table1[[#This Row],[Column1]]="Technology",1,0)</f>
        <v>0</v>
      </c>
      <c r="AM352">
        <f ca="1">IF(Table1[[#This Row],[Column1]]="Education",1,0)</f>
        <v>0</v>
      </c>
      <c r="AN352">
        <f ca="1">IF(Table1[[#This Row],[Column1]]="Agriculture",1,0)</f>
        <v>1</v>
      </c>
      <c r="AO352">
        <f ca="1">IF(Table1[[#This Row],[Column1]]="Social Service", 1, 0)</f>
        <v>0</v>
      </c>
      <c r="AT352" s="5"/>
      <c r="AV352" s="17">
        <f t="shared" ca="1" si="15"/>
        <v>35641.625650357826</v>
      </c>
      <c r="AW352" s="5"/>
      <c r="AX352" s="6">
        <f ca="1">IF(Table1[[#This Row],[Value of Debts]]&gt;$AY$4,1,0)</f>
        <v>1</v>
      </c>
      <c r="AY352" s="20"/>
      <c r="AZ352" s="20"/>
      <c r="BA352" s="5"/>
      <c r="BB352" s="25">
        <f ca="1">Table1[[#This Row],[Mortage Left]]/Table1[[#This Row],[Value of House]]</f>
        <v>0.38263486026244098</v>
      </c>
      <c r="BC352" s="20">
        <f t="shared" ca="1" si="17"/>
        <v>0</v>
      </c>
      <c r="BD352" s="20"/>
      <c r="BE352" s="20"/>
      <c r="BF352" s="20"/>
      <c r="BG352" s="6">
        <f ca="1">IF(Table1[[#This Row],[County]]="Cumbria",Table1[[#This Row],[income]],0)</f>
        <v>0</v>
      </c>
      <c r="BH352" s="20">
        <f ca="1">IF(Table1[[#This Row],[County]]="Cheshire",Table1[[#This Row],[income]],0)</f>
        <v>0</v>
      </c>
      <c r="BI352" s="20">
        <f ca="1">IF(Table1[[#This Row],[County]]="Bristol",Table1[[#This Row],[income]],0)</f>
        <v>0</v>
      </c>
      <c r="BJ352" s="20">
        <f ca="1">IF(Table1[[#This Row],[County]]="Surrey",Table1[[#This Row],[income]],0)</f>
        <v>0</v>
      </c>
      <c r="BK352" s="20">
        <f ca="1">IF(Table1[[#This Row],[County]]="Norfolk",Table1[[#This Row],[income]],0)</f>
        <v>0</v>
      </c>
      <c r="BL352" s="20">
        <f ca="1">IF(Table1[[#This Row],[County]]="Lincolnshire",Table1[[#This Row],[income]],0)</f>
        <v>0</v>
      </c>
      <c r="BM352" s="20">
        <f ca="1">IF(Table1[[#This Row],[County]]="Somerset",Table1[[#This Row],[income]],0)</f>
        <v>0</v>
      </c>
      <c r="BN352" s="20">
        <f ca="1">IF(Table1[[#This Row],[County]]="Cambridgeshire",Table1[[#This Row],[income]],0)</f>
        <v>0</v>
      </c>
      <c r="BO352" s="20">
        <f ca="1">IF(Table1[[#This Row],[County]]="South Yorkshire",Table1[[#This Row],[income]],0)</f>
        <v>0</v>
      </c>
      <c r="BP352" s="20">
        <f ca="1">IF(Table1[[#This Row],[County]]="Greater London",Table1[[#This Row],[income]],0)</f>
        <v>0</v>
      </c>
      <c r="BQ352" s="20">
        <f ca="1">IF(Table1[[#This Row],[County]]="Hampshire",Table1[[#This Row],[income]],0)</f>
        <v>96952</v>
      </c>
      <c r="BR352" s="20">
        <f ca="1">IF(Table1[[#This Row],[County]]="Gloucestershire",Table1[[#This Row],[income]],0)</f>
        <v>0</v>
      </c>
      <c r="BS352" s="20">
        <f ca="1">IF(Table1[[#This Row],[County]]="West Sussex",Table1[[#This Row],[income]],0)</f>
        <v>0</v>
      </c>
      <c r="BT352" s="20">
        <f ca="1">IF(Table1[[#This Row],[County]]="Devon",Table1[[#This Row],[income]],0)</f>
        <v>0</v>
      </c>
      <c r="BU352" s="20">
        <f ca="1">IF(Table1[[#This Row],[County]]="Berkshire",Table1[[#This Row],[income]],0)</f>
        <v>0</v>
      </c>
      <c r="BV352" s="20">
        <f ca="1">IF(Table1[[#This Row],[County]]="Staffordshire",Table1[[#This Row],[income]],0)</f>
        <v>0</v>
      </c>
      <c r="BW352" s="20">
        <f ca="1">IF(Table1[[#This Row],[County]]="Leicestershire",Table1[[#This Row],[income]],0)</f>
        <v>0</v>
      </c>
      <c r="BX352" s="20">
        <f ca="1">IF(Table1[[#This Row],[County]]="Cornwall",Table1[[#This Row],[income]],0)</f>
        <v>0</v>
      </c>
      <c r="BY352" s="20">
        <f ca="1">IF(Table1[[#This Row],[County]]="Isle of Wight",Table1[[#This Row],[income]],0)</f>
        <v>0</v>
      </c>
      <c r="BZ352" s="20">
        <f ca="1">IF(Table1[[#This Row],[County]]="Surrey",Table1[[#This Row],[income]],0)</f>
        <v>0</v>
      </c>
      <c r="CA352" s="20">
        <f ca="1">IF(Table1[[#This Row],[County]]="Derbyshire",Table1[[#This Row],[income]],0)</f>
        <v>0</v>
      </c>
      <c r="CB352" s="20">
        <f ca="1">IF(Table1[[#This Row],[County]]="City of London",Table1[[#This Row],[income]],0)</f>
        <v>0</v>
      </c>
      <c r="CC352" s="20">
        <f ca="1">IF(Table1[[#This Row],[County]]="Bedfordshire",Table1[[#This Row],[income]],0)</f>
        <v>0</v>
      </c>
      <c r="CD352" s="20">
        <f ca="1">IF(Table1[[#This Row],[County]]="County Durham",Table1[[#This Row],[income]],0)</f>
        <v>0</v>
      </c>
      <c r="CE352" s="20">
        <f ca="1">IF(Table1[[#This Row],[County]]="East Riding of Yorkshire",Table1[[#This Row],[income]],0)</f>
        <v>0</v>
      </c>
      <c r="CF352" s="20">
        <f ca="1">IF(Table1[[#This Row],[County]]="West Yorkshire",Table1[[#This Row],[income]],0)</f>
        <v>0</v>
      </c>
      <c r="CG352" s="20">
        <f ca="1">IF(Table1[[#This Row],[County]]="Essex",Table1[[#This Row],[income]],0)</f>
        <v>0</v>
      </c>
      <c r="CH352" s="20">
        <f ca="1">IF(Table1[[#This Row],[County]]="East Sussex",Table1[[#This Row],[income]],0)</f>
        <v>0</v>
      </c>
      <c r="CI352" s="20">
        <f ca="1">IF(Table1[[#This Row],[County]]="Greater Manchester",Table1[[#This Row],[income]],0)</f>
        <v>0</v>
      </c>
      <c r="CJ352" s="20">
        <f ca="1">IF(Table1[[#This Row],[County]]="Hertfordshire",Table1[[#This Row],[income]],0)</f>
        <v>0</v>
      </c>
      <c r="CK352" s="20">
        <f ca="1">IF(Table1[[#This Row],[County]]="Herefordshire",Table1[[#This Row],[income]],0)</f>
        <v>0</v>
      </c>
      <c r="CL352" s="20">
        <f ca="1">IF(Table1[[#This Row],[County]]="Lancashire",Table1[[#This Row],[income]],0)</f>
        <v>0</v>
      </c>
      <c r="CM352" s="20">
        <f ca="1">IF(Table1[[#This Row],[County]]="Merseyside",Table1[[#This Row],[income]],0)</f>
        <v>0</v>
      </c>
      <c r="CN352" s="20">
        <f ca="1">IF(Table1[[#This Row],[County]]="Northamptonshire",Table1[[#This Row],[income]],0)</f>
        <v>0</v>
      </c>
      <c r="CO352" s="20">
        <f ca="1">IF(Table1[[#This Row],[County]]="Northumberland",Table1[[#This Row],[income]],0)</f>
        <v>0</v>
      </c>
      <c r="CP352" s="20">
        <f ca="1">IF(Table1[[#This Row],[County]]="Wiltshire",Table1[[#This Row],[income]],0)</f>
        <v>0</v>
      </c>
      <c r="CQ352" s="20">
        <f ca="1">IF(Table1[[#This Row],[County]]="West Midlands",Table1[[#This Row],[income]],0)</f>
        <v>0</v>
      </c>
      <c r="CR352" s="20">
        <f ca="1">IF(Table1[[#This Row],[County]]="Warwickshire",Table1[[#This Row],[income]],0)</f>
        <v>0</v>
      </c>
      <c r="CS352" s="20">
        <f ca="1">IF(Table1[[#This Row],[County]]="Tyne and Wear",Table1[[#This Row],[income]],0)</f>
        <v>0</v>
      </c>
      <c r="CT352" s="20">
        <f ca="1">IF(Table1[[#This Row],[County]]="Worcestershire",Table1[[#This Row],[income]],0)</f>
        <v>0</v>
      </c>
      <c r="CU352" s="20">
        <f ca="1">IF(Table1[[#This Row],[County]]="Rutland",Table1[[#This Row],[income]],0)</f>
        <v>0</v>
      </c>
      <c r="CV352" s="20">
        <f ca="1">IF(Table1[[#This Row],[County]]="Shropshire",Table1[[#This Row],[income]],0)</f>
        <v>0</v>
      </c>
      <c r="CW352" s="20">
        <f ca="1">IF(Table1[[#This Row],[County]]="Dorset",Table1[[#This Row],[income]],0)</f>
        <v>0</v>
      </c>
      <c r="CX352" s="20">
        <f ca="1">IF(Table1[[#This Row],[County]]="Buckinghamshire",Table1[[#This Row],[income]],0)</f>
        <v>0</v>
      </c>
      <c r="CY352" s="20">
        <f ca="1">IF(Table1[[#This Row],[County]]="Suffolk",Table1[[#This Row],[income]],0)</f>
        <v>0</v>
      </c>
      <c r="CZ352" s="20">
        <f ca="1">IF(Table1[[#This Row],[County]]="North Yorkshire",Table1[[#This Row],[income]],0)</f>
        <v>0</v>
      </c>
      <c r="DA352" s="20">
        <f ca="1">IF(Table1[[#This Row],[County]]="Kent",Table1[[#This Row],[income]],0)</f>
        <v>0</v>
      </c>
      <c r="DB352" s="5">
        <f ca="1">IF(Table1[[#This Row],[County]]="Derbyshire",Table1[[#This Row],[income]],0)</f>
        <v>0</v>
      </c>
      <c r="DD352" s="6">
        <f ca="1">IF(Table1[[#This Row],[Column1]]="Health",Table1[[#This Row],[income]],0)</f>
        <v>0</v>
      </c>
      <c r="DE352" s="20">
        <f ca="1">IF(Table1[[#This Row],[Column1]]="Agriculture",Table1[[#This Row],[income]],0)</f>
        <v>96952</v>
      </c>
      <c r="DF352" s="20">
        <f ca="1">IF(Table1[[#This Row],[Column1]]="Technology",Table1[[#This Row],[income]],0)</f>
        <v>0</v>
      </c>
      <c r="DG352" s="20">
        <f ca="1">IF(Table1[[#This Row],[Column1]]="Social Service",Table1[[#This Row],[income]],0)</f>
        <v>0</v>
      </c>
      <c r="DH352" s="20">
        <f ca="1">IF(Table1[[#This Row],[Column1]]="Education",Table1[[#This Row],[income]],0)</f>
        <v>0</v>
      </c>
      <c r="DI352" s="5">
        <f ca="1">IF(Table1[[#This Row],[Column1]]="Construction",Table1[[#This Row],[income]],0)</f>
        <v>0</v>
      </c>
      <c r="DK352" s="6">
        <f ca="1">IF(Table1[[#This Row],[Value of Debts]]&gt;Table1[[#This Row],[income]],1,0)</f>
        <v>1</v>
      </c>
      <c r="DL352" s="20"/>
      <c r="DM352" s="20"/>
      <c r="DN352" s="5"/>
      <c r="DP352" s="6">
        <f ca="1">IF(Table1[[#This Row],[Net Worth (£)]]&gt;$DS$5,C352,0)</f>
        <v>0</v>
      </c>
      <c r="DQ352" s="20"/>
      <c r="DR352" s="20"/>
      <c r="DS352" s="5"/>
    </row>
    <row r="353" spans="1:123" x14ac:dyDescent="0.2">
      <c r="A353">
        <f t="shared" ca="1" si="16"/>
        <v>1</v>
      </c>
      <c r="B353" s="1" t="str">
        <f ca="1">IF(A353=1, "men", "women")</f>
        <v>men</v>
      </c>
      <c r="C353" s="1">
        <f ca="1">RANDBETWEEN(25,50)</f>
        <v>44</v>
      </c>
      <c r="D353">
        <f ca="1">RANDBETWEEN(1,6)</f>
        <v>6</v>
      </c>
      <c r="E353" t="str">
        <f ca="1">VLOOKUP(D353,$W$5:$X$10,2)</f>
        <v>Agriculture</v>
      </c>
      <c r="F353">
        <f ca="1">RANDBETWEEN(1,5)</f>
        <v>1</v>
      </c>
      <c r="G353" t="str">
        <f ca="1">VLOOKUP(F353,$Y$5:$Z$9,2)</f>
        <v>High School</v>
      </c>
      <c r="H353">
        <f ca="1">RANDBETWEEN(0,4)</f>
        <v>4</v>
      </c>
      <c r="I353">
        <f ca="1">RANDBETWEEN(1,3)</f>
        <v>1</v>
      </c>
      <c r="J353">
        <f ca="1">RANDBETWEEN(30000,100000)</f>
        <v>40834</v>
      </c>
      <c r="K353">
        <f ca="1">RANDBETWEEN(1,48)</f>
        <v>6</v>
      </c>
      <c r="L353" t="str">
        <f ca="1">VLOOKUP(K353,$AA$5:$AB$52,2)</f>
        <v>Cheshire</v>
      </c>
      <c r="M353">
        <f ca="1">J353*(RANDBETWEEN(2,5))</f>
        <v>204170</v>
      </c>
      <c r="N353">
        <f ca="1">RAND()*M353</f>
        <v>27367.209496223331</v>
      </c>
      <c r="O353">
        <f ca="1">I353*RAND()*J353</f>
        <v>35641.625650357826</v>
      </c>
      <c r="P353">
        <f ca="1">RANDBETWEEN(0,O353)</f>
        <v>25051</v>
      </c>
      <c r="Q353">
        <f ca="1">RAND()*J353*2</f>
        <v>19569.63281896124</v>
      </c>
      <c r="R353">
        <f ca="1">RAND()*J353*1.5</f>
        <v>24787.643583356235</v>
      </c>
      <c r="S353">
        <f ca="1">J353+R353+O353</f>
        <v>101263.26923371406</v>
      </c>
      <c r="T353">
        <f ca="1">N353+P353+Q353</f>
        <v>71987.842315184564</v>
      </c>
      <c r="U353">
        <f ca="1">S353-T353</f>
        <v>29275.426918529498</v>
      </c>
      <c r="AC353" s="6">
        <f ca="1">IF(Table1[[#This Row],[gender]]="men",1,0)</f>
        <v>1</v>
      </c>
      <c r="AD353">
        <f ca="1">IF(Table1[[#This Row],[gender]]="women",1,0)</f>
        <v>0</v>
      </c>
      <c r="AH353" s="5"/>
      <c r="AJ353" s="6">
        <f ca="1">IF(Table1[[#This Row],[Column1]]="Health",1,0)</f>
        <v>0</v>
      </c>
      <c r="AK353">
        <f ca="1">IF(Table1[[#This Row],[Column1]]="Construction",1,0)</f>
        <v>0</v>
      </c>
      <c r="AL353">
        <f ca="1">IF(Table1[[#This Row],[Column1]]="Technology",1,0)</f>
        <v>0</v>
      </c>
      <c r="AM353">
        <f ca="1">IF(Table1[[#This Row],[Column1]]="Education",1,0)</f>
        <v>0</v>
      </c>
      <c r="AN353">
        <f ca="1">IF(Table1[[#This Row],[Column1]]="Agriculture",1,0)</f>
        <v>1</v>
      </c>
      <c r="AO353">
        <f ca="1">IF(Table1[[#This Row],[Column1]]="Social Service", 1, 0)</f>
        <v>0</v>
      </c>
      <c r="AT353" s="5"/>
      <c r="AV353" s="17">
        <f t="shared" ca="1" si="15"/>
        <v>24313.437702566975</v>
      </c>
      <c r="AW353" s="5"/>
      <c r="AX353" s="6">
        <f ca="1">IF(Table1[[#This Row],[Value of Debts]]&gt;$AY$4,1,0)</f>
        <v>0</v>
      </c>
      <c r="AY353" s="20"/>
      <c r="AZ353" s="20"/>
      <c r="BA353" s="5"/>
      <c r="BB353" s="25">
        <f ca="1">Table1[[#This Row],[Mortage Left]]/Table1[[#This Row],[Value of House]]</f>
        <v>0.13404128665437298</v>
      </c>
      <c r="BC353" s="20">
        <f t="shared" ca="1" si="17"/>
        <v>1</v>
      </c>
      <c r="BD353" s="20"/>
      <c r="BE353" s="20"/>
      <c r="BF353" s="20"/>
      <c r="BG353" s="6">
        <f ca="1">IF(Table1[[#This Row],[County]]="Cumbria",Table1[[#This Row],[income]],0)</f>
        <v>0</v>
      </c>
      <c r="BH353" s="20">
        <f ca="1">IF(Table1[[#This Row],[County]]="Cheshire",Table1[[#This Row],[income]],0)</f>
        <v>40834</v>
      </c>
      <c r="BI353" s="20">
        <f ca="1">IF(Table1[[#This Row],[County]]="Bristol",Table1[[#This Row],[income]],0)</f>
        <v>0</v>
      </c>
      <c r="BJ353" s="20">
        <f ca="1">IF(Table1[[#This Row],[County]]="Surrey",Table1[[#This Row],[income]],0)</f>
        <v>0</v>
      </c>
      <c r="BK353" s="20">
        <f ca="1">IF(Table1[[#This Row],[County]]="Norfolk",Table1[[#This Row],[income]],0)</f>
        <v>0</v>
      </c>
      <c r="BL353" s="20">
        <f ca="1">IF(Table1[[#This Row],[County]]="Lincolnshire",Table1[[#This Row],[income]],0)</f>
        <v>0</v>
      </c>
      <c r="BM353" s="20">
        <f ca="1">IF(Table1[[#This Row],[County]]="Somerset",Table1[[#This Row],[income]],0)</f>
        <v>0</v>
      </c>
      <c r="BN353" s="20">
        <f ca="1">IF(Table1[[#This Row],[County]]="Cambridgeshire",Table1[[#This Row],[income]],0)</f>
        <v>0</v>
      </c>
      <c r="BO353" s="20">
        <f ca="1">IF(Table1[[#This Row],[County]]="South Yorkshire",Table1[[#This Row],[income]],0)</f>
        <v>0</v>
      </c>
      <c r="BP353" s="20">
        <f ca="1">IF(Table1[[#This Row],[County]]="Greater London",Table1[[#This Row],[income]],0)</f>
        <v>0</v>
      </c>
      <c r="BQ353" s="20">
        <f ca="1">IF(Table1[[#This Row],[County]]="Hampshire",Table1[[#This Row],[income]],0)</f>
        <v>0</v>
      </c>
      <c r="BR353" s="20">
        <f ca="1">IF(Table1[[#This Row],[County]]="Gloucestershire",Table1[[#This Row],[income]],0)</f>
        <v>0</v>
      </c>
      <c r="BS353" s="20">
        <f ca="1">IF(Table1[[#This Row],[County]]="West Sussex",Table1[[#This Row],[income]],0)</f>
        <v>0</v>
      </c>
      <c r="BT353" s="20">
        <f ca="1">IF(Table1[[#This Row],[County]]="Devon",Table1[[#This Row],[income]],0)</f>
        <v>0</v>
      </c>
      <c r="BU353" s="20">
        <f ca="1">IF(Table1[[#This Row],[County]]="Berkshire",Table1[[#This Row],[income]],0)</f>
        <v>0</v>
      </c>
      <c r="BV353" s="20">
        <f ca="1">IF(Table1[[#This Row],[County]]="Staffordshire",Table1[[#This Row],[income]],0)</f>
        <v>0</v>
      </c>
      <c r="BW353" s="20">
        <f ca="1">IF(Table1[[#This Row],[County]]="Leicestershire",Table1[[#This Row],[income]],0)</f>
        <v>0</v>
      </c>
      <c r="BX353" s="20">
        <f ca="1">IF(Table1[[#This Row],[County]]="Cornwall",Table1[[#This Row],[income]],0)</f>
        <v>0</v>
      </c>
      <c r="BY353" s="20">
        <f ca="1">IF(Table1[[#This Row],[County]]="Isle of Wight",Table1[[#This Row],[income]],0)</f>
        <v>0</v>
      </c>
      <c r="BZ353" s="20">
        <f ca="1">IF(Table1[[#This Row],[County]]="Surrey",Table1[[#This Row],[income]],0)</f>
        <v>0</v>
      </c>
      <c r="CA353" s="20">
        <f ca="1">IF(Table1[[#This Row],[County]]="Derbyshire",Table1[[#This Row],[income]],0)</f>
        <v>0</v>
      </c>
      <c r="CB353" s="20">
        <f ca="1">IF(Table1[[#This Row],[County]]="City of London",Table1[[#This Row],[income]],0)</f>
        <v>0</v>
      </c>
      <c r="CC353" s="20">
        <f ca="1">IF(Table1[[#This Row],[County]]="Bedfordshire",Table1[[#This Row],[income]],0)</f>
        <v>0</v>
      </c>
      <c r="CD353" s="20">
        <f ca="1">IF(Table1[[#This Row],[County]]="County Durham",Table1[[#This Row],[income]],0)</f>
        <v>0</v>
      </c>
      <c r="CE353" s="20">
        <f ca="1">IF(Table1[[#This Row],[County]]="East Riding of Yorkshire",Table1[[#This Row],[income]],0)</f>
        <v>0</v>
      </c>
      <c r="CF353" s="20">
        <f ca="1">IF(Table1[[#This Row],[County]]="West Yorkshire",Table1[[#This Row],[income]],0)</f>
        <v>0</v>
      </c>
      <c r="CG353" s="20">
        <f ca="1">IF(Table1[[#This Row],[County]]="Essex",Table1[[#This Row],[income]],0)</f>
        <v>0</v>
      </c>
      <c r="CH353" s="20">
        <f ca="1">IF(Table1[[#This Row],[County]]="East Sussex",Table1[[#This Row],[income]],0)</f>
        <v>0</v>
      </c>
      <c r="CI353" s="20">
        <f ca="1">IF(Table1[[#This Row],[County]]="Greater Manchester",Table1[[#This Row],[income]],0)</f>
        <v>0</v>
      </c>
      <c r="CJ353" s="20">
        <f ca="1">IF(Table1[[#This Row],[County]]="Hertfordshire",Table1[[#This Row],[income]],0)</f>
        <v>0</v>
      </c>
      <c r="CK353" s="20">
        <f ca="1">IF(Table1[[#This Row],[County]]="Herefordshire",Table1[[#This Row],[income]],0)</f>
        <v>0</v>
      </c>
      <c r="CL353" s="20">
        <f ca="1">IF(Table1[[#This Row],[County]]="Lancashire",Table1[[#This Row],[income]],0)</f>
        <v>0</v>
      </c>
      <c r="CM353" s="20">
        <f ca="1">IF(Table1[[#This Row],[County]]="Merseyside",Table1[[#This Row],[income]],0)</f>
        <v>0</v>
      </c>
      <c r="CN353" s="20">
        <f ca="1">IF(Table1[[#This Row],[County]]="Northamptonshire",Table1[[#This Row],[income]],0)</f>
        <v>0</v>
      </c>
      <c r="CO353" s="20">
        <f ca="1">IF(Table1[[#This Row],[County]]="Northumberland",Table1[[#This Row],[income]],0)</f>
        <v>0</v>
      </c>
      <c r="CP353" s="20">
        <f ca="1">IF(Table1[[#This Row],[County]]="Wiltshire",Table1[[#This Row],[income]],0)</f>
        <v>0</v>
      </c>
      <c r="CQ353" s="20">
        <f ca="1">IF(Table1[[#This Row],[County]]="West Midlands",Table1[[#This Row],[income]],0)</f>
        <v>0</v>
      </c>
      <c r="CR353" s="20">
        <f ca="1">IF(Table1[[#This Row],[County]]="Warwickshire",Table1[[#This Row],[income]],0)</f>
        <v>0</v>
      </c>
      <c r="CS353" s="20">
        <f ca="1">IF(Table1[[#This Row],[County]]="Tyne and Wear",Table1[[#This Row],[income]],0)</f>
        <v>0</v>
      </c>
      <c r="CT353" s="20">
        <f ca="1">IF(Table1[[#This Row],[County]]="Worcestershire",Table1[[#This Row],[income]],0)</f>
        <v>0</v>
      </c>
      <c r="CU353" s="20">
        <f ca="1">IF(Table1[[#This Row],[County]]="Rutland",Table1[[#This Row],[income]],0)</f>
        <v>0</v>
      </c>
      <c r="CV353" s="20">
        <f ca="1">IF(Table1[[#This Row],[County]]="Shropshire",Table1[[#This Row],[income]],0)</f>
        <v>0</v>
      </c>
      <c r="CW353" s="20">
        <f ca="1">IF(Table1[[#This Row],[County]]="Dorset",Table1[[#This Row],[income]],0)</f>
        <v>0</v>
      </c>
      <c r="CX353" s="20">
        <f ca="1">IF(Table1[[#This Row],[County]]="Buckinghamshire",Table1[[#This Row],[income]],0)</f>
        <v>0</v>
      </c>
      <c r="CY353" s="20">
        <f ca="1">IF(Table1[[#This Row],[County]]="Suffolk",Table1[[#This Row],[income]],0)</f>
        <v>0</v>
      </c>
      <c r="CZ353" s="20">
        <f ca="1">IF(Table1[[#This Row],[County]]="North Yorkshire",Table1[[#This Row],[income]],0)</f>
        <v>0</v>
      </c>
      <c r="DA353" s="20">
        <f ca="1">IF(Table1[[#This Row],[County]]="Kent",Table1[[#This Row],[income]],0)</f>
        <v>0</v>
      </c>
      <c r="DB353" s="5">
        <f ca="1">IF(Table1[[#This Row],[County]]="Derbyshire",Table1[[#This Row],[income]],0)</f>
        <v>0</v>
      </c>
      <c r="DD353" s="6">
        <f ca="1">IF(Table1[[#This Row],[Column1]]="Health",Table1[[#This Row],[income]],0)</f>
        <v>0</v>
      </c>
      <c r="DE353" s="20">
        <f ca="1">IF(Table1[[#This Row],[Column1]]="Agriculture",Table1[[#This Row],[income]],0)</f>
        <v>40834</v>
      </c>
      <c r="DF353" s="20">
        <f ca="1">IF(Table1[[#This Row],[Column1]]="Technology",Table1[[#This Row],[income]],0)</f>
        <v>0</v>
      </c>
      <c r="DG353" s="20">
        <f ca="1">IF(Table1[[#This Row],[Column1]]="Social Service",Table1[[#This Row],[income]],0)</f>
        <v>0</v>
      </c>
      <c r="DH353" s="20">
        <f ca="1">IF(Table1[[#This Row],[Column1]]="Education",Table1[[#This Row],[income]],0)</f>
        <v>0</v>
      </c>
      <c r="DI353" s="5">
        <f ca="1">IF(Table1[[#This Row],[Column1]]="Construction",Table1[[#This Row],[income]],0)</f>
        <v>0</v>
      </c>
      <c r="DK353" s="6">
        <f ca="1">IF(Table1[[#This Row],[Value of Debts]]&gt;Table1[[#This Row],[income]],1,0)</f>
        <v>1</v>
      </c>
      <c r="DL353" s="20"/>
      <c r="DM353" s="20"/>
      <c r="DN353" s="5"/>
      <c r="DP353" s="6">
        <f ca="1">IF(Table1[[#This Row],[Net Worth (£)]]&gt;$DS$5,C353,0)</f>
        <v>0</v>
      </c>
      <c r="DQ353" s="20"/>
      <c r="DR353" s="20"/>
      <c r="DS353" s="5"/>
    </row>
    <row r="354" spans="1:123" x14ac:dyDescent="0.2">
      <c r="A354">
        <f t="shared" ca="1" si="16"/>
        <v>1</v>
      </c>
      <c r="B354" s="1" t="str">
        <f ca="1">IF(A354=1, "men", "women")</f>
        <v>men</v>
      </c>
      <c r="C354" s="1">
        <f ca="1">RANDBETWEEN(25,50)</f>
        <v>40</v>
      </c>
      <c r="D354">
        <f ca="1">RANDBETWEEN(1,6)</f>
        <v>1</v>
      </c>
      <c r="E354" t="str">
        <f ca="1">VLOOKUP(D354,$W$5:$X$10,2)</f>
        <v>Health</v>
      </c>
      <c r="F354">
        <f ca="1">RANDBETWEEN(1,5)</f>
        <v>2</v>
      </c>
      <c r="G354" t="str">
        <f ca="1">VLOOKUP(F354,$Y$5:$Z$9,2)</f>
        <v>College</v>
      </c>
      <c r="H354">
        <f ca="1">RANDBETWEEN(0,4)</f>
        <v>4</v>
      </c>
      <c r="I354">
        <f ca="1">RANDBETWEEN(1,3)</f>
        <v>1</v>
      </c>
      <c r="J354">
        <f ca="1">RANDBETWEEN(30000,100000)</f>
        <v>78421</v>
      </c>
      <c r="K354">
        <f ca="1">RANDBETWEEN(1,48)</f>
        <v>30</v>
      </c>
      <c r="L354" t="str">
        <f ca="1">VLOOKUP(K354,$AA$5:$AB$52,2)</f>
        <v>North Yorkshire</v>
      </c>
      <c r="M354">
        <f ca="1">J354*(RANDBETWEEN(2,5))</f>
        <v>313684</v>
      </c>
      <c r="N354">
        <f ca="1">RAND()*M354</f>
        <v>170834.37440082227</v>
      </c>
      <c r="O354">
        <f ca="1">I354*RAND()*J354</f>
        <v>24313.437702566975</v>
      </c>
      <c r="P354">
        <f ca="1">RANDBETWEEN(0,O354)</f>
        <v>13639</v>
      </c>
      <c r="Q354">
        <f ca="1">RAND()*J354*2</f>
        <v>137393.83257265191</v>
      </c>
      <c r="R354">
        <f ca="1">RAND()*J354*1.5</f>
        <v>43991.259202335612</v>
      </c>
      <c r="S354">
        <f ca="1">J354+R354+O354</f>
        <v>146725.69690490258</v>
      </c>
      <c r="T354">
        <f ca="1">N354+P354+Q354</f>
        <v>321867.20697347418</v>
      </c>
      <c r="U354">
        <f ca="1">S354-T354</f>
        <v>-175141.5100685716</v>
      </c>
      <c r="AC354" s="6">
        <f ca="1">IF(Table1[[#This Row],[gender]]="men",1,0)</f>
        <v>1</v>
      </c>
      <c r="AD354">
        <f ca="1">IF(Table1[[#This Row],[gender]]="women",1,0)</f>
        <v>0</v>
      </c>
      <c r="AH354" s="5"/>
      <c r="AJ354" s="6">
        <f ca="1">IF(Table1[[#This Row],[Column1]]="Health",1,0)</f>
        <v>1</v>
      </c>
      <c r="AK354">
        <f ca="1">IF(Table1[[#This Row],[Column1]]="Construction",1,0)</f>
        <v>0</v>
      </c>
      <c r="AL354">
        <f ca="1">IF(Table1[[#This Row],[Column1]]="Technology",1,0)</f>
        <v>0</v>
      </c>
      <c r="AM354">
        <f ca="1">IF(Table1[[#This Row],[Column1]]="Education",1,0)</f>
        <v>0</v>
      </c>
      <c r="AN354">
        <f ca="1">IF(Table1[[#This Row],[Column1]]="Agriculture",1,0)</f>
        <v>0</v>
      </c>
      <c r="AO354">
        <f ca="1">IF(Table1[[#This Row],[Column1]]="Social Service", 1, 0)</f>
        <v>0</v>
      </c>
      <c r="AT354" s="5"/>
      <c r="AV354" s="17">
        <f t="shared" ca="1" si="15"/>
        <v>21291.426142485619</v>
      </c>
      <c r="AW354" s="5"/>
      <c r="AX354" s="6">
        <f ca="1">IF(Table1[[#This Row],[Value of Debts]]&gt;$AY$4,1,0)</f>
        <v>1</v>
      </c>
      <c r="AY354" s="20"/>
      <c r="AZ354" s="20"/>
      <c r="BA354" s="5"/>
      <c r="BB354" s="25">
        <f ca="1">Table1[[#This Row],[Mortage Left]]/Table1[[#This Row],[Value of House]]</f>
        <v>0.54460659262449562</v>
      </c>
      <c r="BC354" s="20">
        <f t="shared" ca="1" si="17"/>
        <v>0</v>
      </c>
      <c r="BD354" s="20"/>
      <c r="BE354" s="20"/>
      <c r="BF354" s="20"/>
      <c r="BG354" s="6">
        <f ca="1">IF(Table1[[#This Row],[County]]="Cumbria",Table1[[#This Row],[income]],0)</f>
        <v>0</v>
      </c>
      <c r="BH354" s="20">
        <f ca="1">IF(Table1[[#This Row],[County]]="Cheshire",Table1[[#This Row],[income]],0)</f>
        <v>0</v>
      </c>
      <c r="BI354" s="20">
        <f ca="1">IF(Table1[[#This Row],[County]]="Bristol",Table1[[#This Row],[income]],0)</f>
        <v>0</v>
      </c>
      <c r="BJ354" s="20">
        <f ca="1">IF(Table1[[#This Row],[County]]="Surrey",Table1[[#This Row],[income]],0)</f>
        <v>0</v>
      </c>
      <c r="BK354" s="20">
        <f ca="1">IF(Table1[[#This Row],[County]]="Norfolk",Table1[[#This Row],[income]],0)</f>
        <v>0</v>
      </c>
      <c r="BL354" s="20">
        <f ca="1">IF(Table1[[#This Row],[County]]="Lincolnshire",Table1[[#This Row],[income]],0)</f>
        <v>0</v>
      </c>
      <c r="BM354" s="20">
        <f ca="1">IF(Table1[[#This Row],[County]]="Somerset",Table1[[#This Row],[income]],0)</f>
        <v>0</v>
      </c>
      <c r="BN354" s="20">
        <f ca="1">IF(Table1[[#This Row],[County]]="Cambridgeshire",Table1[[#This Row],[income]],0)</f>
        <v>0</v>
      </c>
      <c r="BO354" s="20">
        <f ca="1">IF(Table1[[#This Row],[County]]="South Yorkshire",Table1[[#This Row],[income]],0)</f>
        <v>0</v>
      </c>
      <c r="BP354" s="20">
        <f ca="1">IF(Table1[[#This Row],[County]]="Greater London",Table1[[#This Row],[income]],0)</f>
        <v>0</v>
      </c>
      <c r="BQ354" s="20">
        <f ca="1">IF(Table1[[#This Row],[County]]="Hampshire",Table1[[#This Row],[income]],0)</f>
        <v>0</v>
      </c>
      <c r="BR354" s="20">
        <f ca="1">IF(Table1[[#This Row],[County]]="Gloucestershire",Table1[[#This Row],[income]],0)</f>
        <v>0</v>
      </c>
      <c r="BS354" s="20">
        <f ca="1">IF(Table1[[#This Row],[County]]="West Sussex",Table1[[#This Row],[income]],0)</f>
        <v>0</v>
      </c>
      <c r="BT354" s="20">
        <f ca="1">IF(Table1[[#This Row],[County]]="Devon",Table1[[#This Row],[income]],0)</f>
        <v>0</v>
      </c>
      <c r="BU354" s="20">
        <f ca="1">IF(Table1[[#This Row],[County]]="Berkshire",Table1[[#This Row],[income]],0)</f>
        <v>0</v>
      </c>
      <c r="BV354" s="20">
        <f ca="1">IF(Table1[[#This Row],[County]]="Staffordshire",Table1[[#This Row],[income]],0)</f>
        <v>0</v>
      </c>
      <c r="BW354" s="20">
        <f ca="1">IF(Table1[[#This Row],[County]]="Leicestershire",Table1[[#This Row],[income]],0)</f>
        <v>0</v>
      </c>
      <c r="BX354" s="20">
        <f ca="1">IF(Table1[[#This Row],[County]]="Cornwall",Table1[[#This Row],[income]],0)</f>
        <v>0</v>
      </c>
      <c r="BY354" s="20">
        <f ca="1">IF(Table1[[#This Row],[County]]="Isle of Wight",Table1[[#This Row],[income]],0)</f>
        <v>0</v>
      </c>
      <c r="BZ354" s="20">
        <f ca="1">IF(Table1[[#This Row],[County]]="Surrey",Table1[[#This Row],[income]],0)</f>
        <v>0</v>
      </c>
      <c r="CA354" s="20">
        <f ca="1">IF(Table1[[#This Row],[County]]="Derbyshire",Table1[[#This Row],[income]],0)</f>
        <v>0</v>
      </c>
      <c r="CB354" s="20">
        <f ca="1">IF(Table1[[#This Row],[County]]="City of London",Table1[[#This Row],[income]],0)</f>
        <v>0</v>
      </c>
      <c r="CC354" s="20">
        <f ca="1">IF(Table1[[#This Row],[County]]="Bedfordshire",Table1[[#This Row],[income]],0)</f>
        <v>0</v>
      </c>
      <c r="CD354" s="20">
        <f ca="1">IF(Table1[[#This Row],[County]]="County Durham",Table1[[#This Row],[income]],0)</f>
        <v>0</v>
      </c>
      <c r="CE354" s="20">
        <f ca="1">IF(Table1[[#This Row],[County]]="East Riding of Yorkshire",Table1[[#This Row],[income]],0)</f>
        <v>0</v>
      </c>
      <c r="CF354" s="20">
        <f ca="1">IF(Table1[[#This Row],[County]]="West Yorkshire",Table1[[#This Row],[income]],0)</f>
        <v>0</v>
      </c>
      <c r="CG354" s="20">
        <f ca="1">IF(Table1[[#This Row],[County]]="Essex",Table1[[#This Row],[income]],0)</f>
        <v>0</v>
      </c>
      <c r="CH354" s="20">
        <f ca="1">IF(Table1[[#This Row],[County]]="East Sussex",Table1[[#This Row],[income]],0)</f>
        <v>0</v>
      </c>
      <c r="CI354" s="20">
        <f ca="1">IF(Table1[[#This Row],[County]]="Greater Manchester",Table1[[#This Row],[income]],0)</f>
        <v>0</v>
      </c>
      <c r="CJ354" s="20">
        <f ca="1">IF(Table1[[#This Row],[County]]="Hertfordshire",Table1[[#This Row],[income]],0)</f>
        <v>0</v>
      </c>
      <c r="CK354" s="20">
        <f ca="1">IF(Table1[[#This Row],[County]]="Herefordshire",Table1[[#This Row],[income]],0)</f>
        <v>0</v>
      </c>
      <c r="CL354" s="20">
        <f ca="1">IF(Table1[[#This Row],[County]]="Lancashire",Table1[[#This Row],[income]],0)</f>
        <v>0</v>
      </c>
      <c r="CM354" s="20">
        <f ca="1">IF(Table1[[#This Row],[County]]="Merseyside",Table1[[#This Row],[income]],0)</f>
        <v>0</v>
      </c>
      <c r="CN354" s="20">
        <f ca="1">IF(Table1[[#This Row],[County]]="Northamptonshire",Table1[[#This Row],[income]],0)</f>
        <v>0</v>
      </c>
      <c r="CO354" s="20">
        <f ca="1">IF(Table1[[#This Row],[County]]="Northumberland",Table1[[#This Row],[income]],0)</f>
        <v>0</v>
      </c>
      <c r="CP354" s="20">
        <f ca="1">IF(Table1[[#This Row],[County]]="Wiltshire",Table1[[#This Row],[income]],0)</f>
        <v>0</v>
      </c>
      <c r="CQ354" s="20">
        <f ca="1">IF(Table1[[#This Row],[County]]="West Midlands",Table1[[#This Row],[income]],0)</f>
        <v>0</v>
      </c>
      <c r="CR354" s="20">
        <f ca="1">IF(Table1[[#This Row],[County]]="Warwickshire",Table1[[#This Row],[income]],0)</f>
        <v>0</v>
      </c>
      <c r="CS354" s="20">
        <f ca="1">IF(Table1[[#This Row],[County]]="Tyne and Wear",Table1[[#This Row],[income]],0)</f>
        <v>0</v>
      </c>
      <c r="CT354" s="20">
        <f ca="1">IF(Table1[[#This Row],[County]]="Worcestershire",Table1[[#This Row],[income]],0)</f>
        <v>0</v>
      </c>
      <c r="CU354" s="20">
        <f ca="1">IF(Table1[[#This Row],[County]]="Rutland",Table1[[#This Row],[income]],0)</f>
        <v>0</v>
      </c>
      <c r="CV354" s="20">
        <f ca="1">IF(Table1[[#This Row],[County]]="Shropshire",Table1[[#This Row],[income]],0)</f>
        <v>0</v>
      </c>
      <c r="CW354" s="20">
        <f ca="1">IF(Table1[[#This Row],[County]]="Dorset",Table1[[#This Row],[income]],0)</f>
        <v>0</v>
      </c>
      <c r="CX354" s="20">
        <f ca="1">IF(Table1[[#This Row],[County]]="Buckinghamshire",Table1[[#This Row],[income]],0)</f>
        <v>0</v>
      </c>
      <c r="CY354" s="20">
        <f ca="1">IF(Table1[[#This Row],[County]]="Suffolk",Table1[[#This Row],[income]],0)</f>
        <v>0</v>
      </c>
      <c r="CZ354" s="20">
        <f ca="1">IF(Table1[[#This Row],[County]]="North Yorkshire",Table1[[#This Row],[income]],0)</f>
        <v>78421</v>
      </c>
      <c r="DA354" s="20">
        <f ca="1">IF(Table1[[#This Row],[County]]="Kent",Table1[[#This Row],[income]],0)</f>
        <v>0</v>
      </c>
      <c r="DB354" s="5">
        <f ca="1">IF(Table1[[#This Row],[County]]="Derbyshire",Table1[[#This Row],[income]],0)</f>
        <v>0</v>
      </c>
      <c r="DD354" s="6">
        <f ca="1">IF(Table1[[#This Row],[Column1]]="Health",Table1[[#This Row],[income]],0)</f>
        <v>78421</v>
      </c>
      <c r="DE354" s="20">
        <f ca="1">IF(Table1[[#This Row],[Column1]]="Agriculture",Table1[[#This Row],[income]],0)</f>
        <v>0</v>
      </c>
      <c r="DF354" s="20">
        <f ca="1">IF(Table1[[#This Row],[Column1]]="Technology",Table1[[#This Row],[income]],0)</f>
        <v>0</v>
      </c>
      <c r="DG354" s="20">
        <f ca="1">IF(Table1[[#This Row],[Column1]]="Social Service",Table1[[#This Row],[income]],0)</f>
        <v>0</v>
      </c>
      <c r="DH354" s="20">
        <f ca="1">IF(Table1[[#This Row],[Column1]]="Education",Table1[[#This Row],[income]],0)</f>
        <v>0</v>
      </c>
      <c r="DI354" s="5">
        <f ca="1">IF(Table1[[#This Row],[Column1]]="Construction",Table1[[#This Row],[income]],0)</f>
        <v>0</v>
      </c>
      <c r="DK354" s="6">
        <f ca="1">IF(Table1[[#This Row],[Value of Debts]]&gt;Table1[[#This Row],[income]],1,0)</f>
        <v>1</v>
      </c>
      <c r="DL354" s="20"/>
      <c r="DM354" s="20"/>
      <c r="DN354" s="5"/>
      <c r="DP354" s="6">
        <f ca="1">IF(Table1[[#This Row],[Net Worth (£)]]&gt;$DS$5,C354,0)</f>
        <v>0</v>
      </c>
      <c r="DQ354" s="20"/>
      <c r="DR354" s="20"/>
      <c r="DS354" s="5"/>
    </row>
    <row r="355" spans="1:123" x14ac:dyDescent="0.2">
      <c r="A355">
        <f t="shared" ca="1" si="16"/>
        <v>1</v>
      </c>
      <c r="B355" s="1" t="str">
        <f ca="1">IF(A355=1, "men", "women")</f>
        <v>men</v>
      </c>
      <c r="C355" s="1">
        <f ca="1">RANDBETWEEN(25,50)</f>
        <v>27</v>
      </c>
      <c r="D355">
        <f ca="1">RANDBETWEEN(1,6)</f>
        <v>6</v>
      </c>
      <c r="E355" t="str">
        <f ca="1">VLOOKUP(D355,$W$5:$X$10,2)</f>
        <v>Agriculture</v>
      </c>
      <c r="F355">
        <f ca="1">RANDBETWEEN(1,5)</f>
        <v>4</v>
      </c>
      <c r="G355" t="str">
        <f ca="1">VLOOKUP(F355,$Y$5:$Z$9,2)</f>
        <v xml:space="preserve">Technical </v>
      </c>
      <c r="H355">
        <f ca="1">RANDBETWEEN(0,4)</f>
        <v>2</v>
      </c>
      <c r="I355">
        <f ca="1">RANDBETWEEN(1,3)</f>
        <v>3</v>
      </c>
      <c r="J355">
        <f ca="1">RANDBETWEEN(30000,100000)</f>
        <v>86658</v>
      </c>
      <c r="K355">
        <f ca="1">RANDBETWEEN(1,48)</f>
        <v>19</v>
      </c>
      <c r="L355" t="str">
        <f ca="1">VLOOKUP(K355,$AA$5:$AB$52,2)</f>
        <v>Greater Manchester</v>
      </c>
      <c r="M355">
        <f ca="1">J355*(RANDBETWEEN(2,5))</f>
        <v>346632</v>
      </c>
      <c r="N355">
        <f ca="1">RAND()*M355</f>
        <v>243181.51773886572</v>
      </c>
      <c r="O355">
        <f ca="1">I355*RAND()*J355</f>
        <v>63874.278427456855</v>
      </c>
      <c r="P355">
        <f ca="1">RANDBETWEEN(0,O355)</f>
        <v>36371</v>
      </c>
      <c r="Q355">
        <f ca="1">RAND()*J355*2</f>
        <v>88885.421244778307</v>
      </c>
      <c r="R355">
        <f ca="1">RAND()*J355*1.5</f>
        <v>18897.313752873262</v>
      </c>
      <c r="S355">
        <f ca="1">J355+R355+O355</f>
        <v>169429.59218033013</v>
      </c>
      <c r="T355">
        <f ca="1">N355+P355+Q355</f>
        <v>368437.93898364401</v>
      </c>
      <c r="U355">
        <f ca="1">S355-T355</f>
        <v>-199008.34680331388</v>
      </c>
      <c r="AC355" s="6">
        <f ca="1">IF(Table1[[#This Row],[gender]]="men",1,0)</f>
        <v>1</v>
      </c>
      <c r="AD355">
        <f ca="1">IF(Table1[[#This Row],[gender]]="women",1,0)</f>
        <v>0</v>
      </c>
      <c r="AH355" s="5"/>
      <c r="AJ355" s="6">
        <f ca="1">IF(Table1[[#This Row],[Column1]]="Health",1,0)</f>
        <v>0</v>
      </c>
      <c r="AK355">
        <f ca="1">IF(Table1[[#This Row],[Column1]]="Construction",1,0)</f>
        <v>0</v>
      </c>
      <c r="AL355">
        <f ca="1">IF(Table1[[#This Row],[Column1]]="Technology",1,0)</f>
        <v>0</v>
      </c>
      <c r="AM355">
        <f ca="1">IF(Table1[[#This Row],[Column1]]="Education",1,0)</f>
        <v>0</v>
      </c>
      <c r="AN355">
        <f ca="1">IF(Table1[[#This Row],[Column1]]="Agriculture",1,0)</f>
        <v>1</v>
      </c>
      <c r="AO355">
        <f ca="1">IF(Table1[[#This Row],[Column1]]="Social Service", 1, 0)</f>
        <v>0</v>
      </c>
      <c r="AT355" s="5"/>
      <c r="AV355" s="17">
        <f t="shared" ca="1" si="15"/>
        <v>20959.971362730339</v>
      </c>
      <c r="AW355" s="5"/>
      <c r="AX355" s="6">
        <f ca="1">IF(Table1[[#This Row],[Value of Debts]]&gt;$AY$4,1,0)</f>
        <v>1</v>
      </c>
      <c r="AY355" s="20"/>
      <c r="AZ355" s="20"/>
      <c r="BA355" s="5"/>
      <c r="BB355" s="25">
        <f ca="1">Table1[[#This Row],[Mortage Left]]/Table1[[#This Row],[Value of House]]</f>
        <v>0.70155530285393652</v>
      </c>
      <c r="BC355" s="20">
        <f t="shared" ca="1" si="17"/>
        <v>0</v>
      </c>
      <c r="BD355" s="20"/>
      <c r="BE355" s="20"/>
      <c r="BF355" s="20"/>
      <c r="BG355" s="6">
        <f ca="1">IF(Table1[[#This Row],[County]]="Cumbria",Table1[[#This Row],[income]],0)</f>
        <v>0</v>
      </c>
      <c r="BH355" s="20">
        <f ca="1">IF(Table1[[#This Row],[County]]="Cheshire",Table1[[#This Row],[income]],0)</f>
        <v>0</v>
      </c>
      <c r="BI355" s="20">
        <f ca="1">IF(Table1[[#This Row],[County]]="Bristol",Table1[[#This Row],[income]],0)</f>
        <v>0</v>
      </c>
      <c r="BJ355" s="20">
        <f ca="1">IF(Table1[[#This Row],[County]]="Surrey",Table1[[#This Row],[income]],0)</f>
        <v>0</v>
      </c>
      <c r="BK355" s="20">
        <f ca="1">IF(Table1[[#This Row],[County]]="Norfolk",Table1[[#This Row],[income]],0)</f>
        <v>0</v>
      </c>
      <c r="BL355" s="20">
        <f ca="1">IF(Table1[[#This Row],[County]]="Lincolnshire",Table1[[#This Row],[income]],0)</f>
        <v>0</v>
      </c>
      <c r="BM355" s="20">
        <f ca="1">IF(Table1[[#This Row],[County]]="Somerset",Table1[[#This Row],[income]],0)</f>
        <v>0</v>
      </c>
      <c r="BN355" s="20">
        <f ca="1">IF(Table1[[#This Row],[County]]="Cambridgeshire",Table1[[#This Row],[income]],0)</f>
        <v>0</v>
      </c>
      <c r="BO355" s="20">
        <f ca="1">IF(Table1[[#This Row],[County]]="South Yorkshire",Table1[[#This Row],[income]],0)</f>
        <v>0</v>
      </c>
      <c r="BP355" s="20">
        <f ca="1">IF(Table1[[#This Row],[County]]="Greater London",Table1[[#This Row],[income]],0)</f>
        <v>0</v>
      </c>
      <c r="BQ355" s="20">
        <f ca="1">IF(Table1[[#This Row],[County]]="Hampshire",Table1[[#This Row],[income]],0)</f>
        <v>0</v>
      </c>
      <c r="BR355" s="20">
        <f ca="1">IF(Table1[[#This Row],[County]]="Gloucestershire",Table1[[#This Row],[income]],0)</f>
        <v>0</v>
      </c>
      <c r="BS355" s="20">
        <f ca="1">IF(Table1[[#This Row],[County]]="West Sussex",Table1[[#This Row],[income]],0)</f>
        <v>0</v>
      </c>
      <c r="BT355" s="20">
        <f ca="1">IF(Table1[[#This Row],[County]]="Devon",Table1[[#This Row],[income]],0)</f>
        <v>0</v>
      </c>
      <c r="BU355" s="20">
        <f ca="1">IF(Table1[[#This Row],[County]]="Berkshire",Table1[[#This Row],[income]],0)</f>
        <v>0</v>
      </c>
      <c r="BV355" s="20">
        <f ca="1">IF(Table1[[#This Row],[County]]="Staffordshire",Table1[[#This Row],[income]],0)</f>
        <v>0</v>
      </c>
      <c r="BW355" s="20">
        <f ca="1">IF(Table1[[#This Row],[County]]="Leicestershire",Table1[[#This Row],[income]],0)</f>
        <v>0</v>
      </c>
      <c r="BX355" s="20">
        <f ca="1">IF(Table1[[#This Row],[County]]="Cornwall",Table1[[#This Row],[income]],0)</f>
        <v>0</v>
      </c>
      <c r="BY355" s="20">
        <f ca="1">IF(Table1[[#This Row],[County]]="Isle of Wight",Table1[[#This Row],[income]],0)</f>
        <v>0</v>
      </c>
      <c r="BZ355" s="20">
        <f ca="1">IF(Table1[[#This Row],[County]]="Surrey",Table1[[#This Row],[income]],0)</f>
        <v>0</v>
      </c>
      <c r="CA355" s="20">
        <f ca="1">IF(Table1[[#This Row],[County]]="Derbyshire",Table1[[#This Row],[income]],0)</f>
        <v>0</v>
      </c>
      <c r="CB355" s="20">
        <f ca="1">IF(Table1[[#This Row],[County]]="City of London",Table1[[#This Row],[income]],0)</f>
        <v>0</v>
      </c>
      <c r="CC355" s="20">
        <f ca="1">IF(Table1[[#This Row],[County]]="Bedfordshire",Table1[[#This Row],[income]],0)</f>
        <v>0</v>
      </c>
      <c r="CD355" s="20">
        <f ca="1">IF(Table1[[#This Row],[County]]="County Durham",Table1[[#This Row],[income]],0)</f>
        <v>0</v>
      </c>
      <c r="CE355" s="20">
        <f ca="1">IF(Table1[[#This Row],[County]]="East Riding of Yorkshire",Table1[[#This Row],[income]],0)</f>
        <v>0</v>
      </c>
      <c r="CF355" s="20">
        <f ca="1">IF(Table1[[#This Row],[County]]="West Yorkshire",Table1[[#This Row],[income]],0)</f>
        <v>0</v>
      </c>
      <c r="CG355" s="20">
        <f ca="1">IF(Table1[[#This Row],[County]]="Essex",Table1[[#This Row],[income]],0)</f>
        <v>0</v>
      </c>
      <c r="CH355" s="20">
        <f ca="1">IF(Table1[[#This Row],[County]]="East Sussex",Table1[[#This Row],[income]],0)</f>
        <v>0</v>
      </c>
      <c r="CI355" s="20">
        <f ca="1">IF(Table1[[#This Row],[County]]="Greater Manchester",Table1[[#This Row],[income]],0)</f>
        <v>86658</v>
      </c>
      <c r="CJ355" s="20">
        <f ca="1">IF(Table1[[#This Row],[County]]="Hertfordshire",Table1[[#This Row],[income]],0)</f>
        <v>0</v>
      </c>
      <c r="CK355" s="20">
        <f ca="1">IF(Table1[[#This Row],[County]]="Herefordshire",Table1[[#This Row],[income]],0)</f>
        <v>0</v>
      </c>
      <c r="CL355" s="20">
        <f ca="1">IF(Table1[[#This Row],[County]]="Lancashire",Table1[[#This Row],[income]],0)</f>
        <v>0</v>
      </c>
      <c r="CM355" s="20">
        <f ca="1">IF(Table1[[#This Row],[County]]="Merseyside",Table1[[#This Row],[income]],0)</f>
        <v>0</v>
      </c>
      <c r="CN355" s="20">
        <f ca="1">IF(Table1[[#This Row],[County]]="Northamptonshire",Table1[[#This Row],[income]],0)</f>
        <v>0</v>
      </c>
      <c r="CO355" s="20">
        <f ca="1">IF(Table1[[#This Row],[County]]="Northumberland",Table1[[#This Row],[income]],0)</f>
        <v>0</v>
      </c>
      <c r="CP355" s="20">
        <f ca="1">IF(Table1[[#This Row],[County]]="Wiltshire",Table1[[#This Row],[income]],0)</f>
        <v>0</v>
      </c>
      <c r="CQ355" s="20">
        <f ca="1">IF(Table1[[#This Row],[County]]="West Midlands",Table1[[#This Row],[income]],0)</f>
        <v>0</v>
      </c>
      <c r="CR355" s="20">
        <f ca="1">IF(Table1[[#This Row],[County]]="Warwickshire",Table1[[#This Row],[income]],0)</f>
        <v>0</v>
      </c>
      <c r="CS355" s="20">
        <f ca="1">IF(Table1[[#This Row],[County]]="Tyne and Wear",Table1[[#This Row],[income]],0)</f>
        <v>0</v>
      </c>
      <c r="CT355" s="20">
        <f ca="1">IF(Table1[[#This Row],[County]]="Worcestershire",Table1[[#This Row],[income]],0)</f>
        <v>0</v>
      </c>
      <c r="CU355" s="20">
        <f ca="1">IF(Table1[[#This Row],[County]]="Rutland",Table1[[#This Row],[income]],0)</f>
        <v>0</v>
      </c>
      <c r="CV355" s="20">
        <f ca="1">IF(Table1[[#This Row],[County]]="Shropshire",Table1[[#This Row],[income]],0)</f>
        <v>0</v>
      </c>
      <c r="CW355" s="20">
        <f ca="1">IF(Table1[[#This Row],[County]]="Dorset",Table1[[#This Row],[income]],0)</f>
        <v>0</v>
      </c>
      <c r="CX355" s="20">
        <f ca="1">IF(Table1[[#This Row],[County]]="Buckinghamshire",Table1[[#This Row],[income]],0)</f>
        <v>0</v>
      </c>
      <c r="CY355" s="20">
        <f ca="1">IF(Table1[[#This Row],[County]]="Suffolk",Table1[[#This Row],[income]],0)</f>
        <v>0</v>
      </c>
      <c r="CZ355" s="20">
        <f ca="1">IF(Table1[[#This Row],[County]]="North Yorkshire",Table1[[#This Row],[income]],0)</f>
        <v>0</v>
      </c>
      <c r="DA355" s="20">
        <f ca="1">IF(Table1[[#This Row],[County]]="Kent",Table1[[#This Row],[income]],0)</f>
        <v>0</v>
      </c>
      <c r="DB355" s="5">
        <f ca="1">IF(Table1[[#This Row],[County]]="Derbyshire",Table1[[#This Row],[income]],0)</f>
        <v>0</v>
      </c>
      <c r="DD355" s="6">
        <f ca="1">IF(Table1[[#This Row],[Column1]]="Health",Table1[[#This Row],[income]],0)</f>
        <v>0</v>
      </c>
      <c r="DE355" s="20">
        <f ca="1">IF(Table1[[#This Row],[Column1]]="Agriculture",Table1[[#This Row],[income]],0)</f>
        <v>86658</v>
      </c>
      <c r="DF355" s="20">
        <f ca="1">IF(Table1[[#This Row],[Column1]]="Technology",Table1[[#This Row],[income]],0)</f>
        <v>0</v>
      </c>
      <c r="DG355" s="20">
        <f ca="1">IF(Table1[[#This Row],[Column1]]="Social Service",Table1[[#This Row],[income]],0)</f>
        <v>0</v>
      </c>
      <c r="DH355" s="20">
        <f ca="1">IF(Table1[[#This Row],[Column1]]="Education",Table1[[#This Row],[income]],0)</f>
        <v>0</v>
      </c>
      <c r="DI355" s="5">
        <f ca="1">IF(Table1[[#This Row],[Column1]]="Construction",Table1[[#This Row],[income]],0)</f>
        <v>0</v>
      </c>
      <c r="DK355" s="6">
        <f ca="1">IF(Table1[[#This Row],[Value of Debts]]&gt;Table1[[#This Row],[income]],1,0)</f>
        <v>1</v>
      </c>
      <c r="DL355" s="20"/>
      <c r="DM355" s="20"/>
      <c r="DN355" s="5"/>
      <c r="DP355" s="6">
        <f ca="1">IF(Table1[[#This Row],[Net Worth (£)]]&gt;$DS$5,C355,0)</f>
        <v>0</v>
      </c>
      <c r="DQ355" s="20"/>
      <c r="DR355" s="20"/>
      <c r="DS355" s="5"/>
    </row>
    <row r="356" spans="1:123" x14ac:dyDescent="0.2">
      <c r="A356">
        <f t="shared" ca="1" si="16"/>
        <v>2</v>
      </c>
      <c r="B356" s="1" t="str">
        <f ca="1">IF(A356=1, "men", "women")</f>
        <v>women</v>
      </c>
      <c r="C356" s="1">
        <f ca="1">RANDBETWEEN(25,50)</f>
        <v>43</v>
      </c>
      <c r="D356">
        <f ca="1">RANDBETWEEN(1,6)</f>
        <v>1</v>
      </c>
      <c r="E356" t="str">
        <f ca="1">VLOOKUP(D356,$W$5:$X$10,2)</f>
        <v>Health</v>
      </c>
      <c r="F356">
        <f ca="1">RANDBETWEEN(1,5)</f>
        <v>4</v>
      </c>
      <c r="G356" t="str">
        <f ca="1">VLOOKUP(F356,$Y$5:$Z$9,2)</f>
        <v xml:space="preserve">Technical </v>
      </c>
      <c r="H356">
        <f ca="1">RANDBETWEEN(0,4)</f>
        <v>0</v>
      </c>
      <c r="I356">
        <f ca="1">RANDBETWEEN(1,3)</f>
        <v>3</v>
      </c>
      <c r="J356">
        <f ca="1">RANDBETWEEN(30000,100000)</f>
        <v>31649</v>
      </c>
      <c r="K356">
        <f ca="1">RANDBETWEEN(1,48)</f>
        <v>7</v>
      </c>
      <c r="L356" t="str">
        <f ca="1">VLOOKUP(K356,$AA$5:$AB$52,2)</f>
        <v>City of London</v>
      </c>
      <c r="M356">
        <f ca="1">J356*(RANDBETWEEN(2,5))</f>
        <v>94947</v>
      </c>
      <c r="N356">
        <f ca="1">RAND()*M356</f>
        <v>30879.999341104012</v>
      </c>
      <c r="O356">
        <f ca="1">I356*RAND()*J356</f>
        <v>62879.914088191013</v>
      </c>
      <c r="P356">
        <f ca="1">RANDBETWEEN(0,O356)</f>
        <v>24813</v>
      </c>
      <c r="Q356">
        <f ca="1">RAND()*J356*2</f>
        <v>17135.761847245067</v>
      </c>
      <c r="R356">
        <f ca="1">RAND()*J356*1.5</f>
        <v>16086.060428079385</v>
      </c>
      <c r="S356">
        <f ca="1">J356+R356+O356</f>
        <v>110614.97451627039</v>
      </c>
      <c r="T356">
        <f ca="1">N356+P356+Q356</f>
        <v>72828.761188349075</v>
      </c>
      <c r="U356">
        <f ca="1">S356-T356</f>
        <v>37786.213327921316</v>
      </c>
      <c r="AC356" s="6">
        <f ca="1">IF(Table1[[#This Row],[gender]]="men",1,0)</f>
        <v>0</v>
      </c>
      <c r="AD356">
        <f ca="1">IF(Table1[[#This Row],[gender]]="women",1,0)</f>
        <v>1</v>
      </c>
      <c r="AH356" s="5"/>
      <c r="AJ356" s="6">
        <f ca="1">IF(Table1[[#This Row],[Column1]]="Health",1,0)</f>
        <v>1</v>
      </c>
      <c r="AK356">
        <f ca="1">IF(Table1[[#This Row],[Column1]]="Construction",1,0)</f>
        <v>0</v>
      </c>
      <c r="AL356">
        <f ca="1">IF(Table1[[#This Row],[Column1]]="Technology",1,0)</f>
        <v>0</v>
      </c>
      <c r="AM356">
        <f ca="1">IF(Table1[[#This Row],[Column1]]="Education",1,0)</f>
        <v>0</v>
      </c>
      <c r="AN356">
        <f ca="1">IF(Table1[[#This Row],[Column1]]="Agriculture",1,0)</f>
        <v>0</v>
      </c>
      <c r="AO356">
        <f ca="1">IF(Table1[[#This Row],[Column1]]="Social Service", 1, 0)</f>
        <v>0</v>
      </c>
      <c r="AT356" s="5"/>
      <c r="AV356" s="17">
        <f t="shared" ca="1" si="15"/>
        <v>16270.712937354534</v>
      </c>
      <c r="AW356" s="5"/>
      <c r="AX356" s="6">
        <f ca="1">IF(Table1[[#This Row],[Value of Debts]]&gt;$AY$4,1,0)</f>
        <v>0</v>
      </c>
      <c r="AY356" s="20"/>
      <c r="AZ356" s="20"/>
      <c r="BA356" s="5"/>
      <c r="BB356" s="25">
        <f ca="1">Table1[[#This Row],[Mortage Left]]/Table1[[#This Row],[Value of House]]</f>
        <v>0.32523407101966373</v>
      </c>
      <c r="BC356" s="20">
        <f t="shared" ca="1" si="17"/>
        <v>0</v>
      </c>
      <c r="BD356" s="20"/>
      <c r="BE356" s="20"/>
      <c r="BF356" s="20"/>
      <c r="BG356" s="6">
        <f ca="1">IF(Table1[[#This Row],[County]]="Cumbria",Table1[[#This Row],[income]],0)</f>
        <v>0</v>
      </c>
      <c r="BH356" s="20">
        <f ca="1">IF(Table1[[#This Row],[County]]="Cheshire",Table1[[#This Row],[income]],0)</f>
        <v>0</v>
      </c>
      <c r="BI356" s="20">
        <f ca="1">IF(Table1[[#This Row],[County]]="Bristol",Table1[[#This Row],[income]],0)</f>
        <v>0</v>
      </c>
      <c r="BJ356" s="20">
        <f ca="1">IF(Table1[[#This Row],[County]]="Surrey",Table1[[#This Row],[income]],0)</f>
        <v>0</v>
      </c>
      <c r="BK356" s="20">
        <f ca="1">IF(Table1[[#This Row],[County]]="Norfolk",Table1[[#This Row],[income]],0)</f>
        <v>0</v>
      </c>
      <c r="BL356" s="20">
        <f ca="1">IF(Table1[[#This Row],[County]]="Lincolnshire",Table1[[#This Row],[income]],0)</f>
        <v>0</v>
      </c>
      <c r="BM356" s="20">
        <f ca="1">IF(Table1[[#This Row],[County]]="Somerset",Table1[[#This Row],[income]],0)</f>
        <v>0</v>
      </c>
      <c r="BN356" s="20">
        <f ca="1">IF(Table1[[#This Row],[County]]="Cambridgeshire",Table1[[#This Row],[income]],0)</f>
        <v>0</v>
      </c>
      <c r="BO356" s="20">
        <f ca="1">IF(Table1[[#This Row],[County]]="South Yorkshire",Table1[[#This Row],[income]],0)</f>
        <v>0</v>
      </c>
      <c r="BP356" s="20">
        <f ca="1">IF(Table1[[#This Row],[County]]="Greater London",Table1[[#This Row],[income]],0)</f>
        <v>0</v>
      </c>
      <c r="BQ356" s="20">
        <f ca="1">IF(Table1[[#This Row],[County]]="Hampshire",Table1[[#This Row],[income]],0)</f>
        <v>0</v>
      </c>
      <c r="BR356" s="20">
        <f ca="1">IF(Table1[[#This Row],[County]]="Gloucestershire",Table1[[#This Row],[income]],0)</f>
        <v>0</v>
      </c>
      <c r="BS356" s="20">
        <f ca="1">IF(Table1[[#This Row],[County]]="West Sussex",Table1[[#This Row],[income]],0)</f>
        <v>0</v>
      </c>
      <c r="BT356" s="20">
        <f ca="1">IF(Table1[[#This Row],[County]]="Devon",Table1[[#This Row],[income]],0)</f>
        <v>0</v>
      </c>
      <c r="BU356" s="20">
        <f ca="1">IF(Table1[[#This Row],[County]]="Berkshire",Table1[[#This Row],[income]],0)</f>
        <v>0</v>
      </c>
      <c r="BV356" s="20">
        <f ca="1">IF(Table1[[#This Row],[County]]="Staffordshire",Table1[[#This Row],[income]],0)</f>
        <v>0</v>
      </c>
      <c r="BW356" s="20">
        <f ca="1">IF(Table1[[#This Row],[County]]="Leicestershire",Table1[[#This Row],[income]],0)</f>
        <v>0</v>
      </c>
      <c r="BX356" s="20">
        <f ca="1">IF(Table1[[#This Row],[County]]="Cornwall",Table1[[#This Row],[income]],0)</f>
        <v>0</v>
      </c>
      <c r="BY356" s="20">
        <f ca="1">IF(Table1[[#This Row],[County]]="Isle of Wight",Table1[[#This Row],[income]],0)</f>
        <v>0</v>
      </c>
      <c r="BZ356" s="20">
        <f ca="1">IF(Table1[[#This Row],[County]]="Surrey",Table1[[#This Row],[income]],0)</f>
        <v>0</v>
      </c>
      <c r="CA356" s="20">
        <f ca="1">IF(Table1[[#This Row],[County]]="Derbyshire",Table1[[#This Row],[income]],0)</f>
        <v>0</v>
      </c>
      <c r="CB356" s="20">
        <f ca="1">IF(Table1[[#This Row],[County]]="City of London",Table1[[#This Row],[income]],0)</f>
        <v>31649</v>
      </c>
      <c r="CC356" s="20">
        <f ca="1">IF(Table1[[#This Row],[County]]="Bedfordshire",Table1[[#This Row],[income]],0)</f>
        <v>0</v>
      </c>
      <c r="CD356" s="20">
        <f ca="1">IF(Table1[[#This Row],[County]]="County Durham",Table1[[#This Row],[income]],0)</f>
        <v>0</v>
      </c>
      <c r="CE356" s="20">
        <f ca="1">IF(Table1[[#This Row],[County]]="East Riding of Yorkshire",Table1[[#This Row],[income]],0)</f>
        <v>0</v>
      </c>
      <c r="CF356" s="20">
        <f ca="1">IF(Table1[[#This Row],[County]]="West Yorkshire",Table1[[#This Row],[income]],0)</f>
        <v>0</v>
      </c>
      <c r="CG356" s="20">
        <f ca="1">IF(Table1[[#This Row],[County]]="Essex",Table1[[#This Row],[income]],0)</f>
        <v>0</v>
      </c>
      <c r="CH356" s="20">
        <f ca="1">IF(Table1[[#This Row],[County]]="East Sussex",Table1[[#This Row],[income]],0)</f>
        <v>0</v>
      </c>
      <c r="CI356" s="20">
        <f ca="1">IF(Table1[[#This Row],[County]]="Greater Manchester",Table1[[#This Row],[income]],0)</f>
        <v>0</v>
      </c>
      <c r="CJ356" s="20">
        <f ca="1">IF(Table1[[#This Row],[County]]="Hertfordshire",Table1[[#This Row],[income]],0)</f>
        <v>0</v>
      </c>
      <c r="CK356" s="20">
        <f ca="1">IF(Table1[[#This Row],[County]]="Herefordshire",Table1[[#This Row],[income]],0)</f>
        <v>0</v>
      </c>
      <c r="CL356" s="20">
        <f ca="1">IF(Table1[[#This Row],[County]]="Lancashire",Table1[[#This Row],[income]],0)</f>
        <v>0</v>
      </c>
      <c r="CM356" s="20">
        <f ca="1">IF(Table1[[#This Row],[County]]="Merseyside",Table1[[#This Row],[income]],0)</f>
        <v>0</v>
      </c>
      <c r="CN356" s="20">
        <f ca="1">IF(Table1[[#This Row],[County]]="Northamptonshire",Table1[[#This Row],[income]],0)</f>
        <v>0</v>
      </c>
      <c r="CO356" s="20">
        <f ca="1">IF(Table1[[#This Row],[County]]="Northumberland",Table1[[#This Row],[income]],0)</f>
        <v>0</v>
      </c>
      <c r="CP356" s="20">
        <f ca="1">IF(Table1[[#This Row],[County]]="Wiltshire",Table1[[#This Row],[income]],0)</f>
        <v>0</v>
      </c>
      <c r="CQ356" s="20">
        <f ca="1">IF(Table1[[#This Row],[County]]="West Midlands",Table1[[#This Row],[income]],0)</f>
        <v>0</v>
      </c>
      <c r="CR356" s="20">
        <f ca="1">IF(Table1[[#This Row],[County]]="Warwickshire",Table1[[#This Row],[income]],0)</f>
        <v>0</v>
      </c>
      <c r="CS356" s="20">
        <f ca="1">IF(Table1[[#This Row],[County]]="Tyne and Wear",Table1[[#This Row],[income]],0)</f>
        <v>0</v>
      </c>
      <c r="CT356" s="20">
        <f ca="1">IF(Table1[[#This Row],[County]]="Worcestershire",Table1[[#This Row],[income]],0)</f>
        <v>0</v>
      </c>
      <c r="CU356" s="20">
        <f ca="1">IF(Table1[[#This Row],[County]]="Rutland",Table1[[#This Row],[income]],0)</f>
        <v>0</v>
      </c>
      <c r="CV356" s="20">
        <f ca="1">IF(Table1[[#This Row],[County]]="Shropshire",Table1[[#This Row],[income]],0)</f>
        <v>0</v>
      </c>
      <c r="CW356" s="20">
        <f ca="1">IF(Table1[[#This Row],[County]]="Dorset",Table1[[#This Row],[income]],0)</f>
        <v>0</v>
      </c>
      <c r="CX356" s="20">
        <f ca="1">IF(Table1[[#This Row],[County]]="Buckinghamshire",Table1[[#This Row],[income]],0)</f>
        <v>0</v>
      </c>
      <c r="CY356" s="20">
        <f ca="1">IF(Table1[[#This Row],[County]]="Suffolk",Table1[[#This Row],[income]],0)</f>
        <v>0</v>
      </c>
      <c r="CZ356" s="20">
        <f ca="1">IF(Table1[[#This Row],[County]]="North Yorkshire",Table1[[#This Row],[income]],0)</f>
        <v>0</v>
      </c>
      <c r="DA356" s="20">
        <f ca="1">IF(Table1[[#This Row],[County]]="Kent",Table1[[#This Row],[income]],0)</f>
        <v>0</v>
      </c>
      <c r="DB356" s="5">
        <f ca="1">IF(Table1[[#This Row],[County]]="Derbyshire",Table1[[#This Row],[income]],0)</f>
        <v>0</v>
      </c>
      <c r="DD356" s="6">
        <f ca="1">IF(Table1[[#This Row],[Column1]]="Health",Table1[[#This Row],[income]],0)</f>
        <v>31649</v>
      </c>
      <c r="DE356" s="20">
        <f ca="1">IF(Table1[[#This Row],[Column1]]="Agriculture",Table1[[#This Row],[income]],0)</f>
        <v>0</v>
      </c>
      <c r="DF356" s="20">
        <f ca="1">IF(Table1[[#This Row],[Column1]]="Technology",Table1[[#This Row],[income]],0)</f>
        <v>0</v>
      </c>
      <c r="DG356" s="20">
        <f ca="1">IF(Table1[[#This Row],[Column1]]="Social Service",Table1[[#This Row],[income]],0)</f>
        <v>0</v>
      </c>
      <c r="DH356" s="20">
        <f ca="1">IF(Table1[[#This Row],[Column1]]="Education",Table1[[#This Row],[income]],0)</f>
        <v>0</v>
      </c>
      <c r="DI356" s="5">
        <f ca="1">IF(Table1[[#This Row],[Column1]]="Construction",Table1[[#This Row],[income]],0)</f>
        <v>0</v>
      </c>
      <c r="DK356" s="6">
        <f ca="1">IF(Table1[[#This Row],[Value of Debts]]&gt;Table1[[#This Row],[income]],1,0)</f>
        <v>1</v>
      </c>
      <c r="DL356" s="20"/>
      <c r="DM356" s="20"/>
      <c r="DN356" s="5"/>
      <c r="DP356" s="6">
        <f ca="1">IF(Table1[[#This Row],[Net Worth (£)]]&gt;$DS$5,C356,0)</f>
        <v>0</v>
      </c>
      <c r="DQ356" s="20"/>
      <c r="DR356" s="20"/>
      <c r="DS356" s="5"/>
    </row>
    <row r="357" spans="1:123" x14ac:dyDescent="0.2">
      <c r="A357">
        <f t="shared" ca="1" si="16"/>
        <v>1</v>
      </c>
      <c r="B357" s="1" t="str">
        <f ca="1">IF(A357=1, "men", "women")</f>
        <v>men</v>
      </c>
      <c r="C357" s="1">
        <f ca="1">RANDBETWEEN(25,50)</f>
        <v>41</v>
      </c>
      <c r="D357">
        <f ca="1">RANDBETWEEN(1,6)</f>
        <v>5</v>
      </c>
      <c r="E357" t="str">
        <f ca="1">VLOOKUP(D357,$W$5:$X$10,2)</f>
        <v>Social Service</v>
      </c>
      <c r="F357">
        <f ca="1">RANDBETWEEN(1,5)</f>
        <v>1</v>
      </c>
      <c r="G357" t="str">
        <f ca="1">VLOOKUP(F357,$Y$5:$Z$9,2)</f>
        <v>High School</v>
      </c>
      <c r="H357">
        <f ca="1">RANDBETWEEN(0,4)</f>
        <v>2</v>
      </c>
      <c r="I357">
        <f ca="1">RANDBETWEEN(1,3)</f>
        <v>1</v>
      </c>
      <c r="J357">
        <f ca="1">RANDBETWEEN(30000,100000)</f>
        <v>30458</v>
      </c>
      <c r="K357">
        <f ca="1">RANDBETWEEN(1,48)</f>
        <v>8</v>
      </c>
      <c r="L357" t="str">
        <f ca="1">VLOOKUP(K357,$AA$5:$AB$52,2)</f>
        <v>Cornwall</v>
      </c>
      <c r="M357">
        <f ca="1">J357*(RANDBETWEEN(2,5))</f>
        <v>91374</v>
      </c>
      <c r="N357">
        <f ca="1">RAND()*M357</f>
        <v>85452.969219186925</v>
      </c>
      <c r="O357">
        <f ca="1">I357*RAND()*J357</f>
        <v>16270.712937354534</v>
      </c>
      <c r="P357">
        <f ca="1">RANDBETWEEN(0,O357)</f>
        <v>13861</v>
      </c>
      <c r="Q357">
        <f ca="1">RAND()*J357*2</f>
        <v>21053.807443862879</v>
      </c>
      <c r="R357">
        <f ca="1">RAND()*J357*1.5</f>
        <v>19392.289890269582</v>
      </c>
      <c r="S357">
        <f ca="1">J357+R357+O357</f>
        <v>66121.002827624121</v>
      </c>
      <c r="T357">
        <f ca="1">N357+P357+Q357</f>
        <v>120367.77666304981</v>
      </c>
      <c r="U357">
        <f ca="1">S357-T357</f>
        <v>-54246.773835425687</v>
      </c>
      <c r="AC357" s="6">
        <f ca="1">IF(Table1[[#This Row],[gender]]="men",1,0)</f>
        <v>1</v>
      </c>
      <c r="AD357">
        <f ca="1">IF(Table1[[#This Row],[gender]]="women",1,0)</f>
        <v>0</v>
      </c>
      <c r="AH357" s="5"/>
      <c r="AJ357" s="6">
        <f ca="1">IF(Table1[[#This Row],[Column1]]="Health",1,0)</f>
        <v>0</v>
      </c>
      <c r="AK357">
        <f ca="1">IF(Table1[[#This Row],[Column1]]="Construction",1,0)</f>
        <v>0</v>
      </c>
      <c r="AL357">
        <f ca="1">IF(Table1[[#This Row],[Column1]]="Technology",1,0)</f>
        <v>0</v>
      </c>
      <c r="AM357">
        <f ca="1">IF(Table1[[#This Row],[Column1]]="Education",1,0)</f>
        <v>0</v>
      </c>
      <c r="AN357">
        <f ca="1">IF(Table1[[#This Row],[Column1]]="Agriculture",1,0)</f>
        <v>0</v>
      </c>
      <c r="AO357">
        <f ca="1">IF(Table1[[#This Row],[Column1]]="Social Service", 1, 0)</f>
        <v>1</v>
      </c>
      <c r="AT357" s="5"/>
      <c r="AV357" s="17">
        <f t="shared" ca="1" si="15"/>
        <v>66127.865643606026</v>
      </c>
      <c r="AW357" s="5"/>
      <c r="AX357" s="6">
        <f ca="1">IF(Table1[[#This Row],[Value of Debts]]&gt;$AY$4,1,0)</f>
        <v>1</v>
      </c>
      <c r="AY357" s="20"/>
      <c r="AZ357" s="20"/>
      <c r="BA357" s="5"/>
      <c r="BB357" s="25">
        <f ca="1">Table1[[#This Row],[Mortage Left]]/Table1[[#This Row],[Value of House]]</f>
        <v>0.93520004836372406</v>
      </c>
      <c r="BC357" s="20">
        <f t="shared" ca="1" si="17"/>
        <v>0</v>
      </c>
      <c r="BD357" s="20"/>
      <c r="BE357" s="20"/>
      <c r="BF357" s="20"/>
      <c r="BG357" s="6">
        <f ca="1">IF(Table1[[#This Row],[County]]="Cumbria",Table1[[#This Row],[income]],0)</f>
        <v>0</v>
      </c>
      <c r="BH357" s="20">
        <f ca="1">IF(Table1[[#This Row],[County]]="Cheshire",Table1[[#This Row],[income]],0)</f>
        <v>0</v>
      </c>
      <c r="BI357" s="20">
        <f ca="1">IF(Table1[[#This Row],[County]]="Bristol",Table1[[#This Row],[income]],0)</f>
        <v>0</v>
      </c>
      <c r="BJ357" s="20">
        <f ca="1">IF(Table1[[#This Row],[County]]="Surrey",Table1[[#This Row],[income]],0)</f>
        <v>0</v>
      </c>
      <c r="BK357" s="20">
        <f ca="1">IF(Table1[[#This Row],[County]]="Norfolk",Table1[[#This Row],[income]],0)</f>
        <v>0</v>
      </c>
      <c r="BL357" s="20">
        <f ca="1">IF(Table1[[#This Row],[County]]="Lincolnshire",Table1[[#This Row],[income]],0)</f>
        <v>0</v>
      </c>
      <c r="BM357" s="20">
        <f ca="1">IF(Table1[[#This Row],[County]]="Somerset",Table1[[#This Row],[income]],0)</f>
        <v>0</v>
      </c>
      <c r="BN357" s="20">
        <f ca="1">IF(Table1[[#This Row],[County]]="Cambridgeshire",Table1[[#This Row],[income]],0)</f>
        <v>0</v>
      </c>
      <c r="BO357" s="20">
        <f ca="1">IF(Table1[[#This Row],[County]]="South Yorkshire",Table1[[#This Row],[income]],0)</f>
        <v>0</v>
      </c>
      <c r="BP357" s="20">
        <f ca="1">IF(Table1[[#This Row],[County]]="Greater London",Table1[[#This Row],[income]],0)</f>
        <v>0</v>
      </c>
      <c r="BQ357" s="20">
        <f ca="1">IF(Table1[[#This Row],[County]]="Hampshire",Table1[[#This Row],[income]],0)</f>
        <v>0</v>
      </c>
      <c r="BR357" s="20">
        <f ca="1">IF(Table1[[#This Row],[County]]="Gloucestershire",Table1[[#This Row],[income]],0)</f>
        <v>0</v>
      </c>
      <c r="BS357" s="20">
        <f ca="1">IF(Table1[[#This Row],[County]]="West Sussex",Table1[[#This Row],[income]],0)</f>
        <v>0</v>
      </c>
      <c r="BT357" s="20">
        <f ca="1">IF(Table1[[#This Row],[County]]="Devon",Table1[[#This Row],[income]],0)</f>
        <v>0</v>
      </c>
      <c r="BU357" s="20">
        <f ca="1">IF(Table1[[#This Row],[County]]="Berkshire",Table1[[#This Row],[income]],0)</f>
        <v>0</v>
      </c>
      <c r="BV357" s="20">
        <f ca="1">IF(Table1[[#This Row],[County]]="Staffordshire",Table1[[#This Row],[income]],0)</f>
        <v>0</v>
      </c>
      <c r="BW357" s="20">
        <f ca="1">IF(Table1[[#This Row],[County]]="Leicestershire",Table1[[#This Row],[income]],0)</f>
        <v>0</v>
      </c>
      <c r="BX357" s="20">
        <f ca="1">IF(Table1[[#This Row],[County]]="Cornwall",Table1[[#This Row],[income]],0)</f>
        <v>30458</v>
      </c>
      <c r="BY357" s="20">
        <f ca="1">IF(Table1[[#This Row],[County]]="Isle of Wight",Table1[[#This Row],[income]],0)</f>
        <v>0</v>
      </c>
      <c r="BZ357" s="20">
        <f ca="1">IF(Table1[[#This Row],[County]]="Surrey",Table1[[#This Row],[income]],0)</f>
        <v>0</v>
      </c>
      <c r="CA357" s="20">
        <f ca="1">IF(Table1[[#This Row],[County]]="Derbyshire",Table1[[#This Row],[income]],0)</f>
        <v>0</v>
      </c>
      <c r="CB357" s="20">
        <f ca="1">IF(Table1[[#This Row],[County]]="City of London",Table1[[#This Row],[income]],0)</f>
        <v>0</v>
      </c>
      <c r="CC357" s="20">
        <f ca="1">IF(Table1[[#This Row],[County]]="Bedfordshire",Table1[[#This Row],[income]],0)</f>
        <v>0</v>
      </c>
      <c r="CD357" s="20">
        <f ca="1">IF(Table1[[#This Row],[County]]="County Durham",Table1[[#This Row],[income]],0)</f>
        <v>0</v>
      </c>
      <c r="CE357" s="20">
        <f ca="1">IF(Table1[[#This Row],[County]]="East Riding of Yorkshire",Table1[[#This Row],[income]],0)</f>
        <v>0</v>
      </c>
      <c r="CF357" s="20">
        <f ca="1">IF(Table1[[#This Row],[County]]="West Yorkshire",Table1[[#This Row],[income]],0)</f>
        <v>0</v>
      </c>
      <c r="CG357" s="20">
        <f ca="1">IF(Table1[[#This Row],[County]]="Essex",Table1[[#This Row],[income]],0)</f>
        <v>0</v>
      </c>
      <c r="CH357" s="20">
        <f ca="1">IF(Table1[[#This Row],[County]]="East Sussex",Table1[[#This Row],[income]],0)</f>
        <v>0</v>
      </c>
      <c r="CI357" s="20">
        <f ca="1">IF(Table1[[#This Row],[County]]="Greater Manchester",Table1[[#This Row],[income]],0)</f>
        <v>0</v>
      </c>
      <c r="CJ357" s="20">
        <f ca="1">IF(Table1[[#This Row],[County]]="Hertfordshire",Table1[[#This Row],[income]],0)</f>
        <v>0</v>
      </c>
      <c r="CK357" s="20">
        <f ca="1">IF(Table1[[#This Row],[County]]="Herefordshire",Table1[[#This Row],[income]],0)</f>
        <v>0</v>
      </c>
      <c r="CL357" s="20">
        <f ca="1">IF(Table1[[#This Row],[County]]="Lancashire",Table1[[#This Row],[income]],0)</f>
        <v>0</v>
      </c>
      <c r="CM357" s="20">
        <f ca="1">IF(Table1[[#This Row],[County]]="Merseyside",Table1[[#This Row],[income]],0)</f>
        <v>0</v>
      </c>
      <c r="CN357" s="20">
        <f ca="1">IF(Table1[[#This Row],[County]]="Northamptonshire",Table1[[#This Row],[income]],0)</f>
        <v>0</v>
      </c>
      <c r="CO357" s="20">
        <f ca="1">IF(Table1[[#This Row],[County]]="Northumberland",Table1[[#This Row],[income]],0)</f>
        <v>0</v>
      </c>
      <c r="CP357" s="20">
        <f ca="1">IF(Table1[[#This Row],[County]]="Wiltshire",Table1[[#This Row],[income]],0)</f>
        <v>0</v>
      </c>
      <c r="CQ357" s="20">
        <f ca="1">IF(Table1[[#This Row],[County]]="West Midlands",Table1[[#This Row],[income]],0)</f>
        <v>0</v>
      </c>
      <c r="CR357" s="20">
        <f ca="1">IF(Table1[[#This Row],[County]]="Warwickshire",Table1[[#This Row],[income]],0)</f>
        <v>0</v>
      </c>
      <c r="CS357" s="20">
        <f ca="1">IF(Table1[[#This Row],[County]]="Tyne and Wear",Table1[[#This Row],[income]],0)</f>
        <v>0</v>
      </c>
      <c r="CT357" s="20">
        <f ca="1">IF(Table1[[#This Row],[County]]="Worcestershire",Table1[[#This Row],[income]],0)</f>
        <v>0</v>
      </c>
      <c r="CU357" s="20">
        <f ca="1">IF(Table1[[#This Row],[County]]="Rutland",Table1[[#This Row],[income]],0)</f>
        <v>0</v>
      </c>
      <c r="CV357" s="20">
        <f ca="1">IF(Table1[[#This Row],[County]]="Shropshire",Table1[[#This Row],[income]],0)</f>
        <v>0</v>
      </c>
      <c r="CW357" s="20">
        <f ca="1">IF(Table1[[#This Row],[County]]="Dorset",Table1[[#This Row],[income]],0)</f>
        <v>0</v>
      </c>
      <c r="CX357" s="20">
        <f ca="1">IF(Table1[[#This Row],[County]]="Buckinghamshire",Table1[[#This Row],[income]],0)</f>
        <v>0</v>
      </c>
      <c r="CY357" s="20">
        <f ca="1">IF(Table1[[#This Row],[County]]="Suffolk",Table1[[#This Row],[income]],0)</f>
        <v>0</v>
      </c>
      <c r="CZ357" s="20">
        <f ca="1">IF(Table1[[#This Row],[County]]="North Yorkshire",Table1[[#This Row],[income]],0)</f>
        <v>0</v>
      </c>
      <c r="DA357" s="20">
        <f ca="1">IF(Table1[[#This Row],[County]]="Kent",Table1[[#This Row],[income]],0)</f>
        <v>0</v>
      </c>
      <c r="DB357" s="5">
        <f ca="1">IF(Table1[[#This Row],[County]]="Derbyshire",Table1[[#This Row],[income]],0)</f>
        <v>0</v>
      </c>
      <c r="DD357" s="6">
        <f ca="1">IF(Table1[[#This Row],[Column1]]="Health",Table1[[#This Row],[income]],0)</f>
        <v>0</v>
      </c>
      <c r="DE357" s="20">
        <f ca="1">IF(Table1[[#This Row],[Column1]]="Agriculture",Table1[[#This Row],[income]],0)</f>
        <v>0</v>
      </c>
      <c r="DF357" s="20">
        <f ca="1">IF(Table1[[#This Row],[Column1]]="Technology",Table1[[#This Row],[income]],0)</f>
        <v>0</v>
      </c>
      <c r="DG357" s="20">
        <f ca="1">IF(Table1[[#This Row],[Column1]]="Social Service",Table1[[#This Row],[income]],0)</f>
        <v>30458</v>
      </c>
      <c r="DH357" s="20">
        <f ca="1">IF(Table1[[#This Row],[Column1]]="Education",Table1[[#This Row],[income]],0)</f>
        <v>0</v>
      </c>
      <c r="DI357" s="5">
        <f ca="1">IF(Table1[[#This Row],[Column1]]="Construction",Table1[[#This Row],[income]],0)</f>
        <v>0</v>
      </c>
      <c r="DK357" s="6">
        <f ca="1">IF(Table1[[#This Row],[Value of Debts]]&gt;Table1[[#This Row],[income]],1,0)</f>
        <v>1</v>
      </c>
      <c r="DL357" s="20"/>
      <c r="DM357" s="20"/>
      <c r="DN357" s="5"/>
      <c r="DP357" s="6">
        <f ca="1">IF(Table1[[#This Row],[Net Worth (£)]]&gt;$DS$5,C357,0)</f>
        <v>0</v>
      </c>
      <c r="DQ357" s="20"/>
      <c r="DR357" s="20"/>
      <c r="DS357" s="5"/>
    </row>
    <row r="358" spans="1:123" x14ac:dyDescent="0.2">
      <c r="A358">
        <f t="shared" ca="1" si="16"/>
        <v>2</v>
      </c>
      <c r="B358" s="1" t="str">
        <f ca="1">IF(A358=1, "men", "women")</f>
        <v>women</v>
      </c>
      <c r="C358" s="1">
        <f ca="1">RANDBETWEEN(25,50)</f>
        <v>25</v>
      </c>
      <c r="D358">
        <f ca="1">RANDBETWEEN(1,6)</f>
        <v>6</v>
      </c>
      <c r="E358" t="str">
        <f ca="1">VLOOKUP(D358,$W$5:$X$10,2)</f>
        <v>Agriculture</v>
      </c>
      <c r="F358">
        <f ca="1">RANDBETWEEN(1,5)</f>
        <v>1</v>
      </c>
      <c r="G358" t="str">
        <f ca="1">VLOOKUP(F358,$Y$5:$Z$9,2)</f>
        <v>High School</v>
      </c>
      <c r="H358">
        <f ca="1">RANDBETWEEN(0,4)</f>
        <v>4</v>
      </c>
      <c r="I358">
        <f ca="1">RANDBETWEEN(1,3)</f>
        <v>2</v>
      </c>
      <c r="J358">
        <f ca="1">RANDBETWEEN(30000,100000)</f>
        <v>99611</v>
      </c>
      <c r="K358">
        <f ca="1">RANDBETWEEN(1,48)</f>
        <v>1</v>
      </c>
      <c r="L358" t="str">
        <f ca="1">VLOOKUP(K358,$AA$5:$AB$52,2)</f>
        <v>Bedfordshire</v>
      </c>
      <c r="M358">
        <f ca="1">J358*(RANDBETWEEN(2,5))</f>
        <v>498055</v>
      </c>
      <c r="N358">
        <f ca="1">RAND()*M358</f>
        <v>95865.324247792858</v>
      </c>
      <c r="O358">
        <f ca="1">I358*RAND()*J358</f>
        <v>132255.73128721205</v>
      </c>
      <c r="P358">
        <f ca="1">RANDBETWEEN(0,O358)</f>
        <v>40720</v>
      </c>
      <c r="Q358">
        <f ca="1">RAND()*J358*2</f>
        <v>47212.074997732823</v>
      </c>
      <c r="R358">
        <f ca="1">RAND()*J358*1.5</f>
        <v>105564.20381623642</v>
      </c>
      <c r="S358">
        <f ca="1">J358+R358+O358</f>
        <v>337430.93510344846</v>
      </c>
      <c r="T358">
        <f ca="1">N358+P358+Q358</f>
        <v>183797.39924552568</v>
      </c>
      <c r="U358">
        <f ca="1">S358-T358</f>
        <v>153633.53585792278</v>
      </c>
      <c r="AC358" s="6">
        <f ca="1">IF(Table1[[#This Row],[gender]]="men",1,0)</f>
        <v>0</v>
      </c>
      <c r="AD358">
        <f ca="1">IF(Table1[[#This Row],[gender]]="women",1,0)</f>
        <v>1</v>
      </c>
      <c r="AH358" s="5"/>
      <c r="AJ358" s="6">
        <f ca="1">IF(Table1[[#This Row],[Column1]]="Health",1,0)</f>
        <v>0</v>
      </c>
      <c r="AK358">
        <f ca="1">IF(Table1[[#This Row],[Column1]]="Construction",1,0)</f>
        <v>0</v>
      </c>
      <c r="AL358">
        <f ca="1">IF(Table1[[#This Row],[Column1]]="Technology",1,0)</f>
        <v>0</v>
      </c>
      <c r="AM358">
        <f ca="1">IF(Table1[[#This Row],[Column1]]="Education",1,0)</f>
        <v>0</v>
      </c>
      <c r="AN358">
        <f ca="1">IF(Table1[[#This Row],[Column1]]="Agriculture",1,0)</f>
        <v>1</v>
      </c>
      <c r="AO358">
        <f ca="1">IF(Table1[[#This Row],[Column1]]="Social Service", 1, 0)</f>
        <v>0</v>
      </c>
      <c r="AT358" s="5"/>
      <c r="AV358" s="17">
        <f t="shared" ca="1" si="15"/>
        <v>66905.149286500746</v>
      </c>
      <c r="AW358" s="5"/>
      <c r="AX358" s="6">
        <f ca="1">IF(Table1[[#This Row],[Value of Debts]]&gt;$AY$4,1,0)</f>
        <v>1</v>
      </c>
      <c r="AY358" s="20"/>
      <c r="AZ358" s="20"/>
      <c r="BA358" s="5"/>
      <c r="BB358" s="25">
        <f ca="1">Table1[[#This Row],[Mortage Left]]/Table1[[#This Row],[Value of House]]</f>
        <v>0.19247939333566144</v>
      </c>
      <c r="BC358" s="20">
        <f t="shared" ca="1" si="17"/>
        <v>1</v>
      </c>
      <c r="BD358" s="20"/>
      <c r="BE358" s="20"/>
      <c r="BF358" s="20"/>
      <c r="BG358" s="6">
        <f ca="1">IF(Table1[[#This Row],[County]]="Cumbria",Table1[[#This Row],[income]],0)</f>
        <v>0</v>
      </c>
      <c r="BH358" s="20">
        <f ca="1">IF(Table1[[#This Row],[County]]="Cheshire",Table1[[#This Row],[income]],0)</f>
        <v>0</v>
      </c>
      <c r="BI358" s="20">
        <f ca="1">IF(Table1[[#This Row],[County]]="Bristol",Table1[[#This Row],[income]],0)</f>
        <v>0</v>
      </c>
      <c r="BJ358" s="20">
        <f ca="1">IF(Table1[[#This Row],[County]]="Surrey",Table1[[#This Row],[income]],0)</f>
        <v>0</v>
      </c>
      <c r="BK358" s="20">
        <f ca="1">IF(Table1[[#This Row],[County]]="Norfolk",Table1[[#This Row],[income]],0)</f>
        <v>0</v>
      </c>
      <c r="BL358" s="20">
        <f ca="1">IF(Table1[[#This Row],[County]]="Lincolnshire",Table1[[#This Row],[income]],0)</f>
        <v>0</v>
      </c>
      <c r="BM358" s="20">
        <f ca="1">IF(Table1[[#This Row],[County]]="Somerset",Table1[[#This Row],[income]],0)</f>
        <v>0</v>
      </c>
      <c r="BN358" s="20">
        <f ca="1">IF(Table1[[#This Row],[County]]="Cambridgeshire",Table1[[#This Row],[income]],0)</f>
        <v>0</v>
      </c>
      <c r="BO358" s="20">
        <f ca="1">IF(Table1[[#This Row],[County]]="South Yorkshire",Table1[[#This Row],[income]],0)</f>
        <v>0</v>
      </c>
      <c r="BP358" s="20">
        <f ca="1">IF(Table1[[#This Row],[County]]="Greater London",Table1[[#This Row],[income]],0)</f>
        <v>0</v>
      </c>
      <c r="BQ358" s="20">
        <f ca="1">IF(Table1[[#This Row],[County]]="Hampshire",Table1[[#This Row],[income]],0)</f>
        <v>0</v>
      </c>
      <c r="BR358" s="20">
        <f ca="1">IF(Table1[[#This Row],[County]]="Gloucestershire",Table1[[#This Row],[income]],0)</f>
        <v>0</v>
      </c>
      <c r="BS358" s="20">
        <f ca="1">IF(Table1[[#This Row],[County]]="West Sussex",Table1[[#This Row],[income]],0)</f>
        <v>0</v>
      </c>
      <c r="BT358" s="20">
        <f ca="1">IF(Table1[[#This Row],[County]]="Devon",Table1[[#This Row],[income]],0)</f>
        <v>0</v>
      </c>
      <c r="BU358" s="20">
        <f ca="1">IF(Table1[[#This Row],[County]]="Berkshire",Table1[[#This Row],[income]],0)</f>
        <v>0</v>
      </c>
      <c r="BV358" s="20">
        <f ca="1">IF(Table1[[#This Row],[County]]="Staffordshire",Table1[[#This Row],[income]],0)</f>
        <v>0</v>
      </c>
      <c r="BW358" s="20">
        <f ca="1">IF(Table1[[#This Row],[County]]="Leicestershire",Table1[[#This Row],[income]],0)</f>
        <v>0</v>
      </c>
      <c r="BX358" s="20">
        <f ca="1">IF(Table1[[#This Row],[County]]="Cornwall",Table1[[#This Row],[income]],0)</f>
        <v>0</v>
      </c>
      <c r="BY358" s="20">
        <f ca="1">IF(Table1[[#This Row],[County]]="Isle of Wight",Table1[[#This Row],[income]],0)</f>
        <v>0</v>
      </c>
      <c r="BZ358" s="20">
        <f ca="1">IF(Table1[[#This Row],[County]]="Surrey",Table1[[#This Row],[income]],0)</f>
        <v>0</v>
      </c>
      <c r="CA358" s="20">
        <f ca="1">IF(Table1[[#This Row],[County]]="Derbyshire",Table1[[#This Row],[income]],0)</f>
        <v>0</v>
      </c>
      <c r="CB358" s="20">
        <f ca="1">IF(Table1[[#This Row],[County]]="City of London",Table1[[#This Row],[income]],0)</f>
        <v>0</v>
      </c>
      <c r="CC358" s="20">
        <f ca="1">IF(Table1[[#This Row],[County]]="Bedfordshire",Table1[[#This Row],[income]],0)</f>
        <v>99611</v>
      </c>
      <c r="CD358" s="20">
        <f ca="1">IF(Table1[[#This Row],[County]]="County Durham",Table1[[#This Row],[income]],0)</f>
        <v>0</v>
      </c>
      <c r="CE358" s="20">
        <f ca="1">IF(Table1[[#This Row],[County]]="East Riding of Yorkshire",Table1[[#This Row],[income]],0)</f>
        <v>0</v>
      </c>
      <c r="CF358" s="20">
        <f ca="1">IF(Table1[[#This Row],[County]]="West Yorkshire",Table1[[#This Row],[income]],0)</f>
        <v>0</v>
      </c>
      <c r="CG358" s="20">
        <f ca="1">IF(Table1[[#This Row],[County]]="Essex",Table1[[#This Row],[income]],0)</f>
        <v>0</v>
      </c>
      <c r="CH358" s="20">
        <f ca="1">IF(Table1[[#This Row],[County]]="East Sussex",Table1[[#This Row],[income]],0)</f>
        <v>0</v>
      </c>
      <c r="CI358" s="20">
        <f ca="1">IF(Table1[[#This Row],[County]]="Greater Manchester",Table1[[#This Row],[income]],0)</f>
        <v>0</v>
      </c>
      <c r="CJ358" s="20">
        <f ca="1">IF(Table1[[#This Row],[County]]="Hertfordshire",Table1[[#This Row],[income]],0)</f>
        <v>0</v>
      </c>
      <c r="CK358" s="20">
        <f ca="1">IF(Table1[[#This Row],[County]]="Herefordshire",Table1[[#This Row],[income]],0)</f>
        <v>0</v>
      </c>
      <c r="CL358" s="20">
        <f ca="1">IF(Table1[[#This Row],[County]]="Lancashire",Table1[[#This Row],[income]],0)</f>
        <v>0</v>
      </c>
      <c r="CM358" s="20">
        <f ca="1">IF(Table1[[#This Row],[County]]="Merseyside",Table1[[#This Row],[income]],0)</f>
        <v>0</v>
      </c>
      <c r="CN358" s="20">
        <f ca="1">IF(Table1[[#This Row],[County]]="Northamptonshire",Table1[[#This Row],[income]],0)</f>
        <v>0</v>
      </c>
      <c r="CO358" s="20">
        <f ca="1">IF(Table1[[#This Row],[County]]="Northumberland",Table1[[#This Row],[income]],0)</f>
        <v>0</v>
      </c>
      <c r="CP358" s="20">
        <f ca="1">IF(Table1[[#This Row],[County]]="Wiltshire",Table1[[#This Row],[income]],0)</f>
        <v>0</v>
      </c>
      <c r="CQ358" s="20">
        <f ca="1">IF(Table1[[#This Row],[County]]="West Midlands",Table1[[#This Row],[income]],0)</f>
        <v>0</v>
      </c>
      <c r="CR358" s="20">
        <f ca="1">IF(Table1[[#This Row],[County]]="Warwickshire",Table1[[#This Row],[income]],0)</f>
        <v>0</v>
      </c>
      <c r="CS358" s="20">
        <f ca="1">IF(Table1[[#This Row],[County]]="Tyne and Wear",Table1[[#This Row],[income]],0)</f>
        <v>0</v>
      </c>
      <c r="CT358" s="20">
        <f ca="1">IF(Table1[[#This Row],[County]]="Worcestershire",Table1[[#This Row],[income]],0)</f>
        <v>0</v>
      </c>
      <c r="CU358" s="20">
        <f ca="1">IF(Table1[[#This Row],[County]]="Rutland",Table1[[#This Row],[income]],0)</f>
        <v>0</v>
      </c>
      <c r="CV358" s="20">
        <f ca="1">IF(Table1[[#This Row],[County]]="Shropshire",Table1[[#This Row],[income]],0)</f>
        <v>0</v>
      </c>
      <c r="CW358" s="20">
        <f ca="1">IF(Table1[[#This Row],[County]]="Dorset",Table1[[#This Row],[income]],0)</f>
        <v>0</v>
      </c>
      <c r="CX358" s="20">
        <f ca="1">IF(Table1[[#This Row],[County]]="Buckinghamshire",Table1[[#This Row],[income]],0)</f>
        <v>0</v>
      </c>
      <c r="CY358" s="20">
        <f ca="1">IF(Table1[[#This Row],[County]]="Suffolk",Table1[[#This Row],[income]],0)</f>
        <v>0</v>
      </c>
      <c r="CZ358" s="20">
        <f ca="1">IF(Table1[[#This Row],[County]]="North Yorkshire",Table1[[#This Row],[income]],0)</f>
        <v>0</v>
      </c>
      <c r="DA358" s="20">
        <f ca="1">IF(Table1[[#This Row],[County]]="Kent",Table1[[#This Row],[income]],0)</f>
        <v>0</v>
      </c>
      <c r="DB358" s="5">
        <f ca="1">IF(Table1[[#This Row],[County]]="Derbyshire",Table1[[#This Row],[income]],0)</f>
        <v>0</v>
      </c>
      <c r="DD358" s="6">
        <f ca="1">IF(Table1[[#This Row],[Column1]]="Health",Table1[[#This Row],[income]],0)</f>
        <v>0</v>
      </c>
      <c r="DE358" s="20">
        <f ca="1">IF(Table1[[#This Row],[Column1]]="Agriculture",Table1[[#This Row],[income]],0)</f>
        <v>99611</v>
      </c>
      <c r="DF358" s="20">
        <f ca="1">IF(Table1[[#This Row],[Column1]]="Technology",Table1[[#This Row],[income]],0)</f>
        <v>0</v>
      </c>
      <c r="DG358" s="20">
        <f ca="1">IF(Table1[[#This Row],[Column1]]="Social Service",Table1[[#This Row],[income]],0)</f>
        <v>0</v>
      </c>
      <c r="DH358" s="20">
        <f ca="1">IF(Table1[[#This Row],[Column1]]="Education",Table1[[#This Row],[income]],0)</f>
        <v>0</v>
      </c>
      <c r="DI358" s="5">
        <f ca="1">IF(Table1[[#This Row],[Column1]]="Construction",Table1[[#This Row],[income]],0)</f>
        <v>0</v>
      </c>
      <c r="DK358" s="6">
        <f ca="1">IF(Table1[[#This Row],[Value of Debts]]&gt;Table1[[#This Row],[income]],1,0)</f>
        <v>1</v>
      </c>
      <c r="DL358" s="20"/>
      <c r="DM358" s="20"/>
      <c r="DN358" s="5"/>
      <c r="DP358" s="6">
        <f ca="1">IF(Table1[[#This Row],[Net Worth (£)]]&gt;$DS$5,C358,0)</f>
        <v>25</v>
      </c>
      <c r="DQ358" s="20"/>
      <c r="DR358" s="20"/>
      <c r="DS358" s="5"/>
    </row>
    <row r="359" spans="1:123" x14ac:dyDescent="0.2">
      <c r="A359">
        <f t="shared" ca="1" si="16"/>
        <v>2</v>
      </c>
      <c r="B359" s="1" t="str">
        <f ca="1">IF(A359=1, "men", "women")</f>
        <v>women</v>
      </c>
      <c r="C359" s="1">
        <f ca="1">RANDBETWEEN(25,50)</f>
        <v>47</v>
      </c>
      <c r="D359">
        <f ca="1">RANDBETWEEN(1,6)</f>
        <v>6</v>
      </c>
      <c r="E359" t="str">
        <f ca="1">VLOOKUP(D359,$W$5:$X$10,2)</f>
        <v>Agriculture</v>
      </c>
      <c r="F359">
        <f ca="1">RANDBETWEEN(1,5)</f>
        <v>2</v>
      </c>
      <c r="G359" t="str">
        <f ca="1">VLOOKUP(F359,$Y$5:$Z$9,2)</f>
        <v>College</v>
      </c>
      <c r="H359">
        <f ca="1">RANDBETWEEN(0,4)</f>
        <v>4</v>
      </c>
      <c r="I359">
        <f ca="1">RANDBETWEEN(1,3)</f>
        <v>3</v>
      </c>
      <c r="J359">
        <f ca="1">RANDBETWEEN(30000,100000)</f>
        <v>92234</v>
      </c>
      <c r="K359">
        <f ca="1">RANDBETWEEN(1,48)</f>
        <v>42</v>
      </c>
      <c r="L359" t="str">
        <f ca="1">VLOOKUP(K359,$AA$5:$AB$52,2)</f>
        <v>Tyne and Wear</v>
      </c>
      <c r="M359">
        <f ca="1">J359*(RANDBETWEEN(2,5))</f>
        <v>461170</v>
      </c>
      <c r="N359">
        <f ca="1">RAND()*M359</f>
        <v>285623.2042279102</v>
      </c>
      <c r="O359">
        <f ca="1">I359*RAND()*J359</f>
        <v>200715.44785950225</v>
      </c>
      <c r="P359">
        <f ca="1">RANDBETWEEN(0,O359)</f>
        <v>89855</v>
      </c>
      <c r="Q359">
        <f ca="1">RAND()*J359*2</f>
        <v>79822.033741889449</v>
      </c>
      <c r="R359">
        <f ca="1">RAND()*J359*1.5</f>
        <v>48206.310502582819</v>
      </c>
      <c r="S359">
        <f ca="1">J359+R359+O359</f>
        <v>341155.75836208509</v>
      </c>
      <c r="T359">
        <f ca="1">N359+P359+Q359</f>
        <v>455300.23796979967</v>
      </c>
      <c r="U359">
        <f ca="1">S359-T359</f>
        <v>-114144.47960771457</v>
      </c>
      <c r="AC359" s="6">
        <f ca="1">IF(Table1[[#This Row],[gender]]="men",1,0)</f>
        <v>0</v>
      </c>
      <c r="AD359">
        <f ca="1">IF(Table1[[#This Row],[gender]]="women",1,0)</f>
        <v>1</v>
      </c>
      <c r="AH359" s="5"/>
      <c r="AJ359" s="6">
        <f ca="1">IF(Table1[[#This Row],[Column1]]="Health",1,0)</f>
        <v>0</v>
      </c>
      <c r="AK359">
        <f ca="1">IF(Table1[[#This Row],[Column1]]="Construction",1,0)</f>
        <v>0</v>
      </c>
      <c r="AL359">
        <f ca="1">IF(Table1[[#This Row],[Column1]]="Technology",1,0)</f>
        <v>0</v>
      </c>
      <c r="AM359">
        <f ca="1">IF(Table1[[#This Row],[Column1]]="Education",1,0)</f>
        <v>0</v>
      </c>
      <c r="AN359">
        <f ca="1">IF(Table1[[#This Row],[Column1]]="Agriculture",1,0)</f>
        <v>1</v>
      </c>
      <c r="AO359">
        <f ca="1">IF(Table1[[#This Row],[Column1]]="Social Service", 1, 0)</f>
        <v>0</v>
      </c>
      <c r="AT359" s="5"/>
      <c r="AV359" s="17">
        <f t="shared" ca="1" si="15"/>
        <v>46202.033334642118</v>
      </c>
      <c r="AW359" s="5"/>
      <c r="AX359" s="6">
        <f ca="1">IF(Table1[[#This Row],[Value of Debts]]&gt;$AY$4,1,0)</f>
        <v>1</v>
      </c>
      <c r="AY359" s="20"/>
      <c r="AZ359" s="20"/>
      <c r="BA359" s="5"/>
      <c r="BB359" s="25">
        <f ca="1">Table1[[#This Row],[Mortage Left]]/Table1[[#This Row],[Value of House]]</f>
        <v>0.61934471936142899</v>
      </c>
      <c r="BC359" s="20">
        <f t="shared" ca="1" si="17"/>
        <v>0</v>
      </c>
      <c r="BD359" s="20"/>
      <c r="BE359" s="20"/>
      <c r="BF359" s="20"/>
      <c r="BG359" s="6">
        <f ca="1">IF(Table1[[#This Row],[County]]="Cumbria",Table1[[#This Row],[income]],0)</f>
        <v>0</v>
      </c>
      <c r="BH359" s="20">
        <f ca="1">IF(Table1[[#This Row],[County]]="Cheshire",Table1[[#This Row],[income]],0)</f>
        <v>0</v>
      </c>
      <c r="BI359" s="20">
        <f ca="1">IF(Table1[[#This Row],[County]]="Bristol",Table1[[#This Row],[income]],0)</f>
        <v>0</v>
      </c>
      <c r="BJ359" s="20">
        <f ca="1">IF(Table1[[#This Row],[County]]="Surrey",Table1[[#This Row],[income]],0)</f>
        <v>0</v>
      </c>
      <c r="BK359" s="20">
        <f ca="1">IF(Table1[[#This Row],[County]]="Norfolk",Table1[[#This Row],[income]],0)</f>
        <v>0</v>
      </c>
      <c r="BL359" s="20">
        <f ca="1">IF(Table1[[#This Row],[County]]="Lincolnshire",Table1[[#This Row],[income]],0)</f>
        <v>0</v>
      </c>
      <c r="BM359" s="20">
        <f ca="1">IF(Table1[[#This Row],[County]]="Somerset",Table1[[#This Row],[income]],0)</f>
        <v>0</v>
      </c>
      <c r="BN359" s="20">
        <f ca="1">IF(Table1[[#This Row],[County]]="Cambridgeshire",Table1[[#This Row],[income]],0)</f>
        <v>0</v>
      </c>
      <c r="BO359" s="20">
        <f ca="1">IF(Table1[[#This Row],[County]]="South Yorkshire",Table1[[#This Row],[income]],0)</f>
        <v>0</v>
      </c>
      <c r="BP359" s="20">
        <f ca="1">IF(Table1[[#This Row],[County]]="Greater London",Table1[[#This Row],[income]],0)</f>
        <v>0</v>
      </c>
      <c r="BQ359" s="20">
        <f ca="1">IF(Table1[[#This Row],[County]]="Hampshire",Table1[[#This Row],[income]],0)</f>
        <v>0</v>
      </c>
      <c r="BR359" s="20">
        <f ca="1">IF(Table1[[#This Row],[County]]="Gloucestershire",Table1[[#This Row],[income]],0)</f>
        <v>0</v>
      </c>
      <c r="BS359" s="20">
        <f ca="1">IF(Table1[[#This Row],[County]]="West Sussex",Table1[[#This Row],[income]],0)</f>
        <v>0</v>
      </c>
      <c r="BT359" s="20">
        <f ca="1">IF(Table1[[#This Row],[County]]="Devon",Table1[[#This Row],[income]],0)</f>
        <v>0</v>
      </c>
      <c r="BU359" s="20">
        <f ca="1">IF(Table1[[#This Row],[County]]="Berkshire",Table1[[#This Row],[income]],0)</f>
        <v>0</v>
      </c>
      <c r="BV359" s="20">
        <f ca="1">IF(Table1[[#This Row],[County]]="Staffordshire",Table1[[#This Row],[income]],0)</f>
        <v>0</v>
      </c>
      <c r="BW359" s="20">
        <f ca="1">IF(Table1[[#This Row],[County]]="Leicestershire",Table1[[#This Row],[income]],0)</f>
        <v>0</v>
      </c>
      <c r="BX359" s="20">
        <f ca="1">IF(Table1[[#This Row],[County]]="Cornwall",Table1[[#This Row],[income]],0)</f>
        <v>0</v>
      </c>
      <c r="BY359" s="20">
        <f ca="1">IF(Table1[[#This Row],[County]]="Isle of Wight",Table1[[#This Row],[income]],0)</f>
        <v>0</v>
      </c>
      <c r="BZ359" s="20">
        <f ca="1">IF(Table1[[#This Row],[County]]="Surrey",Table1[[#This Row],[income]],0)</f>
        <v>0</v>
      </c>
      <c r="CA359" s="20">
        <f ca="1">IF(Table1[[#This Row],[County]]="Derbyshire",Table1[[#This Row],[income]],0)</f>
        <v>0</v>
      </c>
      <c r="CB359" s="20">
        <f ca="1">IF(Table1[[#This Row],[County]]="City of London",Table1[[#This Row],[income]],0)</f>
        <v>0</v>
      </c>
      <c r="CC359" s="20">
        <f ca="1">IF(Table1[[#This Row],[County]]="Bedfordshire",Table1[[#This Row],[income]],0)</f>
        <v>0</v>
      </c>
      <c r="CD359" s="20">
        <f ca="1">IF(Table1[[#This Row],[County]]="County Durham",Table1[[#This Row],[income]],0)</f>
        <v>0</v>
      </c>
      <c r="CE359" s="20">
        <f ca="1">IF(Table1[[#This Row],[County]]="East Riding of Yorkshire",Table1[[#This Row],[income]],0)</f>
        <v>0</v>
      </c>
      <c r="CF359" s="20">
        <f ca="1">IF(Table1[[#This Row],[County]]="West Yorkshire",Table1[[#This Row],[income]],0)</f>
        <v>0</v>
      </c>
      <c r="CG359" s="20">
        <f ca="1">IF(Table1[[#This Row],[County]]="Essex",Table1[[#This Row],[income]],0)</f>
        <v>0</v>
      </c>
      <c r="CH359" s="20">
        <f ca="1">IF(Table1[[#This Row],[County]]="East Sussex",Table1[[#This Row],[income]],0)</f>
        <v>0</v>
      </c>
      <c r="CI359" s="20">
        <f ca="1">IF(Table1[[#This Row],[County]]="Greater Manchester",Table1[[#This Row],[income]],0)</f>
        <v>0</v>
      </c>
      <c r="CJ359" s="20">
        <f ca="1">IF(Table1[[#This Row],[County]]="Hertfordshire",Table1[[#This Row],[income]],0)</f>
        <v>0</v>
      </c>
      <c r="CK359" s="20">
        <f ca="1">IF(Table1[[#This Row],[County]]="Herefordshire",Table1[[#This Row],[income]],0)</f>
        <v>0</v>
      </c>
      <c r="CL359" s="20">
        <f ca="1">IF(Table1[[#This Row],[County]]="Lancashire",Table1[[#This Row],[income]],0)</f>
        <v>0</v>
      </c>
      <c r="CM359" s="20">
        <f ca="1">IF(Table1[[#This Row],[County]]="Merseyside",Table1[[#This Row],[income]],0)</f>
        <v>0</v>
      </c>
      <c r="CN359" s="20">
        <f ca="1">IF(Table1[[#This Row],[County]]="Northamptonshire",Table1[[#This Row],[income]],0)</f>
        <v>0</v>
      </c>
      <c r="CO359" s="20">
        <f ca="1">IF(Table1[[#This Row],[County]]="Northumberland",Table1[[#This Row],[income]],0)</f>
        <v>0</v>
      </c>
      <c r="CP359" s="20">
        <f ca="1">IF(Table1[[#This Row],[County]]="Wiltshire",Table1[[#This Row],[income]],0)</f>
        <v>0</v>
      </c>
      <c r="CQ359" s="20">
        <f ca="1">IF(Table1[[#This Row],[County]]="West Midlands",Table1[[#This Row],[income]],0)</f>
        <v>0</v>
      </c>
      <c r="CR359" s="20">
        <f ca="1">IF(Table1[[#This Row],[County]]="Warwickshire",Table1[[#This Row],[income]],0)</f>
        <v>0</v>
      </c>
      <c r="CS359" s="20">
        <f ca="1">IF(Table1[[#This Row],[County]]="Tyne and Wear",Table1[[#This Row],[income]],0)</f>
        <v>92234</v>
      </c>
      <c r="CT359" s="20">
        <f ca="1">IF(Table1[[#This Row],[County]]="Worcestershire",Table1[[#This Row],[income]],0)</f>
        <v>0</v>
      </c>
      <c r="CU359" s="20">
        <f ca="1">IF(Table1[[#This Row],[County]]="Rutland",Table1[[#This Row],[income]],0)</f>
        <v>0</v>
      </c>
      <c r="CV359" s="20">
        <f ca="1">IF(Table1[[#This Row],[County]]="Shropshire",Table1[[#This Row],[income]],0)</f>
        <v>0</v>
      </c>
      <c r="CW359" s="20">
        <f ca="1">IF(Table1[[#This Row],[County]]="Dorset",Table1[[#This Row],[income]],0)</f>
        <v>0</v>
      </c>
      <c r="CX359" s="20">
        <f ca="1">IF(Table1[[#This Row],[County]]="Buckinghamshire",Table1[[#This Row],[income]],0)</f>
        <v>0</v>
      </c>
      <c r="CY359" s="20">
        <f ca="1">IF(Table1[[#This Row],[County]]="Suffolk",Table1[[#This Row],[income]],0)</f>
        <v>0</v>
      </c>
      <c r="CZ359" s="20">
        <f ca="1">IF(Table1[[#This Row],[County]]="North Yorkshire",Table1[[#This Row],[income]],0)</f>
        <v>0</v>
      </c>
      <c r="DA359" s="20">
        <f ca="1">IF(Table1[[#This Row],[County]]="Kent",Table1[[#This Row],[income]],0)</f>
        <v>0</v>
      </c>
      <c r="DB359" s="5">
        <f ca="1">IF(Table1[[#This Row],[County]]="Derbyshire",Table1[[#This Row],[income]],0)</f>
        <v>0</v>
      </c>
      <c r="DD359" s="6">
        <f ca="1">IF(Table1[[#This Row],[Column1]]="Health",Table1[[#This Row],[income]],0)</f>
        <v>0</v>
      </c>
      <c r="DE359" s="20">
        <f ca="1">IF(Table1[[#This Row],[Column1]]="Agriculture",Table1[[#This Row],[income]],0)</f>
        <v>92234</v>
      </c>
      <c r="DF359" s="20">
        <f ca="1">IF(Table1[[#This Row],[Column1]]="Technology",Table1[[#This Row],[income]],0)</f>
        <v>0</v>
      </c>
      <c r="DG359" s="20">
        <f ca="1">IF(Table1[[#This Row],[Column1]]="Social Service",Table1[[#This Row],[income]],0)</f>
        <v>0</v>
      </c>
      <c r="DH359" s="20">
        <f ca="1">IF(Table1[[#This Row],[Column1]]="Education",Table1[[#This Row],[income]],0)</f>
        <v>0</v>
      </c>
      <c r="DI359" s="5">
        <f ca="1">IF(Table1[[#This Row],[Column1]]="Construction",Table1[[#This Row],[income]],0)</f>
        <v>0</v>
      </c>
      <c r="DK359" s="6">
        <f ca="1">IF(Table1[[#This Row],[Value of Debts]]&gt;Table1[[#This Row],[income]],1,0)</f>
        <v>1</v>
      </c>
      <c r="DL359" s="20"/>
      <c r="DM359" s="20"/>
      <c r="DN359" s="5"/>
      <c r="DP359" s="6">
        <f ca="1">IF(Table1[[#This Row],[Net Worth (£)]]&gt;$DS$5,C359,0)</f>
        <v>0</v>
      </c>
      <c r="DQ359" s="20"/>
      <c r="DR359" s="20"/>
      <c r="DS359" s="5"/>
    </row>
    <row r="360" spans="1:123" x14ac:dyDescent="0.2">
      <c r="A360">
        <f t="shared" ca="1" si="16"/>
        <v>1</v>
      </c>
      <c r="B360" s="1" t="str">
        <f ca="1">IF(A360=1, "men", "women")</f>
        <v>men</v>
      </c>
      <c r="C360" s="1">
        <f ca="1">RANDBETWEEN(25,50)</f>
        <v>39</v>
      </c>
      <c r="D360">
        <f ca="1">RANDBETWEEN(1,6)</f>
        <v>1</v>
      </c>
      <c r="E360" t="str">
        <f ca="1">VLOOKUP(D360,$W$5:$X$10,2)</f>
        <v>Health</v>
      </c>
      <c r="F360">
        <f ca="1">RANDBETWEEN(1,5)</f>
        <v>4</v>
      </c>
      <c r="G360" t="str">
        <f ca="1">VLOOKUP(F360,$Y$5:$Z$9,2)</f>
        <v xml:space="preserve">Technical </v>
      </c>
      <c r="H360">
        <f ca="1">RANDBETWEEN(0,4)</f>
        <v>1</v>
      </c>
      <c r="I360">
        <f ca="1">RANDBETWEEN(1,3)</f>
        <v>2</v>
      </c>
      <c r="J360">
        <f ca="1">RANDBETWEEN(30000,100000)</f>
        <v>59632</v>
      </c>
      <c r="K360">
        <f ca="1">RANDBETWEEN(1,48)</f>
        <v>25</v>
      </c>
      <c r="L360" t="str">
        <f ca="1">VLOOKUP(K360,$AA$5:$AB$52,2)</f>
        <v>Lancashire</v>
      </c>
      <c r="M360">
        <f ca="1">J360*(RANDBETWEEN(2,5))</f>
        <v>298160</v>
      </c>
      <c r="N360">
        <f ca="1">RAND()*M360</f>
        <v>79454.30450303579</v>
      </c>
      <c r="O360">
        <f ca="1">I360*RAND()*J360</f>
        <v>92404.066669284235</v>
      </c>
      <c r="P360">
        <f ca="1">RANDBETWEEN(0,O360)</f>
        <v>74142</v>
      </c>
      <c r="Q360">
        <f ca="1">RAND()*J360*2</f>
        <v>32119.04789367105</v>
      </c>
      <c r="R360">
        <f ca="1">RAND()*J360*1.5</f>
        <v>70290.783493115712</v>
      </c>
      <c r="S360">
        <f ca="1">J360+R360+O360</f>
        <v>222326.85016239993</v>
      </c>
      <c r="T360">
        <f ca="1">N360+P360+Q360</f>
        <v>185715.35239670685</v>
      </c>
      <c r="U360">
        <f ca="1">S360-T360</f>
        <v>36611.497765693086</v>
      </c>
      <c r="AC360" s="6">
        <f ca="1">IF(Table1[[#This Row],[gender]]="men",1,0)</f>
        <v>1</v>
      </c>
      <c r="AD360">
        <f ca="1">IF(Table1[[#This Row],[gender]]="women",1,0)</f>
        <v>0</v>
      </c>
      <c r="AH360" s="5"/>
      <c r="AJ360" s="6">
        <f ca="1">IF(Table1[[#This Row],[Column1]]="Health",1,0)</f>
        <v>1</v>
      </c>
      <c r="AK360">
        <f ca="1">IF(Table1[[#This Row],[Column1]]="Construction",1,0)</f>
        <v>0</v>
      </c>
      <c r="AL360">
        <f ca="1">IF(Table1[[#This Row],[Column1]]="Technology",1,0)</f>
        <v>0</v>
      </c>
      <c r="AM360">
        <f ca="1">IF(Table1[[#This Row],[Column1]]="Education",1,0)</f>
        <v>0</v>
      </c>
      <c r="AN360">
        <f ca="1">IF(Table1[[#This Row],[Column1]]="Agriculture",1,0)</f>
        <v>0</v>
      </c>
      <c r="AO360">
        <f ca="1">IF(Table1[[#This Row],[Column1]]="Social Service", 1, 0)</f>
        <v>0</v>
      </c>
      <c r="AT360" s="5"/>
      <c r="AV360" s="17">
        <f t="shared" ca="1" si="15"/>
        <v>2270.1506579163488</v>
      </c>
      <c r="AW360" s="5"/>
      <c r="AX360" s="6">
        <f ca="1">IF(Table1[[#This Row],[Value of Debts]]&gt;$AY$4,1,0)</f>
        <v>1</v>
      </c>
      <c r="AY360" s="20"/>
      <c r="AZ360" s="20"/>
      <c r="BA360" s="5"/>
      <c r="BB360" s="25">
        <f ca="1">Table1[[#This Row],[Mortage Left]]/Table1[[#This Row],[Value of House]]</f>
        <v>0.2664821052556875</v>
      </c>
      <c r="BC360" s="20">
        <f t="shared" ca="1" si="17"/>
        <v>1</v>
      </c>
      <c r="BD360" s="20"/>
      <c r="BE360" s="20"/>
      <c r="BF360" s="20"/>
      <c r="BG360" s="6">
        <f ca="1">IF(Table1[[#This Row],[County]]="Cumbria",Table1[[#This Row],[income]],0)</f>
        <v>0</v>
      </c>
      <c r="BH360" s="20">
        <f ca="1">IF(Table1[[#This Row],[County]]="Cheshire",Table1[[#This Row],[income]],0)</f>
        <v>0</v>
      </c>
      <c r="BI360" s="20">
        <f ca="1">IF(Table1[[#This Row],[County]]="Bristol",Table1[[#This Row],[income]],0)</f>
        <v>0</v>
      </c>
      <c r="BJ360" s="20">
        <f ca="1">IF(Table1[[#This Row],[County]]="Surrey",Table1[[#This Row],[income]],0)</f>
        <v>0</v>
      </c>
      <c r="BK360" s="20">
        <f ca="1">IF(Table1[[#This Row],[County]]="Norfolk",Table1[[#This Row],[income]],0)</f>
        <v>0</v>
      </c>
      <c r="BL360" s="20">
        <f ca="1">IF(Table1[[#This Row],[County]]="Lincolnshire",Table1[[#This Row],[income]],0)</f>
        <v>0</v>
      </c>
      <c r="BM360" s="20">
        <f ca="1">IF(Table1[[#This Row],[County]]="Somerset",Table1[[#This Row],[income]],0)</f>
        <v>0</v>
      </c>
      <c r="BN360" s="20">
        <f ca="1">IF(Table1[[#This Row],[County]]="Cambridgeshire",Table1[[#This Row],[income]],0)</f>
        <v>0</v>
      </c>
      <c r="BO360" s="20">
        <f ca="1">IF(Table1[[#This Row],[County]]="South Yorkshire",Table1[[#This Row],[income]],0)</f>
        <v>0</v>
      </c>
      <c r="BP360" s="20">
        <f ca="1">IF(Table1[[#This Row],[County]]="Greater London",Table1[[#This Row],[income]],0)</f>
        <v>0</v>
      </c>
      <c r="BQ360" s="20">
        <f ca="1">IF(Table1[[#This Row],[County]]="Hampshire",Table1[[#This Row],[income]],0)</f>
        <v>0</v>
      </c>
      <c r="BR360" s="20">
        <f ca="1">IF(Table1[[#This Row],[County]]="Gloucestershire",Table1[[#This Row],[income]],0)</f>
        <v>0</v>
      </c>
      <c r="BS360" s="20">
        <f ca="1">IF(Table1[[#This Row],[County]]="West Sussex",Table1[[#This Row],[income]],0)</f>
        <v>0</v>
      </c>
      <c r="BT360" s="20">
        <f ca="1">IF(Table1[[#This Row],[County]]="Devon",Table1[[#This Row],[income]],0)</f>
        <v>0</v>
      </c>
      <c r="BU360" s="20">
        <f ca="1">IF(Table1[[#This Row],[County]]="Berkshire",Table1[[#This Row],[income]],0)</f>
        <v>0</v>
      </c>
      <c r="BV360" s="20">
        <f ca="1">IF(Table1[[#This Row],[County]]="Staffordshire",Table1[[#This Row],[income]],0)</f>
        <v>0</v>
      </c>
      <c r="BW360" s="20">
        <f ca="1">IF(Table1[[#This Row],[County]]="Leicestershire",Table1[[#This Row],[income]],0)</f>
        <v>0</v>
      </c>
      <c r="BX360" s="20">
        <f ca="1">IF(Table1[[#This Row],[County]]="Cornwall",Table1[[#This Row],[income]],0)</f>
        <v>0</v>
      </c>
      <c r="BY360" s="20">
        <f ca="1">IF(Table1[[#This Row],[County]]="Isle of Wight",Table1[[#This Row],[income]],0)</f>
        <v>0</v>
      </c>
      <c r="BZ360" s="20">
        <f ca="1">IF(Table1[[#This Row],[County]]="Surrey",Table1[[#This Row],[income]],0)</f>
        <v>0</v>
      </c>
      <c r="CA360" s="20">
        <f ca="1">IF(Table1[[#This Row],[County]]="Derbyshire",Table1[[#This Row],[income]],0)</f>
        <v>0</v>
      </c>
      <c r="CB360" s="20">
        <f ca="1">IF(Table1[[#This Row],[County]]="City of London",Table1[[#This Row],[income]],0)</f>
        <v>0</v>
      </c>
      <c r="CC360" s="20">
        <f ca="1">IF(Table1[[#This Row],[County]]="Bedfordshire",Table1[[#This Row],[income]],0)</f>
        <v>0</v>
      </c>
      <c r="CD360" s="20">
        <f ca="1">IF(Table1[[#This Row],[County]]="County Durham",Table1[[#This Row],[income]],0)</f>
        <v>0</v>
      </c>
      <c r="CE360" s="20">
        <f ca="1">IF(Table1[[#This Row],[County]]="East Riding of Yorkshire",Table1[[#This Row],[income]],0)</f>
        <v>0</v>
      </c>
      <c r="CF360" s="20">
        <f ca="1">IF(Table1[[#This Row],[County]]="West Yorkshire",Table1[[#This Row],[income]],0)</f>
        <v>0</v>
      </c>
      <c r="CG360" s="20">
        <f ca="1">IF(Table1[[#This Row],[County]]="Essex",Table1[[#This Row],[income]],0)</f>
        <v>0</v>
      </c>
      <c r="CH360" s="20">
        <f ca="1">IF(Table1[[#This Row],[County]]="East Sussex",Table1[[#This Row],[income]],0)</f>
        <v>0</v>
      </c>
      <c r="CI360" s="20">
        <f ca="1">IF(Table1[[#This Row],[County]]="Greater Manchester",Table1[[#This Row],[income]],0)</f>
        <v>0</v>
      </c>
      <c r="CJ360" s="20">
        <f ca="1">IF(Table1[[#This Row],[County]]="Hertfordshire",Table1[[#This Row],[income]],0)</f>
        <v>0</v>
      </c>
      <c r="CK360" s="20">
        <f ca="1">IF(Table1[[#This Row],[County]]="Herefordshire",Table1[[#This Row],[income]],0)</f>
        <v>0</v>
      </c>
      <c r="CL360" s="20">
        <f ca="1">IF(Table1[[#This Row],[County]]="Lancashire",Table1[[#This Row],[income]],0)</f>
        <v>59632</v>
      </c>
      <c r="CM360" s="20">
        <f ca="1">IF(Table1[[#This Row],[County]]="Merseyside",Table1[[#This Row],[income]],0)</f>
        <v>0</v>
      </c>
      <c r="CN360" s="20">
        <f ca="1">IF(Table1[[#This Row],[County]]="Northamptonshire",Table1[[#This Row],[income]],0)</f>
        <v>0</v>
      </c>
      <c r="CO360" s="20">
        <f ca="1">IF(Table1[[#This Row],[County]]="Northumberland",Table1[[#This Row],[income]],0)</f>
        <v>0</v>
      </c>
      <c r="CP360" s="20">
        <f ca="1">IF(Table1[[#This Row],[County]]="Wiltshire",Table1[[#This Row],[income]],0)</f>
        <v>0</v>
      </c>
      <c r="CQ360" s="20">
        <f ca="1">IF(Table1[[#This Row],[County]]="West Midlands",Table1[[#This Row],[income]],0)</f>
        <v>0</v>
      </c>
      <c r="CR360" s="20">
        <f ca="1">IF(Table1[[#This Row],[County]]="Warwickshire",Table1[[#This Row],[income]],0)</f>
        <v>0</v>
      </c>
      <c r="CS360" s="20">
        <f ca="1">IF(Table1[[#This Row],[County]]="Tyne and Wear",Table1[[#This Row],[income]],0)</f>
        <v>0</v>
      </c>
      <c r="CT360" s="20">
        <f ca="1">IF(Table1[[#This Row],[County]]="Worcestershire",Table1[[#This Row],[income]],0)</f>
        <v>0</v>
      </c>
      <c r="CU360" s="20">
        <f ca="1">IF(Table1[[#This Row],[County]]="Rutland",Table1[[#This Row],[income]],0)</f>
        <v>0</v>
      </c>
      <c r="CV360" s="20">
        <f ca="1">IF(Table1[[#This Row],[County]]="Shropshire",Table1[[#This Row],[income]],0)</f>
        <v>0</v>
      </c>
      <c r="CW360" s="20">
        <f ca="1">IF(Table1[[#This Row],[County]]="Dorset",Table1[[#This Row],[income]],0)</f>
        <v>0</v>
      </c>
      <c r="CX360" s="20">
        <f ca="1">IF(Table1[[#This Row],[County]]="Buckinghamshire",Table1[[#This Row],[income]],0)</f>
        <v>0</v>
      </c>
      <c r="CY360" s="20">
        <f ca="1">IF(Table1[[#This Row],[County]]="Suffolk",Table1[[#This Row],[income]],0)</f>
        <v>0</v>
      </c>
      <c r="CZ360" s="20">
        <f ca="1">IF(Table1[[#This Row],[County]]="North Yorkshire",Table1[[#This Row],[income]],0)</f>
        <v>0</v>
      </c>
      <c r="DA360" s="20">
        <f ca="1">IF(Table1[[#This Row],[County]]="Kent",Table1[[#This Row],[income]],0)</f>
        <v>0</v>
      </c>
      <c r="DB360" s="5">
        <f ca="1">IF(Table1[[#This Row],[County]]="Derbyshire",Table1[[#This Row],[income]],0)</f>
        <v>0</v>
      </c>
      <c r="DD360" s="6">
        <f ca="1">IF(Table1[[#This Row],[Column1]]="Health",Table1[[#This Row],[income]],0)</f>
        <v>59632</v>
      </c>
      <c r="DE360" s="20">
        <f ca="1">IF(Table1[[#This Row],[Column1]]="Agriculture",Table1[[#This Row],[income]],0)</f>
        <v>0</v>
      </c>
      <c r="DF360" s="20">
        <f ca="1">IF(Table1[[#This Row],[Column1]]="Technology",Table1[[#This Row],[income]],0)</f>
        <v>0</v>
      </c>
      <c r="DG360" s="20">
        <f ca="1">IF(Table1[[#This Row],[Column1]]="Social Service",Table1[[#This Row],[income]],0)</f>
        <v>0</v>
      </c>
      <c r="DH360" s="20">
        <f ca="1">IF(Table1[[#This Row],[Column1]]="Education",Table1[[#This Row],[income]],0)</f>
        <v>0</v>
      </c>
      <c r="DI360" s="5">
        <f ca="1">IF(Table1[[#This Row],[Column1]]="Construction",Table1[[#This Row],[income]],0)</f>
        <v>0</v>
      </c>
      <c r="DK360" s="6">
        <f ca="1">IF(Table1[[#This Row],[Value of Debts]]&gt;Table1[[#This Row],[income]],1,0)</f>
        <v>1</v>
      </c>
      <c r="DL360" s="20"/>
      <c r="DM360" s="20"/>
      <c r="DN360" s="5"/>
      <c r="DP360" s="6">
        <f ca="1">IF(Table1[[#This Row],[Net Worth (£)]]&gt;$DS$5,C360,0)</f>
        <v>0</v>
      </c>
      <c r="DQ360" s="20"/>
      <c r="DR360" s="20"/>
      <c r="DS360" s="5"/>
    </row>
    <row r="361" spans="1:123" x14ac:dyDescent="0.2">
      <c r="A361">
        <f t="shared" ca="1" si="16"/>
        <v>2</v>
      </c>
      <c r="B361" s="1" t="str">
        <f ca="1">IF(A361=1, "men", "women")</f>
        <v>women</v>
      </c>
      <c r="C361" s="1">
        <f ca="1">RANDBETWEEN(25,50)</f>
        <v>29</v>
      </c>
      <c r="D361">
        <f ca="1">RANDBETWEEN(1,6)</f>
        <v>5</v>
      </c>
      <c r="E361" t="str">
        <f ca="1">VLOOKUP(D361,$W$5:$X$10,2)</f>
        <v>Social Service</v>
      </c>
      <c r="F361">
        <f ca="1">RANDBETWEEN(1,5)</f>
        <v>2</v>
      </c>
      <c r="G361" t="str">
        <f ca="1">VLOOKUP(F361,$Y$5:$Z$9,2)</f>
        <v>College</v>
      </c>
      <c r="H361">
        <f ca="1">RANDBETWEEN(0,4)</f>
        <v>2</v>
      </c>
      <c r="I361">
        <f ca="1">RANDBETWEEN(1,3)</f>
        <v>1</v>
      </c>
      <c r="J361">
        <f ca="1">RANDBETWEEN(30000,100000)</f>
        <v>53412</v>
      </c>
      <c r="K361">
        <f ca="1">RANDBETWEEN(1,48)</f>
        <v>29</v>
      </c>
      <c r="L361" t="str">
        <f ca="1">VLOOKUP(K361,$AA$5:$AB$52,2)</f>
        <v>Norfolk</v>
      </c>
      <c r="M361">
        <f ca="1">J361*(RANDBETWEEN(2,5))</f>
        <v>267060</v>
      </c>
      <c r="N361">
        <f ca="1">RAND()*M361</f>
        <v>59048.67432485272</v>
      </c>
      <c r="O361">
        <f ca="1">I361*RAND()*J361</f>
        <v>2270.1506579163488</v>
      </c>
      <c r="P361">
        <f ca="1">RANDBETWEEN(0,O361)</f>
        <v>891</v>
      </c>
      <c r="Q361">
        <f ca="1">RAND()*J361*2</f>
        <v>10870.626798211555</v>
      </c>
      <c r="R361">
        <f ca="1">RAND()*J361*1.5</f>
        <v>77068.934635959522</v>
      </c>
      <c r="S361">
        <f ca="1">J361+R361+O361</f>
        <v>132751.08529387586</v>
      </c>
      <c r="T361">
        <f ca="1">N361+P361+Q361</f>
        <v>70810.301123064273</v>
      </c>
      <c r="U361">
        <f ca="1">S361-T361</f>
        <v>61940.784170811588</v>
      </c>
      <c r="AC361" s="6">
        <f ca="1">IF(Table1[[#This Row],[gender]]="men",1,0)</f>
        <v>0</v>
      </c>
      <c r="AD361">
        <f ca="1">IF(Table1[[#This Row],[gender]]="women",1,0)</f>
        <v>1</v>
      </c>
      <c r="AH361" s="5"/>
      <c r="AJ361" s="6">
        <f ca="1">IF(Table1[[#This Row],[Column1]]="Health",1,0)</f>
        <v>0</v>
      </c>
      <c r="AK361">
        <f ca="1">IF(Table1[[#This Row],[Column1]]="Construction",1,0)</f>
        <v>0</v>
      </c>
      <c r="AL361">
        <f ca="1">IF(Table1[[#This Row],[Column1]]="Technology",1,0)</f>
        <v>0</v>
      </c>
      <c r="AM361">
        <f ca="1">IF(Table1[[#This Row],[Column1]]="Education",1,0)</f>
        <v>0</v>
      </c>
      <c r="AN361">
        <f ca="1">IF(Table1[[#This Row],[Column1]]="Agriculture",1,0)</f>
        <v>0</v>
      </c>
      <c r="AO361">
        <f ca="1">IF(Table1[[#This Row],[Column1]]="Social Service", 1, 0)</f>
        <v>1</v>
      </c>
      <c r="AT361" s="5"/>
      <c r="AV361" s="17">
        <f t="shared" ca="1" si="15"/>
        <v>39092.68084618642</v>
      </c>
      <c r="AW361" s="5"/>
      <c r="AX361" s="6">
        <f ca="1">IF(Table1[[#This Row],[Value of Debts]]&gt;$AY$4,1,0)</f>
        <v>0</v>
      </c>
      <c r="AY361" s="20"/>
      <c r="AZ361" s="20"/>
      <c r="BA361" s="5"/>
      <c r="BB361" s="25">
        <f ca="1">Table1[[#This Row],[Mortage Left]]/Table1[[#This Row],[Value of House]]</f>
        <v>0.22110639678294286</v>
      </c>
      <c r="BC361" s="20">
        <f t="shared" ca="1" si="17"/>
        <v>1</v>
      </c>
      <c r="BD361" s="20"/>
      <c r="BE361" s="20"/>
      <c r="BF361" s="20"/>
      <c r="BG361" s="6">
        <f ca="1">IF(Table1[[#This Row],[County]]="Cumbria",Table1[[#This Row],[income]],0)</f>
        <v>0</v>
      </c>
      <c r="BH361" s="20">
        <f ca="1">IF(Table1[[#This Row],[County]]="Cheshire",Table1[[#This Row],[income]],0)</f>
        <v>0</v>
      </c>
      <c r="BI361" s="20">
        <f ca="1">IF(Table1[[#This Row],[County]]="Bristol",Table1[[#This Row],[income]],0)</f>
        <v>0</v>
      </c>
      <c r="BJ361" s="20">
        <f ca="1">IF(Table1[[#This Row],[County]]="Surrey",Table1[[#This Row],[income]],0)</f>
        <v>0</v>
      </c>
      <c r="BK361" s="20">
        <f ca="1">IF(Table1[[#This Row],[County]]="Norfolk",Table1[[#This Row],[income]],0)</f>
        <v>53412</v>
      </c>
      <c r="BL361" s="20">
        <f ca="1">IF(Table1[[#This Row],[County]]="Lincolnshire",Table1[[#This Row],[income]],0)</f>
        <v>0</v>
      </c>
      <c r="BM361" s="20">
        <f ca="1">IF(Table1[[#This Row],[County]]="Somerset",Table1[[#This Row],[income]],0)</f>
        <v>0</v>
      </c>
      <c r="BN361" s="20">
        <f ca="1">IF(Table1[[#This Row],[County]]="Cambridgeshire",Table1[[#This Row],[income]],0)</f>
        <v>0</v>
      </c>
      <c r="BO361" s="20">
        <f ca="1">IF(Table1[[#This Row],[County]]="South Yorkshire",Table1[[#This Row],[income]],0)</f>
        <v>0</v>
      </c>
      <c r="BP361" s="20">
        <f ca="1">IF(Table1[[#This Row],[County]]="Greater London",Table1[[#This Row],[income]],0)</f>
        <v>0</v>
      </c>
      <c r="BQ361" s="20">
        <f ca="1">IF(Table1[[#This Row],[County]]="Hampshire",Table1[[#This Row],[income]],0)</f>
        <v>0</v>
      </c>
      <c r="BR361" s="20">
        <f ca="1">IF(Table1[[#This Row],[County]]="Gloucestershire",Table1[[#This Row],[income]],0)</f>
        <v>0</v>
      </c>
      <c r="BS361" s="20">
        <f ca="1">IF(Table1[[#This Row],[County]]="West Sussex",Table1[[#This Row],[income]],0)</f>
        <v>0</v>
      </c>
      <c r="BT361" s="20">
        <f ca="1">IF(Table1[[#This Row],[County]]="Devon",Table1[[#This Row],[income]],0)</f>
        <v>0</v>
      </c>
      <c r="BU361" s="20">
        <f ca="1">IF(Table1[[#This Row],[County]]="Berkshire",Table1[[#This Row],[income]],0)</f>
        <v>0</v>
      </c>
      <c r="BV361" s="20">
        <f ca="1">IF(Table1[[#This Row],[County]]="Staffordshire",Table1[[#This Row],[income]],0)</f>
        <v>0</v>
      </c>
      <c r="BW361" s="20">
        <f ca="1">IF(Table1[[#This Row],[County]]="Leicestershire",Table1[[#This Row],[income]],0)</f>
        <v>0</v>
      </c>
      <c r="BX361" s="20">
        <f ca="1">IF(Table1[[#This Row],[County]]="Cornwall",Table1[[#This Row],[income]],0)</f>
        <v>0</v>
      </c>
      <c r="BY361" s="20">
        <f ca="1">IF(Table1[[#This Row],[County]]="Isle of Wight",Table1[[#This Row],[income]],0)</f>
        <v>0</v>
      </c>
      <c r="BZ361" s="20">
        <f ca="1">IF(Table1[[#This Row],[County]]="Surrey",Table1[[#This Row],[income]],0)</f>
        <v>0</v>
      </c>
      <c r="CA361" s="20">
        <f ca="1">IF(Table1[[#This Row],[County]]="Derbyshire",Table1[[#This Row],[income]],0)</f>
        <v>0</v>
      </c>
      <c r="CB361" s="20">
        <f ca="1">IF(Table1[[#This Row],[County]]="City of London",Table1[[#This Row],[income]],0)</f>
        <v>0</v>
      </c>
      <c r="CC361" s="20">
        <f ca="1">IF(Table1[[#This Row],[County]]="Bedfordshire",Table1[[#This Row],[income]],0)</f>
        <v>0</v>
      </c>
      <c r="CD361" s="20">
        <f ca="1">IF(Table1[[#This Row],[County]]="County Durham",Table1[[#This Row],[income]],0)</f>
        <v>0</v>
      </c>
      <c r="CE361" s="20">
        <f ca="1">IF(Table1[[#This Row],[County]]="East Riding of Yorkshire",Table1[[#This Row],[income]],0)</f>
        <v>0</v>
      </c>
      <c r="CF361" s="20">
        <f ca="1">IF(Table1[[#This Row],[County]]="West Yorkshire",Table1[[#This Row],[income]],0)</f>
        <v>0</v>
      </c>
      <c r="CG361" s="20">
        <f ca="1">IF(Table1[[#This Row],[County]]="Essex",Table1[[#This Row],[income]],0)</f>
        <v>0</v>
      </c>
      <c r="CH361" s="20">
        <f ca="1">IF(Table1[[#This Row],[County]]="East Sussex",Table1[[#This Row],[income]],0)</f>
        <v>0</v>
      </c>
      <c r="CI361" s="20">
        <f ca="1">IF(Table1[[#This Row],[County]]="Greater Manchester",Table1[[#This Row],[income]],0)</f>
        <v>0</v>
      </c>
      <c r="CJ361" s="20">
        <f ca="1">IF(Table1[[#This Row],[County]]="Hertfordshire",Table1[[#This Row],[income]],0)</f>
        <v>0</v>
      </c>
      <c r="CK361" s="20">
        <f ca="1">IF(Table1[[#This Row],[County]]="Herefordshire",Table1[[#This Row],[income]],0)</f>
        <v>0</v>
      </c>
      <c r="CL361" s="20">
        <f ca="1">IF(Table1[[#This Row],[County]]="Lancashire",Table1[[#This Row],[income]],0)</f>
        <v>0</v>
      </c>
      <c r="CM361" s="20">
        <f ca="1">IF(Table1[[#This Row],[County]]="Merseyside",Table1[[#This Row],[income]],0)</f>
        <v>0</v>
      </c>
      <c r="CN361" s="20">
        <f ca="1">IF(Table1[[#This Row],[County]]="Northamptonshire",Table1[[#This Row],[income]],0)</f>
        <v>0</v>
      </c>
      <c r="CO361" s="20">
        <f ca="1">IF(Table1[[#This Row],[County]]="Northumberland",Table1[[#This Row],[income]],0)</f>
        <v>0</v>
      </c>
      <c r="CP361" s="20">
        <f ca="1">IF(Table1[[#This Row],[County]]="Wiltshire",Table1[[#This Row],[income]],0)</f>
        <v>0</v>
      </c>
      <c r="CQ361" s="20">
        <f ca="1">IF(Table1[[#This Row],[County]]="West Midlands",Table1[[#This Row],[income]],0)</f>
        <v>0</v>
      </c>
      <c r="CR361" s="20">
        <f ca="1">IF(Table1[[#This Row],[County]]="Warwickshire",Table1[[#This Row],[income]],0)</f>
        <v>0</v>
      </c>
      <c r="CS361" s="20">
        <f ca="1">IF(Table1[[#This Row],[County]]="Tyne and Wear",Table1[[#This Row],[income]],0)</f>
        <v>0</v>
      </c>
      <c r="CT361" s="20">
        <f ca="1">IF(Table1[[#This Row],[County]]="Worcestershire",Table1[[#This Row],[income]],0)</f>
        <v>0</v>
      </c>
      <c r="CU361" s="20">
        <f ca="1">IF(Table1[[#This Row],[County]]="Rutland",Table1[[#This Row],[income]],0)</f>
        <v>0</v>
      </c>
      <c r="CV361" s="20">
        <f ca="1">IF(Table1[[#This Row],[County]]="Shropshire",Table1[[#This Row],[income]],0)</f>
        <v>0</v>
      </c>
      <c r="CW361" s="20">
        <f ca="1">IF(Table1[[#This Row],[County]]="Dorset",Table1[[#This Row],[income]],0)</f>
        <v>0</v>
      </c>
      <c r="CX361" s="20">
        <f ca="1">IF(Table1[[#This Row],[County]]="Buckinghamshire",Table1[[#This Row],[income]],0)</f>
        <v>0</v>
      </c>
      <c r="CY361" s="20">
        <f ca="1">IF(Table1[[#This Row],[County]]="Suffolk",Table1[[#This Row],[income]],0)</f>
        <v>0</v>
      </c>
      <c r="CZ361" s="20">
        <f ca="1">IF(Table1[[#This Row],[County]]="North Yorkshire",Table1[[#This Row],[income]],0)</f>
        <v>0</v>
      </c>
      <c r="DA361" s="20">
        <f ca="1">IF(Table1[[#This Row],[County]]="Kent",Table1[[#This Row],[income]],0)</f>
        <v>0</v>
      </c>
      <c r="DB361" s="5">
        <f ca="1">IF(Table1[[#This Row],[County]]="Derbyshire",Table1[[#This Row],[income]],0)</f>
        <v>0</v>
      </c>
      <c r="DD361" s="6">
        <f ca="1">IF(Table1[[#This Row],[Column1]]="Health",Table1[[#This Row],[income]],0)</f>
        <v>0</v>
      </c>
      <c r="DE361" s="20">
        <f ca="1">IF(Table1[[#This Row],[Column1]]="Agriculture",Table1[[#This Row],[income]],0)</f>
        <v>0</v>
      </c>
      <c r="DF361" s="20">
        <f ca="1">IF(Table1[[#This Row],[Column1]]="Technology",Table1[[#This Row],[income]],0)</f>
        <v>0</v>
      </c>
      <c r="DG361" s="20">
        <f ca="1">IF(Table1[[#This Row],[Column1]]="Social Service",Table1[[#This Row],[income]],0)</f>
        <v>53412</v>
      </c>
      <c r="DH361" s="20">
        <f ca="1">IF(Table1[[#This Row],[Column1]]="Education",Table1[[#This Row],[income]],0)</f>
        <v>0</v>
      </c>
      <c r="DI361" s="5">
        <f ca="1">IF(Table1[[#This Row],[Column1]]="Construction",Table1[[#This Row],[income]],0)</f>
        <v>0</v>
      </c>
      <c r="DK361" s="6">
        <f ca="1">IF(Table1[[#This Row],[Value of Debts]]&gt;Table1[[#This Row],[income]],1,0)</f>
        <v>1</v>
      </c>
      <c r="DL361" s="20"/>
      <c r="DM361" s="20"/>
      <c r="DN361" s="5"/>
      <c r="DP361" s="6">
        <f ca="1">IF(Table1[[#This Row],[Net Worth (£)]]&gt;$DS$5,C361,0)</f>
        <v>29</v>
      </c>
      <c r="DQ361" s="20"/>
      <c r="DR361" s="20"/>
      <c r="DS361" s="5"/>
    </row>
    <row r="362" spans="1:123" x14ac:dyDescent="0.2">
      <c r="A362">
        <f t="shared" ca="1" si="16"/>
        <v>2</v>
      </c>
      <c r="B362" s="1" t="str">
        <f ca="1">IF(A362=1, "men", "women")</f>
        <v>women</v>
      </c>
      <c r="C362" s="1">
        <f ca="1">RANDBETWEEN(25,50)</f>
        <v>34</v>
      </c>
      <c r="D362">
        <f ca="1">RANDBETWEEN(1,6)</f>
        <v>6</v>
      </c>
      <c r="E362" t="str">
        <f ca="1">VLOOKUP(D362,$W$5:$X$10,2)</f>
        <v>Agriculture</v>
      </c>
      <c r="F362">
        <f ca="1">RANDBETWEEN(1,5)</f>
        <v>3</v>
      </c>
      <c r="G362" t="str">
        <f ca="1">VLOOKUP(F362,$Y$5:$Z$9,2)</f>
        <v>University</v>
      </c>
      <c r="H362">
        <f ca="1">RANDBETWEEN(0,4)</f>
        <v>1</v>
      </c>
      <c r="I362">
        <f ca="1">RANDBETWEEN(1,3)</f>
        <v>1</v>
      </c>
      <c r="J362">
        <f ca="1">RANDBETWEEN(30000,100000)</f>
        <v>47840</v>
      </c>
      <c r="K362">
        <f ca="1">RANDBETWEEN(1,48)</f>
        <v>40</v>
      </c>
      <c r="L362" t="str">
        <f ca="1">VLOOKUP(K362,$AA$5:$AB$52,2)</f>
        <v>Suffolk</v>
      </c>
      <c r="M362">
        <f ca="1">J362*(RANDBETWEEN(2,5))</f>
        <v>143520</v>
      </c>
      <c r="N362">
        <f ca="1">RAND()*M362</f>
        <v>94636.620463866813</v>
      </c>
      <c r="O362">
        <f ca="1">I362*RAND()*J362</f>
        <v>39092.68084618642</v>
      </c>
      <c r="P362">
        <f ca="1">RANDBETWEEN(0,O362)</f>
        <v>22196</v>
      </c>
      <c r="Q362">
        <f ca="1">RAND()*J362*2</f>
        <v>14041.890919095498</v>
      </c>
      <c r="R362">
        <f ca="1">RAND()*J362*1.5</f>
        <v>3064.717815755791</v>
      </c>
      <c r="S362">
        <f ca="1">J362+R362+O362</f>
        <v>89997.398661942221</v>
      </c>
      <c r="T362">
        <f ca="1">N362+P362+Q362</f>
        <v>130874.51138296232</v>
      </c>
      <c r="U362">
        <f ca="1">S362-T362</f>
        <v>-40877.112721020094</v>
      </c>
      <c r="AC362" s="6">
        <f ca="1">IF(Table1[[#This Row],[gender]]="men",1,0)</f>
        <v>0</v>
      </c>
      <c r="AD362">
        <f ca="1">IF(Table1[[#This Row],[gender]]="women",1,0)</f>
        <v>1</v>
      </c>
      <c r="AH362" s="5"/>
      <c r="AJ362" s="6">
        <f ca="1">IF(Table1[[#This Row],[Column1]]="Health",1,0)</f>
        <v>0</v>
      </c>
      <c r="AK362">
        <f ca="1">IF(Table1[[#This Row],[Column1]]="Construction",1,0)</f>
        <v>0</v>
      </c>
      <c r="AL362">
        <f ca="1">IF(Table1[[#This Row],[Column1]]="Technology",1,0)</f>
        <v>0</v>
      </c>
      <c r="AM362">
        <f ca="1">IF(Table1[[#This Row],[Column1]]="Education",1,0)</f>
        <v>0</v>
      </c>
      <c r="AN362">
        <f ca="1">IF(Table1[[#This Row],[Column1]]="Agriculture",1,0)</f>
        <v>1</v>
      </c>
      <c r="AO362">
        <f ca="1">IF(Table1[[#This Row],[Column1]]="Social Service", 1, 0)</f>
        <v>0</v>
      </c>
      <c r="AT362" s="5"/>
      <c r="AV362" s="17">
        <f t="shared" ca="1" si="15"/>
        <v>23329.599799296382</v>
      </c>
      <c r="AW362" s="5"/>
      <c r="AX362" s="6">
        <f ca="1">IF(Table1[[#This Row],[Value of Debts]]&gt;$AY$4,1,0)</f>
        <v>1</v>
      </c>
      <c r="AY362" s="20"/>
      <c r="AZ362" s="20"/>
      <c r="BA362" s="5"/>
      <c r="BB362" s="25">
        <f ca="1">Table1[[#This Row],[Mortage Left]]/Table1[[#This Row],[Value of House]]</f>
        <v>0.65939674236250567</v>
      </c>
      <c r="BC362" s="20">
        <f t="shared" ca="1" si="17"/>
        <v>0</v>
      </c>
      <c r="BD362" s="20"/>
      <c r="BE362" s="20"/>
      <c r="BF362" s="20"/>
      <c r="BG362" s="6">
        <f ca="1">IF(Table1[[#This Row],[County]]="Cumbria",Table1[[#This Row],[income]],0)</f>
        <v>0</v>
      </c>
      <c r="BH362" s="20">
        <f ca="1">IF(Table1[[#This Row],[County]]="Cheshire",Table1[[#This Row],[income]],0)</f>
        <v>0</v>
      </c>
      <c r="BI362" s="20">
        <f ca="1">IF(Table1[[#This Row],[County]]="Bristol",Table1[[#This Row],[income]],0)</f>
        <v>0</v>
      </c>
      <c r="BJ362" s="20">
        <f ca="1">IF(Table1[[#This Row],[County]]="Surrey",Table1[[#This Row],[income]],0)</f>
        <v>0</v>
      </c>
      <c r="BK362" s="20">
        <f ca="1">IF(Table1[[#This Row],[County]]="Norfolk",Table1[[#This Row],[income]],0)</f>
        <v>0</v>
      </c>
      <c r="BL362" s="20">
        <f ca="1">IF(Table1[[#This Row],[County]]="Lincolnshire",Table1[[#This Row],[income]],0)</f>
        <v>0</v>
      </c>
      <c r="BM362" s="20">
        <f ca="1">IF(Table1[[#This Row],[County]]="Somerset",Table1[[#This Row],[income]],0)</f>
        <v>0</v>
      </c>
      <c r="BN362" s="20">
        <f ca="1">IF(Table1[[#This Row],[County]]="Cambridgeshire",Table1[[#This Row],[income]],0)</f>
        <v>0</v>
      </c>
      <c r="BO362" s="20">
        <f ca="1">IF(Table1[[#This Row],[County]]="South Yorkshire",Table1[[#This Row],[income]],0)</f>
        <v>0</v>
      </c>
      <c r="BP362" s="20">
        <f ca="1">IF(Table1[[#This Row],[County]]="Greater London",Table1[[#This Row],[income]],0)</f>
        <v>0</v>
      </c>
      <c r="BQ362" s="20">
        <f ca="1">IF(Table1[[#This Row],[County]]="Hampshire",Table1[[#This Row],[income]],0)</f>
        <v>0</v>
      </c>
      <c r="BR362" s="20">
        <f ca="1">IF(Table1[[#This Row],[County]]="Gloucestershire",Table1[[#This Row],[income]],0)</f>
        <v>0</v>
      </c>
      <c r="BS362" s="20">
        <f ca="1">IF(Table1[[#This Row],[County]]="West Sussex",Table1[[#This Row],[income]],0)</f>
        <v>0</v>
      </c>
      <c r="BT362" s="20">
        <f ca="1">IF(Table1[[#This Row],[County]]="Devon",Table1[[#This Row],[income]],0)</f>
        <v>0</v>
      </c>
      <c r="BU362" s="20">
        <f ca="1">IF(Table1[[#This Row],[County]]="Berkshire",Table1[[#This Row],[income]],0)</f>
        <v>0</v>
      </c>
      <c r="BV362" s="20">
        <f ca="1">IF(Table1[[#This Row],[County]]="Staffordshire",Table1[[#This Row],[income]],0)</f>
        <v>0</v>
      </c>
      <c r="BW362" s="20">
        <f ca="1">IF(Table1[[#This Row],[County]]="Leicestershire",Table1[[#This Row],[income]],0)</f>
        <v>0</v>
      </c>
      <c r="BX362" s="20">
        <f ca="1">IF(Table1[[#This Row],[County]]="Cornwall",Table1[[#This Row],[income]],0)</f>
        <v>0</v>
      </c>
      <c r="BY362" s="20">
        <f ca="1">IF(Table1[[#This Row],[County]]="Isle of Wight",Table1[[#This Row],[income]],0)</f>
        <v>0</v>
      </c>
      <c r="BZ362" s="20">
        <f ca="1">IF(Table1[[#This Row],[County]]="Surrey",Table1[[#This Row],[income]],0)</f>
        <v>0</v>
      </c>
      <c r="CA362" s="20">
        <f ca="1">IF(Table1[[#This Row],[County]]="Derbyshire",Table1[[#This Row],[income]],0)</f>
        <v>0</v>
      </c>
      <c r="CB362" s="20">
        <f ca="1">IF(Table1[[#This Row],[County]]="City of London",Table1[[#This Row],[income]],0)</f>
        <v>0</v>
      </c>
      <c r="CC362" s="20">
        <f ca="1">IF(Table1[[#This Row],[County]]="Bedfordshire",Table1[[#This Row],[income]],0)</f>
        <v>0</v>
      </c>
      <c r="CD362" s="20">
        <f ca="1">IF(Table1[[#This Row],[County]]="County Durham",Table1[[#This Row],[income]],0)</f>
        <v>0</v>
      </c>
      <c r="CE362" s="20">
        <f ca="1">IF(Table1[[#This Row],[County]]="East Riding of Yorkshire",Table1[[#This Row],[income]],0)</f>
        <v>0</v>
      </c>
      <c r="CF362" s="20">
        <f ca="1">IF(Table1[[#This Row],[County]]="West Yorkshire",Table1[[#This Row],[income]],0)</f>
        <v>0</v>
      </c>
      <c r="CG362" s="20">
        <f ca="1">IF(Table1[[#This Row],[County]]="Essex",Table1[[#This Row],[income]],0)</f>
        <v>0</v>
      </c>
      <c r="CH362" s="20">
        <f ca="1">IF(Table1[[#This Row],[County]]="East Sussex",Table1[[#This Row],[income]],0)</f>
        <v>0</v>
      </c>
      <c r="CI362" s="20">
        <f ca="1">IF(Table1[[#This Row],[County]]="Greater Manchester",Table1[[#This Row],[income]],0)</f>
        <v>0</v>
      </c>
      <c r="CJ362" s="20">
        <f ca="1">IF(Table1[[#This Row],[County]]="Hertfordshire",Table1[[#This Row],[income]],0)</f>
        <v>0</v>
      </c>
      <c r="CK362" s="20">
        <f ca="1">IF(Table1[[#This Row],[County]]="Herefordshire",Table1[[#This Row],[income]],0)</f>
        <v>0</v>
      </c>
      <c r="CL362" s="20">
        <f ca="1">IF(Table1[[#This Row],[County]]="Lancashire",Table1[[#This Row],[income]],0)</f>
        <v>0</v>
      </c>
      <c r="CM362" s="20">
        <f ca="1">IF(Table1[[#This Row],[County]]="Merseyside",Table1[[#This Row],[income]],0)</f>
        <v>0</v>
      </c>
      <c r="CN362" s="20">
        <f ca="1">IF(Table1[[#This Row],[County]]="Northamptonshire",Table1[[#This Row],[income]],0)</f>
        <v>0</v>
      </c>
      <c r="CO362" s="20">
        <f ca="1">IF(Table1[[#This Row],[County]]="Northumberland",Table1[[#This Row],[income]],0)</f>
        <v>0</v>
      </c>
      <c r="CP362" s="20">
        <f ca="1">IF(Table1[[#This Row],[County]]="Wiltshire",Table1[[#This Row],[income]],0)</f>
        <v>0</v>
      </c>
      <c r="CQ362" s="20">
        <f ca="1">IF(Table1[[#This Row],[County]]="West Midlands",Table1[[#This Row],[income]],0)</f>
        <v>0</v>
      </c>
      <c r="CR362" s="20">
        <f ca="1">IF(Table1[[#This Row],[County]]="Warwickshire",Table1[[#This Row],[income]],0)</f>
        <v>0</v>
      </c>
      <c r="CS362" s="20">
        <f ca="1">IF(Table1[[#This Row],[County]]="Tyne and Wear",Table1[[#This Row],[income]],0)</f>
        <v>0</v>
      </c>
      <c r="CT362" s="20">
        <f ca="1">IF(Table1[[#This Row],[County]]="Worcestershire",Table1[[#This Row],[income]],0)</f>
        <v>0</v>
      </c>
      <c r="CU362" s="20">
        <f ca="1">IF(Table1[[#This Row],[County]]="Rutland",Table1[[#This Row],[income]],0)</f>
        <v>0</v>
      </c>
      <c r="CV362" s="20">
        <f ca="1">IF(Table1[[#This Row],[County]]="Shropshire",Table1[[#This Row],[income]],0)</f>
        <v>0</v>
      </c>
      <c r="CW362" s="20">
        <f ca="1">IF(Table1[[#This Row],[County]]="Dorset",Table1[[#This Row],[income]],0)</f>
        <v>0</v>
      </c>
      <c r="CX362" s="20">
        <f ca="1">IF(Table1[[#This Row],[County]]="Buckinghamshire",Table1[[#This Row],[income]],0)</f>
        <v>0</v>
      </c>
      <c r="CY362" s="20">
        <f ca="1">IF(Table1[[#This Row],[County]]="Suffolk",Table1[[#This Row],[income]],0)</f>
        <v>47840</v>
      </c>
      <c r="CZ362" s="20">
        <f ca="1">IF(Table1[[#This Row],[County]]="North Yorkshire",Table1[[#This Row],[income]],0)</f>
        <v>0</v>
      </c>
      <c r="DA362" s="20">
        <f ca="1">IF(Table1[[#This Row],[County]]="Kent",Table1[[#This Row],[income]],0)</f>
        <v>0</v>
      </c>
      <c r="DB362" s="5">
        <f ca="1">IF(Table1[[#This Row],[County]]="Derbyshire",Table1[[#This Row],[income]],0)</f>
        <v>0</v>
      </c>
      <c r="DD362" s="6">
        <f ca="1">IF(Table1[[#This Row],[Column1]]="Health",Table1[[#This Row],[income]],0)</f>
        <v>0</v>
      </c>
      <c r="DE362" s="20">
        <f ca="1">IF(Table1[[#This Row],[Column1]]="Agriculture",Table1[[#This Row],[income]],0)</f>
        <v>47840</v>
      </c>
      <c r="DF362" s="20">
        <f ca="1">IF(Table1[[#This Row],[Column1]]="Technology",Table1[[#This Row],[income]],0)</f>
        <v>0</v>
      </c>
      <c r="DG362" s="20">
        <f ca="1">IF(Table1[[#This Row],[Column1]]="Social Service",Table1[[#This Row],[income]],0)</f>
        <v>0</v>
      </c>
      <c r="DH362" s="20">
        <f ca="1">IF(Table1[[#This Row],[Column1]]="Education",Table1[[#This Row],[income]],0)</f>
        <v>0</v>
      </c>
      <c r="DI362" s="5">
        <f ca="1">IF(Table1[[#This Row],[Column1]]="Construction",Table1[[#This Row],[income]],0)</f>
        <v>0</v>
      </c>
      <c r="DK362" s="6">
        <f ca="1">IF(Table1[[#This Row],[Value of Debts]]&gt;Table1[[#This Row],[income]],1,0)</f>
        <v>1</v>
      </c>
      <c r="DL362" s="20"/>
      <c r="DM362" s="20"/>
      <c r="DN362" s="5"/>
      <c r="DP362" s="6">
        <f ca="1">IF(Table1[[#This Row],[Net Worth (£)]]&gt;$DS$5,C362,0)</f>
        <v>0</v>
      </c>
      <c r="DQ362" s="20"/>
      <c r="DR362" s="20"/>
      <c r="DS362" s="5"/>
    </row>
    <row r="363" spans="1:123" x14ac:dyDescent="0.2">
      <c r="A363">
        <f t="shared" ca="1" si="16"/>
        <v>2</v>
      </c>
      <c r="B363" s="1" t="str">
        <f ca="1">IF(A363=1, "men", "women")</f>
        <v>women</v>
      </c>
      <c r="C363" s="1">
        <f ca="1">RANDBETWEEN(25,50)</f>
        <v>33</v>
      </c>
      <c r="D363">
        <f ca="1">RANDBETWEEN(1,6)</f>
        <v>4</v>
      </c>
      <c r="E363" t="str">
        <f ca="1">VLOOKUP(D363,$W$5:$X$10,2)</f>
        <v>Technology</v>
      </c>
      <c r="F363">
        <f ca="1">RANDBETWEEN(1,5)</f>
        <v>2</v>
      </c>
      <c r="G363" t="str">
        <f ca="1">VLOOKUP(F363,$Y$5:$Z$9,2)</f>
        <v>College</v>
      </c>
      <c r="H363">
        <f ca="1">RANDBETWEEN(0,4)</f>
        <v>4</v>
      </c>
      <c r="I363">
        <f ca="1">RANDBETWEEN(1,3)</f>
        <v>3</v>
      </c>
      <c r="J363">
        <f ca="1">RANDBETWEEN(30000,100000)</f>
        <v>60404</v>
      </c>
      <c r="K363">
        <f ca="1">RANDBETWEEN(1,48)</f>
        <v>47</v>
      </c>
      <c r="L363" t="str">
        <f ca="1">VLOOKUP(K363,$AA$5:$AB$52,2)</f>
        <v>Wiltshire</v>
      </c>
      <c r="M363">
        <f ca="1">J363*(RANDBETWEEN(2,5))</f>
        <v>302020</v>
      </c>
      <c r="N363">
        <f ca="1">RAND()*M363</f>
        <v>128917.92153132924</v>
      </c>
      <c r="O363">
        <f ca="1">I363*RAND()*J363</f>
        <v>69988.799397889146</v>
      </c>
      <c r="P363">
        <f ca="1">RANDBETWEEN(0,O363)</f>
        <v>21176</v>
      </c>
      <c r="Q363">
        <f ca="1">RAND()*J363*2</f>
        <v>57295.346622579898</v>
      </c>
      <c r="R363">
        <f ca="1">RAND()*J363*1.5</f>
        <v>71266.553489963509</v>
      </c>
      <c r="S363">
        <f ca="1">J363+R363+O363</f>
        <v>201659.35288785267</v>
      </c>
      <c r="T363">
        <f ca="1">N363+P363+Q363</f>
        <v>207389.26815390913</v>
      </c>
      <c r="U363">
        <f ca="1">S363-T363</f>
        <v>-5729.9152660564578</v>
      </c>
      <c r="AC363" s="6">
        <f ca="1">IF(Table1[[#This Row],[gender]]="men",1,0)</f>
        <v>0</v>
      </c>
      <c r="AD363">
        <f ca="1">IF(Table1[[#This Row],[gender]]="women",1,0)</f>
        <v>1</v>
      </c>
      <c r="AH363" s="5"/>
      <c r="AJ363" s="6">
        <f ca="1">IF(Table1[[#This Row],[Column1]]="Health",1,0)</f>
        <v>0</v>
      </c>
      <c r="AK363">
        <f ca="1">IF(Table1[[#This Row],[Column1]]="Construction",1,0)</f>
        <v>0</v>
      </c>
      <c r="AL363">
        <f ca="1">IF(Table1[[#This Row],[Column1]]="Technology",1,0)</f>
        <v>1</v>
      </c>
      <c r="AM363">
        <f ca="1">IF(Table1[[#This Row],[Column1]]="Education",1,0)</f>
        <v>0</v>
      </c>
      <c r="AN363">
        <f ca="1">IF(Table1[[#This Row],[Column1]]="Agriculture",1,0)</f>
        <v>0</v>
      </c>
      <c r="AO363">
        <f ca="1">IF(Table1[[#This Row],[Column1]]="Social Service", 1, 0)</f>
        <v>0</v>
      </c>
      <c r="AT363" s="5"/>
      <c r="AV363" s="17">
        <f t="shared" ca="1" si="15"/>
        <v>2162.3968093714402</v>
      </c>
      <c r="AW363" s="5"/>
      <c r="AX363" s="6">
        <f ca="1">IF(Table1[[#This Row],[Value of Debts]]&gt;$AY$4,1,0)</f>
        <v>1</v>
      </c>
      <c r="AY363" s="20"/>
      <c r="AZ363" s="20"/>
      <c r="BA363" s="5"/>
      <c r="BB363" s="25">
        <f ca="1">Table1[[#This Row],[Mortage Left]]/Table1[[#This Row],[Value of House]]</f>
        <v>0.42685226650993058</v>
      </c>
      <c r="BC363" s="20">
        <f t="shared" ca="1" si="17"/>
        <v>0</v>
      </c>
      <c r="BD363" s="20"/>
      <c r="BE363" s="20"/>
      <c r="BF363" s="20"/>
      <c r="BG363" s="6">
        <f ca="1">IF(Table1[[#This Row],[County]]="Cumbria",Table1[[#This Row],[income]],0)</f>
        <v>0</v>
      </c>
      <c r="BH363" s="20">
        <f ca="1">IF(Table1[[#This Row],[County]]="Cheshire",Table1[[#This Row],[income]],0)</f>
        <v>0</v>
      </c>
      <c r="BI363" s="20">
        <f ca="1">IF(Table1[[#This Row],[County]]="Bristol",Table1[[#This Row],[income]],0)</f>
        <v>0</v>
      </c>
      <c r="BJ363" s="20">
        <f ca="1">IF(Table1[[#This Row],[County]]="Surrey",Table1[[#This Row],[income]],0)</f>
        <v>0</v>
      </c>
      <c r="BK363" s="20">
        <f ca="1">IF(Table1[[#This Row],[County]]="Norfolk",Table1[[#This Row],[income]],0)</f>
        <v>0</v>
      </c>
      <c r="BL363" s="20">
        <f ca="1">IF(Table1[[#This Row],[County]]="Lincolnshire",Table1[[#This Row],[income]],0)</f>
        <v>0</v>
      </c>
      <c r="BM363" s="20">
        <f ca="1">IF(Table1[[#This Row],[County]]="Somerset",Table1[[#This Row],[income]],0)</f>
        <v>0</v>
      </c>
      <c r="BN363" s="20">
        <f ca="1">IF(Table1[[#This Row],[County]]="Cambridgeshire",Table1[[#This Row],[income]],0)</f>
        <v>0</v>
      </c>
      <c r="BO363" s="20">
        <f ca="1">IF(Table1[[#This Row],[County]]="South Yorkshire",Table1[[#This Row],[income]],0)</f>
        <v>0</v>
      </c>
      <c r="BP363" s="20">
        <f ca="1">IF(Table1[[#This Row],[County]]="Greater London",Table1[[#This Row],[income]],0)</f>
        <v>0</v>
      </c>
      <c r="BQ363" s="20">
        <f ca="1">IF(Table1[[#This Row],[County]]="Hampshire",Table1[[#This Row],[income]],0)</f>
        <v>0</v>
      </c>
      <c r="BR363" s="20">
        <f ca="1">IF(Table1[[#This Row],[County]]="Gloucestershire",Table1[[#This Row],[income]],0)</f>
        <v>0</v>
      </c>
      <c r="BS363" s="20">
        <f ca="1">IF(Table1[[#This Row],[County]]="West Sussex",Table1[[#This Row],[income]],0)</f>
        <v>0</v>
      </c>
      <c r="BT363" s="20">
        <f ca="1">IF(Table1[[#This Row],[County]]="Devon",Table1[[#This Row],[income]],0)</f>
        <v>0</v>
      </c>
      <c r="BU363" s="20">
        <f ca="1">IF(Table1[[#This Row],[County]]="Berkshire",Table1[[#This Row],[income]],0)</f>
        <v>0</v>
      </c>
      <c r="BV363" s="20">
        <f ca="1">IF(Table1[[#This Row],[County]]="Staffordshire",Table1[[#This Row],[income]],0)</f>
        <v>0</v>
      </c>
      <c r="BW363" s="20">
        <f ca="1">IF(Table1[[#This Row],[County]]="Leicestershire",Table1[[#This Row],[income]],0)</f>
        <v>0</v>
      </c>
      <c r="BX363" s="20">
        <f ca="1">IF(Table1[[#This Row],[County]]="Cornwall",Table1[[#This Row],[income]],0)</f>
        <v>0</v>
      </c>
      <c r="BY363" s="20">
        <f ca="1">IF(Table1[[#This Row],[County]]="Isle of Wight",Table1[[#This Row],[income]],0)</f>
        <v>0</v>
      </c>
      <c r="BZ363" s="20">
        <f ca="1">IF(Table1[[#This Row],[County]]="Surrey",Table1[[#This Row],[income]],0)</f>
        <v>0</v>
      </c>
      <c r="CA363" s="20">
        <f ca="1">IF(Table1[[#This Row],[County]]="Derbyshire",Table1[[#This Row],[income]],0)</f>
        <v>0</v>
      </c>
      <c r="CB363" s="20">
        <f ca="1">IF(Table1[[#This Row],[County]]="City of London",Table1[[#This Row],[income]],0)</f>
        <v>0</v>
      </c>
      <c r="CC363" s="20">
        <f ca="1">IF(Table1[[#This Row],[County]]="Bedfordshire",Table1[[#This Row],[income]],0)</f>
        <v>0</v>
      </c>
      <c r="CD363" s="20">
        <f ca="1">IF(Table1[[#This Row],[County]]="County Durham",Table1[[#This Row],[income]],0)</f>
        <v>0</v>
      </c>
      <c r="CE363" s="20">
        <f ca="1">IF(Table1[[#This Row],[County]]="East Riding of Yorkshire",Table1[[#This Row],[income]],0)</f>
        <v>0</v>
      </c>
      <c r="CF363" s="20">
        <f ca="1">IF(Table1[[#This Row],[County]]="West Yorkshire",Table1[[#This Row],[income]],0)</f>
        <v>0</v>
      </c>
      <c r="CG363" s="20">
        <f ca="1">IF(Table1[[#This Row],[County]]="Essex",Table1[[#This Row],[income]],0)</f>
        <v>0</v>
      </c>
      <c r="CH363" s="20">
        <f ca="1">IF(Table1[[#This Row],[County]]="East Sussex",Table1[[#This Row],[income]],0)</f>
        <v>0</v>
      </c>
      <c r="CI363" s="20">
        <f ca="1">IF(Table1[[#This Row],[County]]="Greater Manchester",Table1[[#This Row],[income]],0)</f>
        <v>0</v>
      </c>
      <c r="CJ363" s="20">
        <f ca="1">IF(Table1[[#This Row],[County]]="Hertfordshire",Table1[[#This Row],[income]],0)</f>
        <v>0</v>
      </c>
      <c r="CK363" s="20">
        <f ca="1">IF(Table1[[#This Row],[County]]="Herefordshire",Table1[[#This Row],[income]],0)</f>
        <v>0</v>
      </c>
      <c r="CL363" s="20">
        <f ca="1">IF(Table1[[#This Row],[County]]="Lancashire",Table1[[#This Row],[income]],0)</f>
        <v>0</v>
      </c>
      <c r="CM363" s="20">
        <f ca="1">IF(Table1[[#This Row],[County]]="Merseyside",Table1[[#This Row],[income]],0)</f>
        <v>0</v>
      </c>
      <c r="CN363" s="20">
        <f ca="1">IF(Table1[[#This Row],[County]]="Northamptonshire",Table1[[#This Row],[income]],0)</f>
        <v>0</v>
      </c>
      <c r="CO363" s="20">
        <f ca="1">IF(Table1[[#This Row],[County]]="Northumberland",Table1[[#This Row],[income]],0)</f>
        <v>0</v>
      </c>
      <c r="CP363" s="20">
        <f ca="1">IF(Table1[[#This Row],[County]]="Wiltshire",Table1[[#This Row],[income]],0)</f>
        <v>60404</v>
      </c>
      <c r="CQ363" s="20">
        <f ca="1">IF(Table1[[#This Row],[County]]="West Midlands",Table1[[#This Row],[income]],0)</f>
        <v>0</v>
      </c>
      <c r="CR363" s="20">
        <f ca="1">IF(Table1[[#This Row],[County]]="Warwickshire",Table1[[#This Row],[income]],0)</f>
        <v>0</v>
      </c>
      <c r="CS363" s="20">
        <f ca="1">IF(Table1[[#This Row],[County]]="Tyne and Wear",Table1[[#This Row],[income]],0)</f>
        <v>0</v>
      </c>
      <c r="CT363" s="20">
        <f ca="1">IF(Table1[[#This Row],[County]]="Worcestershire",Table1[[#This Row],[income]],0)</f>
        <v>0</v>
      </c>
      <c r="CU363" s="20">
        <f ca="1">IF(Table1[[#This Row],[County]]="Rutland",Table1[[#This Row],[income]],0)</f>
        <v>0</v>
      </c>
      <c r="CV363" s="20">
        <f ca="1">IF(Table1[[#This Row],[County]]="Shropshire",Table1[[#This Row],[income]],0)</f>
        <v>0</v>
      </c>
      <c r="CW363" s="20">
        <f ca="1">IF(Table1[[#This Row],[County]]="Dorset",Table1[[#This Row],[income]],0)</f>
        <v>0</v>
      </c>
      <c r="CX363" s="20">
        <f ca="1">IF(Table1[[#This Row],[County]]="Buckinghamshire",Table1[[#This Row],[income]],0)</f>
        <v>0</v>
      </c>
      <c r="CY363" s="20">
        <f ca="1">IF(Table1[[#This Row],[County]]="Suffolk",Table1[[#This Row],[income]],0)</f>
        <v>0</v>
      </c>
      <c r="CZ363" s="20">
        <f ca="1">IF(Table1[[#This Row],[County]]="North Yorkshire",Table1[[#This Row],[income]],0)</f>
        <v>0</v>
      </c>
      <c r="DA363" s="20">
        <f ca="1">IF(Table1[[#This Row],[County]]="Kent",Table1[[#This Row],[income]],0)</f>
        <v>0</v>
      </c>
      <c r="DB363" s="5">
        <f ca="1">IF(Table1[[#This Row],[County]]="Derbyshire",Table1[[#This Row],[income]],0)</f>
        <v>0</v>
      </c>
      <c r="DD363" s="6">
        <f ca="1">IF(Table1[[#This Row],[Column1]]="Health",Table1[[#This Row],[income]],0)</f>
        <v>0</v>
      </c>
      <c r="DE363" s="20">
        <f ca="1">IF(Table1[[#This Row],[Column1]]="Agriculture",Table1[[#This Row],[income]],0)</f>
        <v>0</v>
      </c>
      <c r="DF363" s="20">
        <f ca="1">IF(Table1[[#This Row],[Column1]]="Technology",Table1[[#This Row],[income]],0)</f>
        <v>60404</v>
      </c>
      <c r="DG363" s="20">
        <f ca="1">IF(Table1[[#This Row],[Column1]]="Social Service",Table1[[#This Row],[income]],0)</f>
        <v>0</v>
      </c>
      <c r="DH363" s="20">
        <f ca="1">IF(Table1[[#This Row],[Column1]]="Education",Table1[[#This Row],[income]],0)</f>
        <v>0</v>
      </c>
      <c r="DI363" s="5">
        <f ca="1">IF(Table1[[#This Row],[Column1]]="Construction",Table1[[#This Row],[income]],0)</f>
        <v>0</v>
      </c>
      <c r="DK363" s="6">
        <f ca="1">IF(Table1[[#This Row],[Value of Debts]]&gt;Table1[[#This Row],[income]],1,0)</f>
        <v>1</v>
      </c>
      <c r="DL363" s="20"/>
      <c r="DM363" s="20"/>
      <c r="DN363" s="5"/>
      <c r="DP363" s="6">
        <f ca="1">IF(Table1[[#This Row],[Net Worth (£)]]&gt;$DS$5,C363,0)</f>
        <v>0</v>
      </c>
      <c r="DQ363" s="20"/>
      <c r="DR363" s="20"/>
      <c r="DS363" s="5"/>
    </row>
    <row r="364" spans="1:123" x14ac:dyDescent="0.2">
      <c r="A364">
        <f t="shared" ca="1" si="16"/>
        <v>1</v>
      </c>
      <c r="B364" s="1" t="str">
        <f ca="1">IF(A364=1, "men", "women")</f>
        <v>men</v>
      </c>
      <c r="C364" s="1">
        <f ca="1">RANDBETWEEN(25,50)</f>
        <v>25</v>
      </c>
      <c r="D364">
        <f ca="1">RANDBETWEEN(1,6)</f>
        <v>6</v>
      </c>
      <c r="E364" t="str">
        <f ca="1">VLOOKUP(D364,$W$5:$X$10,2)</f>
        <v>Agriculture</v>
      </c>
      <c r="F364">
        <f ca="1">RANDBETWEEN(1,5)</f>
        <v>1</v>
      </c>
      <c r="G364" t="str">
        <f ca="1">VLOOKUP(F364,$Y$5:$Z$9,2)</f>
        <v>High School</v>
      </c>
      <c r="H364">
        <f ca="1">RANDBETWEEN(0,4)</f>
        <v>2</v>
      </c>
      <c r="I364">
        <f ca="1">RANDBETWEEN(1,3)</f>
        <v>1</v>
      </c>
      <c r="J364">
        <f ca="1">RANDBETWEEN(30000,100000)</f>
        <v>63209</v>
      </c>
      <c r="K364">
        <f ca="1">RANDBETWEEN(1,48)</f>
        <v>4</v>
      </c>
      <c r="L364" t="str">
        <f ca="1">VLOOKUP(K364,$AA$5:$AB$52,2)</f>
        <v>Buckinghamshire</v>
      </c>
      <c r="M364">
        <f ca="1">J364*(RANDBETWEEN(2,5))</f>
        <v>126418</v>
      </c>
      <c r="N364">
        <f ca="1">RAND()*M364</f>
        <v>83410.442342217153</v>
      </c>
      <c r="O364">
        <f ca="1">I364*RAND()*J364</f>
        <v>2162.3968093714402</v>
      </c>
      <c r="P364">
        <f ca="1">RANDBETWEEN(0,O364)</f>
        <v>1962</v>
      </c>
      <c r="Q364">
        <f ca="1">RAND()*J364*2</f>
        <v>69125.505890243367</v>
      </c>
      <c r="R364">
        <f ca="1">RAND()*J364*1.5</f>
        <v>8441.3611818814879</v>
      </c>
      <c r="S364">
        <f ca="1">J364+R364+O364</f>
        <v>73812.757991252918</v>
      </c>
      <c r="T364">
        <f ca="1">N364+P364+Q364</f>
        <v>154497.94823246053</v>
      </c>
      <c r="U364">
        <f ca="1">S364-T364</f>
        <v>-80685.190241207616</v>
      </c>
      <c r="AC364" s="6">
        <f ca="1">IF(Table1[[#This Row],[gender]]="men",1,0)</f>
        <v>1</v>
      </c>
      <c r="AD364">
        <f ca="1">IF(Table1[[#This Row],[gender]]="women",1,0)</f>
        <v>0</v>
      </c>
      <c r="AH364" s="5"/>
      <c r="AJ364" s="6">
        <f ca="1">IF(Table1[[#This Row],[Column1]]="Health",1,0)</f>
        <v>0</v>
      </c>
      <c r="AK364">
        <f ca="1">IF(Table1[[#This Row],[Column1]]="Construction",1,0)</f>
        <v>0</v>
      </c>
      <c r="AL364">
        <f ca="1">IF(Table1[[#This Row],[Column1]]="Technology",1,0)</f>
        <v>0</v>
      </c>
      <c r="AM364">
        <f ca="1">IF(Table1[[#This Row],[Column1]]="Education",1,0)</f>
        <v>0</v>
      </c>
      <c r="AN364">
        <f ca="1">IF(Table1[[#This Row],[Column1]]="Agriculture",1,0)</f>
        <v>1</v>
      </c>
      <c r="AO364">
        <f ca="1">IF(Table1[[#This Row],[Column1]]="Social Service", 1, 0)</f>
        <v>0</v>
      </c>
      <c r="AT364" s="5"/>
      <c r="AV364" s="17">
        <f t="shared" ca="1" si="15"/>
        <v>39021.696254424001</v>
      </c>
      <c r="AW364" s="5"/>
      <c r="AX364" s="6">
        <f ca="1">IF(Table1[[#This Row],[Value of Debts]]&gt;$AY$4,1,0)</f>
        <v>1</v>
      </c>
      <c r="AY364" s="20"/>
      <c r="AZ364" s="20"/>
      <c r="BA364" s="5"/>
      <c r="BB364" s="25">
        <f ca="1">Table1[[#This Row],[Mortage Left]]/Table1[[#This Row],[Value of House]]</f>
        <v>0.65979878136196712</v>
      </c>
      <c r="BC364" s="20">
        <f t="shared" ca="1" si="17"/>
        <v>0</v>
      </c>
      <c r="BD364" s="20"/>
      <c r="BE364" s="20"/>
      <c r="BF364" s="20"/>
      <c r="BG364" s="6">
        <f ca="1">IF(Table1[[#This Row],[County]]="Cumbria",Table1[[#This Row],[income]],0)</f>
        <v>0</v>
      </c>
      <c r="BH364" s="20">
        <f ca="1">IF(Table1[[#This Row],[County]]="Cheshire",Table1[[#This Row],[income]],0)</f>
        <v>0</v>
      </c>
      <c r="BI364" s="20">
        <f ca="1">IF(Table1[[#This Row],[County]]="Bristol",Table1[[#This Row],[income]],0)</f>
        <v>0</v>
      </c>
      <c r="BJ364" s="20">
        <f ca="1">IF(Table1[[#This Row],[County]]="Surrey",Table1[[#This Row],[income]],0)</f>
        <v>0</v>
      </c>
      <c r="BK364" s="20">
        <f ca="1">IF(Table1[[#This Row],[County]]="Norfolk",Table1[[#This Row],[income]],0)</f>
        <v>0</v>
      </c>
      <c r="BL364" s="20">
        <f ca="1">IF(Table1[[#This Row],[County]]="Lincolnshire",Table1[[#This Row],[income]],0)</f>
        <v>0</v>
      </c>
      <c r="BM364" s="20">
        <f ca="1">IF(Table1[[#This Row],[County]]="Somerset",Table1[[#This Row],[income]],0)</f>
        <v>0</v>
      </c>
      <c r="BN364" s="20">
        <f ca="1">IF(Table1[[#This Row],[County]]="Cambridgeshire",Table1[[#This Row],[income]],0)</f>
        <v>0</v>
      </c>
      <c r="BO364" s="20">
        <f ca="1">IF(Table1[[#This Row],[County]]="South Yorkshire",Table1[[#This Row],[income]],0)</f>
        <v>0</v>
      </c>
      <c r="BP364" s="20">
        <f ca="1">IF(Table1[[#This Row],[County]]="Greater London",Table1[[#This Row],[income]],0)</f>
        <v>0</v>
      </c>
      <c r="BQ364" s="20">
        <f ca="1">IF(Table1[[#This Row],[County]]="Hampshire",Table1[[#This Row],[income]],0)</f>
        <v>0</v>
      </c>
      <c r="BR364" s="20">
        <f ca="1">IF(Table1[[#This Row],[County]]="Gloucestershire",Table1[[#This Row],[income]],0)</f>
        <v>0</v>
      </c>
      <c r="BS364" s="20">
        <f ca="1">IF(Table1[[#This Row],[County]]="West Sussex",Table1[[#This Row],[income]],0)</f>
        <v>0</v>
      </c>
      <c r="BT364" s="20">
        <f ca="1">IF(Table1[[#This Row],[County]]="Devon",Table1[[#This Row],[income]],0)</f>
        <v>0</v>
      </c>
      <c r="BU364" s="20">
        <f ca="1">IF(Table1[[#This Row],[County]]="Berkshire",Table1[[#This Row],[income]],0)</f>
        <v>0</v>
      </c>
      <c r="BV364" s="20">
        <f ca="1">IF(Table1[[#This Row],[County]]="Staffordshire",Table1[[#This Row],[income]],0)</f>
        <v>0</v>
      </c>
      <c r="BW364" s="20">
        <f ca="1">IF(Table1[[#This Row],[County]]="Leicestershire",Table1[[#This Row],[income]],0)</f>
        <v>0</v>
      </c>
      <c r="BX364" s="20">
        <f ca="1">IF(Table1[[#This Row],[County]]="Cornwall",Table1[[#This Row],[income]],0)</f>
        <v>0</v>
      </c>
      <c r="BY364" s="20">
        <f ca="1">IF(Table1[[#This Row],[County]]="Isle of Wight",Table1[[#This Row],[income]],0)</f>
        <v>0</v>
      </c>
      <c r="BZ364" s="20">
        <f ca="1">IF(Table1[[#This Row],[County]]="Surrey",Table1[[#This Row],[income]],0)</f>
        <v>0</v>
      </c>
      <c r="CA364" s="20">
        <f ca="1">IF(Table1[[#This Row],[County]]="Derbyshire",Table1[[#This Row],[income]],0)</f>
        <v>0</v>
      </c>
      <c r="CB364" s="20">
        <f ca="1">IF(Table1[[#This Row],[County]]="City of London",Table1[[#This Row],[income]],0)</f>
        <v>0</v>
      </c>
      <c r="CC364" s="20">
        <f ca="1">IF(Table1[[#This Row],[County]]="Bedfordshire",Table1[[#This Row],[income]],0)</f>
        <v>0</v>
      </c>
      <c r="CD364" s="20">
        <f ca="1">IF(Table1[[#This Row],[County]]="County Durham",Table1[[#This Row],[income]],0)</f>
        <v>0</v>
      </c>
      <c r="CE364" s="20">
        <f ca="1">IF(Table1[[#This Row],[County]]="East Riding of Yorkshire",Table1[[#This Row],[income]],0)</f>
        <v>0</v>
      </c>
      <c r="CF364" s="20">
        <f ca="1">IF(Table1[[#This Row],[County]]="West Yorkshire",Table1[[#This Row],[income]],0)</f>
        <v>0</v>
      </c>
      <c r="CG364" s="20">
        <f ca="1">IF(Table1[[#This Row],[County]]="Essex",Table1[[#This Row],[income]],0)</f>
        <v>0</v>
      </c>
      <c r="CH364" s="20">
        <f ca="1">IF(Table1[[#This Row],[County]]="East Sussex",Table1[[#This Row],[income]],0)</f>
        <v>0</v>
      </c>
      <c r="CI364" s="20">
        <f ca="1">IF(Table1[[#This Row],[County]]="Greater Manchester",Table1[[#This Row],[income]],0)</f>
        <v>0</v>
      </c>
      <c r="CJ364" s="20">
        <f ca="1">IF(Table1[[#This Row],[County]]="Hertfordshire",Table1[[#This Row],[income]],0)</f>
        <v>0</v>
      </c>
      <c r="CK364" s="20">
        <f ca="1">IF(Table1[[#This Row],[County]]="Herefordshire",Table1[[#This Row],[income]],0)</f>
        <v>0</v>
      </c>
      <c r="CL364" s="20">
        <f ca="1">IF(Table1[[#This Row],[County]]="Lancashire",Table1[[#This Row],[income]],0)</f>
        <v>0</v>
      </c>
      <c r="CM364" s="20">
        <f ca="1">IF(Table1[[#This Row],[County]]="Merseyside",Table1[[#This Row],[income]],0)</f>
        <v>0</v>
      </c>
      <c r="CN364" s="20">
        <f ca="1">IF(Table1[[#This Row],[County]]="Northamptonshire",Table1[[#This Row],[income]],0)</f>
        <v>0</v>
      </c>
      <c r="CO364" s="20">
        <f ca="1">IF(Table1[[#This Row],[County]]="Northumberland",Table1[[#This Row],[income]],0)</f>
        <v>0</v>
      </c>
      <c r="CP364" s="20">
        <f ca="1">IF(Table1[[#This Row],[County]]="Wiltshire",Table1[[#This Row],[income]],0)</f>
        <v>0</v>
      </c>
      <c r="CQ364" s="20">
        <f ca="1">IF(Table1[[#This Row],[County]]="West Midlands",Table1[[#This Row],[income]],0)</f>
        <v>0</v>
      </c>
      <c r="CR364" s="20">
        <f ca="1">IF(Table1[[#This Row],[County]]="Warwickshire",Table1[[#This Row],[income]],0)</f>
        <v>0</v>
      </c>
      <c r="CS364" s="20">
        <f ca="1">IF(Table1[[#This Row],[County]]="Tyne and Wear",Table1[[#This Row],[income]],0)</f>
        <v>0</v>
      </c>
      <c r="CT364" s="20">
        <f ca="1">IF(Table1[[#This Row],[County]]="Worcestershire",Table1[[#This Row],[income]],0)</f>
        <v>0</v>
      </c>
      <c r="CU364" s="20">
        <f ca="1">IF(Table1[[#This Row],[County]]="Rutland",Table1[[#This Row],[income]],0)</f>
        <v>0</v>
      </c>
      <c r="CV364" s="20">
        <f ca="1">IF(Table1[[#This Row],[County]]="Shropshire",Table1[[#This Row],[income]],0)</f>
        <v>0</v>
      </c>
      <c r="CW364" s="20">
        <f ca="1">IF(Table1[[#This Row],[County]]="Dorset",Table1[[#This Row],[income]],0)</f>
        <v>0</v>
      </c>
      <c r="CX364" s="20">
        <f ca="1">IF(Table1[[#This Row],[County]]="Buckinghamshire",Table1[[#This Row],[income]],0)</f>
        <v>63209</v>
      </c>
      <c r="CY364" s="20">
        <f ca="1">IF(Table1[[#This Row],[County]]="Suffolk",Table1[[#This Row],[income]],0)</f>
        <v>0</v>
      </c>
      <c r="CZ364" s="20">
        <f ca="1">IF(Table1[[#This Row],[County]]="North Yorkshire",Table1[[#This Row],[income]],0)</f>
        <v>0</v>
      </c>
      <c r="DA364" s="20">
        <f ca="1">IF(Table1[[#This Row],[County]]="Kent",Table1[[#This Row],[income]],0)</f>
        <v>0</v>
      </c>
      <c r="DB364" s="5">
        <f ca="1">IF(Table1[[#This Row],[County]]="Derbyshire",Table1[[#This Row],[income]],0)</f>
        <v>0</v>
      </c>
      <c r="DD364" s="6">
        <f ca="1">IF(Table1[[#This Row],[Column1]]="Health",Table1[[#This Row],[income]],0)</f>
        <v>0</v>
      </c>
      <c r="DE364" s="20">
        <f ca="1">IF(Table1[[#This Row],[Column1]]="Agriculture",Table1[[#This Row],[income]],0)</f>
        <v>63209</v>
      </c>
      <c r="DF364" s="20">
        <f ca="1">IF(Table1[[#This Row],[Column1]]="Technology",Table1[[#This Row],[income]],0)</f>
        <v>0</v>
      </c>
      <c r="DG364" s="20">
        <f ca="1">IF(Table1[[#This Row],[Column1]]="Social Service",Table1[[#This Row],[income]],0)</f>
        <v>0</v>
      </c>
      <c r="DH364" s="20">
        <f ca="1">IF(Table1[[#This Row],[Column1]]="Education",Table1[[#This Row],[income]],0)</f>
        <v>0</v>
      </c>
      <c r="DI364" s="5">
        <f ca="1">IF(Table1[[#This Row],[Column1]]="Construction",Table1[[#This Row],[income]],0)</f>
        <v>0</v>
      </c>
      <c r="DK364" s="6">
        <f ca="1">IF(Table1[[#This Row],[Value of Debts]]&gt;Table1[[#This Row],[income]],1,0)</f>
        <v>1</v>
      </c>
      <c r="DL364" s="20"/>
      <c r="DM364" s="20"/>
      <c r="DN364" s="5"/>
      <c r="DP364" s="6">
        <f ca="1">IF(Table1[[#This Row],[Net Worth (£)]]&gt;$DS$5,C364,0)</f>
        <v>0</v>
      </c>
      <c r="DQ364" s="20"/>
      <c r="DR364" s="20"/>
      <c r="DS364" s="5"/>
    </row>
    <row r="365" spans="1:123" x14ac:dyDescent="0.2">
      <c r="A365">
        <f t="shared" ca="1" si="16"/>
        <v>2</v>
      </c>
      <c r="B365" s="1" t="str">
        <f ca="1">IF(A365=1, "men", "women")</f>
        <v>women</v>
      </c>
      <c r="C365" s="1">
        <f ca="1">RANDBETWEEN(25,50)</f>
        <v>26</v>
      </c>
      <c r="D365">
        <f ca="1">RANDBETWEEN(1,6)</f>
        <v>5</v>
      </c>
      <c r="E365" t="str">
        <f ca="1">VLOOKUP(D365,$W$5:$X$10,2)</f>
        <v>Social Service</v>
      </c>
      <c r="F365">
        <f ca="1">RANDBETWEEN(1,5)</f>
        <v>4</v>
      </c>
      <c r="G365" t="str">
        <f ca="1">VLOOKUP(F365,$Y$5:$Z$9,2)</f>
        <v xml:space="preserve">Technical </v>
      </c>
      <c r="H365">
        <f ca="1">RANDBETWEEN(0,4)</f>
        <v>3</v>
      </c>
      <c r="I365">
        <f ca="1">RANDBETWEEN(1,3)</f>
        <v>1</v>
      </c>
      <c r="J365">
        <f ca="1">RANDBETWEEN(30000,100000)</f>
        <v>56907</v>
      </c>
      <c r="K365">
        <f ca="1">RANDBETWEEN(1,48)</f>
        <v>32</v>
      </c>
      <c r="L365" t="str">
        <f ca="1">VLOOKUP(K365,$AA$5:$AB$52,2)</f>
        <v>Northumberland</v>
      </c>
      <c r="M365">
        <f ca="1">J365*(RANDBETWEEN(2,5))</f>
        <v>284535</v>
      </c>
      <c r="N365">
        <f ca="1">RAND()*M365</f>
        <v>70815.478758775018</v>
      </c>
      <c r="O365">
        <f ca="1">I365*RAND()*J365</f>
        <v>39021.696254424001</v>
      </c>
      <c r="P365">
        <f ca="1">RANDBETWEEN(0,O365)</f>
        <v>24951</v>
      </c>
      <c r="Q365">
        <f ca="1">RAND()*J365*2</f>
        <v>78892.851192896647</v>
      </c>
      <c r="R365">
        <f ca="1">RAND()*J365*1.5</f>
        <v>65899.856007889466</v>
      </c>
      <c r="S365">
        <f ca="1">J365+R365+O365</f>
        <v>161828.55226231346</v>
      </c>
      <c r="T365">
        <f ca="1">N365+P365+Q365</f>
        <v>174659.32995167165</v>
      </c>
      <c r="U365">
        <f ca="1">S365-T365</f>
        <v>-12830.77768935819</v>
      </c>
      <c r="AC365" s="6">
        <f ca="1">IF(Table1[[#This Row],[gender]]="men",1,0)</f>
        <v>0</v>
      </c>
      <c r="AD365">
        <f ca="1">IF(Table1[[#This Row],[gender]]="women",1,0)</f>
        <v>1</v>
      </c>
      <c r="AH365" s="5"/>
      <c r="AJ365" s="6">
        <f ca="1">IF(Table1[[#This Row],[Column1]]="Health",1,0)</f>
        <v>0</v>
      </c>
      <c r="AK365">
        <f ca="1">IF(Table1[[#This Row],[Column1]]="Construction",1,0)</f>
        <v>0</v>
      </c>
      <c r="AL365">
        <f ca="1">IF(Table1[[#This Row],[Column1]]="Technology",1,0)</f>
        <v>0</v>
      </c>
      <c r="AM365">
        <f ca="1">IF(Table1[[#This Row],[Column1]]="Education",1,0)</f>
        <v>0</v>
      </c>
      <c r="AN365">
        <f ca="1">IF(Table1[[#This Row],[Column1]]="Agriculture",1,0)</f>
        <v>0</v>
      </c>
      <c r="AO365">
        <f ca="1">IF(Table1[[#This Row],[Column1]]="Social Service", 1, 0)</f>
        <v>1</v>
      </c>
      <c r="AT365" s="5"/>
      <c r="AV365" s="17">
        <f t="shared" ca="1" si="15"/>
        <v>48058.107556660252</v>
      </c>
      <c r="AW365" s="5"/>
      <c r="AX365" s="6">
        <f ca="1">IF(Table1[[#This Row],[Value of Debts]]&gt;$AY$4,1,0)</f>
        <v>1</v>
      </c>
      <c r="AY365" s="20"/>
      <c r="AZ365" s="20"/>
      <c r="BA365" s="5"/>
      <c r="BB365" s="25">
        <f ca="1">Table1[[#This Row],[Mortage Left]]/Table1[[#This Row],[Value of House]]</f>
        <v>0.24888143377361316</v>
      </c>
      <c r="BC365" s="20">
        <f t="shared" ca="1" si="17"/>
        <v>1</v>
      </c>
      <c r="BD365" s="20"/>
      <c r="BE365" s="20"/>
      <c r="BF365" s="20"/>
      <c r="BG365" s="6">
        <f ca="1">IF(Table1[[#This Row],[County]]="Cumbria",Table1[[#This Row],[income]],0)</f>
        <v>0</v>
      </c>
      <c r="BH365" s="20">
        <f ca="1">IF(Table1[[#This Row],[County]]="Cheshire",Table1[[#This Row],[income]],0)</f>
        <v>0</v>
      </c>
      <c r="BI365" s="20">
        <f ca="1">IF(Table1[[#This Row],[County]]="Bristol",Table1[[#This Row],[income]],0)</f>
        <v>0</v>
      </c>
      <c r="BJ365" s="20">
        <f ca="1">IF(Table1[[#This Row],[County]]="Surrey",Table1[[#This Row],[income]],0)</f>
        <v>0</v>
      </c>
      <c r="BK365" s="20">
        <f ca="1">IF(Table1[[#This Row],[County]]="Norfolk",Table1[[#This Row],[income]],0)</f>
        <v>0</v>
      </c>
      <c r="BL365" s="20">
        <f ca="1">IF(Table1[[#This Row],[County]]="Lincolnshire",Table1[[#This Row],[income]],0)</f>
        <v>0</v>
      </c>
      <c r="BM365" s="20">
        <f ca="1">IF(Table1[[#This Row],[County]]="Somerset",Table1[[#This Row],[income]],0)</f>
        <v>0</v>
      </c>
      <c r="BN365" s="20">
        <f ca="1">IF(Table1[[#This Row],[County]]="Cambridgeshire",Table1[[#This Row],[income]],0)</f>
        <v>0</v>
      </c>
      <c r="BO365" s="20">
        <f ca="1">IF(Table1[[#This Row],[County]]="South Yorkshire",Table1[[#This Row],[income]],0)</f>
        <v>0</v>
      </c>
      <c r="BP365" s="20">
        <f ca="1">IF(Table1[[#This Row],[County]]="Greater London",Table1[[#This Row],[income]],0)</f>
        <v>0</v>
      </c>
      <c r="BQ365" s="20">
        <f ca="1">IF(Table1[[#This Row],[County]]="Hampshire",Table1[[#This Row],[income]],0)</f>
        <v>0</v>
      </c>
      <c r="BR365" s="20">
        <f ca="1">IF(Table1[[#This Row],[County]]="Gloucestershire",Table1[[#This Row],[income]],0)</f>
        <v>0</v>
      </c>
      <c r="BS365" s="20">
        <f ca="1">IF(Table1[[#This Row],[County]]="West Sussex",Table1[[#This Row],[income]],0)</f>
        <v>0</v>
      </c>
      <c r="BT365" s="20">
        <f ca="1">IF(Table1[[#This Row],[County]]="Devon",Table1[[#This Row],[income]],0)</f>
        <v>0</v>
      </c>
      <c r="BU365" s="20">
        <f ca="1">IF(Table1[[#This Row],[County]]="Berkshire",Table1[[#This Row],[income]],0)</f>
        <v>0</v>
      </c>
      <c r="BV365" s="20">
        <f ca="1">IF(Table1[[#This Row],[County]]="Staffordshire",Table1[[#This Row],[income]],0)</f>
        <v>0</v>
      </c>
      <c r="BW365" s="20">
        <f ca="1">IF(Table1[[#This Row],[County]]="Leicestershire",Table1[[#This Row],[income]],0)</f>
        <v>0</v>
      </c>
      <c r="BX365" s="20">
        <f ca="1">IF(Table1[[#This Row],[County]]="Cornwall",Table1[[#This Row],[income]],0)</f>
        <v>0</v>
      </c>
      <c r="BY365" s="20">
        <f ca="1">IF(Table1[[#This Row],[County]]="Isle of Wight",Table1[[#This Row],[income]],0)</f>
        <v>0</v>
      </c>
      <c r="BZ365" s="20">
        <f ca="1">IF(Table1[[#This Row],[County]]="Surrey",Table1[[#This Row],[income]],0)</f>
        <v>0</v>
      </c>
      <c r="CA365" s="20">
        <f ca="1">IF(Table1[[#This Row],[County]]="Derbyshire",Table1[[#This Row],[income]],0)</f>
        <v>0</v>
      </c>
      <c r="CB365" s="20">
        <f ca="1">IF(Table1[[#This Row],[County]]="City of London",Table1[[#This Row],[income]],0)</f>
        <v>0</v>
      </c>
      <c r="CC365" s="20">
        <f ca="1">IF(Table1[[#This Row],[County]]="Bedfordshire",Table1[[#This Row],[income]],0)</f>
        <v>0</v>
      </c>
      <c r="CD365" s="20">
        <f ca="1">IF(Table1[[#This Row],[County]]="County Durham",Table1[[#This Row],[income]],0)</f>
        <v>0</v>
      </c>
      <c r="CE365" s="20">
        <f ca="1">IF(Table1[[#This Row],[County]]="East Riding of Yorkshire",Table1[[#This Row],[income]],0)</f>
        <v>0</v>
      </c>
      <c r="CF365" s="20">
        <f ca="1">IF(Table1[[#This Row],[County]]="West Yorkshire",Table1[[#This Row],[income]],0)</f>
        <v>0</v>
      </c>
      <c r="CG365" s="20">
        <f ca="1">IF(Table1[[#This Row],[County]]="Essex",Table1[[#This Row],[income]],0)</f>
        <v>0</v>
      </c>
      <c r="CH365" s="20">
        <f ca="1">IF(Table1[[#This Row],[County]]="East Sussex",Table1[[#This Row],[income]],0)</f>
        <v>0</v>
      </c>
      <c r="CI365" s="20">
        <f ca="1">IF(Table1[[#This Row],[County]]="Greater Manchester",Table1[[#This Row],[income]],0)</f>
        <v>0</v>
      </c>
      <c r="CJ365" s="20">
        <f ca="1">IF(Table1[[#This Row],[County]]="Hertfordshire",Table1[[#This Row],[income]],0)</f>
        <v>0</v>
      </c>
      <c r="CK365" s="20">
        <f ca="1">IF(Table1[[#This Row],[County]]="Herefordshire",Table1[[#This Row],[income]],0)</f>
        <v>0</v>
      </c>
      <c r="CL365" s="20">
        <f ca="1">IF(Table1[[#This Row],[County]]="Lancashire",Table1[[#This Row],[income]],0)</f>
        <v>0</v>
      </c>
      <c r="CM365" s="20">
        <f ca="1">IF(Table1[[#This Row],[County]]="Merseyside",Table1[[#This Row],[income]],0)</f>
        <v>0</v>
      </c>
      <c r="CN365" s="20">
        <f ca="1">IF(Table1[[#This Row],[County]]="Northamptonshire",Table1[[#This Row],[income]],0)</f>
        <v>0</v>
      </c>
      <c r="CO365" s="20">
        <f ca="1">IF(Table1[[#This Row],[County]]="Northumberland",Table1[[#This Row],[income]],0)</f>
        <v>56907</v>
      </c>
      <c r="CP365" s="20">
        <f ca="1">IF(Table1[[#This Row],[County]]="Wiltshire",Table1[[#This Row],[income]],0)</f>
        <v>0</v>
      </c>
      <c r="CQ365" s="20">
        <f ca="1">IF(Table1[[#This Row],[County]]="West Midlands",Table1[[#This Row],[income]],0)</f>
        <v>0</v>
      </c>
      <c r="CR365" s="20">
        <f ca="1">IF(Table1[[#This Row],[County]]="Warwickshire",Table1[[#This Row],[income]],0)</f>
        <v>0</v>
      </c>
      <c r="CS365" s="20">
        <f ca="1">IF(Table1[[#This Row],[County]]="Tyne and Wear",Table1[[#This Row],[income]],0)</f>
        <v>0</v>
      </c>
      <c r="CT365" s="20">
        <f ca="1">IF(Table1[[#This Row],[County]]="Worcestershire",Table1[[#This Row],[income]],0)</f>
        <v>0</v>
      </c>
      <c r="CU365" s="20">
        <f ca="1">IF(Table1[[#This Row],[County]]="Rutland",Table1[[#This Row],[income]],0)</f>
        <v>0</v>
      </c>
      <c r="CV365" s="20">
        <f ca="1">IF(Table1[[#This Row],[County]]="Shropshire",Table1[[#This Row],[income]],0)</f>
        <v>0</v>
      </c>
      <c r="CW365" s="20">
        <f ca="1">IF(Table1[[#This Row],[County]]="Dorset",Table1[[#This Row],[income]],0)</f>
        <v>0</v>
      </c>
      <c r="CX365" s="20">
        <f ca="1">IF(Table1[[#This Row],[County]]="Buckinghamshire",Table1[[#This Row],[income]],0)</f>
        <v>0</v>
      </c>
      <c r="CY365" s="20">
        <f ca="1">IF(Table1[[#This Row],[County]]="Suffolk",Table1[[#This Row],[income]],0)</f>
        <v>0</v>
      </c>
      <c r="CZ365" s="20">
        <f ca="1">IF(Table1[[#This Row],[County]]="North Yorkshire",Table1[[#This Row],[income]],0)</f>
        <v>0</v>
      </c>
      <c r="DA365" s="20">
        <f ca="1">IF(Table1[[#This Row],[County]]="Kent",Table1[[#This Row],[income]],0)</f>
        <v>0</v>
      </c>
      <c r="DB365" s="5">
        <f ca="1">IF(Table1[[#This Row],[County]]="Derbyshire",Table1[[#This Row],[income]],0)</f>
        <v>0</v>
      </c>
      <c r="DD365" s="6">
        <f ca="1">IF(Table1[[#This Row],[Column1]]="Health",Table1[[#This Row],[income]],0)</f>
        <v>0</v>
      </c>
      <c r="DE365" s="20">
        <f ca="1">IF(Table1[[#This Row],[Column1]]="Agriculture",Table1[[#This Row],[income]],0)</f>
        <v>0</v>
      </c>
      <c r="DF365" s="20">
        <f ca="1">IF(Table1[[#This Row],[Column1]]="Technology",Table1[[#This Row],[income]],0)</f>
        <v>0</v>
      </c>
      <c r="DG365" s="20">
        <f ca="1">IF(Table1[[#This Row],[Column1]]="Social Service",Table1[[#This Row],[income]],0)</f>
        <v>56907</v>
      </c>
      <c r="DH365" s="20">
        <f ca="1">IF(Table1[[#This Row],[Column1]]="Education",Table1[[#This Row],[income]],0)</f>
        <v>0</v>
      </c>
      <c r="DI365" s="5">
        <f ca="1">IF(Table1[[#This Row],[Column1]]="Construction",Table1[[#This Row],[income]],0)</f>
        <v>0</v>
      </c>
      <c r="DK365" s="6">
        <f ca="1">IF(Table1[[#This Row],[Value of Debts]]&gt;Table1[[#This Row],[income]],1,0)</f>
        <v>1</v>
      </c>
      <c r="DL365" s="20"/>
      <c r="DM365" s="20"/>
      <c r="DN365" s="5"/>
      <c r="DP365" s="6">
        <f ca="1">IF(Table1[[#This Row],[Net Worth (£)]]&gt;$DS$5,C365,0)</f>
        <v>0</v>
      </c>
      <c r="DQ365" s="20"/>
      <c r="DR365" s="20"/>
      <c r="DS365" s="5"/>
    </row>
    <row r="366" spans="1:123" x14ac:dyDescent="0.2">
      <c r="A366">
        <f t="shared" ca="1" si="16"/>
        <v>1</v>
      </c>
      <c r="B366" s="1" t="str">
        <f ca="1">IF(A366=1, "men", "women")</f>
        <v>men</v>
      </c>
      <c r="C366" s="1">
        <f ca="1">RANDBETWEEN(25,50)</f>
        <v>34</v>
      </c>
      <c r="D366">
        <f ca="1">RANDBETWEEN(1,6)</f>
        <v>5</v>
      </c>
      <c r="E366" t="str">
        <f ca="1">VLOOKUP(D366,$W$5:$X$10,2)</f>
        <v>Social Service</v>
      </c>
      <c r="F366">
        <f ca="1">RANDBETWEEN(1,5)</f>
        <v>5</v>
      </c>
      <c r="G366" t="str">
        <f ca="1">VLOOKUP(F366,$Y$5:$Z$9,2)</f>
        <v>Other</v>
      </c>
      <c r="H366">
        <f ca="1">RANDBETWEEN(0,4)</f>
        <v>2</v>
      </c>
      <c r="I366">
        <f ca="1">RANDBETWEEN(1,3)</f>
        <v>3</v>
      </c>
      <c r="J366">
        <f ca="1">RANDBETWEEN(30000,100000)</f>
        <v>66413</v>
      </c>
      <c r="K366">
        <f ca="1">RANDBETWEEN(1,48)</f>
        <v>39</v>
      </c>
      <c r="L366" t="str">
        <f ca="1">VLOOKUP(K366,$AA$5:$AB$52,2)</f>
        <v>Staffordshire</v>
      </c>
      <c r="M366">
        <f ca="1">J366*(RANDBETWEEN(2,5))</f>
        <v>132826</v>
      </c>
      <c r="N366">
        <f ca="1">RAND()*M366</f>
        <v>9942.9887492203798</v>
      </c>
      <c r="O366">
        <f ca="1">I366*RAND()*J366</f>
        <v>144174.32266998076</v>
      </c>
      <c r="P366">
        <f ca="1">RANDBETWEEN(0,O366)</f>
        <v>130613</v>
      </c>
      <c r="Q366">
        <f ca="1">RAND()*J366*2</f>
        <v>49450.049281105043</v>
      </c>
      <c r="R366">
        <f ca="1">RAND()*J366*1.5</f>
        <v>93383.489702549719</v>
      </c>
      <c r="S366">
        <f ca="1">J366+R366+O366</f>
        <v>303970.81237253046</v>
      </c>
      <c r="T366">
        <f ca="1">N366+P366+Q366</f>
        <v>190006.03803032544</v>
      </c>
      <c r="U366">
        <f ca="1">S366-T366</f>
        <v>113964.77434220503</v>
      </c>
      <c r="AC366" s="6">
        <f ca="1">IF(Table1[[#This Row],[gender]]="men",1,0)</f>
        <v>1</v>
      </c>
      <c r="AD366">
        <f ca="1">IF(Table1[[#This Row],[gender]]="women",1,0)</f>
        <v>0</v>
      </c>
      <c r="AH366" s="5"/>
      <c r="AJ366" s="6">
        <f ca="1">IF(Table1[[#This Row],[Column1]]="Health",1,0)</f>
        <v>0</v>
      </c>
      <c r="AK366">
        <f ca="1">IF(Table1[[#This Row],[Column1]]="Construction",1,0)</f>
        <v>0</v>
      </c>
      <c r="AL366">
        <f ca="1">IF(Table1[[#This Row],[Column1]]="Technology",1,0)</f>
        <v>0</v>
      </c>
      <c r="AM366">
        <f ca="1">IF(Table1[[#This Row],[Column1]]="Education",1,0)</f>
        <v>0</v>
      </c>
      <c r="AN366">
        <f ca="1">IF(Table1[[#This Row],[Column1]]="Agriculture",1,0)</f>
        <v>0</v>
      </c>
      <c r="AO366">
        <f ca="1">IF(Table1[[#This Row],[Column1]]="Social Service", 1, 0)</f>
        <v>1</v>
      </c>
      <c r="AT366" s="5"/>
      <c r="AV366" s="17">
        <f t="shared" ca="1" si="15"/>
        <v>28488.16443307792</v>
      </c>
      <c r="AW366" s="5"/>
      <c r="AX366" s="6">
        <f ca="1">IF(Table1[[#This Row],[Value of Debts]]&gt;$AY$4,1,0)</f>
        <v>1</v>
      </c>
      <c r="AY366" s="20"/>
      <c r="AZ366" s="20"/>
      <c r="BA366" s="5"/>
      <c r="BB366" s="25">
        <f ca="1">Table1[[#This Row],[Mortage Left]]/Table1[[#This Row],[Value of House]]</f>
        <v>7.4857247445683672E-2</v>
      </c>
      <c r="BC366" s="20">
        <f t="shared" ca="1" si="17"/>
        <v>1</v>
      </c>
      <c r="BD366" s="20"/>
      <c r="BE366" s="20"/>
      <c r="BF366" s="20"/>
      <c r="BG366" s="6">
        <f ca="1">IF(Table1[[#This Row],[County]]="Cumbria",Table1[[#This Row],[income]],0)</f>
        <v>0</v>
      </c>
      <c r="BH366" s="20">
        <f ca="1">IF(Table1[[#This Row],[County]]="Cheshire",Table1[[#This Row],[income]],0)</f>
        <v>0</v>
      </c>
      <c r="BI366" s="20">
        <f ca="1">IF(Table1[[#This Row],[County]]="Bristol",Table1[[#This Row],[income]],0)</f>
        <v>0</v>
      </c>
      <c r="BJ366" s="20">
        <f ca="1">IF(Table1[[#This Row],[County]]="Surrey",Table1[[#This Row],[income]],0)</f>
        <v>0</v>
      </c>
      <c r="BK366" s="20">
        <f ca="1">IF(Table1[[#This Row],[County]]="Norfolk",Table1[[#This Row],[income]],0)</f>
        <v>0</v>
      </c>
      <c r="BL366" s="20">
        <f ca="1">IF(Table1[[#This Row],[County]]="Lincolnshire",Table1[[#This Row],[income]],0)</f>
        <v>0</v>
      </c>
      <c r="BM366" s="20">
        <f ca="1">IF(Table1[[#This Row],[County]]="Somerset",Table1[[#This Row],[income]],0)</f>
        <v>0</v>
      </c>
      <c r="BN366" s="20">
        <f ca="1">IF(Table1[[#This Row],[County]]="Cambridgeshire",Table1[[#This Row],[income]],0)</f>
        <v>0</v>
      </c>
      <c r="BO366" s="20">
        <f ca="1">IF(Table1[[#This Row],[County]]="South Yorkshire",Table1[[#This Row],[income]],0)</f>
        <v>0</v>
      </c>
      <c r="BP366" s="20">
        <f ca="1">IF(Table1[[#This Row],[County]]="Greater London",Table1[[#This Row],[income]],0)</f>
        <v>0</v>
      </c>
      <c r="BQ366" s="20">
        <f ca="1">IF(Table1[[#This Row],[County]]="Hampshire",Table1[[#This Row],[income]],0)</f>
        <v>0</v>
      </c>
      <c r="BR366" s="20">
        <f ca="1">IF(Table1[[#This Row],[County]]="Gloucestershire",Table1[[#This Row],[income]],0)</f>
        <v>0</v>
      </c>
      <c r="BS366" s="20">
        <f ca="1">IF(Table1[[#This Row],[County]]="West Sussex",Table1[[#This Row],[income]],0)</f>
        <v>0</v>
      </c>
      <c r="BT366" s="20">
        <f ca="1">IF(Table1[[#This Row],[County]]="Devon",Table1[[#This Row],[income]],0)</f>
        <v>0</v>
      </c>
      <c r="BU366" s="20">
        <f ca="1">IF(Table1[[#This Row],[County]]="Berkshire",Table1[[#This Row],[income]],0)</f>
        <v>0</v>
      </c>
      <c r="BV366" s="20">
        <f ca="1">IF(Table1[[#This Row],[County]]="Staffordshire",Table1[[#This Row],[income]],0)</f>
        <v>66413</v>
      </c>
      <c r="BW366" s="20">
        <f ca="1">IF(Table1[[#This Row],[County]]="Leicestershire",Table1[[#This Row],[income]],0)</f>
        <v>0</v>
      </c>
      <c r="BX366" s="20">
        <f ca="1">IF(Table1[[#This Row],[County]]="Cornwall",Table1[[#This Row],[income]],0)</f>
        <v>0</v>
      </c>
      <c r="BY366" s="20">
        <f ca="1">IF(Table1[[#This Row],[County]]="Isle of Wight",Table1[[#This Row],[income]],0)</f>
        <v>0</v>
      </c>
      <c r="BZ366" s="20">
        <f ca="1">IF(Table1[[#This Row],[County]]="Surrey",Table1[[#This Row],[income]],0)</f>
        <v>0</v>
      </c>
      <c r="CA366" s="20">
        <f ca="1">IF(Table1[[#This Row],[County]]="Derbyshire",Table1[[#This Row],[income]],0)</f>
        <v>0</v>
      </c>
      <c r="CB366" s="20">
        <f ca="1">IF(Table1[[#This Row],[County]]="City of London",Table1[[#This Row],[income]],0)</f>
        <v>0</v>
      </c>
      <c r="CC366" s="20">
        <f ca="1">IF(Table1[[#This Row],[County]]="Bedfordshire",Table1[[#This Row],[income]],0)</f>
        <v>0</v>
      </c>
      <c r="CD366" s="20">
        <f ca="1">IF(Table1[[#This Row],[County]]="County Durham",Table1[[#This Row],[income]],0)</f>
        <v>0</v>
      </c>
      <c r="CE366" s="20">
        <f ca="1">IF(Table1[[#This Row],[County]]="East Riding of Yorkshire",Table1[[#This Row],[income]],0)</f>
        <v>0</v>
      </c>
      <c r="CF366" s="20">
        <f ca="1">IF(Table1[[#This Row],[County]]="West Yorkshire",Table1[[#This Row],[income]],0)</f>
        <v>0</v>
      </c>
      <c r="CG366" s="20">
        <f ca="1">IF(Table1[[#This Row],[County]]="Essex",Table1[[#This Row],[income]],0)</f>
        <v>0</v>
      </c>
      <c r="CH366" s="20">
        <f ca="1">IF(Table1[[#This Row],[County]]="East Sussex",Table1[[#This Row],[income]],0)</f>
        <v>0</v>
      </c>
      <c r="CI366" s="20">
        <f ca="1">IF(Table1[[#This Row],[County]]="Greater Manchester",Table1[[#This Row],[income]],0)</f>
        <v>0</v>
      </c>
      <c r="CJ366" s="20">
        <f ca="1">IF(Table1[[#This Row],[County]]="Hertfordshire",Table1[[#This Row],[income]],0)</f>
        <v>0</v>
      </c>
      <c r="CK366" s="20">
        <f ca="1">IF(Table1[[#This Row],[County]]="Herefordshire",Table1[[#This Row],[income]],0)</f>
        <v>0</v>
      </c>
      <c r="CL366" s="20">
        <f ca="1">IF(Table1[[#This Row],[County]]="Lancashire",Table1[[#This Row],[income]],0)</f>
        <v>0</v>
      </c>
      <c r="CM366" s="20">
        <f ca="1">IF(Table1[[#This Row],[County]]="Merseyside",Table1[[#This Row],[income]],0)</f>
        <v>0</v>
      </c>
      <c r="CN366" s="20">
        <f ca="1">IF(Table1[[#This Row],[County]]="Northamptonshire",Table1[[#This Row],[income]],0)</f>
        <v>0</v>
      </c>
      <c r="CO366" s="20">
        <f ca="1">IF(Table1[[#This Row],[County]]="Northumberland",Table1[[#This Row],[income]],0)</f>
        <v>0</v>
      </c>
      <c r="CP366" s="20">
        <f ca="1">IF(Table1[[#This Row],[County]]="Wiltshire",Table1[[#This Row],[income]],0)</f>
        <v>0</v>
      </c>
      <c r="CQ366" s="20">
        <f ca="1">IF(Table1[[#This Row],[County]]="West Midlands",Table1[[#This Row],[income]],0)</f>
        <v>0</v>
      </c>
      <c r="CR366" s="20">
        <f ca="1">IF(Table1[[#This Row],[County]]="Warwickshire",Table1[[#This Row],[income]],0)</f>
        <v>0</v>
      </c>
      <c r="CS366" s="20">
        <f ca="1">IF(Table1[[#This Row],[County]]="Tyne and Wear",Table1[[#This Row],[income]],0)</f>
        <v>0</v>
      </c>
      <c r="CT366" s="20">
        <f ca="1">IF(Table1[[#This Row],[County]]="Worcestershire",Table1[[#This Row],[income]],0)</f>
        <v>0</v>
      </c>
      <c r="CU366" s="20">
        <f ca="1">IF(Table1[[#This Row],[County]]="Rutland",Table1[[#This Row],[income]],0)</f>
        <v>0</v>
      </c>
      <c r="CV366" s="20">
        <f ca="1">IF(Table1[[#This Row],[County]]="Shropshire",Table1[[#This Row],[income]],0)</f>
        <v>0</v>
      </c>
      <c r="CW366" s="20">
        <f ca="1">IF(Table1[[#This Row],[County]]="Dorset",Table1[[#This Row],[income]],0)</f>
        <v>0</v>
      </c>
      <c r="CX366" s="20">
        <f ca="1">IF(Table1[[#This Row],[County]]="Buckinghamshire",Table1[[#This Row],[income]],0)</f>
        <v>0</v>
      </c>
      <c r="CY366" s="20">
        <f ca="1">IF(Table1[[#This Row],[County]]="Suffolk",Table1[[#This Row],[income]],0)</f>
        <v>0</v>
      </c>
      <c r="CZ366" s="20">
        <f ca="1">IF(Table1[[#This Row],[County]]="North Yorkshire",Table1[[#This Row],[income]],0)</f>
        <v>0</v>
      </c>
      <c r="DA366" s="20">
        <f ca="1">IF(Table1[[#This Row],[County]]="Kent",Table1[[#This Row],[income]],0)</f>
        <v>0</v>
      </c>
      <c r="DB366" s="5">
        <f ca="1">IF(Table1[[#This Row],[County]]="Derbyshire",Table1[[#This Row],[income]],0)</f>
        <v>0</v>
      </c>
      <c r="DD366" s="6">
        <f ca="1">IF(Table1[[#This Row],[Column1]]="Health",Table1[[#This Row],[income]],0)</f>
        <v>0</v>
      </c>
      <c r="DE366" s="20">
        <f ca="1">IF(Table1[[#This Row],[Column1]]="Agriculture",Table1[[#This Row],[income]],0)</f>
        <v>0</v>
      </c>
      <c r="DF366" s="20">
        <f ca="1">IF(Table1[[#This Row],[Column1]]="Technology",Table1[[#This Row],[income]],0)</f>
        <v>0</v>
      </c>
      <c r="DG366" s="20">
        <f ca="1">IF(Table1[[#This Row],[Column1]]="Social Service",Table1[[#This Row],[income]],0)</f>
        <v>66413</v>
      </c>
      <c r="DH366" s="20">
        <f ca="1">IF(Table1[[#This Row],[Column1]]="Education",Table1[[#This Row],[income]],0)</f>
        <v>0</v>
      </c>
      <c r="DI366" s="5">
        <f ca="1">IF(Table1[[#This Row],[Column1]]="Construction",Table1[[#This Row],[income]],0)</f>
        <v>0</v>
      </c>
      <c r="DK366" s="6">
        <f ca="1">IF(Table1[[#This Row],[Value of Debts]]&gt;Table1[[#This Row],[income]],1,0)</f>
        <v>1</v>
      </c>
      <c r="DL366" s="20"/>
      <c r="DM366" s="20"/>
      <c r="DN366" s="5"/>
      <c r="DP366" s="6">
        <f ca="1">IF(Table1[[#This Row],[Net Worth (£)]]&gt;$DS$5,C366,0)</f>
        <v>34</v>
      </c>
      <c r="DQ366" s="20"/>
      <c r="DR366" s="20"/>
      <c r="DS366" s="5"/>
    </row>
    <row r="367" spans="1:123" x14ac:dyDescent="0.2">
      <c r="A367">
        <f t="shared" ca="1" si="16"/>
        <v>2</v>
      </c>
      <c r="B367" s="1" t="str">
        <f ca="1">IF(A367=1, "men", "women")</f>
        <v>women</v>
      </c>
      <c r="C367" s="1">
        <f ca="1">RANDBETWEEN(25,50)</f>
        <v>42</v>
      </c>
      <c r="D367">
        <f ca="1">RANDBETWEEN(1,6)</f>
        <v>3</v>
      </c>
      <c r="E367" t="str">
        <f ca="1">VLOOKUP(D367,$W$5:$X$10,2)</f>
        <v>Education</v>
      </c>
      <c r="F367">
        <f ca="1">RANDBETWEEN(1,5)</f>
        <v>2</v>
      </c>
      <c r="G367" t="str">
        <f ca="1">VLOOKUP(F367,$Y$5:$Z$9,2)</f>
        <v>College</v>
      </c>
      <c r="H367">
        <f ca="1">RANDBETWEEN(0,4)</f>
        <v>2</v>
      </c>
      <c r="I367">
        <f ca="1">RANDBETWEEN(1,3)</f>
        <v>3</v>
      </c>
      <c r="J367">
        <f ca="1">RANDBETWEEN(30000,100000)</f>
        <v>93657</v>
      </c>
      <c r="K367">
        <f ca="1">RANDBETWEEN(1,48)</f>
        <v>43</v>
      </c>
      <c r="L367" t="str">
        <f ca="1">VLOOKUP(K367,$AA$5:$AB$52,2)</f>
        <v>Warwickshire</v>
      </c>
      <c r="M367">
        <f ca="1">J367*(RANDBETWEEN(2,5))</f>
        <v>280971</v>
      </c>
      <c r="N367">
        <f ca="1">RAND()*M367</f>
        <v>2670.2637933298242</v>
      </c>
      <c r="O367">
        <f ca="1">I367*RAND()*J367</f>
        <v>85464.493299233756</v>
      </c>
      <c r="P367">
        <f ca="1">RANDBETWEEN(0,O367)</f>
        <v>54199</v>
      </c>
      <c r="Q367">
        <f ca="1">RAND()*J367*2</f>
        <v>98725.027522158809</v>
      </c>
      <c r="R367">
        <f ca="1">RAND()*J367*1.5</f>
        <v>119249.31128279472</v>
      </c>
      <c r="S367">
        <f ca="1">J367+R367+O367</f>
        <v>298370.80458202848</v>
      </c>
      <c r="T367">
        <f ca="1">N367+P367+Q367</f>
        <v>155594.29131548863</v>
      </c>
      <c r="U367">
        <f ca="1">S367-T367</f>
        <v>142776.51326653984</v>
      </c>
      <c r="AC367" s="6">
        <f ca="1">IF(Table1[[#This Row],[gender]]="men",1,0)</f>
        <v>0</v>
      </c>
      <c r="AD367">
        <f ca="1">IF(Table1[[#This Row],[gender]]="women",1,0)</f>
        <v>1</v>
      </c>
      <c r="AH367" s="5"/>
      <c r="AJ367" s="6">
        <f ca="1">IF(Table1[[#This Row],[Column1]]="Health",1,0)</f>
        <v>0</v>
      </c>
      <c r="AK367">
        <f ca="1">IF(Table1[[#This Row],[Column1]]="Construction",1,0)</f>
        <v>0</v>
      </c>
      <c r="AL367">
        <f ca="1">IF(Table1[[#This Row],[Column1]]="Technology",1,0)</f>
        <v>0</v>
      </c>
      <c r="AM367">
        <f ca="1">IF(Table1[[#This Row],[Column1]]="Education",1,0)</f>
        <v>1</v>
      </c>
      <c r="AN367">
        <f ca="1">IF(Table1[[#This Row],[Column1]]="Agriculture",1,0)</f>
        <v>0</v>
      </c>
      <c r="AO367">
        <f ca="1">IF(Table1[[#This Row],[Column1]]="Social Service", 1, 0)</f>
        <v>0</v>
      </c>
      <c r="AT367" s="5"/>
      <c r="AV367" s="17">
        <f t="shared" ca="1" si="15"/>
        <v>27484.980103765862</v>
      </c>
      <c r="AW367" s="5"/>
      <c r="AX367" s="6">
        <f ca="1">IF(Table1[[#This Row],[Value of Debts]]&gt;$AY$4,1,0)</f>
        <v>1</v>
      </c>
      <c r="AY367" s="20"/>
      <c r="AZ367" s="20"/>
      <c r="BA367" s="5"/>
      <c r="BB367" s="25">
        <f ca="1">Table1[[#This Row],[Mortage Left]]/Table1[[#This Row],[Value of House]]</f>
        <v>9.5036989345157474E-3</v>
      </c>
      <c r="BC367" s="20">
        <f t="shared" ca="1" si="17"/>
        <v>1</v>
      </c>
      <c r="BD367" s="20"/>
      <c r="BE367" s="20"/>
      <c r="BF367" s="20"/>
      <c r="BG367" s="6">
        <f ca="1">IF(Table1[[#This Row],[County]]="Cumbria",Table1[[#This Row],[income]],0)</f>
        <v>0</v>
      </c>
      <c r="BH367" s="20">
        <f ca="1">IF(Table1[[#This Row],[County]]="Cheshire",Table1[[#This Row],[income]],0)</f>
        <v>0</v>
      </c>
      <c r="BI367" s="20">
        <f ca="1">IF(Table1[[#This Row],[County]]="Bristol",Table1[[#This Row],[income]],0)</f>
        <v>0</v>
      </c>
      <c r="BJ367" s="20">
        <f ca="1">IF(Table1[[#This Row],[County]]="Surrey",Table1[[#This Row],[income]],0)</f>
        <v>0</v>
      </c>
      <c r="BK367" s="20">
        <f ca="1">IF(Table1[[#This Row],[County]]="Norfolk",Table1[[#This Row],[income]],0)</f>
        <v>0</v>
      </c>
      <c r="BL367" s="20">
        <f ca="1">IF(Table1[[#This Row],[County]]="Lincolnshire",Table1[[#This Row],[income]],0)</f>
        <v>0</v>
      </c>
      <c r="BM367" s="20">
        <f ca="1">IF(Table1[[#This Row],[County]]="Somerset",Table1[[#This Row],[income]],0)</f>
        <v>0</v>
      </c>
      <c r="BN367" s="20">
        <f ca="1">IF(Table1[[#This Row],[County]]="Cambridgeshire",Table1[[#This Row],[income]],0)</f>
        <v>0</v>
      </c>
      <c r="BO367" s="20">
        <f ca="1">IF(Table1[[#This Row],[County]]="South Yorkshire",Table1[[#This Row],[income]],0)</f>
        <v>0</v>
      </c>
      <c r="BP367" s="20">
        <f ca="1">IF(Table1[[#This Row],[County]]="Greater London",Table1[[#This Row],[income]],0)</f>
        <v>0</v>
      </c>
      <c r="BQ367" s="20">
        <f ca="1">IF(Table1[[#This Row],[County]]="Hampshire",Table1[[#This Row],[income]],0)</f>
        <v>0</v>
      </c>
      <c r="BR367" s="20">
        <f ca="1">IF(Table1[[#This Row],[County]]="Gloucestershire",Table1[[#This Row],[income]],0)</f>
        <v>0</v>
      </c>
      <c r="BS367" s="20">
        <f ca="1">IF(Table1[[#This Row],[County]]="West Sussex",Table1[[#This Row],[income]],0)</f>
        <v>0</v>
      </c>
      <c r="BT367" s="20">
        <f ca="1">IF(Table1[[#This Row],[County]]="Devon",Table1[[#This Row],[income]],0)</f>
        <v>0</v>
      </c>
      <c r="BU367" s="20">
        <f ca="1">IF(Table1[[#This Row],[County]]="Berkshire",Table1[[#This Row],[income]],0)</f>
        <v>0</v>
      </c>
      <c r="BV367" s="20">
        <f ca="1">IF(Table1[[#This Row],[County]]="Staffordshire",Table1[[#This Row],[income]],0)</f>
        <v>0</v>
      </c>
      <c r="BW367" s="20">
        <f ca="1">IF(Table1[[#This Row],[County]]="Leicestershire",Table1[[#This Row],[income]],0)</f>
        <v>0</v>
      </c>
      <c r="BX367" s="20">
        <f ca="1">IF(Table1[[#This Row],[County]]="Cornwall",Table1[[#This Row],[income]],0)</f>
        <v>0</v>
      </c>
      <c r="BY367" s="20">
        <f ca="1">IF(Table1[[#This Row],[County]]="Isle of Wight",Table1[[#This Row],[income]],0)</f>
        <v>0</v>
      </c>
      <c r="BZ367" s="20">
        <f ca="1">IF(Table1[[#This Row],[County]]="Surrey",Table1[[#This Row],[income]],0)</f>
        <v>0</v>
      </c>
      <c r="CA367" s="20">
        <f ca="1">IF(Table1[[#This Row],[County]]="Derbyshire",Table1[[#This Row],[income]],0)</f>
        <v>0</v>
      </c>
      <c r="CB367" s="20">
        <f ca="1">IF(Table1[[#This Row],[County]]="City of London",Table1[[#This Row],[income]],0)</f>
        <v>0</v>
      </c>
      <c r="CC367" s="20">
        <f ca="1">IF(Table1[[#This Row],[County]]="Bedfordshire",Table1[[#This Row],[income]],0)</f>
        <v>0</v>
      </c>
      <c r="CD367" s="20">
        <f ca="1">IF(Table1[[#This Row],[County]]="County Durham",Table1[[#This Row],[income]],0)</f>
        <v>0</v>
      </c>
      <c r="CE367" s="20">
        <f ca="1">IF(Table1[[#This Row],[County]]="East Riding of Yorkshire",Table1[[#This Row],[income]],0)</f>
        <v>0</v>
      </c>
      <c r="CF367" s="20">
        <f ca="1">IF(Table1[[#This Row],[County]]="West Yorkshire",Table1[[#This Row],[income]],0)</f>
        <v>0</v>
      </c>
      <c r="CG367" s="20">
        <f ca="1">IF(Table1[[#This Row],[County]]="Essex",Table1[[#This Row],[income]],0)</f>
        <v>0</v>
      </c>
      <c r="CH367" s="20">
        <f ca="1">IF(Table1[[#This Row],[County]]="East Sussex",Table1[[#This Row],[income]],0)</f>
        <v>0</v>
      </c>
      <c r="CI367" s="20">
        <f ca="1">IF(Table1[[#This Row],[County]]="Greater Manchester",Table1[[#This Row],[income]],0)</f>
        <v>0</v>
      </c>
      <c r="CJ367" s="20">
        <f ca="1">IF(Table1[[#This Row],[County]]="Hertfordshire",Table1[[#This Row],[income]],0)</f>
        <v>0</v>
      </c>
      <c r="CK367" s="20">
        <f ca="1">IF(Table1[[#This Row],[County]]="Herefordshire",Table1[[#This Row],[income]],0)</f>
        <v>0</v>
      </c>
      <c r="CL367" s="20">
        <f ca="1">IF(Table1[[#This Row],[County]]="Lancashire",Table1[[#This Row],[income]],0)</f>
        <v>0</v>
      </c>
      <c r="CM367" s="20">
        <f ca="1">IF(Table1[[#This Row],[County]]="Merseyside",Table1[[#This Row],[income]],0)</f>
        <v>0</v>
      </c>
      <c r="CN367" s="20">
        <f ca="1">IF(Table1[[#This Row],[County]]="Northamptonshire",Table1[[#This Row],[income]],0)</f>
        <v>0</v>
      </c>
      <c r="CO367" s="20">
        <f ca="1">IF(Table1[[#This Row],[County]]="Northumberland",Table1[[#This Row],[income]],0)</f>
        <v>0</v>
      </c>
      <c r="CP367" s="20">
        <f ca="1">IF(Table1[[#This Row],[County]]="Wiltshire",Table1[[#This Row],[income]],0)</f>
        <v>0</v>
      </c>
      <c r="CQ367" s="20">
        <f ca="1">IF(Table1[[#This Row],[County]]="West Midlands",Table1[[#This Row],[income]],0)</f>
        <v>0</v>
      </c>
      <c r="CR367" s="20">
        <f ca="1">IF(Table1[[#This Row],[County]]="Warwickshire",Table1[[#This Row],[income]],0)</f>
        <v>93657</v>
      </c>
      <c r="CS367" s="20">
        <f ca="1">IF(Table1[[#This Row],[County]]="Tyne and Wear",Table1[[#This Row],[income]],0)</f>
        <v>0</v>
      </c>
      <c r="CT367" s="20">
        <f ca="1">IF(Table1[[#This Row],[County]]="Worcestershire",Table1[[#This Row],[income]],0)</f>
        <v>0</v>
      </c>
      <c r="CU367" s="20">
        <f ca="1">IF(Table1[[#This Row],[County]]="Rutland",Table1[[#This Row],[income]],0)</f>
        <v>0</v>
      </c>
      <c r="CV367" s="20">
        <f ca="1">IF(Table1[[#This Row],[County]]="Shropshire",Table1[[#This Row],[income]],0)</f>
        <v>0</v>
      </c>
      <c r="CW367" s="20">
        <f ca="1">IF(Table1[[#This Row],[County]]="Dorset",Table1[[#This Row],[income]],0)</f>
        <v>0</v>
      </c>
      <c r="CX367" s="20">
        <f ca="1">IF(Table1[[#This Row],[County]]="Buckinghamshire",Table1[[#This Row],[income]],0)</f>
        <v>0</v>
      </c>
      <c r="CY367" s="20">
        <f ca="1">IF(Table1[[#This Row],[County]]="Suffolk",Table1[[#This Row],[income]],0)</f>
        <v>0</v>
      </c>
      <c r="CZ367" s="20">
        <f ca="1">IF(Table1[[#This Row],[County]]="North Yorkshire",Table1[[#This Row],[income]],0)</f>
        <v>0</v>
      </c>
      <c r="DA367" s="20">
        <f ca="1">IF(Table1[[#This Row],[County]]="Kent",Table1[[#This Row],[income]],0)</f>
        <v>0</v>
      </c>
      <c r="DB367" s="5">
        <f ca="1">IF(Table1[[#This Row],[County]]="Derbyshire",Table1[[#This Row],[income]],0)</f>
        <v>0</v>
      </c>
      <c r="DD367" s="6">
        <f ca="1">IF(Table1[[#This Row],[Column1]]="Health",Table1[[#This Row],[income]],0)</f>
        <v>0</v>
      </c>
      <c r="DE367" s="20">
        <f ca="1">IF(Table1[[#This Row],[Column1]]="Agriculture",Table1[[#This Row],[income]],0)</f>
        <v>0</v>
      </c>
      <c r="DF367" s="20">
        <f ca="1">IF(Table1[[#This Row],[Column1]]="Technology",Table1[[#This Row],[income]],0)</f>
        <v>0</v>
      </c>
      <c r="DG367" s="20">
        <f ca="1">IF(Table1[[#This Row],[Column1]]="Social Service",Table1[[#This Row],[income]],0)</f>
        <v>0</v>
      </c>
      <c r="DH367" s="20">
        <f ca="1">IF(Table1[[#This Row],[Column1]]="Education",Table1[[#This Row],[income]],0)</f>
        <v>93657</v>
      </c>
      <c r="DI367" s="5">
        <f ca="1">IF(Table1[[#This Row],[Column1]]="Construction",Table1[[#This Row],[income]],0)</f>
        <v>0</v>
      </c>
      <c r="DK367" s="6">
        <f ca="1">IF(Table1[[#This Row],[Value of Debts]]&gt;Table1[[#This Row],[income]],1,0)</f>
        <v>1</v>
      </c>
      <c r="DL367" s="20"/>
      <c r="DM367" s="20"/>
      <c r="DN367" s="5"/>
      <c r="DP367" s="6">
        <f ca="1">IF(Table1[[#This Row],[Net Worth (£)]]&gt;$DS$5,C367,0)</f>
        <v>42</v>
      </c>
      <c r="DQ367" s="20"/>
      <c r="DR367" s="20"/>
      <c r="DS367" s="5"/>
    </row>
    <row r="368" spans="1:123" x14ac:dyDescent="0.2">
      <c r="A368">
        <f t="shared" ca="1" si="16"/>
        <v>2</v>
      </c>
      <c r="B368" s="1" t="str">
        <f ca="1">IF(A368=1, "men", "women")</f>
        <v>women</v>
      </c>
      <c r="C368" s="1">
        <f ca="1">RANDBETWEEN(25,50)</f>
        <v>45</v>
      </c>
      <c r="D368">
        <f ca="1">RANDBETWEEN(1,6)</f>
        <v>5</v>
      </c>
      <c r="E368" t="str">
        <f ca="1">VLOOKUP(D368,$W$5:$X$10,2)</f>
        <v>Social Service</v>
      </c>
      <c r="F368">
        <f ca="1">RANDBETWEEN(1,5)</f>
        <v>5</v>
      </c>
      <c r="G368" t="str">
        <f ca="1">VLOOKUP(F368,$Y$5:$Z$9,2)</f>
        <v>Other</v>
      </c>
      <c r="H368">
        <f ca="1">RANDBETWEEN(0,4)</f>
        <v>4</v>
      </c>
      <c r="I368">
        <f ca="1">RANDBETWEEN(1,3)</f>
        <v>3</v>
      </c>
      <c r="J368">
        <f ca="1">RANDBETWEEN(30000,100000)</f>
        <v>68087</v>
      </c>
      <c r="K368">
        <f ca="1">RANDBETWEEN(1,48)</f>
        <v>34</v>
      </c>
      <c r="L368" t="str">
        <f ca="1">VLOOKUP(K368,$AA$5:$AB$52,2)</f>
        <v>Oxfordshire</v>
      </c>
      <c r="M368">
        <f ca="1">J368*(RANDBETWEEN(2,5))</f>
        <v>204261</v>
      </c>
      <c r="N368">
        <f ca="1">RAND()*M368</f>
        <v>79152.564125860896</v>
      </c>
      <c r="O368">
        <f ca="1">I368*RAND()*J368</f>
        <v>82454.940311297585</v>
      </c>
      <c r="P368">
        <f ca="1">RANDBETWEEN(0,O368)</f>
        <v>25707</v>
      </c>
      <c r="Q368">
        <f ca="1">RAND()*J368*2</f>
        <v>87082.737237984125</v>
      </c>
      <c r="R368">
        <f ca="1">RAND()*J368*1.5</f>
        <v>56169.744050330642</v>
      </c>
      <c r="S368">
        <f ca="1">J368+R368+O368</f>
        <v>206711.68436162823</v>
      </c>
      <c r="T368">
        <f ca="1">N368+P368+Q368</f>
        <v>191942.30136384501</v>
      </c>
      <c r="U368">
        <f ca="1">S368-T368</f>
        <v>14769.382997783221</v>
      </c>
      <c r="AC368" s="6">
        <f ca="1">IF(Table1[[#This Row],[gender]]="men",1,0)</f>
        <v>0</v>
      </c>
      <c r="AD368">
        <f ca="1">IF(Table1[[#This Row],[gender]]="women",1,0)</f>
        <v>1</v>
      </c>
      <c r="AH368" s="5"/>
      <c r="AJ368" s="6">
        <f ca="1">IF(Table1[[#This Row],[Column1]]="Health",1,0)</f>
        <v>0</v>
      </c>
      <c r="AK368">
        <f ca="1">IF(Table1[[#This Row],[Column1]]="Construction",1,0)</f>
        <v>0</v>
      </c>
      <c r="AL368">
        <f ca="1">IF(Table1[[#This Row],[Column1]]="Technology",1,0)</f>
        <v>0</v>
      </c>
      <c r="AM368">
        <f ca="1">IF(Table1[[#This Row],[Column1]]="Education",1,0)</f>
        <v>0</v>
      </c>
      <c r="AN368">
        <f ca="1">IF(Table1[[#This Row],[Column1]]="Agriculture",1,0)</f>
        <v>0</v>
      </c>
      <c r="AO368">
        <f ca="1">IF(Table1[[#This Row],[Column1]]="Social Service", 1, 0)</f>
        <v>1</v>
      </c>
      <c r="AT368" s="5"/>
      <c r="AV368" s="17">
        <f t="shared" ca="1" si="15"/>
        <v>62808.462381635945</v>
      </c>
      <c r="AW368" s="5"/>
      <c r="AX368" s="6">
        <f ca="1">IF(Table1[[#This Row],[Value of Debts]]&gt;$AY$4,1,0)</f>
        <v>1</v>
      </c>
      <c r="AY368" s="20"/>
      <c r="AZ368" s="20"/>
      <c r="BA368" s="5"/>
      <c r="BB368" s="25">
        <f ca="1">Table1[[#This Row],[Mortage Left]]/Table1[[#This Row],[Value of House]]</f>
        <v>0.38750698432819236</v>
      </c>
      <c r="BC368" s="20">
        <f t="shared" ca="1" si="17"/>
        <v>0</v>
      </c>
      <c r="BD368" s="20"/>
      <c r="BE368" s="20"/>
      <c r="BF368" s="20"/>
      <c r="BG368" s="6">
        <f ca="1">IF(Table1[[#This Row],[County]]="Cumbria",Table1[[#This Row],[income]],0)</f>
        <v>0</v>
      </c>
      <c r="BH368" s="20">
        <f ca="1">IF(Table1[[#This Row],[County]]="Cheshire",Table1[[#This Row],[income]],0)</f>
        <v>0</v>
      </c>
      <c r="BI368" s="20">
        <f ca="1">IF(Table1[[#This Row],[County]]="Bristol",Table1[[#This Row],[income]],0)</f>
        <v>0</v>
      </c>
      <c r="BJ368" s="20">
        <f ca="1">IF(Table1[[#This Row],[County]]="Surrey",Table1[[#This Row],[income]],0)</f>
        <v>0</v>
      </c>
      <c r="BK368" s="20">
        <f ca="1">IF(Table1[[#This Row],[County]]="Norfolk",Table1[[#This Row],[income]],0)</f>
        <v>0</v>
      </c>
      <c r="BL368" s="20">
        <f ca="1">IF(Table1[[#This Row],[County]]="Lincolnshire",Table1[[#This Row],[income]],0)</f>
        <v>0</v>
      </c>
      <c r="BM368" s="20">
        <f ca="1">IF(Table1[[#This Row],[County]]="Somerset",Table1[[#This Row],[income]],0)</f>
        <v>0</v>
      </c>
      <c r="BN368" s="20">
        <f ca="1">IF(Table1[[#This Row],[County]]="Cambridgeshire",Table1[[#This Row],[income]],0)</f>
        <v>0</v>
      </c>
      <c r="BO368" s="20">
        <f ca="1">IF(Table1[[#This Row],[County]]="South Yorkshire",Table1[[#This Row],[income]],0)</f>
        <v>0</v>
      </c>
      <c r="BP368" s="20">
        <f ca="1">IF(Table1[[#This Row],[County]]="Greater London",Table1[[#This Row],[income]],0)</f>
        <v>0</v>
      </c>
      <c r="BQ368" s="20">
        <f ca="1">IF(Table1[[#This Row],[County]]="Hampshire",Table1[[#This Row],[income]],0)</f>
        <v>0</v>
      </c>
      <c r="BR368" s="20">
        <f ca="1">IF(Table1[[#This Row],[County]]="Gloucestershire",Table1[[#This Row],[income]],0)</f>
        <v>0</v>
      </c>
      <c r="BS368" s="20">
        <f ca="1">IF(Table1[[#This Row],[County]]="West Sussex",Table1[[#This Row],[income]],0)</f>
        <v>0</v>
      </c>
      <c r="BT368" s="20">
        <f ca="1">IF(Table1[[#This Row],[County]]="Devon",Table1[[#This Row],[income]],0)</f>
        <v>0</v>
      </c>
      <c r="BU368" s="20">
        <f ca="1">IF(Table1[[#This Row],[County]]="Berkshire",Table1[[#This Row],[income]],0)</f>
        <v>0</v>
      </c>
      <c r="BV368" s="20">
        <f ca="1">IF(Table1[[#This Row],[County]]="Staffordshire",Table1[[#This Row],[income]],0)</f>
        <v>0</v>
      </c>
      <c r="BW368" s="20">
        <f ca="1">IF(Table1[[#This Row],[County]]="Leicestershire",Table1[[#This Row],[income]],0)</f>
        <v>0</v>
      </c>
      <c r="BX368" s="20">
        <f ca="1">IF(Table1[[#This Row],[County]]="Cornwall",Table1[[#This Row],[income]],0)</f>
        <v>0</v>
      </c>
      <c r="BY368" s="20">
        <f ca="1">IF(Table1[[#This Row],[County]]="Isle of Wight",Table1[[#This Row],[income]],0)</f>
        <v>0</v>
      </c>
      <c r="BZ368" s="20">
        <f ca="1">IF(Table1[[#This Row],[County]]="Surrey",Table1[[#This Row],[income]],0)</f>
        <v>0</v>
      </c>
      <c r="CA368" s="20">
        <f ca="1">IF(Table1[[#This Row],[County]]="Derbyshire",Table1[[#This Row],[income]],0)</f>
        <v>0</v>
      </c>
      <c r="CB368" s="20">
        <f ca="1">IF(Table1[[#This Row],[County]]="City of London",Table1[[#This Row],[income]],0)</f>
        <v>0</v>
      </c>
      <c r="CC368" s="20">
        <f ca="1">IF(Table1[[#This Row],[County]]="Bedfordshire",Table1[[#This Row],[income]],0)</f>
        <v>0</v>
      </c>
      <c r="CD368" s="20">
        <f ca="1">IF(Table1[[#This Row],[County]]="County Durham",Table1[[#This Row],[income]],0)</f>
        <v>0</v>
      </c>
      <c r="CE368" s="20">
        <f ca="1">IF(Table1[[#This Row],[County]]="East Riding of Yorkshire",Table1[[#This Row],[income]],0)</f>
        <v>0</v>
      </c>
      <c r="CF368" s="20">
        <f ca="1">IF(Table1[[#This Row],[County]]="West Yorkshire",Table1[[#This Row],[income]],0)</f>
        <v>0</v>
      </c>
      <c r="CG368" s="20">
        <f ca="1">IF(Table1[[#This Row],[County]]="Essex",Table1[[#This Row],[income]],0)</f>
        <v>0</v>
      </c>
      <c r="CH368" s="20">
        <f ca="1">IF(Table1[[#This Row],[County]]="East Sussex",Table1[[#This Row],[income]],0)</f>
        <v>0</v>
      </c>
      <c r="CI368" s="20">
        <f ca="1">IF(Table1[[#This Row],[County]]="Greater Manchester",Table1[[#This Row],[income]],0)</f>
        <v>0</v>
      </c>
      <c r="CJ368" s="20">
        <f ca="1">IF(Table1[[#This Row],[County]]="Hertfordshire",Table1[[#This Row],[income]],0)</f>
        <v>0</v>
      </c>
      <c r="CK368" s="20">
        <f ca="1">IF(Table1[[#This Row],[County]]="Herefordshire",Table1[[#This Row],[income]],0)</f>
        <v>0</v>
      </c>
      <c r="CL368" s="20">
        <f ca="1">IF(Table1[[#This Row],[County]]="Lancashire",Table1[[#This Row],[income]],0)</f>
        <v>0</v>
      </c>
      <c r="CM368" s="20">
        <f ca="1">IF(Table1[[#This Row],[County]]="Merseyside",Table1[[#This Row],[income]],0)</f>
        <v>0</v>
      </c>
      <c r="CN368" s="20">
        <f ca="1">IF(Table1[[#This Row],[County]]="Northamptonshire",Table1[[#This Row],[income]],0)</f>
        <v>0</v>
      </c>
      <c r="CO368" s="20">
        <f ca="1">IF(Table1[[#This Row],[County]]="Northumberland",Table1[[#This Row],[income]],0)</f>
        <v>0</v>
      </c>
      <c r="CP368" s="20">
        <f ca="1">IF(Table1[[#This Row],[County]]="Wiltshire",Table1[[#This Row],[income]],0)</f>
        <v>0</v>
      </c>
      <c r="CQ368" s="20">
        <f ca="1">IF(Table1[[#This Row],[County]]="West Midlands",Table1[[#This Row],[income]],0)</f>
        <v>0</v>
      </c>
      <c r="CR368" s="20">
        <f ca="1">IF(Table1[[#This Row],[County]]="Warwickshire",Table1[[#This Row],[income]],0)</f>
        <v>0</v>
      </c>
      <c r="CS368" s="20">
        <f ca="1">IF(Table1[[#This Row],[County]]="Tyne and Wear",Table1[[#This Row],[income]],0)</f>
        <v>0</v>
      </c>
      <c r="CT368" s="20">
        <f ca="1">IF(Table1[[#This Row],[County]]="Worcestershire",Table1[[#This Row],[income]],0)</f>
        <v>0</v>
      </c>
      <c r="CU368" s="20">
        <f ca="1">IF(Table1[[#This Row],[County]]="Rutland",Table1[[#This Row],[income]],0)</f>
        <v>0</v>
      </c>
      <c r="CV368" s="20">
        <f ca="1">IF(Table1[[#This Row],[County]]="Shropshire",Table1[[#This Row],[income]],0)</f>
        <v>0</v>
      </c>
      <c r="CW368" s="20">
        <f ca="1">IF(Table1[[#This Row],[County]]="Dorset",Table1[[#This Row],[income]],0)</f>
        <v>0</v>
      </c>
      <c r="CX368" s="20">
        <f ca="1">IF(Table1[[#This Row],[County]]="Buckinghamshire",Table1[[#This Row],[income]],0)</f>
        <v>0</v>
      </c>
      <c r="CY368" s="20">
        <f ca="1">IF(Table1[[#This Row],[County]]="Suffolk",Table1[[#This Row],[income]],0)</f>
        <v>0</v>
      </c>
      <c r="CZ368" s="20">
        <f ca="1">IF(Table1[[#This Row],[County]]="North Yorkshire",Table1[[#This Row],[income]],0)</f>
        <v>0</v>
      </c>
      <c r="DA368" s="20">
        <f ca="1">IF(Table1[[#This Row],[County]]="Kent",Table1[[#This Row],[income]],0)</f>
        <v>0</v>
      </c>
      <c r="DB368" s="5">
        <f ca="1">IF(Table1[[#This Row],[County]]="Derbyshire",Table1[[#This Row],[income]],0)</f>
        <v>0</v>
      </c>
      <c r="DD368" s="6">
        <f ca="1">IF(Table1[[#This Row],[Column1]]="Health",Table1[[#This Row],[income]],0)</f>
        <v>0</v>
      </c>
      <c r="DE368" s="20">
        <f ca="1">IF(Table1[[#This Row],[Column1]]="Agriculture",Table1[[#This Row],[income]],0)</f>
        <v>0</v>
      </c>
      <c r="DF368" s="20">
        <f ca="1">IF(Table1[[#This Row],[Column1]]="Technology",Table1[[#This Row],[income]],0)</f>
        <v>0</v>
      </c>
      <c r="DG368" s="20">
        <f ca="1">IF(Table1[[#This Row],[Column1]]="Social Service",Table1[[#This Row],[income]],0)</f>
        <v>68087</v>
      </c>
      <c r="DH368" s="20">
        <f ca="1">IF(Table1[[#This Row],[Column1]]="Education",Table1[[#This Row],[income]],0)</f>
        <v>0</v>
      </c>
      <c r="DI368" s="5">
        <f ca="1">IF(Table1[[#This Row],[Column1]]="Construction",Table1[[#This Row],[income]],0)</f>
        <v>0</v>
      </c>
      <c r="DK368" s="6">
        <f ca="1">IF(Table1[[#This Row],[Value of Debts]]&gt;Table1[[#This Row],[income]],1,0)</f>
        <v>1</v>
      </c>
      <c r="DL368" s="20"/>
      <c r="DM368" s="20"/>
      <c r="DN368" s="5"/>
      <c r="DP368" s="6">
        <f ca="1">IF(Table1[[#This Row],[Net Worth (£)]]&gt;$DS$5,C368,0)</f>
        <v>0</v>
      </c>
      <c r="DQ368" s="20"/>
      <c r="DR368" s="20"/>
      <c r="DS368" s="5"/>
    </row>
    <row r="369" spans="1:123" x14ac:dyDescent="0.2">
      <c r="A369">
        <f t="shared" ca="1" si="16"/>
        <v>1</v>
      </c>
      <c r="B369" s="1" t="str">
        <f ca="1">IF(A369=1, "men", "women")</f>
        <v>men</v>
      </c>
      <c r="C369" s="1">
        <f ca="1">RANDBETWEEN(25,50)</f>
        <v>44</v>
      </c>
      <c r="D369">
        <f ca="1">RANDBETWEEN(1,6)</f>
        <v>3</v>
      </c>
      <c r="E369" t="str">
        <f ca="1">VLOOKUP(D369,$W$5:$X$10,2)</f>
        <v>Education</v>
      </c>
      <c r="F369">
        <f ca="1">RANDBETWEEN(1,5)</f>
        <v>4</v>
      </c>
      <c r="G369" t="str">
        <f ca="1">VLOOKUP(F369,$Y$5:$Z$9,2)</f>
        <v xml:space="preserve">Technical </v>
      </c>
      <c r="H369">
        <f ca="1">RANDBETWEEN(0,4)</f>
        <v>0</v>
      </c>
      <c r="I369">
        <f ca="1">RANDBETWEEN(1,3)</f>
        <v>3</v>
      </c>
      <c r="J369">
        <f ca="1">RANDBETWEEN(30000,100000)</f>
        <v>73723</v>
      </c>
      <c r="K369">
        <f ca="1">RANDBETWEEN(1,48)</f>
        <v>33</v>
      </c>
      <c r="L369" t="str">
        <f ca="1">VLOOKUP(K369,$AA$5:$AB$52,2)</f>
        <v>Nottinghamshire</v>
      </c>
      <c r="M369">
        <f ca="1">J369*(RANDBETWEEN(2,5))</f>
        <v>147446</v>
      </c>
      <c r="N369">
        <f ca="1">RAND()*M369</f>
        <v>29106.714209989714</v>
      </c>
      <c r="O369">
        <f ca="1">I369*RAND()*J369</f>
        <v>188425.38714490784</v>
      </c>
      <c r="P369">
        <f ca="1">RANDBETWEEN(0,O369)</f>
        <v>58373</v>
      </c>
      <c r="Q369">
        <f ca="1">RAND()*J369*2</f>
        <v>31270.935206711682</v>
      </c>
      <c r="R369">
        <f ca="1">RAND()*J369*1.5</f>
        <v>8828.3676335238888</v>
      </c>
      <c r="S369">
        <f ca="1">J369+R369+O369</f>
        <v>270976.75477843173</v>
      </c>
      <c r="T369">
        <f ca="1">N369+P369+Q369</f>
        <v>118750.6494167014</v>
      </c>
      <c r="U369">
        <f ca="1">S369-T369</f>
        <v>152226.10536173033</v>
      </c>
      <c r="AC369" s="6">
        <f ca="1">IF(Table1[[#This Row],[gender]]="men",1,0)</f>
        <v>1</v>
      </c>
      <c r="AD369">
        <f ca="1">IF(Table1[[#This Row],[gender]]="women",1,0)</f>
        <v>0</v>
      </c>
      <c r="AH369" s="5"/>
      <c r="AJ369" s="6">
        <f ca="1">IF(Table1[[#This Row],[Column1]]="Health",1,0)</f>
        <v>0</v>
      </c>
      <c r="AK369">
        <f ca="1">IF(Table1[[#This Row],[Column1]]="Construction",1,0)</f>
        <v>0</v>
      </c>
      <c r="AL369">
        <f ca="1">IF(Table1[[#This Row],[Column1]]="Technology",1,0)</f>
        <v>0</v>
      </c>
      <c r="AM369">
        <f ca="1">IF(Table1[[#This Row],[Column1]]="Education",1,0)</f>
        <v>1</v>
      </c>
      <c r="AN369">
        <f ca="1">IF(Table1[[#This Row],[Column1]]="Agriculture",1,0)</f>
        <v>0</v>
      </c>
      <c r="AO369">
        <f ca="1">IF(Table1[[#This Row],[Column1]]="Social Service", 1, 0)</f>
        <v>0</v>
      </c>
      <c r="AT369" s="5"/>
      <c r="AV369" s="17">
        <f t="shared" ca="1" si="15"/>
        <v>66172.616229625666</v>
      </c>
      <c r="AW369" s="5"/>
      <c r="AX369" s="6">
        <f ca="1">IF(Table1[[#This Row],[Value of Debts]]&gt;$AY$4,1,0)</f>
        <v>1</v>
      </c>
      <c r="AY369" s="20"/>
      <c r="AZ369" s="20"/>
      <c r="BA369" s="5"/>
      <c r="BB369" s="25">
        <f ca="1">Table1[[#This Row],[Mortage Left]]/Table1[[#This Row],[Value of House]]</f>
        <v>0.19740592630515386</v>
      </c>
      <c r="BC369" s="20">
        <f t="shared" ca="1" si="17"/>
        <v>1</v>
      </c>
      <c r="BD369" s="20"/>
      <c r="BE369" s="20"/>
      <c r="BF369" s="20"/>
      <c r="BG369" s="6">
        <f ca="1">IF(Table1[[#This Row],[County]]="Cumbria",Table1[[#This Row],[income]],0)</f>
        <v>0</v>
      </c>
      <c r="BH369" s="20">
        <f ca="1">IF(Table1[[#This Row],[County]]="Cheshire",Table1[[#This Row],[income]],0)</f>
        <v>0</v>
      </c>
      <c r="BI369" s="20">
        <f ca="1">IF(Table1[[#This Row],[County]]="Bristol",Table1[[#This Row],[income]],0)</f>
        <v>0</v>
      </c>
      <c r="BJ369" s="20">
        <f ca="1">IF(Table1[[#This Row],[County]]="Surrey",Table1[[#This Row],[income]],0)</f>
        <v>0</v>
      </c>
      <c r="BK369" s="20">
        <f ca="1">IF(Table1[[#This Row],[County]]="Norfolk",Table1[[#This Row],[income]],0)</f>
        <v>0</v>
      </c>
      <c r="BL369" s="20">
        <f ca="1">IF(Table1[[#This Row],[County]]="Lincolnshire",Table1[[#This Row],[income]],0)</f>
        <v>0</v>
      </c>
      <c r="BM369" s="20">
        <f ca="1">IF(Table1[[#This Row],[County]]="Somerset",Table1[[#This Row],[income]],0)</f>
        <v>0</v>
      </c>
      <c r="BN369" s="20">
        <f ca="1">IF(Table1[[#This Row],[County]]="Cambridgeshire",Table1[[#This Row],[income]],0)</f>
        <v>0</v>
      </c>
      <c r="BO369" s="20">
        <f ca="1">IF(Table1[[#This Row],[County]]="South Yorkshire",Table1[[#This Row],[income]],0)</f>
        <v>0</v>
      </c>
      <c r="BP369" s="20">
        <f ca="1">IF(Table1[[#This Row],[County]]="Greater London",Table1[[#This Row],[income]],0)</f>
        <v>0</v>
      </c>
      <c r="BQ369" s="20">
        <f ca="1">IF(Table1[[#This Row],[County]]="Hampshire",Table1[[#This Row],[income]],0)</f>
        <v>0</v>
      </c>
      <c r="BR369" s="20">
        <f ca="1">IF(Table1[[#This Row],[County]]="Gloucestershire",Table1[[#This Row],[income]],0)</f>
        <v>0</v>
      </c>
      <c r="BS369" s="20">
        <f ca="1">IF(Table1[[#This Row],[County]]="West Sussex",Table1[[#This Row],[income]],0)</f>
        <v>0</v>
      </c>
      <c r="BT369" s="20">
        <f ca="1">IF(Table1[[#This Row],[County]]="Devon",Table1[[#This Row],[income]],0)</f>
        <v>0</v>
      </c>
      <c r="BU369" s="20">
        <f ca="1">IF(Table1[[#This Row],[County]]="Berkshire",Table1[[#This Row],[income]],0)</f>
        <v>0</v>
      </c>
      <c r="BV369" s="20">
        <f ca="1">IF(Table1[[#This Row],[County]]="Staffordshire",Table1[[#This Row],[income]],0)</f>
        <v>0</v>
      </c>
      <c r="BW369" s="20">
        <f ca="1">IF(Table1[[#This Row],[County]]="Leicestershire",Table1[[#This Row],[income]],0)</f>
        <v>0</v>
      </c>
      <c r="BX369" s="20">
        <f ca="1">IF(Table1[[#This Row],[County]]="Cornwall",Table1[[#This Row],[income]],0)</f>
        <v>0</v>
      </c>
      <c r="BY369" s="20">
        <f ca="1">IF(Table1[[#This Row],[County]]="Isle of Wight",Table1[[#This Row],[income]],0)</f>
        <v>0</v>
      </c>
      <c r="BZ369" s="20">
        <f ca="1">IF(Table1[[#This Row],[County]]="Surrey",Table1[[#This Row],[income]],0)</f>
        <v>0</v>
      </c>
      <c r="CA369" s="20">
        <f ca="1">IF(Table1[[#This Row],[County]]="Derbyshire",Table1[[#This Row],[income]],0)</f>
        <v>0</v>
      </c>
      <c r="CB369" s="20">
        <f ca="1">IF(Table1[[#This Row],[County]]="City of London",Table1[[#This Row],[income]],0)</f>
        <v>0</v>
      </c>
      <c r="CC369" s="20">
        <f ca="1">IF(Table1[[#This Row],[County]]="Bedfordshire",Table1[[#This Row],[income]],0)</f>
        <v>0</v>
      </c>
      <c r="CD369" s="20">
        <f ca="1">IF(Table1[[#This Row],[County]]="County Durham",Table1[[#This Row],[income]],0)</f>
        <v>0</v>
      </c>
      <c r="CE369" s="20">
        <f ca="1">IF(Table1[[#This Row],[County]]="East Riding of Yorkshire",Table1[[#This Row],[income]],0)</f>
        <v>0</v>
      </c>
      <c r="CF369" s="20">
        <f ca="1">IF(Table1[[#This Row],[County]]="West Yorkshire",Table1[[#This Row],[income]],0)</f>
        <v>0</v>
      </c>
      <c r="CG369" s="20">
        <f ca="1">IF(Table1[[#This Row],[County]]="Essex",Table1[[#This Row],[income]],0)</f>
        <v>0</v>
      </c>
      <c r="CH369" s="20">
        <f ca="1">IF(Table1[[#This Row],[County]]="East Sussex",Table1[[#This Row],[income]],0)</f>
        <v>0</v>
      </c>
      <c r="CI369" s="20">
        <f ca="1">IF(Table1[[#This Row],[County]]="Greater Manchester",Table1[[#This Row],[income]],0)</f>
        <v>0</v>
      </c>
      <c r="CJ369" s="20">
        <f ca="1">IF(Table1[[#This Row],[County]]="Hertfordshire",Table1[[#This Row],[income]],0)</f>
        <v>0</v>
      </c>
      <c r="CK369" s="20">
        <f ca="1">IF(Table1[[#This Row],[County]]="Herefordshire",Table1[[#This Row],[income]],0)</f>
        <v>0</v>
      </c>
      <c r="CL369" s="20">
        <f ca="1">IF(Table1[[#This Row],[County]]="Lancashire",Table1[[#This Row],[income]],0)</f>
        <v>0</v>
      </c>
      <c r="CM369" s="20">
        <f ca="1">IF(Table1[[#This Row],[County]]="Merseyside",Table1[[#This Row],[income]],0)</f>
        <v>0</v>
      </c>
      <c r="CN369" s="20">
        <f ca="1">IF(Table1[[#This Row],[County]]="Northamptonshire",Table1[[#This Row],[income]],0)</f>
        <v>0</v>
      </c>
      <c r="CO369" s="20">
        <f ca="1">IF(Table1[[#This Row],[County]]="Northumberland",Table1[[#This Row],[income]],0)</f>
        <v>0</v>
      </c>
      <c r="CP369" s="20">
        <f ca="1">IF(Table1[[#This Row],[County]]="Wiltshire",Table1[[#This Row],[income]],0)</f>
        <v>0</v>
      </c>
      <c r="CQ369" s="20">
        <f ca="1">IF(Table1[[#This Row],[County]]="West Midlands",Table1[[#This Row],[income]],0)</f>
        <v>0</v>
      </c>
      <c r="CR369" s="20">
        <f ca="1">IF(Table1[[#This Row],[County]]="Warwickshire",Table1[[#This Row],[income]],0)</f>
        <v>0</v>
      </c>
      <c r="CS369" s="20">
        <f ca="1">IF(Table1[[#This Row],[County]]="Tyne and Wear",Table1[[#This Row],[income]],0)</f>
        <v>0</v>
      </c>
      <c r="CT369" s="20">
        <f ca="1">IF(Table1[[#This Row],[County]]="Worcestershire",Table1[[#This Row],[income]],0)</f>
        <v>0</v>
      </c>
      <c r="CU369" s="20">
        <f ca="1">IF(Table1[[#This Row],[County]]="Rutland",Table1[[#This Row],[income]],0)</f>
        <v>0</v>
      </c>
      <c r="CV369" s="20">
        <f ca="1">IF(Table1[[#This Row],[County]]="Shropshire",Table1[[#This Row],[income]],0)</f>
        <v>0</v>
      </c>
      <c r="CW369" s="20">
        <f ca="1">IF(Table1[[#This Row],[County]]="Dorset",Table1[[#This Row],[income]],0)</f>
        <v>0</v>
      </c>
      <c r="CX369" s="20">
        <f ca="1">IF(Table1[[#This Row],[County]]="Buckinghamshire",Table1[[#This Row],[income]],0)</f>
        <v>0</v>
      </c>
      <c r="CY369" s="20">
        <f ca="1">IF(Table1[[#This Row],[County]]="Suffolk",Table1[[#This Row],[income]],0)</f>
        <v>0</v>
      </c>
      <c r="CZ369" s="20">
        <f ca="1">IF(Table1[[#This Row],[County]]="North Yorkshire",Table1[[#This Row],[income]],0)</f>
        <v>0</v>
      </c>
      <c r="DA369" s="20">
        <f ca="1">IF(Table1[[#This Row],[County]]="Kent",Table1[[#This Row],[income]],0)</f>
        <v>0</v>
      </c>
      <c r="DB369" s="5">
        <f ca="1">IF(Table1[[#This Row],[County]]="Derbyshire",Table1[[#This Row],[income]],0)</f>
        <v>0</v>
      </c>
      <c r="DD369" s="6">
        <f ca="1">IF(Table1[[#This Row],[Column1]]="Health",Table1[[#This Row],[income]],0)</f>
        <v>0</v>
      </c>
      <c r="DE369" s="20">
        <f ca="1">IF(Table1[[#This Row],[Column1]]="Agriculture",Table1[[#This Row],[income]],0)</f>
        <v>0</v>
      </c>
      <c r="DF369" s="20">
        <f ca="1">IF(Table1[[#This Row],[Column1]]="Technology",Table1[[#This Row],[income]],0)</f>
        <v>0</v>
      </c>
      <c r="DG369" s="20">
        <f ca="1">IF(Table1[[#This Row],[Column1]]="Social Service",Table1[[#This Row],[income]],0)</f>
        <v>0</v>
      </c>
      <c r="DH369" s="20">
        <f ca="1">IF(Table1[[#This Row],[Column1]]="Education",Table1[[#This Row],[income]],0)</f>
        <v>73723</v>
      </c>
      <c r="DI369" s="5">
        <f ca="1">IF(Table1[[#This Row],[Column1]]="Construction",Table1[[#This Row],[income]],0)</f>
        <v>0</v>
      </c>
      <c r="DK369" s="6">
        <f ca="1">IF(Table1[[#This Row],[Value of Debts]]&gt;Table1[[#This Row],[income]],1,0)</f>
        <v>1</v>
      </c>
      <c r="DL369" s="20"/>
      <c r="DM369" s="20"/>
      <c r="DN369" s="5"/>
      <c r="DP369" s="6">
        <f ca="1">IF(Table1[[#This Row],[Net Worth (£)]]&gt;$DS$5,C369,0)</f>
        <v>44</v>
      </c>
      <c r="DQ369" s="20"/>
      <c r="DR369" s="20"/>
      <c r="DS369" s="5"/>
    </row>
    <row r="370" spans="1:123" x14ac:dyDescent="0.2">
      <c r="A370">
        <f t="shared" ca="1" si="16"/>
        <v>2</v>
      </c>
      <c r="B370" s="1" t="str">
        <f ca="1">IF(A370=1, "men", "women")</f>
        <v>women</v>
      </c>
      <c r="C370" s="1">
        <f ca="1">RANDBETWEEN(25,50)</f>
        <v>33</v>
      </c>
      <c r="D370">
        <f ca="1">RANDBETWEEN(1,6)</f>
        <v>2</v>
      </c>
      <c r="E370" t="str">
        <f ca="1">VLOOKUP(D370,$W$5:$X$10,2)</f>
        <v>Construction</v>
      </c>
      <c r="F370">
        <f ca="1">RANDBETWEEN(1,5)</f>
        <v>5</v>
      </c>
      <c r="G370" t="str">
        <f ca="1">VLOOKUP(F370,$Y$5:$Z$9,2)</f>
        <v>Other</v>
      </c>
      <c r="H370">
        <f ca="1">RANDBETWEEN(0,4)</f>
        <v>2</v>
      </c>
      <c r="I370">
        <f ca="1">RANDBETWEEN(1,3)</f>
        <v>2</v>
      </c>
      <c r="J370">
        <f ca="1">RANDBETWEEN(30000,100000)</f>
        <v>67336</v>
      </c>
      <c r="K370">
        <f ca="1">RANDBETWEEN(1,48)</f>
        <v>17</v>
      </c>
      <c r="L370" t="str">
        <f ca="1">VLOOKUP(K370,$AA$5:$AB$52,2)</f>
        <v>Gloucestershire</v>
      </c>
      <c r="M370">
        <f ca="1">J370*(RANDBETWEEN(2,5))</f>
        <v>269344</v>
      </c>
      <c r="N370">
        <f ca="1">RAND()*M370</f>
        <v>46936.910344259704</v>
      </c>
      <c r="O370">
        <f ca="1">I370*RAND()*J370</f>
        <v>132345.23245925133</v>
      </c>
      <c r="P370">
        <f ca="1">RANDBETWEEN(0,O370)</f>
        <v>34311</v>
      </c>
      <c r="Q370">
        <f ca="1">RAND()*J370*2</f>
        <v>67620.050765722786</v>
      </c>
      <c r="R370">
        <f ca="1">RAND()*J370*1.5</f>
        <v>92310.98823449554</v>
      </c>
      <c r="S370">
        <f ca="1">J370+R370+O370</f>
        <v>291992.22069374687</v>
      </c>
      <c r="T370">
        <f ca="1">N370+P370+Q370</f>
        <v>148867.96110998248</v>
      </c>
      <c r="U370">
        <f ca="1">S370-T370</f>
        <v>143124.25958376439</v>
      </c>
      <c r="AC370" s="6">
        <f ca="1">IF(Table1[[#This Row],[gender]]="men",1,0)</f>
        <v>0</v>
      </c>
      <c r="AD370">
        <f ca="1">IF(Table1[[#This Row],[gender]]="women",1,0)</f>
        <v>1</v>
      </c>
      <c r="AH370" s="5"/>
      <c r="AJ370" s="6">
        <f ca="1">IF(Table1[[#This Row],[Column1]]="Health",1,0)</f>
        <v>0</v>
      </c>
      <c r="AK370">
        <f ca="1">IF(Table1[[#This Row],[Column1]]="Construction",1,0)</f>
        <v>1</v>
      </c>
      <c r="AL370">
        <f ca="1">IF(Table1[[#This Row],[Column1]]="Technology",1,0)</f>
        <v>0</v>
      </c>
      <c r="AM370">
        <f ca="1">IF(Table1[[#This Row],[Column1]]="Education",1,0)</f>
        <v>0</v>
      </c>
      <c r="AN370">
        <f ca="1">IF(Table1[[#This Row],[Column1]]="Agriculture",1,0)</f>
        <v>0</v>
      </c>
      <c r="AO370">
        <f ca="1">IF(Table1[[#This Row],[Column1]]="Social Service", 1, 0)</f>
        <v>0</v>
      </c>
      <c r="AT370" s="5"/>
      <c r="AV370" s="17">
        <f t="shared" ca="1" si="15"/>
        <v>26813.827849539663</v>
      </c>
      <c r="AW370" s="5"/>
      <c r="AX370" s="6">
        <f ca="1">IF(Table1[[#This Row],[Value of Debts]]&gt;$AY$4,1,0)</f>
        <v>1</v>
      </c>
      <c r="AY370" s="20"/>
      <c r="AZ370" s="20"/>
      <c r="BA370" s="5"/>
      <c r="BB370" s="25">
        <f ca="1">Table1[[#This Row],[Mortage Left]]/Table1[[#This Row],[Value of House]]</f>
        <v>0.17426380518689744</v>
      </c>
      <c r="BC370" s="20">
        <f t="shared" ca="1" si="17"/>
        <v>1</v>
      </c>
      <c r="BD370" s="20"/>
      <c r="BE370" s="20"/>
      <c r="BF370" s="20"/>
      <c r="BG370" s="6">
        <f ca="1">IF(Table1[[#This Row],[County]]="Cumbria",Table1[[#This Row],[income]],0)</f>
        <v>0</v>
      </c>
      <c r="BH370" s="20">
        <f ca="1">IF(Table1[[#This Row],[County]]="Cheshire",Table1[[#This Row],[income]],0)</f>
        <v>0</v>
      </c>
      <c r="BI370" s="20">
        <f ca="1">IF(Table1[[#This Row],[County]]="Bristol",Table1[[#This Row],[income]],0)</f>
        <v>0</v>
      </c>
      <c r="BJ370" s="20">
        <f ca="1">IF(Table1[[#This Row],[County]]="Surrey",Table1[[#This Row],[income]],0)</f>
        <v>0</v>
      </c>
      <c r="BK370" s="20">
        <f ca="1">IF(Table1[[#This Row],[County]]="Norfolk",Table1[[#This Row],[income]],0)</f>
        <v>0</v>
      </c>
      <c r="BL370" s="20">
        <f ca="1">IF(Table1[[#This Row],[County]]="Lincolnshire",Table1[[#This Row],[income]],0)</f>
        <v>0</v>
      </c>
      <c r="BM370" s="20">
        <f ca="1">IF(Table1[[#This Row],[County]]="Somerset",Table1[[#This Row],[income]],0)</f>
        <v>0</v>
      </c>
      <c r="BN370" s="20">
        <f ca="1">IF(Table1[[#This Row],[County]]="Cambridgeshire",Table1[[#This Row],[income]],0)</f>
        <v>0</v>
      </c>
      <c r="BO370" s="20">
        <f ca="1">IF(Table1[[#This Row],[County]]="South Yorkshire",Table1[[#This Row],[income]],0)</f>
        <v>0</v>
      </c>
      <c r="BP370" s="20">
        <f ca="1">IF(Table1[[#This Row],[County]]="Greater London",Table1[[#This Row],[income]],0)</f>
        <v>0</v>
      </c>
      <c r="BQ370" s="20">
        <f ca="1">IF(Table1[[#This Row],[County]]="Hampshire",Table1[[#This Row],[income]],0)</f>
        <v>0</v>
      </c>
      <c r="BR370" s="20">
        <f ca="1">IF(Table1[[#This Row],[County]]="Gloucestershire",Table1[[#This Row],[income]],0)</f>
        <v>67336</v>
      </c>
      <c r="BS370" s="20">
        <f ca="1">IF(Table1[[#This Row],[County]]="West Sussex",Table1[[#This Row],[income]],0)</f>
        <v>0</v>
      </c>
      <c r="BT370" s="20">
        <f ca="1">IF(Table1[[#This Row],[County]]="Devon",Table1[[#This Row],[income]],0)</f>
        <v>0</v>
      </c>
      <c r="BU370" s="20">
        <f ca="1">IF(Table1[[#This Row],[County]]="Berkshire",Table1[[#This Row],[income]],0)</f>
        <v>0</v>
      </c>
      <c r="BV370" s="20">
        <f ca="1">IF(Table1[[#This Row],[County]]="Staffordshire",Table1[[#This Row],[income]],0)</f>
        <v>0</v>
      </c>
      <c r="BW370" s="20">
        <f ca="1">IF(Table1[[#This Row],[County]]="Leicestershire",Table1[[#This Row],[income]],0)</f>
        <v>0</v>
      </c>
      <c r="BX370" s="20">
        <f ca="1">IF(Table1[[#This Row],[County]]="Cornwall",Table1[[#This Row],[income]],0)</f>
        <v>0</v>
      </c>
      <c r="BY370" s="20">
        <f ca="1">IF(Table1[[#This Row],[County]]="Isle of Wight",Table1[[#This Row],[income]],0)</f>
        <v>0</v>
      </c>
      <c r="BZ370" s="20">
        <f ca="1">IF(Table1[[#This Row],[County]]="Surrey",Table1[[#This Row],[income]],0)</f>
        <v>0</v>
      </c>
      <c r="CA370" s="20">
        <f ca="1">IF(Table1[[#This Row],[County]]="Derbyshire",Table1[[#This Row],[income]],0)</f>
        <v>0</v>
      </c>
      <c r="CB370" s="20">
        <f ca="1">IF(Table1[[#This Row],[County]]="City of London",Table1[[#This Row],[income]],0)</f>
        <v>0</v>
      </c>
      <c r="CC370" s="20">
        <f ca="1">IF(Table1[[#This Row],[County]]="Bedfordshire",Table1[[#This Row],[income]],0)</f>
        <v>0</v>
      </c>
      <c r="CD370" s="20">
        <f ca="1">IF(Table1[[#This Row],[County]]="County Durham",Table1[[#This Row],[income]],0)</f>
        <v>0</v>
      </c>
      <c r="CE370" s="20">
        <f ca="1">IF(Table1[[#This Row],[County]]="East Riding of Yorkshire",Table1[[#This Row],[income]],0)</f>
        <v>0</v>
      </c>
      <c r="CF370" s="20">
        <f ca="1">IF(Table1[[#This Row],[County]]="West Yorkshire",Table1[[#This Row],[income]],0)</f>
        <v>0</v>
      </c>
      <c r="CG370" s="20">
        <f ca="1">IF(Table1[[#This Row],[County]]="Essex",Table1[[#This Row],[income]],0)</f>
        <v>0</v>
      </c>
      <c r="CH370" s="20">
        <f ca="1">IF(Table1[[#This Row],[County]]="East Sussex",Table1[[#This Row],[income]],0)</f>
        <v>0</v>
      </c>
      <c r="CI370" s="20">
        <f ca="1">IF(Table1[[#This Row],[County]]="Greater Manchester",Table1[[#This Row],[income]],0)</f>
        <v>0</v>
      </c>
      <c r="CJ370" s="20">
        <f ca="1">IF(Table1[[#This Row],[County]]="Hertfordshire",Table1[[#This Row],[income]],0)</f>
        <v>0</v>
      </c>
      <c r="CK370" s="20">
        <f ca="1">IF(Table1[[#This Row],[County]]="Herefordshire",Table1[[#This Row],[income]],0)</f>
        <v>0</v>
      </c>
      <c r="CL370" s="20">
        <f ca="1">IF(Table1[[#This Row],[County]]="Lancashire",Table1[[#This Row],[income]],0)</f>
        <v>0</v>
      </c>
      <c r="CM370" s="20">
        <f ca="1">IF(Table1[[#This Row],[County]]="Merseyside",Table1[[#This Row],[income]],0)</f>
        <v>0</v>
      </c>
      <c r="CN370" s="20">
        <f ca="1">IF(Table1[[#This Row],[County]]="Northamptonshire",Table1[[#This Row],[income]],0)</f>
        <v>0</v>
      </c>
      <c r="CO370" s="20">
        <f ca="1">IF(Table1[[#This Row],[County]]="Northumberland",Table1[[#This Row],[income]],0)</f>
        <v>0</v>
      </c>
      <c r="CP370" s="20">
        <f ca="1">IF(Table1[[#This Row],[County]]="Wiltshire",Table1[[#This Row],[income]],0)</f>
        <v>0</v>
      </c>
      <c r="CQ370" s="20">
        <f ca="1">IF(Table1[[#This Row],[County]]="West Midlands",Table1[[#This Row],[income]],0)</f>
        <v>0</v>
      </c>
      <c r="CR370" s="20">
        <f ca="1">IF(Table1[[#This Row],[County]]="Warwickshire",Table1[[#This Row],[income]],0)</f>
        <v>0</v>
      </c>
      <c r="CS370" s="20">
        <f ca="1">IF(Table1[[#This Row],[County]]="Tyne and Wear",Table1[[#This Row],[income]],0)</f>
        <v>0</v>
      </c>
      <c r="CT370" s="20">
        <f ca="1">IF(Table1[[#This Row],[County]]="Worcestershire",Table1[[#This Row],[income]],0)</f>
        <v>0</v>
      </c>
      <c r="CU370" s="20">
        <f ca="1">IF(Table1[[#This Row],[County]]="Rutland",Table1[[#This Row],[income]],0)</f>
        <v>0</v>
      </c>
      <c r="CV370" s="20">
        <f ca="1">IF(Table1[[#This Row],[County]]="Shropshire",Table1[[#This Row],[income]],0)</f>
        <v>0</v>
      </c>
      <c r="CW370" s="20">
        <f ca="1">IF(Table1[[#This Row],[County]]="Dorset",Table1[[#This Row],[income]],0)</f>
        <v>0</v>
      </c>
      <c r="CX370" s="20">
        <f ca="1">IF(Table1[[#This Row],[County]]="Buckinghamshire",Table1[[#This Row],[income]],0)</f>
        <v>0</v>
      </c>
      <c r="CY370" s="20">
        <f ca="1">IF(Table1[[#This Row],[County]]="Suffolk",Table1[[#This Row],[income]],0)</f>
        <v>0</v>
      </c>
      <c r="CZ370" s="20">
        <f ca="1">IF(Table1[[#This Row],[County]]="North Yorkshire",Table1[[#This Row],[income]],0)</f>
        <v>0</v>
      </c>
      <c r="DA370" s="20">
        <f ca="1">IF(Table1[[#This Row],[County]]="Kent",Table1[[#This Row],[income]],0)</f>
        <v>0</v>
      </c>
      <c r="DB370" s="5">
        <f ca="1">IF(Table1[[#This Row],[County]]="Derbyshire",Table1[[#This Row],[income]],0)</f>
        <v>0</v>
      </c>
      <c r="DD370" s="6">
        <f ca="1">IF(Table1[[#This Row],[Column1]]="Health",Table1[[#This Row],[income]],0)</f>
        <v>0</v>
      </c>
      <c r="DE370" s="20">
        <f ca="1">IF(Table1[[#This Row],[Column1]]="Agriculture",Table1[[#This Row],[income]],0)</f>
        <v>0</v>
      </c>
      <c r="DF370" s="20">
        <f ca="1">IF(Table1[[#This Row],[Column1]]="Technology",Table1[[#This Row],[income]],0)</f>
        <v>0</v>
      </c>
      <c r="DG370" s="20">
        <f ca="1">IF(Table1[[#This Row],[Column1]]="Social Service",Table1[[#This Row],[income]],0)</f>
        <v>0</v>
      </c>
      <c r="DH370" s="20">
        <f ca="1">IF(Table1[[#This Row],[Column1]]="Education",Table1[[#This Row],[income]],0)</f>
        <v>0</v>
      </c>
      <c r="DI370" s="5">
        <f ca="1">IF(Table1[[#This Row],[Column1]]="Construction",Table1[[#This Row],[income]],0)</f>
        <v>67336</v>
      </c>
      <c r="DK370" s="6">
        <f ca="1">IF(Table1[[#This Row],[Value of Debts]]&gt;Table1[[#This Row],[income]],1,0)</f>
        <v>1</v>
      </c>
      <c r="DL370" s="20"/>
      <c r="DM370" s="20"/>
      <c r="DN370" s="5"/>
      <c r="DP370" s="6">
        <f ca="1">IF(Table1[[#This Row],[Net Worth (£)]]&gt;$DS$5,C370,0)</f>
        <v>33</v>
      </c>
      <c r="DQ370" s="20"/>
      <c r="DR370" s="20"/>
      <c r="DS370" s="5"/>
    </row>
    <row r="371" spans="1:123" x14ac:dyDescent="0.2">
      <c r="A371">
        <f t="shared" ca="1" si="16"/>
        <v>2</v>
      </c>
      <c r="B371" s="1" t="str">
        <f ca="1">IF(A371=1, "men", "women")</f>
        <v>women</v>
      </c>
      <c r="C371" s="1">
        <f ca="1">RANDBETWEEN(25,50)</f>
        <v>35</v>
      </c>
      <c r="D371">
        <f ca="1">RANDBETWEEN(1,6)</f>
        <v>5</v>
      </c>
      <c r="E371" t="str">
        <f ca="1">VLOOKUP(D371,$W$5:$X$10,2)</f>
        <v>Social Service</v>
      </c>
      <c r="F371">
        <f ca="1">RANDBETWEEN(1,5)</f>
        <v>5</v>
      </c>
      <c r="G371" t="str">
        <f ca="1">VLOOKUP(F371,$Y$5:$Z$9,2)</f>
        <v>Other</v>
      </c>
      <c r="H371">
        <f ca="1">RANDBETWEEN(0,4)</f>
        <v>4</v>
      </c>
      <c r="I371">
        <f ca="1">RANDBETWEEN(1,3)</f>
        <v>2</v>
      </c>
      <c r="J371">
        <f ca="1">RANDBETWEEN(30000,100000)</f>
        <v>32629</v>
      </c>
      <c r="K371">
        <f ca="1">RANDBETWEEN(1,48)</f>
        <v>7</v>
      </c>
      <c r="L371" t="str">
        <f ca="1">VLOOKUP(K371,$AA$5:$AB$52,2)</f>
        <v>City of London</v>
      </c>
      <c r="M371">
        <f ca="1">J371*(RANDBETWEEN(2,5))</f>
        <v>130516</v>
      </c>
      <c r="N371">
        <f ca="1">RAND()*M371</f>
        <v>106156.59664085263</v>
      </c>
      <c r="O371">
        <f ca="1">I371*RAND()*J371</f>
        <v>53627.655699079325</v>
      </c>
      <c r="P371">
        <f ca="1">RANDBETWEEN(0,O371)</f>
        <v>21938</v>
      </c>
      <c r="Q371">
        <f ca="1">RAND()*J371*2</f>
        <v>26035.68772210777</v>
      </c>
      <c r="R371">
        <f ca="1">RAND()*J371*1.5</f>
        <v>32305.486532684656</v>
      </c>
      <c r="S371">
        <f ca="1">J371+R371+O371</f>
        <v>118562.14223176398</v>
      </c>
      <c r="T371">
        <f ca="1">N371+P371+Q371</f>
        <v>154130.2843629604</v>
      </c>
      <c r="U371">
        <f ca="1">S371-T371</f>
        <v>-35568.142131196422</v>
      </c>
      <c r="AC371" s="6">
        <f ca="1">IF(Table1[[#This Row],[gender]]="men",1,0)</f>
        <v>0</v>
      </c>
      <c r="AD371">
        <f ca="1">IF(Table1[[#This Row],[gender]]="women",1,0)</f>
        <v>1</v>
      </c>
      <c r="AH371" s="5"/>
      <c r="AJ371" s="6">
        <f ca="1">IF(Table1[[#This Row],[Column1]]="Health",1,0)</f>
        <v>0</v>
      </c>
      <c r="AK371">
        <f ca="1">IF(Table1[[#This Row],[Column1]]="Construction",1,0)</f>
        <v>0</v>
      </c>
      <c r="AL371">
        <f ca="1">IF(Table1[[#This Row],[Column1]]="Technology",1,0)</f>
        <v>0</v>
      </c>
      <c r="AM371">
        <f ca="1">IF(Table1[[#This Row],[Column1]]="Education",1,0)</f>
        <v>0</v>
      </c>
      <c r="AN371">
        <f ca="1">IF(Table1[[#This Row],[Column1]]="Agriculture",1,0)</f>
        <v>0</v>
      </c>
      <c r="AO371">
        <f ca="1">IF(Table1[[#This Row],[Column1]]="Social Service", 1, 0)</f>
        <v>1</v>
      </c>
      <c r="AT371" s="5"/>
      <c r="AV371" s="17">
        <f t="shared" ca="1" si="15"/>
        <v>12288.988716223841</v>
      </c>
      <c r="AW371" s="5"/>
      <c r="AX371" s="6">
        <f ca="1">IF(Table1[[#This Row],[Value of Debts]]&gt;$AY$4,1,0)</f>
        <v>1</v>
      </c>
      <c r="AY371" s="20"/>
      <c r="AZ371" s="20"/>
      <c r="BA371" s="5"/>
      <c r="BB371" s="25">
        <f ca="1">Table1[[#This Row],[Mortage Left]]/Table1[[#This Row],[Value of House]]</f>
        <v>0.81336078826237879</v>
      </c>
      <c r="BC371" s="20">
        <f t="shared" ca="1" si="17"/>
        <v>0</v>
      </c>
      <c r="BD371" s="20"/>
      <c r="BE371" s="20"/>
      <c r="BF371" s="20"/>
      <c r="BG371" s="6">
        <f ca="1">IF(Table1[[#This Row],[County]]="Cumbria",Table1[[#This Row],[income]],0)</f>
        <v>0</v>
      </c>
      <c r="BH371" s="20">
        <f ca="1">IF(Table1[[#This Row],[County]]="Cheshire",Table1[[#This Row],[income]],0)</f>
        <v>0</v>
      </c>
      <c r="BI371" s="20">
        <f ca="1">IF(Table1[[#This Row],[County]]="Bristol",Table1[[#This Row],[income]],0)</f>
        <v>0</v>
      </c>
      <c r="BJ371" s="20">
        <f ca="1">IF(Table1[[#This Row],[County]]="Surrey",Table1[[#This Row],[income]],0)</f>
        <v>0</v>
      </c>
      <c r="BK371" s="20">
        <f ca="1">IF(Table1[[#This Row],[County]]="Norfolk",Table1[[#This Row],[income]],0)</f>
        <v>0</v>
      </c>
      <c r="BL371" s="20">
        <f ca="1">IF(Table1[[#This Row],[County]]="Lincolnshire",Table1[[#This Row],[income]],0)</f>
        <v>0</v>
      </c>
      <c r="BM371" s="20">
        <f ca="1">IF(Table1[[#This Row],[County]]="Somerset",Table1[[#This Row],[income]],0)</f>
        <v>0</v>
      </c>
      <c r="BN371" s="20">
        <f ca="1">IF(Table1[[#This Row],[County]]="Cambridgeshire",Table1[[#This Row],[income]],0)</f>
        <v>0</v>
      </c>
      <c r="BO371" s="20">
        <f ca="1">IF(Table1[[#This Row],[County]]="South Yorkshire",Table1[[#This Row],[income]],0)</f>
        <v>0</v>
      </c>
      <c r="BP371" s="20">
        <f ca="1">IF(Table1[[#This Row],[County]]="Greater London",Table1[[#This Row],[income]],0)</f>
        <v>0</v>
      </c>
      <c r="BQ371" s="20">
        <f ca="1">IF(Table1[[#This Row],[County]]="Hampshire",Table1[[#This Row],[income]],0)</f>
        <v>0</v>
      </c>
      <c r="BR371" s="20">
        <f ca="1">IF(Table1[[#This Row],[County]]="Gloucestershire",Table1[[#This Row],[income]],0)</f>
        <v>0</v>
      </c>
      <c r="BS371" s="20">
        <f ca="1">IF(Table1[[#This Row],[County]]="West Sussex",Table1[[#This Row],[income]],0)</f>
        <v>0</v>
      </c>
      <c r="BT371" s="20">
        <f ca="1">IF(Table1[[#This Row],[County]]="Devon",Table1[[#This Row],[income]],0)</f>
        <v>0</v>
      </c>
      <c r="BU371" s="20">
        <f ca="1">IF(Table1[[#This Row],[County]]="Berkshire",Table1[[#This Row],[income]],0)</f>
        <v>0</v>
      </c>
      <c r="BV371" s="20">
        <f ca="1">IF(Table1[[#This Row],[County]]="Staffordshire",Table1[[#This Row],[income]],0)</f>
        <v>0</v>
      </c>
      <c r="BW371" s="20">
        <f ca="1">IF(Table1[[#This Row],[County]]="Leicestershire",Table1[[#This Row],[income]],0)</f>
        <v>0</v>
      </c>
      <c r="BX371" s="20">
        <f ca="1">IF(Table1[[#This Row],[County]]="Cornwall",Table1[[#This Row],[income]],0)</f>
        <v>0</v>
      </c>
      <c r="BY371" s="20">
        <f ca="1">IF(Table1[[#This Row],[County]]="Isle of Wight",Table1[[#This Row],[income]],0)</f>
        <v>0</v>
      </c>
      <c r="BZ371" s="20">
        <f ca="1">IF(Table1[[#This Row],[County]]="Surrey",Table1[[#This Row],[income]],0)</f>
        <v>0</v>
      </c>
      <c r="CA371" s="20">
        <f ca="1">IF(Table1[[#This Row],[County]]="Derbyshire",Table1[[#This Row],[income]],0)</f>
        <v>0</v>
      </c>
      <c r="CB371" s="20">
        <f ca="1">IF(Table1[[#This Row],[County]]="City of London",Table1[[#This Row],[income]],0)</f>
        <v>32629</v>
      </c>
      <c r="CC371" s="20">
        <f ca="1">IF(Table1[[#This Row],[County]]="Bedfordshire",Table1[[#This Row],[income]],0)</f>
        <v>0</v>
      </c>
      <c r="CD371" s="20">
        <f ca="1">IF(Table1[[#This Row],[County]]="County Durham",Table1[[#This Row],[income]],0)</f>
        <v>0</v>
      </c>
      <c r="CE371" s="20">
        <f ca="1">IF(Table1[[#This Row],[County]]="East Riding of Yorkshire",Table1[[#This Row],[income]],0)</f>
        <v>0</v>
      </c>
      <c r="CF371" s="20">
        <f ca="1">IF(Table1[[#This Row],[County]]="West Yorkshire",Table1[[#This Row],[income]],0)</f>
        <v>0</v>
      </c>
      <c r="CG371" s="20">
        <f ca="1">IF(Table1[[#This Row],[County]]="Essex",Table1[[#This Row],[income]],0)</f>
        <v>0</v>
      </c>
      <c r="CH371" s="20">
        <f ca="1">IF(Table1[[#This Row],[County]]="East Sussex",Table1[[#This Row],[income]],0)</f>
        <v>0</v>
      </c>
      <c r="CI371" s="20">
        <f ca="1">IF(Table1[[#This Row],[County]]="Greater Manchester",Table1[[#This Row],[income]],0)</f>
        <v>0</v>
      </c>
      <c r="CJ371" s="20">
        <f ca="1">IF(Table1[[#This Row],[County]]="Hertfordshire",Table1[[#This Row],[income]],0)</f>
        <v>0</v>
      </c>
      <c r="CK371" s="20">
        <f ca="1">IF(Table1[[#This Row],[County]]="Herefordshire",Table1[[#This Row],[income]],0)</f>
        <v>0</v>
      </c>
      <c r="CL371" s="20">
        <f ca="1">IF(Table1[[#This Row],[County]]="Lancashire",Table1[[#This Row],[income]],0)</f>
        <v>0</v>
      </c>
      <c r="CM371" s="20">
        <f ca="1">IF(Table1[[#This Row],[County]]="Merseyside",Table1[[#This Row],[income]],0)</f>
        <v>0</v>
      </c>
      <c r="CN371" s="20">
        <f ca="1">IF(Table1[[#This Row],[County]]="Northamptonshire",Table1[[#This Row],[income]],0)</f>
        <v>0</v>
      </c>
      <c r="CO371" s="20">
        <f ca="1">IF(Table1[[#This Row],[County]]="Northumberland",Table1[[#This Row],[income]],0)</f>
        <v>0</v>
      </c>
      <c r="CP371" s="20">
        <f ca="1">IF(Table1[[#This Row],[County]]="Wiltshire",Table1[[#This Row],[income]],0)</f>
        <v>0</v>
      </c>
      <c r="CQ371" s="20">
        <f ca="1">IF(Table1[[#This Row],[County]]="West Midlands",Table1[[#This Row],[income]],0)</f>
        <v>0</v>
      </c>
      <c r="CR371" s="20">
        <f ca="1">IF(Table1[[#This Row],[County]]="Warwickshire",Table1[[#This Row],[income]],0)</f>
        <v>0</v>
      </c>
      <c r="CS371" s="20">
        <f ca="1">IF(Table1[[#This Row],[County]]="Tyne and Wear",Table1[[#This Row],[income]],0)</f>
        <v>0</v>
      </c>
      <c r="CT371" s="20">
        <f ca="1">IF(Table1[[#This Row],[County]]="Worcestershire",Table1[[#This Row],[income]],0)</f>
        <v>0</v>
      </c>
      <c r="CU371" s="20">
        <f ca="1">IF(Table1[[#This Row],[County]]="Rutland",Table1[[#This Row],[income]],0)</f>
        <v>0</v>
      </c>
      <c r="CV371" s="20">
        <f ca="1">IF(Table1[[#This Row],[County]]="Shropshire",Table1[[#This Row],[income]],0)</f>
        <v>0</v>
      </c>
      <c r="CW371" s="20">
        <f ca="1">IF(Table1[[#This Row],[County]]="Dorset",Table1[[#This Row],[income]],0)</f>
        <v>0</v>
      </c>
      <c r="CX371" s="20">
        <f ca="1">IF(Table1[[#This Row],[County]]="Buckinghamshire",Table1[[#This Row],[income]],0)</f>
        <v>0</v>
      </c>
      <c r="CY371" s="20">
        <f ca="1">IF(Table1[[#This Row],[County]]="Suffolk",Table1[[#This Row],[income]],0)</f>
        <v>0</v>
      </c>
      <c r="CZ371" s="20">
        <f ca="1">IF(Table1[[#This Row],[County]]="North Yorkshire",Table1[[#This Row],[income]],0)</f>
        <v>0</v>
      </c>
      <c r="DA371" s="20">
        <f ca="1">IF(Table1[[#This Row],[County]]="Kent",Table1[[#This Row],[income]],0)</f>
        <v>0</v>
      </c>
      <c r="DB371" s="5">
        <f ca="1">IF(Table1[[#This Row],[County]]="Derbyshire",Table1[[#This Row],[income]],0)</f>
        <v>0</v>
      </c>
      <c r="DD371" s="6">
        <f ca="1">IF(Table1[[#This Row],[Column1]]="Health",Table1[[#This Row],[income]],0)</f>
        <v>0</v>
      </c>
      <c r="DE371" s="20">
        <f ca="1">IF(Table1[[#This Row],[Column1]]="Agriculture",Table1[[#This Row],[income]],0)</f>
        <v>0</v>
      </c>
      <c r="DF371" s="20">
        <f ca="1">IF(Table1[[#This Row],[Column1]]="Technology",Table1[[#This Row],[income]],0)</f>
        <v>0</v>
      </c>
      <c r="DG371" s="20">
        <f ca="1">IF(Table1[[#This Row],[Column1]]="Social Service",Table1[[#This Row],[income]],0)</f>
        <v>32629</v>
      </c>
      <c r="DH371" s="20">
        <f ca="1">IF(Table1[[#This Row],[Column1]]="Education",Table1[[#This Row],[income]],0)</f>
        <v>0</v>
      </c>
      <c r="DI371" s="5">
        <f ca="1">IF(Table1[[#This Row],[Column1]]="Construction",Table1[[#This Row],[income]],0)</f>
        <v>0</v>
      </c>
      <c r="DK371" s="6">
        <f ca="1">IF(Table1[[#This Row],[Value of Debts]]&gt;Table1[[#This Row],[income]],1,0)</f>
        <v>1</v>
      </c>
      <c r="DL371" s="20"/>
      <c r="DM371" s="20"/>
      <c r="DN371" s="5"/>
      <c r="DP371" s="6">
        <f ca="1">IF(Table1[[#This Row],[Net Worth (£)]]&gt;$DS$5,C371,0)</f>
        <v>0</v>
      </c>
      <c r="DQ371" s="20"/>
      <c r="DR371" s="20"/>
      <c r="DS371" s="5"/>
    </row>
    <row r="372" spans="1:123" x14ac:dyDescent="0.2">
      <c r="A372">
        <f t="shared" ca="1" si="16"/>
        <v>2</v>
      </c>
      <c r="B372" s="1" t="str">
        <f ca="1">IF(A372=1, "men", "women")</f>
        <v>women</v>
      </c>
      <c r="C372" s="1">
        <f ca="1">RANDBETWEEN(25,50)</f>
        <v>49</v>
      </c>
      <c r="D372">
        <f ca="1">RANDBETWEEN(1,6)</f>
        <v>4</v>
      </c>
      <c r="E372" t="str">
        <f ca="1">VLOOKUP(D372,$W$5:$X$10,2)</f>
        <v>Technology</v>
      </c>
      <c r="F372">
        <f ca="1">RANDBETWEEN(1,5)</f>
        <v>2</v>
      </c>
      <c r="G372" t="str">
        <f ca="1">VLOOKUP(F372,$Y$5:$Z$9,2)</f>
        <v>College</v>
      </c>
      <c r="H372">
        <f ca="1">RANDBETWEEN(0,4)</f>
        <v>1</v>
      </c>
      <c r="I372">
        <f ca="1">RANDBETWEEN(1,3)</f>
        <v>1</v>
      </c>
      <c r="J372">
        <f ca="1">RANDBETWEEN(30000,100000)</f>
        <v>50633</v>
      </c>
      <c r="K372">
        <f ca="1">RANDBETWEEN(1,48)</f>
        <v>7</v>
      </c>
      <c r="L372" t="str">
        <f ca="1">VLOOKUP(K372,$AA$5:$AB$52,2)</f>
        <v>City of London</v>
      </c>
      <c r="M372">
        <f ca="1">J372*(RANDBETWEEN(2,5))</f>
        <v>202532</v>
      </c>
      <c r="N372">
        <f ca="1">RAND()*M372</f>
        <v>86791.887326899363</v>
      </c>
      <c r="O372">
        <f ca="1">I372*RAND()*J372</f>
        <v>12288.988716223841</v>
      </c>
      <c r="P372">
        <f ca="1">RANDBETWEEN(0,O372)</f>
        <v>10048</v>
      </c>
      <c r="Q372">
        <f ca="1">RAND()*J372*2</f>
        <v>24009.078988403773</v>
      </c>
      <c r="R372">
        <f ca="1">RAND()*J372*1.5</f>
        <v>20957.243459385834</v>
      </c>
      <c r="S372">
        <f ca="1">J372+R372+O372</f>
        <v>83879.232175609679</v>
      </c>
      <c r="T372">
        <f ca="1">N372+P372+Q372</f>
        <v>120848.96631530314</v>
      </c>
      <c r="U372">
        <f ca="1">S372-T372</f>
        <v>-36969.734139693464</v>
      </c>
      <c r="AC372" s="6">
        <f ca="1">IF(Table1[[#This Row],[gender]]="men",1,0)</f>
        <v>0</v>
      </c>
      <c r="AD372">
        <f ca="1">IF(Table1[[#This Row],[gender]]="women",1,0)</f>
        <v>1</v>
      </c>
      <c r="AH372" s="5"/>
      <c r="AJ372" s="6">
        <f ca="1">IF(Table1[[#This Row],[Column1]]="Health",1,0)</f>
        <v>0</v>
      </c>
      <c r="AK372">
        <f ca="1">IF(Table1[[#This Row],[Column1]]="Construction",1,0)</f>
        <v>0</v>
      </c>
      <c r="AL372">
        <f ca="1">IF(Table1[[#This Row],[Column1]]="Technology",1,0)</f>
        <v>1</v>
      </c>
      <c r="AM372">
        <f ca="1">IF(Table1[[#This Row],[Column1]]="Education",1,0)</f>
        <v>0</v>
      </c>
      <c r="AN372">
        <f ca="1">IF(Table1[[#This Row],[Column1]]="Agriculture",1,0)</f>
        <v>0</v>
      </c>
      <c r="AO372">
        <f ca="1">IF(Table1[[#This Row],[Column1]]="Social Service", 1, 0)</f>
        <v>0</v>
      </c>
      <c r="AT372" s="5"/>
      <c r="AV372" s="17">
        <f t="shared" ca="1" si="15"/>
        <v>82406.585767427649</v>
      </c>
      <c r="AW372" s="5"/>
      <c r="AX372" s="6">
        <f ca="1">IF(Table1[[#This Row],[Value of Debts]]&gt;$AY$4,1,0)</f>
        <v>1</v>
      </c>
      <c r="AY372" s="20"/>
      <c r="AZ372" s="20"/>
      <c r="BA372" s="5"/>
      <c r="BB372" s="25">
        <f ca="1">Table1[[#This Row],[Mortage Left]]/Table1[[#This Row],[Value of House]]</f>
        <v>0.42853419374172658</v>
      </c>
      <c r="BC372" s="20">
        <f t="shared" ca="1" si="17"/>
        <v>0</v>
      </c>
      <c r="BD372" s="20"/>
      <c r="BE372" s="20"/>
      <c r="BF372" s="20"/>
      <c r="BG372" s="6">
        <f ca="1">IF(Table1[[#This Row],[County]]="Cumbria",Table1[[#This Row],[income]],0)</f>
        <v>0</v>
      </c>
      <c r="BH372" s="20">
        <f ca="1">IF(Table1[[#This Row],[County]]="Cheshire",Table1[[#This Row],[income]],0)</f>
        <v>0</v>
      </c>
      <c r="BI372" s="20">
        <f ca="1">IF(Table1[[#This Row],[County]]="Bristol",Table1[[#This Row],[income]],0)</f>
        <v>0</v>
      </c>
      <c r="BJ372" s="20">
        <f ca="1">IF(Table1[[#This Row],[County]]="Surrey",Table1[[#This Row],[income]],0)</f>
        <v>0</v>
      </c>
      <c r="BK372" s="20">
        <f ca="1">IF(Table1[[#This Row],[County]]="Norfolk",Table1[[#This Row],[income]],0)</f>
        <v>0</v>
      </c>
      <c r="BL372" s="20">
        <f ca="1">IF(Table1[[#This Row],[County]]="Lincolnshire",Table1[[#This Row],[income]],0)</f>
        <v>0</v>
      </c>
      <c r="BM372" s="20">
        <f ca="1">IF(Table1[[#This Row],[County]]="Somerset",Table1[[#This Row],[income]],0)</f>
        <v>0</v>
      </c>
      <c r="BN372" s="20">
        <f ca="1">IF(Table1[[#This Row],[County]]="Cambridgeshire",Table1[[#This Row],[income]],0)</f>
        <v>0</v>
      </c>
      <c r="BO372" s="20">
        <f ca="1">IF(Table1[[#This Row],[County]]="South Yorkshire",Table1[[#This Row],[income]],0)</f>
        <v>0</v>
      </c>
      <c r="BP372" s="20">
        <f ca="1">IF(Table1[[#This Row],[County]]="Greater London",Table1[[#This Row],[income]],0)</f>
        <v>0</v>
      </c>
      <c r="BQ372" s="20">
        <f ca="1">IF(Table1[[#This Row],[County]]="Hampshire",Table1[[#This Row],[income]],0)</f>
        <v>0</v>
      </c>
      <c r="BR372" s="20">
        <f ca="1">IF(Table1[[#This Row],[County]]="Gloucestershire",Table1[[#This Row],[income]],0)</f>
        <v>0</v>
      </c>
      <c r="BS372" s="20">
        <f ca="1">IF(Table1[[#This Row],[County]]="West Sussex",Table1[[#This Row],[income]],0)</f>
        <v>0</v>
      </c>
      <c r="BT372" s="20">
        <f ca="1">IF(Table1[[#This Row],[County]]="Devon",Table1[[#This Row],[income]],0)</f>
        <v>0</v>
      </c>
      <c r="BU372" s="20">
        <f ca="1">IF(Table1[[#This Row],[County]]="Berkshire",Table1[[#This Row],[income]],0)</f>
        <v>0</v>
      </c>
      <c r="BV372" s="20">
        <f ca="1">IF(Table1[[#This Row],[County]]="Staffordshire",Table1[[#This Row],[income]],0)</f>
        <v>0</v>
      </c>
      <c r="BW372" s="20">
        <f ca="1">IF(Table1[[#This Row],[County]]="Leicestershire",Table1[[#This Row],[income]],0)</f>
        <v>0</v>
      </c>
      <c r="BX372" s="20">
        <f ca="1">IF(Table1[[#This Row],[County]]="Cornwall",Table1[[#This Row],[income]],0)</f>
        <v>0</v>
      </c>
      <c r="BY372" s="20">
        <f ca="1">IF(Table1[[#This Row],[County]]="Isle of Wight",Table1[[#This Row],[income]],0)</f>
        <v>0</v>
      </c>
      <c r="BZ372" s="20">
        <f ca="1">IF(Table1[[#This Row],[County]]="Surrey",Table1[[#This Row],[income]],0)</f>
        <v>0</v>
      </c>
      <c r="CA372" s="20">
        <f ca="1">IF(Table1[[#This Row],[County]]="Derbyshire",Table1[[#This Row],[income]],0)</f>
        <v>0</v>
      </c>
      <c r="CB372" s="20">
        <f ca="1">IF(Table1[[#This Row],[County]]="City of London",Table1[[#This Row],[income]],0)</f>
        <v>50633</v>
      </c>
      <c r="CC372" s="20">
        <f ca="1">IF(Table1[[#This Row],[County]]="Bedfordshire",Table1[[#This Row],[income]],0)</f>
        <v>0</v>
      </c>
      <c r="CD372" s="20">
        <f ca="1">IF(Table1[[#This Row],[County]]="County Durham",Table1[[#This Row],[income]],0)</f>
        <v>0</v>
      </c>
      <c r="CE372" s="20">
        <f ca="1">IF(Table1[[#This Row],[County]]="East Riding of Yorkshire",Table1[[#This Row],[income]],0)</f>
        <v>0</v>
      </c>
      <c r="CF372" s="20">
        <f ca="1">IF(Table1[[#This Row],[County]]="West Yorkshire",Table1[[#This Row],[income]],0)</f>
        <v>0</v>
      </c>
      <c r="CG372" s="20">
        <f ca="1">IF(Table1[[#This Row],[County]]="Essex",Table1[[#This Row],[income]],0)</f>
        <v>0</v>
      </c>
      <c r="CH372" s="20">
        <f ca="1">IF(Table1[[#This Row],[County]]="East Sussex",Table1[[#This Row],[income]],0)</f>
        <v>0</v>
      </c>
      <c r="CI372" s="20">
        <f ca="1">IF(Table1[[#This Row],[County]]="Greater Manchester",Table1[[#This Row],[income]],0)</f>
        <v>0</v>
      </c>
      <c r="CJ372" s="20">
        <f ca="1">IF(Table1[[#This Row],[County]]="Hertfordshire",Table1[[#This Row],[income]],0)</f>
        <v>0</v>
      </c>
      <c r="CK372" s="20">
        <f ca="1">IF(Table1[[#This Row],[County]]="Herefordshire",Table1[[#This Row],[income]],0)</f>
        <v>0</v>
      </c>
      <c r="CL372" s="20">
        <f ca="1">IF(Table1[[#This Row],[County]]="Lancashire",Table1[[#This Row],[income]],0)</f>
        <v>0</v>
      </c>
      <c r="CM372" s="20">
        <f ca="1">IF(Table1[[#This Row],[County]]="Merseyside",Table1[[#This Row],[income]],0)</f>
        <v>0</v>
      </c>
      <c r="CN372" s="20">
        <f ca="1">IF(Table1[[#This Row],[County]]="Northamptonshire",Table1[[#This Row],[income]],0)</f>
        <v>0</v>
      </c>
      <c r="CO372" s="20">
        <f ca="1">IF(Table1[[#This Row],[County]]="Northumberland",Table1[[#This Row],[income]],0)</f>
        <v>0</v>
      </c>
      <c r="CP372" s="20">
        <f ca="1">IF(Table1[[#This Row],[County]]="Wiltshire",Table1[[#This Row],[income]],0)</f>
        <v>0</v>
      </c>
      <c r="CQ372" s="20">
        <f ca="1">IF(Table1[[#This Row],[County]]="West Midlands",Table1[[#This Row],[income]],0)</f>
        <v>0</v>
      </c>
      <c r="CR372" s="20">
        <f ca="1">IF(Table1[[#This Row],[County]]="Warwickshire",Table1[[#This Row],[income]],0)</f>
        <v>0</v>
      </c>
      <c r="CS372" s="20">
        <f ca="1">IF(Table1[[#This Row],[County]]="Tyne and Wear",Table1[[#This Row],[income]],0)</f>
        <v>0</v>
      </c>
      <c r="CT372" s="20">
        <f ca="1">IF(Table1[[#This Row],[County]]="Worcestershire",Table1[[#This Row],[income]],0)</f>
        <v>0</v>
      </c>
      <c r="CU372" s="20">
        <f ca="1">IF(Table1[[#This Row],[County]]="Rutland",Table1[[#This Row],[income]],0)</f>
        <v>0</v>
      </c>
      <c r="CV372" s="20">
        <f ca="1">IF(Table1[[#This Row],[County]]="Shropshire",Table1[[#This Row],[income]],0)</f>
        <v>0</v>
      </c>
      <c r="CW372" s="20">
        <f ca="1">IF(Table1[[#This Row],[County]]="Dorset",Table1[[#This Row],[income]],0)</f>
        <v>0</v>
      </c>
      <c r="CX372" s="20">
        <f ca="1">IF(Table1[[#This Row],[County]]="Buckinghamshire",Table1[[#This Row],[income]],0)</f>
        <v>0</v>
      </c>
      <c r="CY372" s="20">
        <f ca="1">IF(Table1[[#This Row],[County]]="Suffolk",Table1[[#This Row],[income]],0)</f>
        <v>0</v>
      </c>
      <c r="CZ372" s="20">
        <f ca="1">IF(Table1[[#This Row],[County]]="North Yorkshire",Table1[[#This Row],[income]],0)</f>
        <v>0</v>
      </c>
      <c r="DA372" s="20">
        <f ca="1">IF(Table1[[#This Row],[County]]="Kent",Table1[[#This Row],[income]],0)</f>
        <v>0</v>
      </c>
      <c r="DB372" s="5">
        <f ca="1">IF(Table1[[#This Row],[County]]="Derbyshire",Table1[[#This Row],[income]],0)</f>
        <v>0</v>
      </c>
      <c r="DD372" s="6">
        <f ca="1">IF(Table1[[#This Row],[Column1]]="Health",Table1[[#This Row],[income]],0)</f>
        <v>0</v>
      </c>
      <c r="DE372" s="20">
        <f ca="1">IF(Table1[[#This Row],[Column1]]="Agriculture",Table1[[#This Row],[income]],0)</f>
        <v>0</v>
      </c>
      <c r="DF372" s="20">
        <f ca="1">IF(Table1[[#This Row],[Column1]]="Technology",Table1[[#This Row],[income]],0)</f>
        <v>50633</v>
      </c>
      <c r="DG372" s="20">
        <f ca="1">IF(Table1[[#This Row],[Column1]]="Social Service",Table1[[#This Row],[income]],0)</f>
        <v>0</v>
      </c>
      <c r="DH372" s="20">
        <f ca="1">IF(Table1[[#This Row],[Column1]]="Education",Table1[[#This Row],[income]],0)</f>
        <v>0</v>
      </c>
      <c r="DI372" s="5">
        <f ca="1">IF(Table1[[#This Row],[Column1]]="Construction",Table1[[#This Row],[income]],0)</f>
        <v>0</v>
      </c>
      <c r="DK372" s="6">
        <f ca="1">IF(Table1[[#This Row],[Value of Debts]]&gt;Table1[[#This Row],[income]],1,0)</f>
        <v>1</v>
      </c>
      <c r="DL372" s="20"/>
      <c r="DM372" s="20"/>
      <c r="DN372" s="5"/>
      <c r="DP372" s="6">
        <f ca="1">IF(Table1[[#This Row],[Net Worth (£)]]&gt;$DS$5,C372,0)</f>
        <v>0</v>
      </c>
      <c r="DQ372" s="20"/>
      <c r="DR372" s="20"/>
      <c r="DS372" s="5"/>
    </row>
    <row r="373" spans="1:123" x14ac:dyDescent="0.2">
      <c r="A373">
        <f t="shared" ca="1" si="16"/>
        <v>2</v>
      </c>
      <c r="B373" s="1" t="str">
        <f ca="1">IF(A373=1, "men", "women")</f>
        <v>women</v>
      </c>
      <c r="C373" s="1">
        <f ca="1">RANDBETWEEN(25,50)</f>
        <v>28</v>
      </c>
      <c r="D373">
        <f ca="1">RANDBETWEEN(1,6)</f>
        <v>4</v>
      </c>
      <c r="E373" t="str">
        <f ca="1">VLOOKUP(D373,$W$5:$X$10,2)</f>
        <v>Technology</v>
      </c>
      <c r="F373">
        <f ca="1">RANDBETWEEN(1,5)</f>
        <v>1</v>
      </c>
      <c r="G373" t="str">
        <f ca="1">VLOOKUP(F373,$Y$5:$Z$9,2)</f>
        <v>High School</v>
      </c>
      <c r="H373">
        <f ca="1">RANDBETWEEN(0,4)</f>
        <v>3</v>
      </c>
      <c r="I373">
        <f ca="1">RANDBETWEEN(1,3)</f>
        <v>3</v>
      </c>
      <c r="J373">
        <f ca="1">RANDBETWEEN(30000,100000)</f>
        <v>86746</v>
      </c>
      <c r="K373">
        <f ca="1">RANDBETWEEN(1,48)</f>
        <v>15</v>
      </c>
      <c r="L373" t="str">
        <f ca="1">VLOOKUP(K373,$AA$5:$AB$52,2)</f>
        <v>East Sussex</v>
      </c>
      <c r="M373">
        <f ca="1">J373*(RANDBETWEEN(2,5))</f>
        <v>173492</v>
      </c>
      <c r="N373">
        <f ca="1">RAND()*M373</f>
        <v>79928.19373742021</v>
      </c>
      <c r="O373">
        <f ca="1">I373*RAND()*J373</f>
        <v>247219.75730228293</v>
      </c>
      <c r="P373">
        <f ca="1">RANDBETWEEN(0,O373)</f>
        <v>113715</v>
      </c>
      <c r="Q373">
        <f ca="1">RAND()*J373*2</f>
        <v>6005.3067822631865</v>
      </c>
      <c r="R373">
        <f ca="1">RAND()*J373*1.5</f>
        <v>25951.27323311189</v>
      </c>
      <c r="S373">
        <f ca="1">J373+R373+O373</f>
        <v>359917.03053539479</v>
      </c>
      <c r="T373">
        <f ca="1">N373+P373+Q373</f>
        <v>199648.50051968338</v>
      </c>
      <c r="U373">
        <f ca="1">S373-T373</f>
        <v>160268.53001571141</v>
      </c>
      <c r="AC373" s="6">
        <f ca="1">IF(Table1[[#This Row],[gender]]="men",1,0)</f>
        <v>0</v>
      </c>
      <c r="AD373">
        <f ca="1">IF(Table1[[#This Row],[gender]]="women",1,0)</f>
        <v>1</v>
      </c>
      <c r="AH373" s="5"/>
      <c r="AJ373" s="6">
        <f ca="1">IF(Table1[[#This Row],[Column1]]="Health",1,0)</f>
        <v>0</v>
      </c>
      <c r="AK373">
        <f ca="1">IF(Table1[[#This Row],[Column1]]="Construction",1,0)</f>
        <v>0</v>
      </c>
      <c r="AL373">
        <f ca="1">IF(Table1[[#This Row],[Column1]]="Technology",1,0)</f>
        <v>1</v>
      </c>
      <c r="AM373">
        <f ca="1">IF(Table1[[#This Row],[Column1]]="Education",1,0)</f>
        <v>0</v>
      </c>
      <c r="AN373">
        <f ca="1">IF(Table1[[#This Row],[Column1]]="Agriculture",1,0)</f>
        <v>0</v>
      </c>
      <c r="AO373">
        <f ca="1">IF(Table1[[#This Row],[Column1]]="Social Service", 1, 0)</f>
        <v>0</v>
      </c>
      <c r="AT373" s="5"/>
      <c r="AV373" s="17">
        <f t="shared" ca="1" si="15"/>
        <v>79814.154366039511</v>
      </c>
      <c r="AW373" s="5"/>
      <c r="AX373" s="6">
        <f ca="1">IF(Table1[[#This Row],[Value of Debts]]&gt;$AY$4,1,0)</f>
        <v>1</v>
      </c>
      <c r="AY373" s="20"/>
      <c r="AZ373" s="20"/>
      <c r="BA373" s="5"/>
      <c r="BB373" s="25">
        <f ca="1">Table1[[#This Row],[Mortage Left]]/Table1[[#This Row],[Value of House]]</f>
        <v>0.46070247468136982</v>
      </c>
      <c r="BC373" s="20">
        <f t="shared" ca="1" si="17"/>
        <v>0</v>
      </c>
      <c r="BD373" s="20"/>
      <c r="BE373" s="20"/>
      <c r="BF373" s="20"/>
      <c r="BG373" s="6">
        <f ca="1">IF(Table1[[#This Row],[County]]="Cumbria",Table1[[#This Row],[income]],0)</f>
        <v>0</v>
      </c>
      <c r="BH373" s="20">
        <f ca="1">IF(Table1[[#This Row],[County]]="Cheshire",Table1[[#This Row],[income]],0)</f>
        <v>0</v>
      </c>
      <c r="BI373" s="20">
        <f ca="1">IF(Table1[[#This Row],[County]]="Bristol",Table1[[#This Row],[income]],0)</f>
        <v>0</v>
      </c>
      <c r="BJ373" s="20">
        <f ca="1">IF(Table1[[#This Row],[County]]="Surrey",Table1[[#This Row],[income]],0)</f>
        <v>0</v>
      </c>
      <c r="BK373" s="20">
        <f ca="1">IF(Table1[[#This Row],[County]]="Norfolk",Table1[[#This Row],[income]],0)</f>
        <v>0</v>
      </c>
      <c r="BL373" s="20">
        <f ca="1">IF(Table1[[#This Row],[County]]="Lincolnshire",Table1[[#This Row],[income]],0)</f>
        <v>0</v>
      </c>
      <c r="BM373" s="20">
        <f ca="1">IF(Table1[[#This Row],[County]]="Somerset",Table1[[#This Row],[income]],0)</f>
        <v>0</v>
      </c>
      <c r="BN373" s="20">
        <f ca="1">IF(Table1[[#This Row],[County]]="Cambridgeshire",Table1[[#This Row],[income]],0)</f>
        <v>0</v>
      </c>
      <c r="BO373" s="20">
        <f ca="1">IF(Table1[[#This Row],[County]]="South Yorkshire",Table1[[#This Row],[income]],0)</f>
        <v>0</v>
      </c>
      <c r="BP373" s="20">
        <f ca="1">IF(Table1[[#This Row],[County]]="Greater London",Table1[[#This Row],[income]],0)</f>
        <v>0</v>
      </c>
      <c r="BQ373" s="20">
        <f ca="1">IF(Table1[[#This Row],[County]]="Hampshire",Table1[[#This Row],[income]],0)</f>
        <v>0</v>
      </c>
      <c r="BR373" s="20">
        <f ca="1">IF(Table1[[#This Row],[County]]="Gloucestershire",Table1[[#This Row],[income]],0)</f>
        <v>0</v>
      </c>
      <c r="BS373" s="20">
        <f ca="1">IF(Table1[[#This Row],[County]]="West Sussex",Table1[[#This Row],[income]],0)</f>
        <v>0</v>
      </c>
      <c r="BT373" s="20">
        <f ca="1">IF(Table1[[#This Row],[County]]="Devon",Table1[[#This Row],[income]],0)</f>
        <v>0</v>
      </c>
      <c r="BU373" s="20">
        <f ca="1">IF(Table1[[#This Row],[County]]="Berkshire",Table1[[#This Row],[income]],0)</f>
        <v>0</v>
      </c>
      <c r="BV373" s="20">
        <f ca="1">IF(Table1[[#This Row],[County]]="Staffordshire",Table1[[#This Row],[income]],0)</f>
        <v>0</v>
      </c>
      <c r="BW373" s="20">
        <f ca="1">IF(Table1[[#This Row],[County]]="Leicestershire",Table1[[#This Row],[income]],0)</f>
        <v>0</v>
      </c>
      <c r="BX373" s="20">
        <f ca="1">IF(Table1[[#This Row],[County]]="Cornwall",Table1[[#This Row],[income]],0)</f>
        <v>0</v>
      </c>
      <c r="BY373" s="20">
        <f ca="1">IF(Table1[[#This Row],[County]]="Isle of Wight",Table1[[#This Row],[income]],0)</f>
        <v>0</v>
      </c>
      <c r="BZ373" s="20">
        <f ca="1">IF(Table1[[#This Row],[County]]="Surrey",Table1[[#This Row],[income]],0)</f>
        <v>0</v>
      </c>
      <c r="CA373" s="20">
        <f ca="1">IF(Table1[[#This Row],[County]]="Derbyshire",Table1[[#This Row],[income]],0)</f>
        <v>0</v>
      </c>
      <c r="CB373" s="20">
        <f ca="1">IF(Table1[[#This Row],[County]]="City of London",Table1[[#This Row],[income]],0)</f>
        <v>0</v>
      </c>
      <c r="CC373" s="20">
        <f ca="1">IF(Table1[[#This Row],[County]]="Bedfordshire",Table1[[#This Row],[income]],0)</f>
        <v>0</v>
      </c>
      <c r="CD373" s="20">
        <f ca="1">IF(Table1[[#This Row],[County]]="County Durham",Table1[[#This Row],[income]],0)</f>
        <v>0</v>
      </c>
      <c r="CE373" s="20">
        <f ca="1">IF(Table1[[#This Row],[County]]="East Riding of Yorkshire",Table1[[#This Row],[income]],0)</f>
        <v>0</v>
      </c>
      <c r="CF373" s="20">
        <f ca="1">IF(Table1[[#This Row],[County]]="West Yorkshire",Table1[[#This Row],[income]],0)</f>
        <v>0</v>
      </c>
      <c r="CG373" s="20">
        <f ca="1">IF(Table1[[#This Row],[County]]="Essex",Table1[[#This Row],[income]],0)</f>
        <v>0</v>
      </c>
      <c r="CH373" s="20">
        <f ca="1">IF(Table1[[#This Row],[County]]="East Sussex",Table1[[#This Row],[income]],0)</f>
        <v>86746</v>
      </c>
      <c r="CI373" s="20">
        <f ca="1">IF(Table1[[#This Row],[County]]="Greater Manchester",Table1[[#This Row],[income]],0)</f>
        <v>0</v>
      </c>
      <c r="CJ373" s="20">
        <f ca="1">IF(Table1[[#This Row],[County]]="Hertfordshire",Table1[[#This Row],[income]],0)</f>
        <v>0</v>
      </c>
      <c r="CK373" s="20">
        <f ca="1">IF(Table1[[#This Row],[County]]="Herefordshire",Table1[[#This Row],[income]],0)</f>
        <v>0</v>
      </c>
      <c r="CL373" s="20">
        <f ca="1">IF(Table1[[#This Row],[County]]="Lancashire",Table1[[#This Row],[income]],0)</f>
        <v>0</v>
      </c>
      <c r="CM373" s="20">
        <f ca="1">IF(Table1[[#This Row],[County]]="Merseyside",Table1[[#This Row],[income]],0)</f>
        <v>0</v>
      </c>
      <c r="CN373" s="20">
        <f ca="1">IF(Table1[[#This Row],[County]]="Northamptonshire",Table1[[#This Row],[income]],0)</f>
        <v>0</v>
      </c>
      <c r="CO373" s="20">
        <f ca="1">IF(Table1[[#This Row],[County]]="Northumberland",Table1[[#This Row],[income]],0)</f>
        <v>0</v>
      </c>
      <c r="CP373" s="20">
        <f ca="1">IF(Table1[[#This Row],[County]]="Wiltshire",Table1[[#This Row],[income]],0)</f>
        <v>0</v>
      </c>
      <c r="CQ373" s="20">
        <f ca="1">IF(Table1[[#This Row],[County]]="West Midlands",Table1[[#This Row],[income]],0)</f>
        <v>0</v>
      </c>
      <c r="CR373" s="20">
        <f ca="1">IF(Table1[[#This Row],[County]]="Warwickshire",Table1[[#This Row],[income]],0)</f>
        <v>0</v>
      </c>
      <c r="CS373" s="20">
        <f ca="1">IF(Table1[[#This Row],[County]]="Tyne and Wear",Table1[[#This Row],[income]],0)</f>
        <v>0</v>
      </c>
      <c r="CT373" s="20">
        <f ca="1">IF(Table1[[#This Row],[County]]="Worcestershire",Table1[[#This Row],[income]],0)</f>
        <v>0</v>
      </c>
      <c r="CU373" s="20">
        <f ca="1">IF(Table1[[#This Row],[County]]="Rutland",Table1[[#This Row],[income]],0)</f>
        <v>0</v>
      </c>
      <c r="CV373" s="20">
        <f ca="1">IF(Table1[[#This Row],[County]]="Shropshire",Table1[[#This Row],[income]],0)</f>
        <v>0</v>
      </c>
      <c r="CW373" s="20">
        <f ca="1">IF(Table1[[#This Row],[County]]="Dorset",Table1[[#This Row],[income]],0)</f>
        <v>0</v>
      </c>
      <c r="CX373" s="20">
        <f ca="1">IF(Table1[[#This Row],[County]]="Buckinghamshire",Table1[[#This Row],[income]],0)</f>
        <v>0</v>
      </c>
      <c r="CY373" s="20">
        <f ca="1">IF(Table1[[#This Row],[County]]="Suffolk",Table1[[#This Row],[income]],0)</f>
        <v>0</v>
      </c>
      <c r="CZ373" s="20">
        <f ca="1">IF(Table1[[#This Row],[County]]="North Yorkshire",Table1[[#This Row],[income]],0)</f>
        <v>0</v>
      </c>
      <c r="DA373" s="20">
        <f ca="1">IF(Table1[[#This Row],[County]]="Kent",Table1[[#This Row],[income]],0)</f>
        <v>0</v>
      </c>
      <c r="DB373" s="5">
        <f ca="1">IF(Table1[[#This Row],[County]]="Derbyshire",Table1[[#This Row],[income]],0)</f>
        <v>0</v>
      </c>
      <c r="DD373" s="6">
        <f ca="1">IF(Table1[[#This Row],[Column1]]="Health",Table1[[#This Row],[income]],0)</f>
        <v>0</v>
      </c>
      <c r="DE373" s="20">
        <f ca="1">IF(Table1[[#This Row],[Column1]]="Agriculture",Table1[[#This Row],[income]],0)</f>
        <v>0</v>
      </c>
      <c r="DF373" s="20">
        <f ca="1">IF(Table1[[#This Row],[Column1]]="Technology",Table1[[#This Row],[income]],0)</f>
        <v>86746</v>
      </c>
      <c r="DG373" s="20">
        <f ca="1">IF(Table1[[#This Row],[Column1]]="Social Service",Table1[[#This Row],[income]],0)</f>
        <v>0</v>
      </c>
      <c r="DH373" s="20">
        <f ca="1">IF(Table1[[#This Row],[Column1]]="Education",Table1[[#This Row],[income]],0)</f>
        <v>0</v>
      </c>
      <c r="DI373" s="5">
        <f ca="1">IF(Table1[[#This Row],[Column1]]="Construction",Table1[[#This Row],[income]],0)</f>
        <v>0</v>
      </c>
      <c r="DK373" s="6">
        <f ca="1">IF(Table1[[#This Row],[Value of Debts]]&gt;Table1[[#This Row],[income]],1,0)</f>
        <v>1</v>
      </c>
      <c r="DL373" s="20"/>
      <c r="DM373" s="20"/>
      <c r="DN373" s="5"/>
      <c r="DP373" s="6">
        <f ca="1">IF(Table1[[#This Row],[Net Worth (£)]]&gt;$DS$5,C373,0)</f>
        <v>28</v>
      </c>
      <c r="DQ373" s="20"/>
      <c r="DR373" s="20"/>
      <c r="DS373" s="5"/>
    </row>
    <row r="374" spans="1:123" x14ac:dyDescent="0.2">
      <c r="A374">
        <f t="shared" ca="1" si="16"/>
        <v>1</v>
      </c>
      <c r="B374" s="1" t="str">
        <f ca="1">IF(A374=1, "men", "women")</f>
        <v>men</v>
      </c>
      <c r="C374" s="1">
        <f ca="1">RANDBETWEEN(25,50)</f>
        <v>32</v>
      </c>
      <c r="D374">
        <f ca="1">RANDBETWEEN(1,6)</f>
        <v>2</v>
      </c>
      <c r="E374" t="str">
        <f ca="1">VLOOKUP(D374,$W$5:$X$10,2)</f>
        <v>Construction</v>
      </c>
      <c r="F374">
        <f ca="1">RANDBETWEEN(1,5)</f>
        <v>4</v>
      </c>
      <c r="G374" t="str">
        <f ca="1">VLOOKUP(F374,$Y$5:$Z$9,2)</f>
        <v xml:space="preserve">Technical </v>
      </c>
      <c r="H374">
        <f ca="1">RANDBETWEEN(0,4)</f>
        <v>0</v>
      </c>
      <c r="I374">
        <f ca="1">RANDBETWEEN(1,3)</f>
        <v>2</v>
      </c>
      <c r="J374">
        <f ca="1">RANDBETWEEN(30000,100000)</f>
        <v>82910</v>
      </c>
      <c r="K374">
        <f ca="1">RANDBETWEEN(1,48)</f>
        <v>38</v>
      </c>
      <c r="L374" t="str">
        <f ca="1">VLOOKUP(K374,$AA$5:$AB$52,2)</f>
        <v>South Yorkshire</v>
      </c>
      <c r="M374">
        <f ca="1">J374*(RANDBETWEEN(2,5))</f>
        <v>414550</v>
      </c>
      <c r="N374">
        <f ca="1">RAND()*M374</f>
        <v>359949.06868064485</v>
      </c>
      <c r="O374">
        <f ca="1">I374*RAND()*J374</f>
        <v>159628.30873207902</v>
      </c>
      <c r="P374">
        <f ca="1">RANDBETWEEN(0,O374)</f>
        <v>99461</v>
      </c>
      <c r="Q374">
        <f ca="1">RAND()*J374*2</f>
        <v>159523.08329481812</v>
      </c>
      <c r="R374">
        <f ca="1">RAND()*J374*1.5</f>
        <v>26626.15825778522</v>
      </c>
      <c r="S374">
        <f ca="1">J374+R374+O374</f>
        <v>269164.46698986425</v>
      </c>
      <c r="T374">
        <f ca="1">N374+P374+Q374</f>
        <v>618933.15197546291</v>
      </c>
      <c r="U374">
        <f ca="1">S374-T374</f>
        <v>-349768.68498559867</v>
      </c>
      <c r="AC374" s="6">
        <f ca="1">IF(Table1[[#This Row],[gender]]="men",1,0)</f>
        <v>1</v>
      </c>
      <c r="AD374">
        <f ca="1">IF(Table1[[#This Row],[gender]]="women",1,0)</f>
        <v>0</v>
      </c>
      <c r="AH374" s="5"/>
      <c r="AJ374" s="6">
        <f ca="1">IF(Table1[[#This Row],[Column1]]="Health",1,0)</f>
        <v>0</v>
      </c>
      <c r="AK374">
        <f ca="1">IF(Table1[[#This Row],[Column1]]="Construction",1,0)</f>
        <v>1</v>
      </c>
      <c r="AL374">
        <f ca="1">IF(Table1[[#This Row],[Column1]]="Technology",1,0)</f>
        <v>0</v>
      </c>
      <c r="AM374">
        <f ca="1">IF(Table1[[#This Row],[Column1]]="Education",1,0)</f>
        <v>0</v>
      </c>
      <c r="AN374">
        <f ca="1">IF(Table1[[#This Row],[Column1]]="Agriculture",1,0)</f>
        <v>0</v>
      </c>
      <c r="AO374">
        <f ca="1">IF(Table1[[#This Row],[Column1]]="Social Service", 1, 0)</f>
        <v>0</v>
      </c>
      <c r="AT374" s="5"/>
      <c r="AV374" s="17">
        <f t="shared" ca="1" si="15"/>
        <v>37655.519433113383</v>
      </c>
      <c r="AW374" s="5"/>
      <c r="AX374" s="6">
        <f ca="1">IF(Table1[[#This Row],[Value of Debts]]&gt;$AY$4,1,0)</f>
        <v>1</v>
      </c>
      <c r="AY374" s="20"/>
      <c r="AZ374" s="20"/>
      <c r="BA374" s="5"/>
      <c r="BB374" s="25">
        <f ca="1">Table1[[#This Row],[Mortage Left]]/Table1[[#This Row],[Value of House]]</f>
        <v>0.86828867128366871</v>
      </c>
      <c r="BC374" s="20">
        <f t="shared" ca="1" si="17"/>
        <v>0</v>
      </c>
      <c r="BD374" s="20"/>
      <c r="BE374" s="20"/>
      <c r="BF374" s="20"/>
      <c r="BG374" s="6">
        <f ca="1">IF(Table1[[#This Row],[County]]="Cumbria",Table1[[#This Row],[income]],0)</f>
        <v>0</v>
      </c>
      <c r="BH374" s="20">
        <f ca="1">IF(Table1[[#This Row],[County]]="Cheshire",Table1[[#This Row],[income]],0)</f>
        <v>0</v>
      </c>
      <c r="BI374" s="20">
        <f ca="1">IF(Table1[[#This Row],[County]]="Bristol",Table1[[#This Row],[income]],0)</f>
        <v>0</v>
      </c>
      <c r="BJ374" s="20">
        <f ca="1">IF(Table1[[#This Row],[County]]="Surrey",Table1[[#This Row],[income]],0)</f>
        <v>0</v>
      </c>
      <c r="BK374" s="20">
        <f ca="1">IF(Table1[[#This Row],[County]]="Norfolk",Table1[[#This Row],[income]],0)</f>
        <v>0</v>
      </c>
      <c r="BL374" s="20">
        <f ca="1">IF(Table1[[#This Row],[County]]="Lincolnshire",Table1[[#This Row],[income]],0)</f>
        <v>0</v>
      </c>
      <c r="BM374" s="20">
        <f ca="1">IF(Table1[[#This Row],[County]]="Somerset",Table1[[#This Row],[income]],0)</f>
        <v>0</v>
      </c>
      <c r="BN374" s="20">
        <f ca="1">IF(Table1[[#This Row],[County]]="Cambridgeshire",Table1[[#This Row],[income]],0)</f>
        <v>0</v>
      </c>
      <c r="BO374" s="20">
        <f ca="1">IF(Table1[[#This Row],[County]]="South Yorkshire",Table1[[#This Row],[income]],0)</f>
        <v>82910</v>
      </c>
      <c r="BP374" s="20">
        <f ca="1">IF(Table1[[#This Row],[County]]="Greater London",Table1[[#This Row],[income]],0)</f>
        <v>0</v>
      </c>
      <c r="BQ374" s="20">
        <f ca="1">IF(Table1[[#This Row],[County]]="Hampshire",Table1[[#This Row],[income]],0)</f>
        <v>0</v>
      </c>
      <c r="BR374" s="20">
        <f ca="1">IF(Table1[[#This Row],[County]]="Gloucestershire",Table1[[#This Row],[income]],0)</f>
        <v>0</v>
      </c>
      <c r="BS374" s="20">
        <f ca="1">IF(Table1[[#This Row],[County]]="West Sussex",Table1[[#This Row],[income]],0)</f>
        <v>0</v>
      </c>
      <c r="BT374" s="20">
        <f ca="1">IF(Table1[[#This Row],[County]]="Devon",Table1[[#This Row],[income]],0)</f>
        <v>0</v>
      </c>
      <c r="BU374" s="20">
        <f ca="1">IF(Table1[[#This Row],[County]]="Berkshire",Table1[[#This Row],[income]],0)</f>
        <v>0</v>
      </c>
      <c r="BV374" s="20">
        <f ca="1">IF(Table1[[#This Row],[County]]="Staffordshire",Table1[[#This Row],[income]],0)</f>
        <v>0</v>
      </c>
      <c r="BW374" s="20">
        <f ca="1">IF(Table1[[#This Row],[County]]="Leicestershire",Table1[[#This Row],[income]],0)</f>
        <v>0</v>
      </c>
      <c r="BX374" s="20">
        <f ca="1">IF(Table1[[#This Row],[County]]="Cornwall",Table1[[#This Row],[income]],0)</f>
        <v>0</v>
      </c>
      <c r="BY374" s="20">
        <f ca="1">IF(Table1[[#This Row],[County]]="Isle of Wight",Table1[[#This Row],[income]],0)</f>
        <v>0</v>
      </c>
      <c r="BZ374" s="20">
        <f ca="1">IF(Table1[[#This Row],[County]]="Surrey",Table1[[#This Row],[income]],0)</f>
        <v>0</v>
      </c>
      <c r="CA374" s="20">
        <f ca="1">IF(Table1[[#This Row],[County]]="Derbyshire",Table1[[#This Row],[income]],0)</f>
        <v>0</v>
      </c>
      <c r="CB374" s="20">
        <f ca="1">IF(Table1[[#This Row],[County]]="City of London",Table1[[#This Row],[income]],0)</f>
        <v>0</v>
      </c>
      <c r="CC374" s="20">
        <f ca="1">IF(Table1[[#This Row],[County]]="Bedfordshire",Table1[[#This Row],[income]],0)</f>
        <v>0</v>
      </c>
      <c r="CD374" s="20">
        <f ca="1">IF(Table1[[#This Row],[County]]="County Durham",Table1[[#This Row],[income]],0)</f>
        <v>0</v>
      </c>
      <c r="CE374" s="20">
        <f ca="1">IF(Table1[[#This Row],[County]]="East Riding of Yorkshire",Table1[[#This Row],[income]],0)</f>
        <v>0</v>
      </c>
      <c r="CF374" s="20">
        <f ca="1">IF(Table1[[#This Row],[County]]="West Yorkshire",Table1[[#This Row],[income]],0)</f>
        <v>0</v>
      </c>
      <c r="CG374" s="20">
        <f ca="1">IF(Table1[[#This Row],[County]]="Essex",Table1[[#This Row],[income]],0)</f>
        <v>0</v>
      </c>
      <c r="CH374" s="20">
        <f ca="1">IF(Table1[[#This Row],[County]]="East Sussex",Table1[[#This Row],[income]],0)</f>
        <v>0</v>
      </c>
      <c r="CI374" s="20">
        <f ca="1">IF(Table1[[#This Row],[County]]="Greater Manchester",Table1[[#This Row],[income]],0)</f>
        <v>0</v>
      </c>
      <c r="CJ374" s="20">
        <f ca="1">IF(Table1[[#This Row],[County]]="Hertfordshire",Table1[[#This Row],[income]],0)</f>
        <v>0</v>
      </c>
      <c r="CK374" s="20">
        <f ca="1">IF(Table1[[#This Row],[County]]="Herefordshire",Table1[[#This Row],[income]],0)</f>
        <v>0</v>
      </c>
      <c r="CL374" s="20">
        <f ca="1">IF(Table1[[#This Row],[County]]="Lancashire",Table1[[#This Row],[income]],0)</f>
        <v>0</v>
      </c>
      <c r="CM374" s="20">
        <f ca="1">IF(Table1[[#This Row],[County]]="Merseyside",Table1[[#This Row],[income]],0)</f>
        <v>0</v>
      </c>
      <c r="CN374" s="20">
        <f ca="1">IF(Table1[[#This Row],[County]]="Northamptonshire",Table1[[#This Row],[income]],0)</f>
        <v>0</v>
      </c>
      <c r="CO374" s="20">
        <f ca="1">IF(Table1[[#This Row],[County]]="Northumberland",Table1[[#This Row],[income]],0)</f>
        <v>0</v>
      </c>
      <c r="CP374" s="20">
        <f ca="1">IF(Table1[[#This Row],[County]]="Wiltshire",Table1[[#This Row],[income]],0)</f>
        <v>0</v>
      </c>
      <c r="CQ374" s="20">
        <f ca="1">IF(Table1[[#This Row],[County]]="West Midlands",Table1[[#This Row],[income]],0)</f>
        <v>0</v>
      </c>
      <c r="CR374" s="20">
        <f ca="1">IF(Table1[[#This Row],[County]]="Warwickshire",Table1[[#This Row],[income]],0)</f>
        <v>0</v>
      </c>
      <c r="CS374" s="20">
        <f ca="1">IF(Table1[[#This Row],[County]]="Tyne and Wear",Table1[[#This Row],[income]],0)</f>
        <v>0</v>
      </c>
      <c r="CT374" s="20">
        <f ca="1">IF(Table1[[#This Row],[County]]="Worcestershire",Table1[[#This Row],[income]],0)</f>
        <v>0</v>
      </c>
      <c r="CU374" s="20">
        <f ca="1">IF(Table1[[#This Row],[County]]="Rutland",Table1[[#This Row],[income]],0)</f>
        <v>0</v>
      </c>
      <c r="CV374" s="20">
        <f ca="1">IF(Table1[[#This Row],[County]]="Shropshire",Table1[[#This Row],[income]],0)</f>
        <v>0</v>
      </c>
      <c r="CW374" s="20">
        <f ca="1">IF(Table1[[#This Row],[County]]="Dorset",Table1[[#This Row],[income]],0)</f>
        <v>0</v>
      </c>
      <c r="CX374" s="20">
        <f ca="1">IF(Table1[[#This Row],[County]]="Buckinghamshire",Table1[[#This Row],[income]],0)</f>
        <v>0</v>
      </c>
      <c r="CY374" s="20">
        <f ca="1">IF(Table1[[#This Row],[County]]="Suffolk",Table1[[#This Row],[income]],0)</f>
        <v>0</v>
      </c>
      <c r="CZ374" s="20">
        <f ca="1">IF(Table1[[#This Row],[County]]="North Yorkshire",Table1[[#This Row],[income]],0)</f>
        <v>0</v>
      </c>
      <c r="DA374" s="20">
        <f ca="1">IF(Table1[[#This Row],[County]]="Kent",Table1[[#This Row],[income]],0)</f>
        <v>0</v>
      </c>
      <c r="DB374" s="5">
        <f ca="1">IF(Table1[[#This Row],[County]]="Derbyshire",Table1[[#This Row],[income]],0)</f>
        <v>0</v>
      </c>
      <c r="DD374" s="6">
        <f ca="1">IF(Table1[[#This Row],[Column1]]="Health",Table1[[#This Row],[income]],0)</f>
        <v>0</v>
      </c>
      <c r="DE374" s="20">
        <f ca="1">IF(Table1[[#This Row],[Column1]]="Agriculture",Table1[[#This Row],[income]],0)</f>
        <v>0</v>
      </c>
      <c r="DF374" s="20">
        <f ca="1">IF(Table1[[#This Row],[Column1]]="Technology",Table1[[#This Row],[income]],0)</f>
        <v>0</v>
      </c>
      <c r="DG374" s="20">
        <f ca="1">IF(Table1[[#This Row],[Column1]]="Social Service",Table1[[#This Row],[income]],0)</f>
        <v>0</v>
      </c>
      <c r="DH374" s="20">
        <f ca="1">IF(Table1[[#This Row],[Column1]]="Education",Table1[[#This Row],[income]],0)</f>
        <v>0</v>
      </c>
      <c r="DI374" s="5">
        <f ca="1">IF(Table1[[#This Row],[Column1]]="Construction",Table1[[#This Row],[income]],0)</f>
        <v>82910</v>
      </c>
      <c r="DK374" s="6">
        <f ca="1">IF(Table1[[#This Row],[Value of Debts]]&gt;Table1[[#This Row],[income]],1,0)</f>
        <v>1</v>
      </c>
      <c r="DL374" s="20"/>
      <c r="DM374" s="20"/>
      <c r="DN374" s="5"/>
      <c r="DP374" s="6">
        <f ca="1">IF(Table1[[#This Row],[Net Worth (£)]]&gt;$DS$5,C374,0)</f>
        <v>0</v>
      </c>
      <c r="DQ374" s="20"/>
      <c r="DR374" s="20"/>
      <c r="DS374" s="5"/>
    </row>
    <row r="375" spans="1:123" x14ac:dyDescent="0.2">
      <c r="A375">
        <f t="shared" ca="1" si="16"/>
        <v>1</v>
      </c>
      <c r="B375" s="1" t="str">
        <f ca="1">IF(A375=1, "men", "women")</f>
        <v>men</v>
      </c>
      <c r="C375" s="1">
        <f ca="1">RANDBETWEEN(25,50)</f>
        <v>50</v>
      </c>
      <c r="D375">
        <f ca="1">RANDBETWEEN(1,6)</f>
        <v>1</v>
      </c>
      <c r="E375" t="str">
        <f ca="1">VLOOKUP(D375,$W$5:$X$10,2)</f>
        <v>Health</v>
      </c>
      <c r="F375">
        <f ca="1">RANDBETWEEN(1,5)</f>
        <v>2</v>
      </c>
      <c r="G375" t="str">
        <f ca="1">VLOOKUP(F375,$Y$5:$Z$9,2)</f>
        <v>College</v>
      </c>
      <c r="H375">
        <f ca="1">RANDBETWEEN(0,4)</f>
        <v>4</v>
      </c>
      <c r="I375">
        <f ca="1">RANDBETWEEN(1,3)</f>
        <v>2</v>
      </c>
      <c r="J375">
        <f ca="1">RANDBETWEEN(30000,100000)</f>
        <v>38420</v>
      </c>
      <c r="K375">
        <f ca="1">RANDBETWEEN(1,48)</f>
        <v>19</v>
      </c>
      <c r="L375" t="str">
        <f ca="1">VLOOKUP(K375,$AA$5:$AB$52,2)</f>
        <v>Greater Manchester</v>
      </c>
      <c r="M375">
        <f ca="1">J375*(RANDBETWEEN(2,5))</f>
        <v>115260</v>
      </c>
      <c r="N375">
        <f ca="1">RAND()*M375</f>
        <v>44144.42700768228</v>
      </c>
      <c r="O375">
        <f ca="1">I375*RAND()*J375</f>
        <v>75311.038866226765</v>
      </c>
      <c r="P375">
        <f ca="1">RANDBETWEEN(0,O375)</f>
        <v>22693</v>
      </c>
      <c r="Q375">
        <f ca="1">RAND()*J375*2</f>
        <v>69475.102142154923</v>
      </c>
      <c r="R375">
        <f ca="1">RAND()*J375*1.5</f>
        <v>8258.9532965528124</v>
      </c>
      <c r="S375">
        <f ca="1">J375+R375+O375</f>
        <v>121989.99216277958</v>
      </c>
      <c r="T375">
        <f ca="1">N375+P375+Q375</f>
        <v>136312.52914983721</v>
      </c>
      <c r="U375">
        <f ca="1">S375-T375</f>
        <v>-14322.536987057625</v>
      </c>
      <c r="AC375" s="6">
        <f ca="1">IF(Table1[[#This Row],[gender]]="men",1,0)</f>
        <v>1</v>
      </c>
      <c r="AD375">
        <f ca="1">IF(Table1[[#This Row],[gender]]="women",1,0)</f>
        <v>0</v>
      </c>
      <c r="AH375" s="5"/>
      <c r="AJ375" s="6">
        <f ca="1">IF(Table1[[#This Row],[Column1]]="Health",1,0)</f>
        <v>1</v>
      </c>
      <c r="AK375">
        <f ca="1">IF(Table1[[#This Row],[Column1]]="Construction",1,0)</f>
        <v>0</v>
      </c>
      <c r="AL375">
        <f ca="1">IF(Table1[[#This Row],[Column1]]="Technology",1,0)</f>
        <v>0</v>
      </c>
      <c r="AM375">
        <f ca="1">IF(Table1[[#This Row],[Column1]]="Education",1,0)</f>
        <v>0</v>
      </c>
      <c r="AN375">
        <f ca="1">IF(Table1[[#This Row],[Column1]]="Agriculture",1,0)</f>
        <v>0</v>
      </c>
      <c r="AO375">
        <f ca="1">IF(Table1[[#This Row],[Column1]]="Social Service", 1, 0)</f>
        <v>0</v>
      </c>
      <c r="AT375" s="5"/>
      <c r="AV375" s="17">
        <f t="shared" ca="1" si="15"/>
        <v>52088.713561851975</v>
      </c>
      <c r="AW375" s="5"/>
      <c r="AX375" s="6">
        <f ca="1">IF(Table1[[#This Row],[Value of Debts]]&gt;$AY$4,1,0)</f>
        <v>1</v>
      </c>
      <c r="AY375" s="20"/>
      <c r="AZ375" s="20"/>
      <c r="BA375" s="5"/>
      <c r="BB375" s="25">
        <f ca="1">Table1[[#This Row],[Mortage Left]]/Table1[[#This Row],[Value of House]]</f>
        <v>0.3829986726330234</v>
      </c>
      <c r="BC375" s="20">
        <f t="shared" ca="1" si="17"/>
        <v>0</v>
      </c>
      <c r="BD375" s="20"/>
      <c r="BE375" s="20"/>
      <c r="BF375" s="20"/>
      <c r="BG375" s="6">
        <f ca="1">IF(Table1[[#This Row],[County]]="Cumbria",Table1[[#This Row],[income]],0)</f>
        <v>0</v>
      </c>
      <c r="BH375" s="20">
        <f ca="1">IF(Table1[[#This Row],[County]]="Cheshire",Table1[[#This Row],[income]],0)</f>
        <v>0</v>
      </c>
      <c r="BI375" s="20">
        <f ca="1">IF(Table1[[#This Row],[County]]="Bristol",Table1[[#This Row],[income]],0)</f>
        <v>0</v>
      </c>
      <c r="BJ375" s="20">
        <f ca="1">IF(Table1[[#This Row],[County]]="Surrey",Table1[[#This Row],[income]],0)</f>
        <v>0</v>
      </c>
      <c r="BK375" s="20">
        <f ca="1">IF(Table1[[#This Row],[County]]="Norfolk",Table1[[#This Row],[income]],0)</f>
        <v>0</v>
      </c>
      <c r="BL375" s="20">
        <f ca="1">IF(Table1[[#This Row],[County]]="Lincolnshire",Table1[[#This Row],[income]],0)</f>
        <v>0</v>
      </c>
      <c r="BM375" s="20">
        <f ca="1">IF(Table1[[#This Row],[County]]="Somerset",Table1[[#This Row],[income]],0)</f>
        <v>0</v>
      </c>
      <c r="BN375" s="20">
        <f ca="1">IF(Table1[[#This Row],[County]]="Cambridgeshire",Table1[[#This Row],[income]],0)</f>
        <v>0</v>
      </c>
      <c r="BO375" s="20">
        <f ca="1">IF(Table1[[#This Row],[County]]="South Yorkshire",Table1[[#This Row],[income]],0)</f>
        <v>0</v>
      </c>
      <c r="BP375" s="20">
        <f ca="1">IF(Table1[[#This Row],[County]]="Greater London",Table1[[#This Row],[income]],0)</f>
        <v>0</v>
      </c>
      <c r="BQ375" s="20">
        <f ca="1">IF(Table1[[#This Row],[County]]="Hampshire",Table1[[#This Row],[income]],0)</f>
        <v>0</v>
      </c>
      <c r="BR375" s="20">
        <f ca="1">IF(Table1[[#This Row],[County]]="Gloucestershire",Table1[[#This Row],[income]],0)</f>
        <v>0</v>
      </c>
      <c r="BS375" s="20">
        <f ca="1">IF(Table1[[#This Row],[County]]="West Sussex",Table1[[#This Row],[income]],0)</f>
        <v>0</v>
      </c>
      <c r="BT375" s="20">
        <f ca="1">IF(Table1[[#This Row],[County]]="Devon",Table1[[#This Row],[income]],0)</f>
        <v>0</v>
      </c>
      <c r="BU375" s="20">
        <f ca="1">IF(Table1[[#This Row],[County]]="Berkshire",Table1[[#This Row],[income]],0)</f>
        <v>0</v>
      </c>
      <c r="BV375" s="20">
        <f ca="1">IF(Table1[[#This Row],[County]]="Staffordshire",Table1[[#This Row],[income]],0)</f>
        <v>0</v>
      </c>
      <c r="BW375" s="20">
        <f ca="1">IF(Table1[[#This Row],[County]]="Leicestershire",Table1[[#This Row],[income]],0)</f>
        <v>0</v>
      </c>
      <c r="BX375" s="20">
        <f ca="1">IF(Table1[[#This Row],[County]]="Cornwall",Table1[[#This Row],[income]],0)</f>
        <v>0</v>
      </c>
      <c r="BY375" s="20">
        <f ca="1">IF(Table1[[#This Row],[County]]="Isle of Wight",Table1[[#This Row],[income]],0)</f>
        <v>0</v>
      </c>
      <c r="BZ375" s="20">
        <f ca="1">IF(Table1[[#This Row],[County]]="Surrey",Table1[[#This Row],[income]],0)</f>
        <v>0</v>
      </c>
      <c r="CA375" s="20">
        <f ca="1">IF(Table1[[#This Row],[County]]="Derbyshire",Table1[[#This Row],[income]],0)</f>
        <v>0</v>
      </c>
      <c r="CB375" s="20">
        <f ca="1">IF(Table1[[#This Row],[County]]="City of London",Table1[[#This Row],[income]],0)</f>
        <v>0</v>
      </c>
      <c r="CC375" s="20">
        <f ca="1">IF(Table1[[#This Row],[County]]="Bedfordshire",Table1[[#This Row],[income]],0)</f>
        <v>0</v>
      </c>
      <c r="CD375" s="20">
        <f ca="1">IF(Table1[[#This Row],[County]]="County Durham",Table1[[#This Row],[income]],0)</f>
        <v>0</v>
      </c>
      <c r="CE375" s="20">
        <f ca="1">IF(Table1[[#This Row],[County]]="East Riding of Yorkshire",Table1[[#This Row],[income]],0)</f>
        <v>0</v>
      </c>
      <c r="CF375" s="20">
        <f ca="1">IF(Table1[[#This Row],[County]]="West Yorkshire",Table1[[#This Row],[income]],0)</f>
        <v>0</v>
      </c>
      <c r="CG375" s="20">
        <f ca="1">IF(Table1[[#This Row],[County]]="Essex",Table1[[#This Row],[income]],0)</f>
        <v>0</v>
      </c>
      <c r="CH375" s="20">
        <f ca="1">IF(Table1[[#This Row],[County]]="East Sussex",Table1[[#This Row],[income]],0)</f>
        <v>0</v>
      </c>
      <c r="CI375" s="20">
        <f ca="1">IF(Table1[[#This Row],[County]]="Greater Manchester",Table1[[#This Row],[income]],0)</f>
        <v>38420</v>
      </c>
      <c r="CJ375" s="20">
        <f ca="1">IF(Table1[[#This Row],[County]]="Hertfordshire",Table1[[#This Row],[income]],0)</f>
        <v>0</v>
      </c>
      <c r="CK375" s="20">
        <f ca="1">IF(Table1[[#This Row],[County]]="Herefordshire",Table1[[#This Row],[income]],0)</f>
        <v>0</v>
      </c>
      <c r="CL375" s="20">
        <f ca="1">IF(Table1[[#This Row],[County]]="Lancashire",Table1[[#This Row],[income]],0)</f>
        <v>0</v>
      </c>
      <c r="CM375" s="20">
        <f ca="1">IF(Table1[[#This Row],[County]]="Merseyside",Table1[[#This Row],[income]],0)</f>
        <v>0</v>
      </c>
      <c r="CN375" s="20">
        <f ca="1">IF(Table1[[#This Row],[County]]="Northamptonshire",Table1[[#This Row],[income]],0)</f>
        <v>0</v>
      </c>
      <c r="CO375" s="20">
        <f ca="1">IF(Table1[[#This Row],[County]]="Northumberland",Table1[[#This Row],[income]],0)</f>
        <v>0</v>
      </c>
      <c r="CP375" s="20">
        <f ca="1">IF(Table1[[#This Row],[County]]="Wiltshire",Table1[[#This Row],[income]],0)</f>
        <v>0</v>
      </c>
      <c r="CQ375" s="20">
        <f ca="1">IF(Table1[[#This Row],[County]]="West Midlands",Table1[[#This Row],[income]],0)</f>
        <v>0</v>
      </c>
      <c r="CR375" s="20">
        <f ca="1">IF(Table1[[#This Row],[County]]="Warwickshire",Table1[[#This Row],[income]],0)</f>
        <v>0</v>
      </c>
      <c r="CS375" s="20">
        <f ca="1">IF(Table1[[#This Row],[County]]="Tyne and Wear",Table1[[#This Row],[income]],0)</f>
        <v>0</v>
      </c>
      <c r="CT375" s="20">
        <f ca="1">IF(Table1[[#This Row],[County]]="Worcestershire",Table1[[#This Row],[income]],0)</f>
        <v>0</v>
      </c>
      <c r="CU375" s="20">
        <f ca="1">IF(Table1[[#This Row],[County]]="Rutland",Table1[[#This Row],[income]],0)</f>
        <v>0</v>
      </c>
      <c r="CV375" s="20">
        <f ca="1">IF(Table1[[#This Row],[County]]="Shropshire",Table1[[#This Row],[income]],0)</f>
        <v>0</v>
      </c>
      <c r="CW375" s="20">
        <f ca="1">IF(Table1[[#This Row],[County]]="Dorset",Table1[[#This Row],[income]],0)</f>
        <v>0</v>
      </c>
      <c r="CX375" s="20">
        <f ca="1">IF(Table1[[#This Row],[County]]="Buckinghamshire",Table1[[#This Row],[income]],0)</f>
        <v>0</v>
      </c>
      <c r="CY375" s="20">
        <f ca="1">IF(Table1[[#This Row],[County]]="Suffolk",Table1[[#This Row],[income]],0)</f>
        <v>0</v>
      </c>
      <c r="CZ375" s="20">
        <f ca="1">IF(Table1[[#This Row],[County]]="North Yorkshire",Table1[[#This Row],[income]],0)</f>
        <v>0</v>
      </c>
      <c r="DA375" s="20">
        <f ca="1">IF(Table1[[#This Row],[County]]="Kent",Table1[[#This Row],[income]],0)</f>
        <v>0</v>
      </c>
      <c r="DB375" s="5">
        <f ca="1">IF(Table1[[#This Row],[County]]="Derbyshire",Table1[[#This Row],[income]],0)</f>
        <v>0</v>
      </c>
      <c r="DD375" s="6">
        <f ca="1">IF(Table1[[#This Row],[Column1]]="Health",Table1[[#This Row],[income]],0)</f>
        <v>38420</v>
      </c>
      <c r="DE375" s="20">
        <f ca="1">IF(Table1[[#This Row],[Column1]]="Agriculture",Table1[[#This Row],[income]],0)</f>
        <v>0</v>
      </c>
      <c r="DF375" s="20">
        <f ca="1">IF(Table1[[#This Row],[Column1]]="Technology",Table1[[#This Row],[income]],0)</f>
        <v>0</v>
      </c>
      <c r="DG375" s="20">
        <f ca="1">IF(Table1[[#This Row],[Column1]]="Social Service",Table1[[#This Row],[income]],0)</f>
        <v>0</v>
      </c>
      <c r="DH375" s="20">
        <f ca="1">IF(Table1[[#This Row],[Column1]]="Education",Table1[[#This Row],[income]],0)</f>
        <v>0</v>
      </c>
      <c r="DI375" s="5">
        <f ca="1">IF(Table1[[#This Row],[Column1]]="Construction",Table1[[#This Row],[income]],0)</f>
        <v>0</v>
      </c>
      <c r="DK375" s="6">
        <f ca="1">IF(Table1[[#This Row],[Value of Debts]]&gt;Table1[[#This Row],[income]],1,0)</f>
        <v>1</v>
      </c>
      <c r="DL375" s="20"/>
      <c r="DM375" s="20"/>
      <c r="DN375" s="5"/>
      <c r="DP375" s="6">
        <f ca="1">IF(Table1[[#This Row],[Net Worth (£)]]&gt;$DS$5,C375,0)</f>
        <v>0</v>
      </c>
      <c r="DQ375" s="20"/>
      <c r="DR375" s="20"/>
      <c r="DS375" s="5"/>
    </row>
    <row r="376" spans="1:123" x14ac:dyDescent="0.2">
      <c r="A376">
        <f t="shared" ca="1" si="16"/>
        <v>2</v>
      </c>
      <c r="B376" s="1" t="str">
        <f ca="1">IF(A376=1, "men", "women")</f>
        <v>women</v>
      </c>
      <c r="C376" s="1">
        <f ca="1">RANDBETWEEN(25,50)</f>
        <v>31</v>
      </c>
      <c r="D376">
        <f ca="1">RANDBETWEEN(1,6)</f>
        <v>2</v>
      </c>
      <c r="E376" t="str">
        <f ca="1">VLOOKUP(D376,$W$5:$X$10,2)</f>
        <v>Construction</v>
      </c>
      <c r="F376">
        <f ca="1">RANDBETWEEN(1,5)</f>
        <v>1</v>
      </c>
      <c r="G376" t="str">
        <f ca="1">VLOOKUP(F376,$Y$5:$Z$9,2)</f>
        <v>High School</v>
      </c>
      <c r="H376">
        <f ca="1">RANDBETWEEN(0,4)</f>
        <v>1</v>
      </c>
      <c r="I376">
        <f ca="1">RANDBETWEEN(1,3)</f>
        <v>2</v>
      </c>
      <c r="J376">
        <f ca="1">RANDBETWEEN(30000,100000)</f>
        <v>78010</v>
      </c>
      <c r="K376">
        <f ca="1">RANDBETWEEN(1,48)</f>
        <v>2</v>
      </c>
      <c r="L376" t="str">
        <f ca="1">VLOOKUP(K376,$AA$5:$AB$52,2)</f>
        <v>Berkshire</v>
      </c>
      <c r="M376">
        <f ca="1">J376*(RANDBETWEEN(2,5))</f>
        <v>390050</v>
      </c>
      <c r="N376">
        <f ca="1">RAND()*M376</f>
        <v>122978.87511154007</v>
      </c>
      <c r="O376">
        <f ca="1">I376*RAND()*J376</f>
        <v>104177.42712370395</v>
      </c>
      <c r="P376">
        <f ca="1">RANDBETWEEN(0,O376)</f>
        <v>81156</v>
      </c>
      <c r="Q376">
        <f ca="1">RAND()*J376*2</f>
        <v>40798.062601017336</v>
      </c>
      <c r="R376">
        <f ca="1">RAND()*J376*1.5</f>
        <v>105736.40371006433</v>
      </c>
      <c r="S376">
        <f ca="1">J376+R376+O376</f>
        <v>287923.8308337683</v>
      </c>
      <c r="T376">
        <f ca="1">N376+P376+Q376</f>
        <v>244932.93771255741</v>
      </c>
      <c r="U376">
        <f ca="1">S376-T376</f>
        <v>42990.893121210887</v>
      </c>
      <c r="AC376" s="6">
        <f ca="1">IF(Table1[[#This Row],[gender]]="men",1,0)</f>
        <v>0</v>
      </c>
      <c r="AD376">
        <f ca="1">IF(Table1[[#This Row],[gender]]="women",1,0)</f>
        <v>1</v>
      </c>
      <c r="AH376" s="5"/>
      <c r="AJ376" s="6">
        <f ca="1">IF(Table1[[#This Row],[Column1]]="Health",1,0)</f>
        <v>0</v>
      </c>
      <c r="AK376">
        <f ca="1">IF(Table1[[#This Row],[Column1]]="Construction",1,0)</f>
        <v>1</v>
      </c>
      <c r="AL376">
        <f ca="1">IF(Table1[[#This Row],[Column1]]="Technology",1,0)</f>
        <v>0</v>
      </c>
      <c r="AM376">
        <f ca="1">IF(Table1[[#This Row],[Column1]]="Education",1,0)</f>
        <v>0</v>
      </c>
      <c r="AN376">
        <f ca="1">IF(Table1[[#This Row],[Column1]]="Agriculture",1,0)</f>
        <v>0</v>
      </c>
      <c r="AO376">
        <f ca="1">IF(Table1[[#This Row],[Column1]]="Social Service", 1, 0)</f>
        <v>0</v>
      </c>
      <c r="AT376" s="5"/>
      <c r="AV376" s="17">
        <f t="shared" ca="1" si="15"/>
        <v>28522.821293185203</v>
      </c>
      <c r="AW376" s="5"/>
      <c r="AX376" s="6">
        <f ca="1">IF(Table1[[#This Row],[Value of Debts]]&gt;$AY$4,1,0)</f>
        <v>1</v>
      </c>
      <c r="AY376" s="20"/>
      <c r="AZ376" s="20"/>
      <c r="BA376" s="5"/>
      <c r="BB376" s="25">
        <f ca="1">Table1[[#This Row],[Mortage Left]]/Table1[[#This Row],[Value of House]]</f>
        <v>0.31529002720558919</v>
      </c>
      <c r="BC376" s="20">
        <f t="shared" ca="1" si="17"/>
        <v>0</v>
      </c>
      <c r="BD376" s="20"/>
      <c r="BE376" s="20"/>
      <c r="BF376" s="20"/>
      <c r="BG376" s="6">
        <f ca="1">IF(Table1[[#This Row],[County]]="Cumbria",Table1[[#This Row],[income]],0)</f>
        <v>0</v>
      </c>
      <c r="BH376" s="20">
        <f ca="1">IF(Table1[[#This Row],[County]]="Cheshire",Table1[[#This Row],[income]],0)</f>
        <v>0</v>
      </c>
      <c r="BI376" s="20">
        <f ca="1">IF(Table1[[#This Row],[County]]="Bristol",Table1[[#This Row],[income]],0)</f>
        <v>0</v>
      </c>
      <c r="BJ376" s="20">
        <f ca="1">IF(Table1[[#This Row],[County]]="Surrey",Table1[[#This Row],[income]],0)</f>
        <v>0</v>
      </c>
      <c r="BK376" s="20">
        <f ca="1">IF(Table1[[#This Row],[County]]="Norfolk",Table1[[#This Row],[income]],0)</f>
        <v>0</v>
      </c>
      <c r="BL376" s="20">
        <f ca="1">IF(Table1[[#This Row],[County]]="Lincolnshire",Table1[[#This Row],[income]],0)</f>
        <v>0</v>
      </c>
      <c r="BM376" s="20">
        <f ca="1">IF(Table1[[#This Row],[County]]="Somerset",Table1[[#This Row],[income]],0)</f>
        <v>0</v>
      </c>
      <c r="BN376" s="20">
        <f ca="1">IF(Table1[[#This Row],[County]]="Cambridgeshire",Table1[[#This Row],[income]],0)</f>
        <v>0</v>
      </c>
      <c r="BO376" s="20">
        <f ca="1">IF(Table1[[#This Row],[County]]="South Yorkshire",Table1[[#This Row],[income]],0)</f>
        <v>0</v>
      </c>
      <c r="BP376" s="20">
        <f ca="1">IF(Table1[[#This Row],[County]]="Greater London",Table1[[#This Row],[income]],0)</f>
        <v>0</v>
      </c>
      <c r="BQ376" s="20">
        <f ca="1">IF(Table1[[#This Row],[County]]="Hampshire",Table1[[#This Row],[income]],0)</f>
        <v>0</v>
      </c>
      <c r="BR376" s="20">
        <f ca="1">IF(Table1[[#This Row],[County]]="Gloucestershire",Table1[[#This Row],[income]],0)</f>
        <v>0</v>
      </c>
      <c r="BS376" s="20">
        <f ca="1">IF(Table1[[#This Row],[County]]="West Sussex",Table1[[#This Row],[income]],0)</f>
        <v>0</v>
      </c>
      <c r="BT376" s="20">
        <f ca="1">IF(Table1[[#This Row],[County]]="Devon",Table1[[#This Row],[income]],0)</f>
        <v>0</v>
      </c>
      <c r="BU376" s="20">
        <f ca="1">IF(Table1[[#This Row],[County]]="Berkshire",Table1[[#This Row],[income]],0)</f>
        <v>78010</v>
      </c>
      <c r="BV376" s="20">
        <f ca="1">IF(Table1[[#This Row],[County]]="Staffordshire",Table1[[#This Row],[income]],0)</f>
        <v>0</v>
      </c>
      <c r="BW376" s="20">
        <f ca="1">IF(Table1[[#This Row],[County]]="Leicestershire",Table1[[#This Row],[income]],0)</f>
        <v>0</v>
      </c>
      <c r="BX376" s="20">
        <f ca="1">IF(Table1[[#This Row],[County]]="Cornwall",Table1[[#This Row],[income]],0)</f>
        <v>0</v>
      </c>
      <c r="BY376" s="20">
        <f ca="1">IF(Table1[[#This Row],[County]]="Isle of Wight",Table1[[#This Row],[income]],0)</f>
        <v>0</v>
      </c>
      <c r="BZ376" s="20">
        <f ca="1">IF(Table1[[#This Row],[County]]="Surrey",Table1[[#This Row],[income]],0)</f>
        <v>0</v>
      </c>
      <c r="CA376" s="20">
        <f ca="1">IF(Table1[[#This Row],[County]]="Derbyshire",Table1[[#This Row],[income]],0)</f>
        <v>0</v>
      </c>
      <c r="CB376" s="20">
        <f ca="1">IF(Table1[[#This Row],[County]]="City of London",Table1[[#This Row],[income]],0)</f>
        <v>0</v>
      </c>
      <c r="CC376" s="20">
        <f ca="1">IF(Table1[[#This Row],[County]]="Bedfordshire",Table1[[#This Row],[income]],0)</f>
        <v>0</v>
      </c>
      <c r="CD376" s="20">
        <f ca="1">IF(Table1[[#This Row],[County]]="County Durham",Table1[[#This Row],[income]],0)</f>
        <v>0</v>
      </c>
      <c r="CE376" s="20">
        <f ca="1">IF(Table1[[#This Row],[County]]="East Riding of Yorkshire",Table1[[#This Row],[income]],0)</f>
        <v>0</v>
      </c>
      <c r="CF376" s="20">
        <f ca="1">IF(Table1[[#This Row],[County]]="West Yorkshire",Table1[[#This Row],[income]],0)</f>
        <v>0</v>
      </c>
      <c r="CG376" s="20">
        <f ca="1">IF(Table1[[#This Row],[County]]="Essex",Table1[[#This Row],[income]],0)</f>
        <v>0</v>
      </c>
      <c r="CH376" s="20">
        <f ca="1">IF(Table1[[#This Row],[County]]="East Sussex",Table1[[#This Row],[income]],0)</f>
        <v>0</v>
      </c>
      <c r="CI376" s="20">
        <f ca="1">IF(Table1[[#This Row],[County]]="Greater Manchester",Table1[[#This Row],[income]],0)</f>
        <v>0</v>
      </c>
      <c r="CJ376" s="20">
        <f ca="1">IF(Table1[[#This Row],[County]]="Hertfordshire",Table1[[#This Row],[income]],0)</f>
        <v>0</v>
      </c>
      <c r="CK376" s="20">
        <f ca="1">IF(Table1[[#This Row],[County]]="Herefordshire",Table1[[#This Row],[income]],0)</f>
        <v>0</v>
      </c>
      <c r="CL376" s="20">
        <f ca="1">IF(Table1[[#This Row],[County]]="Lancashire",Table1[[#This Row],[income]],0)</f>
        <v>0</v>
      </c>
      <c r="CM376" s="20">
        <f ca="1">IF(Table1[[#This Row],[County]]="Merseyside",Table1[[#This Row],[income]],0)</f>
        <v>0</v>
      </c>
      <c r="CN376" s="20">
        <f ca="1">IF(Table1[[#This Row],[County]]="Northamptonshire",Table1[[#This Row],[income]],0)</f>
        <v>0</v>
      </c>
      <c r="CO376" s="20">
        <f ca="1">IF(Table1[[#This Row],[County]]="Northumberland",Table1[[#This Row],[income]],0)</f>
        <v>0</v>
      </c>
      <c r="CP376" s="20">
        <f ca="1">IF(Table1[[#This Row],[County]]="Wiltshire",Table1[[#This Row],[income]],0)</f>
        <v>0</v>
      </c>
      <c r="CQ376" s="20">
        <f ca="1">IF(Table1[[#This Row],[County]]="West Midlands",Table1[[#This Row],[income]],0)</f>
        <v>0</v>
      </c>
      <c r="CR376" s="20">
        <f ca="1">IF(Table1[[#This Row],[County]]="Warwickshire",Table1[[#This Row],[income]],0)</f>
        <v>0</v>
      </c>
      <c r="CS376" s="20">
        <f ca="1">IF(Table1[[#This Row],[County]]="Tyne and Wear",Table1[[#This Row],[income]],0)</f>
        <v>0</v>
      </c>
      <c r="CT376" s="20">
        <f ca="1">IF(Table1[[#This Row],[County]]="Worcestershire",Table1[[#This Row],[income]],0)</f>
        <v>0</v>
      </c>
      <c r="CU376" s="20">
        <f ca="1">IF(Table1[[#This Row],[County]]="Rutland",Table1[[#This Row],[income]],0)</f>
        <v>0</v>
      </c>
      <c r="CV376" s="20">
        <f ca="1">IF(Table1[[#This Row],[County]]="Shropshire",Table1[[#This Row],[income]],0)</f>
        <v>0</v>
      </c>
      <c r="CW376" s="20">
        <f ca="1">IF(Table1[[#This Row],[County]]="Dorset",Table1[[#This Row],[income]],0)</f>
        <v>0</v>
      </c>
      <c r="CX376" s="20">
        <f ca="1">IF(Table1[[#This Row],[County]]="Buckinghamshire",Table1[[#This Row],[income]],0)</f>
        <v>0</v>
      </c>
      <c r="CY376" s="20">
        <f ca="1">IF(Table1[[#This Row],[County]]="Suffolk",Table1[[#This Row],[income]],0)</f>
        <v>0</v>
      </c>
      <c r="CZ376" s="20">
        <f ca="1">IF(Table1[[#This Row],[County]]="North Yorkshire",Table1[[#This Row],[income]],0)</f>
        <v>0</v>
      </c>
      <c r="DA376" s="20">
        <f ca="1">IF(Table1[[#This Row],[County]]="Kent",Table1[[#This Row],[income]],0)</f>
        <v>0</v>
      </c>
      <c r="DB376" s="5">
        <f ca="1">IF(Table1[[#This Row],[County]]="Derbyshire",Table1[[#This Row],[income]],0)</f>
        <v>0</v>
      </c>
      <c r="DD376" s="6">
        <f ca="1">IF(Table1[[#This Row],[Column1]]="Health",Table1[[#This Row],[income]],0)</f>
        <v>0</v>
      </c>
      <c r="DE376" s="20">
        <f ca="1">IF(Table1[[#This Row],[Column1]]="Agriculture",Table1[[#This Row],[income]],0)</f>
        <v>0</v>
      </c>
      <c r="DF376" s="20">
        <f ca="1">IF(Table1[[#This Row],[Column1]]="Technology",Table1[[#This Row],[income]],0)</f>
        <v>0</v>
      </c>
      <c r="DG376" s="20">
        <f ca="1">IF(Table1[[#This Row],[Column1]]="Social Service",Table1[[#This Row],[income]],0)</f>
        <v>0</v>
      </c>
      <c r="DH376" s="20">
        <f ca="1">IF(Table1[[#This Row],[Column1]]="Education",Table1[[#This Row],[income]],0)</f>
        <v>0</v>
      </c>
      <c r="DI376" s="5">
        <f ca="1">IF(Table1[[#This Row],[Column1]]="Construction",Table1[[#This Row],[income]],0)</f>
        <v>78010</v>
      </c>
      <c r="DK376" s="6">
        <f ca="1">IF(Table1[[#This Row],[Value of Debts]]&gt;Table1[[#This Row],[income]],1,0)</f>
        <v>1</v>
      </c>
      <c r="DL376" s="20"/>
      <c r="DM376" s="20"/>
      <c r="DN376" s="5"/>
      <c r="DP376" s="6">
        <f ca="1">IF(Table1[[#This Row],[Net Worth (£)]]&gt;$DS$5,C376,0)</f>
        <v>0</v>
      </c>
      <c r="DQ376" s="20"/>
      <c r="DR376" s="20"/>
      <c r="DS376" s="5"/>
    </row>
    <row r="377" spans="1:123" x14ac:dyDescent="0.2">
      <c r="A377">
        <f t="shared" ca="1" si="16"/>
        <v>1</v>
      </c>
      <c r="B377" s="1" t="str">
        <f ca="1">IF(A377=1, "men", "women")</f>
        <v>men</v>
      </c>
      <c r="C377" s="1">
        <f ca="1">RANDBETWEEN(25,50)</f>
        <v>29</v>
      </c>
      <c r="D377">
        <f ca="1">RANDBETWEEN(1,6)</f>
        <v>1</v>
      </c>
      <c r="E377" t="str">
        <f ca="1">VLOOKUP(D377,$W$5:$X$10,2)</f>
        <v>Health</v>
      </c>
      <c r="F377">
        <f ca="1">RANDBETWEEN(1,5)</f>
        <v>2</v>
      </c>
      <c r="G377" t="str">
        <f ca="1">VLOOKUP(F377,$Y$5:$Z$9,2)</f>
        <v>College</v>
      </c>
      <c r="H377">
        <f ca="1">RANDBETWEEN(0,4)</f>
        <v>4</v>
      </c>
      <c r="I377">
        <f ca="1">RANDBETWEEN(1,3)</f>
        <v>2</v>
      </c>
      <c r="J377">
        <f ca="1">RANDBETWEEN(30000,100000)</f>
        <v>64777</v>
      </c>
      <c r="K377">
        <f ca="1">RANDBETWEEN(1,48)</f>
        <v>47</v>
      </c>
      <c r="L377" t="str">
        <f ca="1">VLOOKUP(K377,$AA$5:$AB$52,2)</f>
        <v>Wiltshire</v>
      </c>
      <c r="M377">
        <f ca="1">J377*(RANDBETWEEN(2,5))</f>
        <v>194331</v>
      </c>
      <c r="N377">
        <f ca="1">RAND()*M377</f>
        <v>29063.950979205962</v>
      </c>
      <c r="O377">
        <f ca="1">I377*RAND()*J377</f>
        <v>57045.642586370406</v>
      </c>
      <c r="P377">
        <f ca="1">RANDBETWEEN(0,O377)</f>
        <v>17839</v>
      </c>
      <c r="Q377">
        <f ca="1">RAND()*J377*2</f>
        <v>32822.911265480725</v>
      </c>
      <c r="R377">
        <f ca="1">RAND()*J377*1.5</f>
        <v>34047.951877491258</v>
      </c>
      <c r="S377">
        <f ca="1">J377+R377+O377</f>
        <v>155870.59446386166</v>
      </c>
      <c r="T377">
        <f ca="1">N377+P377+Q377</f>
        <v>79725.862244686694</v>
      </c>
      <c r="U377">
        <f ca="1">S377-T377</f>
        <v>76144.73221917497</v>
      </c>
      <c r="AC377" s="6">
        <f ca="1">IF(Table1[[#This Row],[gender]]="men",1,0)</f>
        <v>1</v>
      </c>
      <c r="AD377">
        <f ca="1">IF(Table1[[#This Row],[gender]]="women",1,0)</f>
        <v>0</v>
      </c>
      <c r="AH377" s="5"/>
      <c r="AJ377" s="6">
        <f ca="1">IF(Table1[[#This Row],[Column1]]="Health",1,0)</f>
        <v>1</v>
      </c>
      <c r="AK377">
        <f ca="1">IF(Table1[[#This Row],[Column1]]="Construction",1,0)</f>
        <v>0</v>
      </c>
      <c r="AL377">
        <f ca="1">IF(Table1[[#This Row],[Column1]]="Technology",1,0)</f>
        <v>0</v>
      </c>
      <c r="AM377">
        <f ca="1">IF(Table1[[#This Row],[Column1]]="Education",1,0)</f>
        <v>0</v>
      </c>
      <c r="AN377">
        <f ca="1">IF(Table1[[#This Row],[Column1]]="Agriculture",1,0)</f>
        <v>0</v>
      </c>
      <c r="AO377">
        <f ca="1">IF(Table1[[#This Row],[Column1]]="Social Service", 1, 0)</f>
        <v>0</v>
      </c>
      <c r="AT377" s="5"/>
      <c r="AV377" s="17">
        <f t="shared" ca="1" si="15"/>
        <v>15570.301045228376</v>
      </c>
      <c r="AW377" s="5"/>
      <c r="AX377" s="6">
        <f ca="1">IF(Table1[[#This Row],[Value of Debts]]&gt;$AY$4,1,0)</f>
        <v>0</v>
      </c>
      <c r="AY377" s="20"/>
      <c r="AZ377" s="20"/>
      <c r="BA377" s="5"/>
      <c r="BB377" s="25">
        <f ca="1">Table1[[#This Row],[Mortage Left]]/Table1[[#This Row],[Value of House]]</f>
        <v>0.14955900488962626</v>
      </c>
      <c r="BC377" s="20">
        <f t="shared" ca="1" si="17"/>
        <v>1</v>
      </c>
      <c r="BD377" s="20"/>
      <c r="BE377" s="20"/>
      <c r="BF377" s="20"/>
      <c r="BG377" s="6">
        <f ca="1">IF(Table1[[#This Row],[County]]="Cumbria",Table1[[#This Row],[income]],0)</f>
        <v>0</v>
      </c>
      <c r="BH377" s="20">
        <f ca="1">IF(Table1[[#This Row],[County]]="Cheshire",Table1[[#This Row],[income]],0)</f>
        <v>0</v>
      </c>
      <c r="BI377" s="20">
        <f ca="1">IF(Table1[[#This Row],[County]]="Bristol",Table1[[#This Row],[income]],0)</f>
        <v>0</v>
      </c>
      <c r="BJ377" s="20">
        <f ca="1">IF(Table1[[#This Row],[County]]="Surrey",Table1[[#This Row],[income]],0)</f>
        <v>0</v>
      </c>
      <c r="BK377" s="20">
        <f ca="1">IF(Table1[[#This Row],[County]]="Norfolk",Table1[[#This Row],[income]],0)</f>
        <v>0</v>
      </c>
      <c r="BL377" s="20">
        <f ca="1">IF(Table1[[#This Row],[County]]="Lincolnshire",Table1[[#This Row],[income]],0)</f>
        <v>0</v>
      </c>
      <c r="BM377" s="20">
        <f ca="1">IF(Table1[[#This Row],[County]]="Somerset",Table1[[#This Row],[income]],0)</f>
        <v>0</v>
      </c>
      <c r="BN377" s="20">
        <f ca="1">IF(Table1[[#This Row],[County]]="Cambridgeshire",Table1[[#This Row],[income]],0)</f>
        <v>0</v>
      </c>
      <c r="BO377" s="20">
        <f ca="1">IF(Table1[[#This Row],[County]]="South Yorkshire",Table1[[#This Row],[income]],0)</f>
        <v>0</v>
      </c>
      <c r="BP377" s="20">
        <f ca="1">IF(Table1[[#This Row],[County]]="Greater London",Table1[[#This Row],[income]],0)</f>
        <v>0</v>
      </c>
      <c r="BQ377" s="20">
        <f ca="1">IF(Table1[[#This Row],[County]]="Hampshire",Table1[[#This Row],[income]],0)</f>
        <v>0</v>
      </c>
      <c r="BR377" s="20">
        <f ca="1">IF(Table1[[#This Row],[County]]="Gloucestershire",Table1[[#This Row],[income]],0)</f>
        <v>0</v>
      </c>
      <c r="BS377" s="20">
        <f ca="1">IF(Table1[[#This Row],[County]]="West Sussex",Table1[[#This Row],[income]],0)</f>
        <v>0</v>
      </c>
      <c r="BT377" s="20">
        <f ca="1">IF(Table1[[#This Row],[County]]="Devon",Table1[[#This Row],[income]],0)</f>
        <v>0</v>
      </c>
      <c r="BU377" s="20">
        <f ca="1">IF(Table1[[#This Row],[County]]="Berkshire",Table1[[#This Row],[income]],0)</f>
        <v>0</v>
      </c>
      <c r="BV377" s="20">
        <f ca="1">IF(Table1[[#This Row],[County]]="Staffordshire",Table1[[#This Row],[income]],0)</f>
        <v>0</v>
      </c>
      <c r="BW377" s="20">
        <f ca="1">IF(Table1[[#This Row],[County]]="Leicestershire",Table1[[#This Row],[income]],0)</f>
        <v>0</v>
      </c>
      <c r="BX377" s="20">
        <f ca="1">IF(Table1[[#This Row],[County]]="Cornwall",Table1[[#This Row],[income]],0)</f>
        <v>0</v>
      </c>
      <c r="BY377" s="20">
        <f ca="1">IF(Table1[[#This Row],[County]]="Isle of Wight",Table1[[#This Row],[income]],0)</f>
        <v>0</v>
      </c>
      <c r="BZ377" s="20">
        <f ca="1">IF(Table1[[#This Row],[County]]="Surrey",Table1[[#This Row],[income]],0)</f>
        <v>0</v>
      </c>
      <c r="CA377" s="20">
        <f ca="1">IF(Table1[[#This Row],[County]]="Derbyshire",Table1[[#This Row],[income]],0)</f>
        <v>0</v>
      </c>
      <c r="CB377" s="20">
        <f ca="1">IF(Table1[[#This Row],[County]]="City of London",Table1[[#This Row],[income]],0)</f>
        <v>0</v>
      </c>
      <c r="CC377" s="20">
        <f ca="1">IF(Table1[[#This Row],[County]]="Bedfordshire",Table1[[#This Row],[income]],0)</f>
        <v>0</v>
      </c>
      <c r="CD377" s="20">
        <f ca="1">IF(Table1[[#This Row],[County]]="County Durham",Table1[[#This Row],[income]],0)</f>
        <v>0</v>
      </c>
      <c r="CE377" s="20">
        <f ca="1">IF(Table1[[#This Row],[County]]="East Riding of Yorkshire",Table1[[#This Row],[income]],0)</f>
        <v>0</v>
      </c>
      <c r="CF377" s="20">
        <f ca="1">IF(Table1[[#This Row],[County]]="West Yorkshire",Table1[[#This Row],[income]],0)</f>
        <v>0</v>
      </c>
      <c r="CG377" s="20">
        <f ca="1">IF(Table1[[#This Row],[County]]="Essex",Table1[[#This Row],[income]],0)</f>
        <v>0</v>
      </c>
      <c r="CH377" s="20">
        <f ca="1">IF(Table1[[#This Row],[County]]="East Sussex",Table1[[#This Row],[income]],0)</f>
        <v>0</v>
      </c>
      <c r="CI377" s="20">
        <f ca="1">IF(Table1[[#This Row],[County]]="Greater Manchester",Table1[[#This Row],[income]],0)</f>
        <v>0</v>
      </c>
      <c r="CJ377" s="20">
        <f ca="1">IF(Table1[[#This Row],[County]]="Hertfordshire",Table1[[#This Row],[income]],0)</f>
        <v>0</v>
      </c>
      <c r="CK377" s="20">
        <f ca="1">IF(Table1[[#This Row],[County]]="Herefordshire",Table1[[#This Row],[income]],0)</f>
        <v>0</v>
      </c>
      <c r="CL377" s="20">
        <f ca="1">IF(Table1[[#This Row],[County]]="Lancashire",Table1[[#This Row],[income]],0)</f>
        <v>0</v>
      </c>
      <c r="CM377" s="20">
        <f ca="1">IF(Table1[[#This Row],[County]]="Merseyside",Table1[[#This Row],[income]],0)</f>
        <v>0</v>
      </c>
      <c r="CN377" s="20">
        <f ca="1">IF(Table1[[#This Row],[County]]="Northamptonshire",Table1[[#This Row],[income]],0)</f>
        <v>0</v>
      </c>
      <c r="CO377" s="20">
        <f ca="1">IF(Table1[[#This Row],[County]]="Northumberland",Table1[[#This Row],[income]],0)</f>
        <v>0</v>
      </c>
      <c r="CP377" s="20">
        <f ca="1">IF(Table1[[#This Row],[County]]="Wiltshire",Table1[[#This Row],[income]],0)</f>
        <v>64777</v>
      </c>
      <c r="CQ377" s="20">
        <f ca="1">IF(Table1[[#This Row],[County]]="West Midlands",Table1[[#This Row],[income]],0)</f>
        <v>0</v>
      </c>
      <c r="CR377" s="20">
        <f ca="1">IF(Table1[[#This Row],[County]]="Warwickshire",Table1[[#This Row],[income]],0)</f>
        <v>0</v>
      </c>
      <c r="CS377" s="20">
        <f ca="1">IF(Table1[[#This Row],[County]]="Tyne and Wear",Table1[[#This Row],[income]],0)</f>
        <v>0</v>
      </c>
      <c r="CT377" s="20">
        <f ca="1">IF(Table1[[#This Row],[County]]="Worcestershire",Table1[[#This Row],[income]],0)</f>
        <v>0</v>
      </c>
      <c r="CU377" s="20">
        <f ca="1">IF(Table1[[#This Row],[County]]="Rutland",Table1[[#This Row],[income]],0)</f>
        <v>0</v>
      </c>
      <c r="CV377" s="20">
        <f ca="1">IF(Table1[[#This Row],[County]]="Shropshire",Table1[[#This Row],[income]],0)</f>
        <v>0</v>
      </c>
      <c r="CW377" s="20">
        <f ca="1">IF(Table1[[#This Row],[County]]="Dorset",Table1[[#This Row],[income]],0)</f>
        <v>0</v>
      </c>
      <c r="CX377" s="20">
        <f ca="1">IF(Table1[[#This Row],[County]]="Buckinghamshire",Table1[[#This Row],[income]],0)</f>
        <v>0</v>
      </c>
      <c r="CY377" s="20">
        <f ca="1">IF(Table1[[#This Row],[County]]="Suffolk",Table1[[#This Row],[income]],0)</f>
        <v>0</v>
      </c>
      <c r="CZ377" s="20">
        <f ca="1">IF(Table1[[#This Row],[County]]="North Yorkshire",Table1[[#This Row],[income]],0)</f>
        <v>0</v>
      </c>
      <c r="DA377" s="20">
        <f ca="1">IF(Table1[[#This Row],[County]]="Kent",Table1[[#This Row],[income]],0)</f>
        <v>0</v>
      </c>
      <c r="DB377" s="5">
        <f ca="1">IF(Table1[[#This Row],[County]]="Derbyshire",Table1[[#This Row],[income]],0)</f>
        <v>0</v>
      </c>
      <c r="DD377" s="6">
        <f ca="1">IF(Table1[[#This Row],[Column1]]="Health",Table1[[#This Row],[income]],0)</f>
        <v>64777</v>
      </c>
      <c r="DE377" s="20">
        <f ca="1">IF(Table1[[#This Row],[Column1]]="Agriculture",Table1[[#This Row],[income]],0)</f>
        <v>0</v>
      </c>
      <c r="DF377" s="20">
        <f ca="1">IF(Table1[[#This Row],[Column1]]="Technology",Table1[[#This Row],[income]],0)</f>
        <v>0</v>
      </c>
      <c r="DG377" s="20">
        <f ca="1">IF(Table1[[#This Row],[Column1]]="Social Service",Table1[[#This Row],[income]],0)</f>
        <v>0</v>
      </c>
      <c r="DH377" s="20">
        <f ca="1">IF(Table1[[#This Row],[Column1]]="Education",Table1[[#This Row],[income]],0)</f>
        <v>0</v>
      </c>
      <c r="DI377" s="5">
        <f ca="1">IF(Table1[[#This Row],[Column1]]="Construction",Table1[[#This Row],[income]],0)</f>
        <v>0</v>
      </c>
      <c r="DK377" s="6">
        <f ca="1">IF(Table1[[#This Row],[Value of Debts]]&gt;Table1[[#This Row],[income]],1,0)</f>
        <v>1</v>
      </c>
      <c r="DL377" s="20"/>
      <c r="DM377" s="20"/>
      <c r="DN377" s="5"/>
      <c r="DP377" s="6">
        <f ca="1">IF(Table1[[#This Row],[Net Worth (£)]]&gt;$DS$5,C377,0)</f>
        <v>29</v>
      </c>
      <c r="DQ377" s="20"/>
      <c r="DR377" s="20"/>
      <c r="DS377" s="5"/>
    </row>
    <row r="378" spans="1:123" x14ac:dyDescent="0.2">
      <c r="A378">
        <f t="shared" ca="1" si="16"/>
        <v>1</v>
      </c>
      <c r="B378" s="1" t="str">
        <f ca="1">IF(A378=1, "men", "women")</f>
        <v>men</v>
      </c>
      <c r="C378" s="1">
        <f ca="1">RANDBETWEEN(25,50)</f>
        <v>41</v>
      </c>
      <c r="D378">
        <f ca="1">RANDBETWEEN(1,6)</f>
        <v>6</v>
      </c>
      <c r="E378" t="str">
        <f ca="1">VLOOKUP(D378,$W$5:$X$10,2)</f>
        <v>Agriculture</v>
      </c>
      <c r="F378">
        <f ca="1">RANDBETWEEN(1,5)</f>
        <v>1</v>
      </c>
      <c r="G378" t="str">
        <f ca="1">VLOOKUP(F378,$Y$5:$Z$9,2)</f>
        <v>High School</v>
      </c>
      <c r="H378">
        <f ca="1">RANDBETWEEN(0,4)</f>
        <v>2</v>
      </c>
      <c r="I378">
        <f ca="1">RANDBETWEEN(1,3)</f>
        <v>2</v>
      </c>
      <c r="J378">
        <f ca="1">RANDBETWEEN(30000,100000)</f>
        <v>64126</v>
      </c>
      <c r="K378">
        <f ca="1">RANDBETWEEN(1,48)</f>
        <v>29</v>
      </c>
      <c r="L378" t="str">
        <f ca="1">VLOOKUP(K378,$AA$5:$AB$52,2)</f>
        <v>Norfolk</v>
      </c>
      <c r="M378">
        <f ca="1">J378*(RANDBETWEEN(2,5))</f>
        <v>128252</v>
      </c>
      <c r="N378">
        <f ca="1">RAND()*M378</f>
        <v>85000.304829226065</v>
      </c>
      <c r="O378">
        <f ca="1">I378*RAND()*J378</f>
        <v>31140.602090456752</v>
      </c>
      <c r="P378">
        <f ca="1">RANDBETWEEN(0,O378)</f>
        <v>13778</v>
      </c>
      <c r="Q378">
        <f ca="1">RAND()*J378*2</f>
        <v>111615.62323961867</v>
      </c>
      <c r="R378">
        <f ca="1">RAND()*J378*1.5</f>
        <v>17234.847595679392</v>
      </c>
      <c r="S378">
        <f ca="1">J378+R378+O378</f>
        <v>112501.44968613615</v>
      </c>
      <c r="T378">
        <f ca="1">N378+P378+Q378</f>
        <v>210393.92806884472</v>
      </c>
      <c r="U378">
        <f ca="1">S378-T378</f>
        <v>-97892.478382708563</v>
      </c>
      <c r="AC378" s="6">
        <f ca="1">IF(Table1[[#This Row],[gender]]="men",1,0)</f>
        <v>1</v>
      </c>
      <c r="AD378">
        <f ca="1">IF(Table1[[#This Row],[gender]]="women",1,0)</f>
        <v>0</v>
      </c>
      <c r="AH378" s="5"/>
      <c r="AJ378" s="6">
        <f ca="1">IF(Table1[[#This Row],[Column1]]="Health",1,0)</f>
        <v>0</v>
      </c>
      <c r="AK378">
        <f ca="1">IF(Table1[[#This Row],[Column1]]="Construction",1,0)</f>
        <v>0</v>
      </c>
      <c r="AL378">
        <f ca="1">IF(Table1[[#This Row],[Column1]]="Technology",1,0)</f>
        <v>0</v>
      </c>
      <c r="AM378">
        <f ca="1">IF(Table1[[#This Row],[Column1]]="Education",1,0)</f>
        <v>0</v>
      </c>
      <c r="AN378">
        <f ca="1">IF(Table1[[#This Row],[Column1]]="Agriculture",1,0)</f>
        <v>1</v>
      </c>
      <c r="AO378">
        <f ca="1">IF(Table1[[#This Row],[Column1]]="Social Service", 1, 0)</f>
        <v>0</v>
      </c>
      <c r="AT378" s="5"/>
      <c r="AV378" s="17">
        <f t="shared" ca="1" si="15"/>
        <v>29276.754549516456</v>
      </c>
      <c r="AW378" s="5"/>
      <c r="AX378" s="6">
        <f ca="1">IF(Table1[[#This Row],[Value of Debts]]&gt;$AY$4,1,0)</f>
        <v>1</v>
      </c>
      <c r="AY378" s="20"/>
      <c r="AZ378" s="20"/>
      <c r="BA378" s="5"/>
      <c r="BB378" s="25">
        <f ca="1">Table1[[#This Row],[Mortage Left]]/Table1[[#This Row],[Value of House]]</f>
        <v>0.66276007258542602</v>
      </c>
      <c r="BC378" s="20">
        <f t="shared" ca="1" si="17"/>
        <v>0</v>
      </c>
      <c r="BD378" s="20"/>
      <c r="BE378" s="20"/>
      <c r="BF378" s="20"/>
      <c r="BG378" s="6">
        <f ca="1">IF(Table1[[#This Row],[County]]="Cumbria",Table1[[#This Row],[income]],0)</f>
        <v>0</v>
      </c>
      <c r="BH378" s="20">
        <f ca="1">IF(Table1[[#This Row],[County]]="Cheshire",Table1[[#This Row],[income]],0)</f>
        <v>0</v>
      </c>
      <c r="BI378" s="20">
        <f ca="1">IF(Table1[[#This Row],[County]]="Bristol",Table1[[#This Row],[income]],0)</f>
        <v>0</v>
      </c>
      <c r="BJ378" s="20">
        <f ca="1">IF(Table1[[#This Row],[County]]="Surrey",Table1[[#This Row],[income]],0)</f>
        <v>0</v>
      </c>
      <c r="BK378" s="20">
        <f ca="1">IF(Table1[[#This Row],[County]]="Norfolk",Table1[[#This Row],[income]],0)</f>
        <v>64126</v>
      </c>
      <c r="BL378" s="20">
        <f ca="1">IF(Table1[[#This Row],[County]]="Lincolnshire",Table1[[#This Row],[income]],0)</f>
        <v>0</v>
      </c>
      <c r="BM378" s="20">
        <f ca="1">IF(Table1[[#This Row],[County]]="Somerset",Table1[[#This Row],[income]],0)</f>
        <v>0</v>
      </c>
      <c r="BN378" s="20">
        <f ca="1">IF(Table1[[#This Row],[County]]="Cambridgeshire",Table1[[#This Row],[income]],0)</f>
        <v>0</v>
      </c>
      <c r="BO378" s="20">
        <f ca="1">IF(Table1[[#This Row],[County]]="South Yorkshire",Table1[[#This Row],[income]],0)</f>
        <v>0</v>
      </c>
      <c r="BP378" s="20">
        <f ca="1">IF(Table1[[#This Row],[County]]="Greater London",Table1[[#This Row],[income]],0)</f>
        <v>0</v>
      </c>
      <c r="BQ378" s="20">
        <f ca="1">IF(Table1[[#This Row],[County]]="Hampshire",Table1[[#This Row],[income]],0)</f>
        <v>0</v>
      </c>
      <c r="BR378" s="20">
        <f ca="1">IF(Table1[[#This Row],[County]]="Gloucestershire",Table1[[#This Row],[income]],0)</f>
        <v>0</v>
      </c>
      <c r="BS378" s="20">
        <f ca="1">IF(Table1[[#This Row],[County]]="West Sussex",Table1[[#This Row],[income]],0)</f>
        <v>0</v>
      </c>
      <c r="BT378" s="20">
        <f ca="1">IF(Table1[[#This Row],[County]]="Devon",Table1[[#This Row],[income]],0)</f>
        <v>0</v>
      </c>
      <c r="BU378" s="20">
        <f ca="1">IF(Table1[[#This Row],[County]]="Berkshire",Table1[[#This Row],[income]],0)</f>
        <v>0</v>
      </c>
      <c r="BV378" s="20">
        <f ca="1">IF(Table1[[#This Row],[County]]="Staffordshire",Table1[[#This Row],[income]],0)</f>
        <v>0</v>
      </c>
      <c r="BW378" s="20">
        <f ca="1">IF(Table1[[#This Row],[County]]="Leicestershire",Table1[[#This Row],[income]],0)</f>
        <v>0</v>
      </c>
      <c r="BX378" s="20">
        <f ca="1">IF(Table1[[#This Row],[County]]="Cornwall",Table1[[#This Row],[income]],0)</f>
        <v>0</v>
      </c>
      <c r="BY378" s="20">
        <f ca="1">IF(Table1[[#This Row],[County]]="Isle of Wight",Table1[[#This Row],[income]],0)</f>
        <v>0</v>
      </c>
      <c r="BZ378" s="20">
        <f ca="1">IF(Table1[[#This Row],[County]]="Surrey",Table1[[#This Row],[income]],0)</f>
        <v>0</v>
      </c>
      <c r="CA378" s="20">
        <f ca="1">IF(Table1[[#This Row],[County]]="Derbyshire",Table1[[#This Row],[income]],0)</f>
        <v>0</v>
      </c>
      <c r="CB378" s="20">
        <f ca="1">IF(Table1[[#This Row],[County]]="City of London",Table1[[#This Row],[income]],0)</f>
        <v>0</v>
      </c>
      <c r="CC378" s="20">
        <f ca="1">IF(Table1[[#This Row],[County]]="Bedfordshire",Table1[[#This Row],[income]],0)</f>
        <v>0</v>
      </c>
      <c r="CD378" s="20">
        <f ca="1">IF(Table1[[#This Row],[County]]="County Durham",Table1[[#This Row],[income]],0)</f>
        <v>0</v>
      </c>
      <c r="CE378" s="20">
        <f ca="1">IF(Table1[[#This Row],[County]]="East Riding of Yorkshire",Table1[[#This Row],[income]],0)</f>
        <v>0</v>
      </c>
      <c r="CF378" s="20">
        <f ca="1">IF(Table1[[#This Row],[County]]="West Yorkshire",Table1[[#This Row],[income]],0)</f>
        <v>0</v>
      </c>
      <c r="CG378" s="20">
        <f ca="1">IF(Table1[[#This Row],[County]]="Essex",Table1[[#This Row],[income]],0)</f>
        <v>0</v>
      </c>
      <c r="CH378" s="20">
        <f ca="1">IF(Table1[[#This Row],[County]]="East Sussex",Table1[[#This Row],[income]],0)</f>
        <v>0</v>
      </c>
      <c r="CI378" s="20">
        <f ca="1">IF(Table1[[#This Row],[County]]="Greater Manchester",Table1[[#This Row],[income]],0)</f>
        <v>0</v>
      </c>
      <c r="CJ378" s="20">
        <f ca="1">IF(Table1[[#This Row],[County]]="Hertfordshire",Table1[[#This Row],[income]],0)</f>
        <v>0</v>
      </c>
      <c r="CK378" s="20">
        <f ca="1">IF(Table1[[#This Row],[County]]="Herefordshire",Table1[[#This Row],[income]],0)</f>
        <v>0</v>
      </c>
      <c r="CL378" s="20">
        <f ca="1">IF(Table1[[#This Row],[County]]="Lancashire",Table1[[#This Row],[income]],0)</f>
        <v>0</v>
      </c>
      <c r="CM378" s="20">
        <f ca="1">IF(Table1[[#This Row],[County]]="Merseyside",Table1[[#This Row],[income]],0)</f>
        <v>0</v>
      </c>
      <c r="CN378" s="20">
        <f ca="1">IF(Table1[[#This Row],[County]]="Northamptonshire",Table1[[#This Row],[income]],0)</f>
        <v>0</v>
      </c>
      <c r="CO378" s="20">
        <f ca="1">IF(Table1[[#This Row],[County]]="Northumberland",Table1[[#This Row],[income]],0)</f>
        <v>0</v>
      </c>
      <c r="CP378" s="20">
        <f ca="1">IF(Table1[[#This Row],[County]]="Wiltshire",Table1[[#This Row],[income]],0)</f>
        <v>0</v>
      </c>
      <c r="CQ378" s="20">
        <f ca="1">IF(Table1[[#This Row],[County]]="West Midlands",Table1[[#This Row],[income]],0)</f>
        <v>0</v>
      </c>
      <c r="CR378" s="20">
        <f ca="1">IF(Table1[[#This Row],[County]]="Warwickshire",Table1[[#This Row],[income]],0)</f>
        <v>0</v>
      </c>
      <c r="CS378" s="20">
        <f ca="1">IF(Table1[[#This Row],[County]]="Tyne and Wear",Table1[[#This Row],[income]],0)</f>
        <v>0</v>
      </c>
      <c r="CT378" s="20">
        <f ca="1">IF(Table1[[#This Row],[County]]="Worcestershire",Table1[[#This Row],[income]],0)</f>
        <v>0</v>
      </c>
      <c r="CU378" s="20">
        <f ca="1">IF(Table1[[#This Row],[County]]="Rutland",Table1[[#This Row],[income]],0)</f>
        <v>0</v>
      </c>
      <c r="CV378" s="20">
        <f ca="1">IF(Table1[[#This Row],[County]]="Shropshire",Table1[[#This Row],[income]],0)</f>
        <v>0</v>
      </c>
      <c r="CW378" s="20">
        <f ca="1">IF(Table1[[#This Row],[County]]="Dorset",Table1[[#This Row],[income]],0)</f>
        <v>0</v>
      </c>
      <c r="CX378" s="20">
        <f ca="1">IF(Table1[[#This Row],[County]]="Buckinghamshire",Table1[[#This Row],[income]],0)</f>
        <v>0</v>
      </c>
      <c r="CY378" s="20">
        <f ca="1">IF(Table1[[#This Row],[County]]="Suffolk",Table1[[#This Row],[income]],0)</f>
        <v>0</v>
      </c>
      <c r="CZ378" s="20">
        <f ca="1">IF(Table1[[#This Row],[County]]="North Yorkshire",Table1[[#This Row],[income]],0)</f>
        <v>0</v>
      </c>
      <c r="DA378" s="20">
        <f ca="1">IF(Table1[[#This Row],[County]]="Kent",Table1[[#This Row],[income]],0)</f>
        <v>0</v>
      </c>
      <c r="DB378" s="5">
        <f ca="1">IF(Table1[[#This Row],[County]]="Derbyshire",Table1[[#This Row],[income]],0)</f>
        <v>0</v>
      </c>
      <c r="DD378" s="6">
        <f ca="1">IF(Table1[[#This Row],[Column1]]="Health",Table1[[#This Row],[income]],0)</f>
        <v>0</v>
      </c>
      <c r="DE378" s="20">
        <f ca="1">IF(Table1[[#This Row],[Column1]]="Agriculture",Table1[[#This Row],[income]],0)</f>
        <v>64126</v>
      </c>
      <c r="DF378" s="20">
        <f ca="1">IF(Table1[[#This Row],[Column1]]="Technology",Table1[[#This Row],[income]],0)</f>
        <v>0</v>
      </c>
      <c r="DG378" s="20">
        <f ca="1">IF(Table1[[#This Row],[Column1]]="Social Service",Table1[[#This Row],[income]],0)</f>
        <v>0</v>
      </c>
      <c r="DH378" s="20">
        <f ca="1">IF(Table1[[#This Row],[Column1]]="Education",Table1[[#This Row],[income]],0)</f>
        <v>0</v>
      </c>
      <c r="DI378" s="5">
        <f ca="1">IF(Table1[[#This Row],[Column1]]="Construction",Table1[[#This Row],[income]],0)</f>
        <v>0</v>
      </c>
      <c r="DK378" s="6">
        <f ca="1">IF(Table1[[#This Row],[Value of Debts]]&gt;Table1[[#This Row],[income]],1,0)</f>
        <v>1</v>
      </c>
      <c r="DL378" s="20"/>
      <c r="DM378" s="20"/>
      <c r="DN378" s="5"/>
      <c r="DP378" s="6">
        <f ca="1">IF(Table1[[#This Row],[Net Worth (£)]]&gt;$DS$5,C378,0)</f>
        <v>0</v>
      </c>
      <c r="DQ378" s="20"/>
      <c r="DR378" s="20"/>
      <c r="DS378" s="5"/>
    </row>
    <row r="379" spans="1:123" x14ac:dyDescent="0.2">
      <c r="A379">
        <f t="shared" ca="1" si="16"/>
        <v>2</v>
      </c>
      <c r="B379" s="1" t="str">
        <f ca="1">IF(A379=1, "men", "women")</f>
        <v>women</v>
      </c>
      <c r="C379" s="1">
        <f ca="1">RANDBETWEEN(25,50)</f>
        <v>41</v>
      </c>
      <c r="D379">
        <f ca="1">RANDBETWEEN(1,6)</f>
        <v>3</v>
      </c>
      <c r="E379" t="str">
        <f ca="1">VLOOKUP(D379,$W$5:$X$10,2)</f>
        <v>Education</v>
      </c>
      <c r="F379">
        <f ca="1">RANDBETWEEN(1,5)</f>
        <v>4</v>
      </c>
      <c r="G379" t="str">
        <f ca="1">VLOOKUP(F379,$Y$5:$Z$9,2)</f>
        <v xml:space="preserve">Technical </v>
      </c>
      <c r="H379">
        <f ca="1">RANDBETWEEN(0,4)</f>
        <v>2</v>
      </c>
      <c r="I379">
        <f ca="1">RANDBETWEEN(1,3)</f>
        <v>2</v>
      </c>
      <c r="J379">
        <f ca="1">RANDBETWEEN(30000,100000)</f>
        <v>89118</v>
      </c>
      <c r="K379">
        <f ca="1">RANDBETWEEN(1,48)</f>
        <v>12</v>
      </c>
      <c r="L379" t="str">
        <f ca="1">VLOOKUP(K379,$AA$5:$AB$52,2)</f>
        <v>Dorset</v>
      </c>
      <c r="M379">
        <f ca="1">J379*(RANDBETWEEN(2,5))</f>
        <v>445590</v>
      </c>
      <c r="N379">
        <f ca="1">RAND()*M379</f>
        <v>19545.082047443477</v>
      </c>
      <c r="O379">
        <f ca="1">I379*RAND()*J379</f>
        <v>58553.509099032912</v>
      </c>
      <c r="P379">
        <f ca="1">RANDBETWEEN(0,O379)</f>
        <v>23558</v>
      </c>
      <c r="Q379">
        <f ca="1">RAND()*J379*2</f>
        <v>64187.632526751971</v>
      </c>
      <c r="R379">
        <f ca="1">RAND()*J379*1.5</f>
        <v>118035.15775295958</v>
      </c>
      <c r="S379">
        <f ca="1">J379+R379+O379</f>
        <v>265706.66685199249</v>
      </c>
      <c r="T379">
        <f ca="1">N379+P379+Q379</f>
        <v>107290.71457419544</v>
      </c>
      <c r="U379">
        <f ca="1">S379-T379</f>
        <v>158415.95227779704</v>
      </c>
      <c r="AC379" s="6">
        <f ca="1">IF(Table1[[#This Row],[gender]]="men",1,0)</f>
        <v>0</v>
      </c>
      <c r="AD379">
        <f ca="1">IF(Table1[[#This Row],[gender]]="women",1,0)</f>
        <v>1</v>
      </c>
      <c r="AH379" s="5"/>
      <c r="AJ379" s="6">
        <f ca="1">IF(Table1[[#This Row],[Column1]]="Health",1,0)</f>
        <v>0</v>
      </c>
      <c r="AK379">
        <f ca="1">IF(Table1[[#This Row],[Column1]]="Construction",1,0)</f>
        <v>0</v>
      </c>
      <c r="AL379">
        <f ca="1">IF(Table1[[#This Row],[Column1]]="Technology",1,0)</f>
        <v>0</v>
      </c>
      <c r="AM379">
        <f ca="1">IF(Table1[[#This Row],[Column1]]="Education",1,0)</f>
        <v>1</v>
      </c>
      <c r="AN379">
        <f ca="1">IF(Table1[[#This Row],[Column1]]="Agriculture",1,0)</f>
        <v>0</v>
      </c>
      <c r="AO379">
        <f ca="1">IF(Table1[[#This Row],[Column1]]="Social Service", 1, 0)</f>
        <v>0</v>
      </c>
      <c r="AT379" s="5"/>
      <c r="AV379" s="17">
        <f t="shared" ca="1" si="15"/>
        <v>28839.211703880079</v>
      </c>
      <c r="AW379" s="5"/>
      <c r="AX379" s="6">
        <f ca="1">IF(Table1[[#This Row],[Value of Debts]]&gt;$AY$4,1,0)</f>
        <v>1</v>
      </c>
      <c r="AY379" s="20"/>
      <c r="AZ379" s="20"/>
      <c r="BA379" s="5"/>
      <c r="BB379" s="25">
        <f ca="1">Table1[[#This Row],[Mortage Left]]/Table1[[#This Row],[Value of House]]</f>
        <v>4.3863376753166539E-2</v>
      </c>
      <c r="BC379" s="20">
        <f t="shared" ca="1" si="17"/>
        <v>1</v>
      </c>
      <c r="BD379" s="20"/>
      <c r="BE379" s="20"/>
      <c r="BF379" s="20"/>
      <c r="BG379" s="6">
        <f ca="1">IF(Table1[[#This Row],[County]]="Cumbria",Table1[[#This Row],[income]],0)</f>
        <v>0</v>
      </c>
      <c r="BH379" s="20">
        <f ca="1">IF(Table1[[#This Row],[County]]="Cheshire",Table1[[#This Row],[income]],0)</f>
        <v>0</v>
      </c>
      <c r="BI379" s="20">
        <f ca="1">IF(Table1[[#This Row],[County]]="Bristol",Table1[[#This Row],[income]],0)</f>
        <v>0</v>
      </c>
      <c r="BJ379" s="20">
        <f ca="1">IF(Table1[[#This Row],[County]]="Surrey",Table1[[#This Row],[income]],0)</f>
        <v>0</v>
      </c>
      <c r="BK379" s="20">
        <f ca="1">IF(Table1[[#This Row],[County]]="Norfolk",Table1[[#This Row],[income]],0)</f>
        <v>0</v>
      </c>
      <c r="BL379" s="20">
        <f ca="1">IF(Table1[[#This Row],[County]]="Lincolnshire",Table1[[#This Row],[income]],0)</f>
        <v>0</v>
      </c>
      <c r="BM379" s="20">
        <f ca="1">IF(Table1[[#This Row],[County]]="Somerset",Table1[[#This Row],[income]],0)</f>
        <v>0</v>
      </c>
      <c r="BN379" s="20">
        <f ca="1">IF(Table1[[#This Row],[County]]="Cambridgeshire",Table1[[#This Row],[income]],0)</f>
        <v>0</v>
      </c>
      <c r="BO379" s="20">
        <f ca="1">IF(Table1[[#This Row],[County]]="South Yorkshire",Table1[[#This Row],[income]],0)</f>
        <v>0</v>
      </c>
      <c r="BP379" s="20">
        <f ca="1">IF(Table1[[#This Row],[County]]="Greater London",Table1[[#This Row],[income]],0)</f>
        <v>0</v>
      </c>
      <c r="BQ379" s="20">
        <f ca="1">IF(Table1[[#This Row],[County]]="Hampshire",Table1[[#This Row],[income]],0)</f>
        <v>0</v>
      </c>
      <c r="BR379" s="20">
        <f ca="1">IF(Table1[[#This Row],[County]]="Gloucestershire",Table1[[#This Row],[income]],0)</f>
        <v>0</v>
      </c>
      <c r="BS379" s="20">
        <f ca="1">IF(Table1[[#This Row],[County]]="West Sussex",Table1[[#This Row],[income]],0)</f>
        <v>0</v>
      </c>
      <c r="BT379" s="20">
        <f ca="1">IF(Table1[[#This Row],[County]]="Devon",Table1[[#This Row],[income]],0)</f>
        <v>0</v>
      </c>
      <c r="BU379" s="20">
        <f ca="1">IF(Table1[[#This Row],[County]]="Berkshire",Table1[[#This Row],[income]],0)</f>
        <v>0</v>
      </c>
      <c r="BV379" s="20">
        <f ca="1">IF(Table1[[#This Row],[County]]="Staffordshire",Table1[[#This Row],[income]],0)</f>
        <v>0</v>
      </c>
      <c r="BW379" s="20">
        <f ca="1">IF(Table1[[#This Row],[County]]="Leicestershire",Table1[[#This Row],[income]],0)</f>
        <v>0</v>
      </c>
      <c r="BX379" s="20">
        <f ca="1">IF(Table1[[#This Row],[County]]="Cornwall",Table1[[#This Row],[income]],0)</f>
        <v>0</v>
      </c>
      <c r="BY379" s="20">
        <f ca="1">IF(Table1[[#This Row],[County]]="Isle of Wight",Table1[[#This Row],[income]],0)</f>
        <v>0</v>
      </c>
      <c r="BZ379" s="20">
        <f ca="1">IF(Table1[[#This Row],[County]]="Surrey",Table1[[#This Row],[income]],0)</f>
        <v>0</v>
      </c>
      <c r="CA379" s="20">
        <f ca="1">IF(Table1[[#This Row],[County]]="Derbyshire",Table1[[#This Row],[income]],0)</f>
        <v>0</v>
      </c>
      <c r="CB379" s="20">
        <f ca="1">IF(Table1[[#This Row],[County]]="City of London",Table1[[#This Row],[income]],0)</f>
        <v>0</v>
      </c>
      <c r="CC379" s="20">
        <f ca="1">IF(Table1[[#This Row],[County]]="Bedfordshire",Table1[[#This Row],[income]],0)</f>
        <v>0</v>
      </c>
      <c r="CD379" s="20">
        <f ca="1">IF(Table1[[#This Row],[County]]="County Durham",Table1[[#This Row],[income]],0)</f>
        <v>0</v>
      </c>
      <c r="CE379" s="20">
        <f ca="1">IF(Table1[[#This Row],[County]]="East Riding of Yorkshire",Table1[[#This Row],[income]],0)</f>
        <v>0</v>
      </c>
      <c r="CF379" s="20">
        <f ca="1">IF(Table1[[#This Row],[County]]="West Yorkshire",Table1[[#This Row],[income]],0)</f>
        <v>0</v>
      </c>
      <c r="CG379" s="20">
        <f ca="1">IF(Table1[[#This Row],[County]]="Essex",Table1[[#This Row],[income]],0)</f>
        <v>0</v>
      </c>
      <c r="CH379" s="20">
        <f ca="1">IF(Table1[[#This Row],[County]]="East Sussex",Table1[[#This Row],[income]],0)</f>
        <v>0</v>
      </c>
      <c r="CI379" s="20">
        <f ca="1">IF(Table1[[#This Row],[County]]="Greater Manchester",Table1[[#This Row],[income]],0)</f>
        <v>0</v>
      </c>
      <c r="CJ379" s="20">
        <f ca="1">IF(Table1[[#This Row],[County]]="Hertfordshire",Table1[[#This Row],[income]],0)</f>
        <v>0</v>
      </c>
      <c r="CK379" s="20">
        <f ca="1">IF(Table1[[#This Row],[County]]="Herefordshire",Table1[[#This Row],[income]],0)</f>
        <v>0</v>
      </c>
      <c r="CL379" s="20">
        <f ca="1">IF(Table1[[#This Row],[County]]="Lancashire",Table1[[#This Row],[income]],0)</f>
        <v>0</v>
      </c>
      <c r="CM379" s="20">
        <f ca="1">IF(Table1[[#This Row],[County]]="Merseyside",Table1[[#This Row],[income]],0)</f>
        <v>0</v>
      </c>
      <c r="CN379" s="20">
        <f ca="1">IF(Table1[[#This Row],[County]]="Northamptonshire",Table1[[#This Row],[income]],0)</f>
        <v>0</v>
      </c>
      <c r="CO379" s="20">
        <f ca="1">IF(Table1[[#This Row],[County]]="Northumberland",Table1[[#This Row],[income]],0)</f>
        <v>0</v>
      </c>
      <c r="CP379" s="20">
        <f ca="1">IF(Table1[[#This Row],[County]]="Wiltshire",Table1[[#This Row],[income]],0)</f>
        <v>0</v>
      </c>
      <c r="CQ379" s="20">
        <f ca="1">IF(Table1[[#This Row],[County]]="West Midlands",Table1[[#This Row],[income]],0)</f>
        <v>0</v>
      </c>
      <c r="CR379" s="20">
        <f ca="1">IF(Table1[[#This Row],[County]]="Warwickshire",Table1[[#This Row],[income]],0)</f>
        <v>0</v>
      </c>
      <c r="CS379" s="20">
        <f ca="1">IF(Table1[[#This Row],[County]]="Tyne and Wear",Table1[[#This Row],[income]],0)</f>
        <v>0</v>
      </c>
      <c r="CT379" s="20">
        <f ca="1">IF(Table1[[#This Row],[County]]="Worcestershire",Table1[[#This Row],[income]],0)</f>
        <v>0</v>
      </c>
      <c r="CU379" s="20">
        <f ca="1">IF(Table1[[#This Row],[County]]="Rutland",Table1[[#This Row],[income]],0)</f>
        <v>0</v>
      </c>
      <c r="CV379" s="20">
        <f ca="1">IF(Table1[[#This Row],[County]]="Shropshire",Table1[[#This Row],[income]],0)</f>
        <v>0</v>
      </c>
      <c r="CW379" s="20">
        <f ca="1">IF(Table1[[#This Row],[County]]="Dorset",Table1[[#This Row],[income]],0)</f>
        <v>89118</v>
      </c>
      <c r="CX379" s="20">
        <f ca="1">IF(Table1[[#This Row],[County]]="Buckinghamshire",Table1[[#This Row],[income]],0)</f>
        <v>0</v>
      </c>
      <c r="CY379" s="20">
        <f ca="1">IF(Table1[[#This Row],[County]]="Suffolk",Table1[[#This Row],[income]],0)</f>
        <v>0</v>
      </c>
      <c r="CZ379" s="20">
        <f ca="1">IF(Table1[[#This Row],[County]]="North Yorkshire",Table1[[#This Row],[income]],0)</f>
        <v>0</v>
      </c>
      <c r="DA379" s="20">
        <f ca="1">IF(Table1[[#This Row],[County]]="Kent",Table1[[#This Row],[income]],0)</f>
        <v>0</v>
      </c>
      <c r="DB379" s="5">
        <f ca="1">IF(Table1[[#This Row],[County]]="Derbyshire",Table1[[#This Row],[income]],0)</f>
        <v>0</v>
      </c>
      <c r="DD379" s="6">
        <f ca="1">IF(Table1[[#This Row],[Column1]]="Health",Table1[[#This Row],[income]],0)</f>
        <v>0</v>
      </c>
      <c r="DE379" s="20">
        <f ca="1">IF(Table1[[#This Row],[Column1]]="Agriculture",Table1[[#This Row],[income]],0)</f>
        <v>0</v>
      </c>
      <c r="DF379" s="20">
        <f ca="1">IF(Table1[[#This Row],[Column1]]="Technology",Table1[[#This Row],[income]],0)</f>
        <v>0</v>
      </c>
      <c r="DG379" s="20">
        <f ca="1">IF(Table1[[#This Row],[Column1]]="Social Service",Table1[[#This Row],[income]],0)</f>
        <v>0</v>
      </c>
      <c r="DH379" s="20">
        <f ca="1">IF(Table1[[#This Row],[Column1]]="Education",Table1[[#This Row],[income]],0)</f>
        <v>89118</v>
      </c>
      <c r="DI379" s="5">
        <f ca="1">IF(Table1[[#This Row],[Column1]]="Construction",Table1[[#This Row],[income]],0)</f>
        <v>0</v>
      </c>
      <c r="DK379" s="6">
        <f ca="1">IF(Table1[[#This Row],[Value of Debts]]&gt;Table1[[#This Row],[income]],1,0)</f>
        <v>1</v>
      </c>
      <c r="DL379" s="20"/>
      <c r="DM379" s="20"/>
      <c r="DN379" s="5"/>
      <c r="DP379" s="6">
        <f ca="1">IF(Table1[[#This Row],[Net Worth (£)]]&gt;$DS$5,C379,0)</f>
        <v>41</v>
      </c>
      <c r="DQ379" s="20"/>
      <c r="DR379" s="20"/>
      <c r="DS379" s="5"/>
    </row>
    <row r="380" spans="1:123" x14ac:dyDescent="0.2">
      <c r="A380">
        <f t="shared" ca="1" si="16"/>
        <v>1</v>
      </c>
      <c r="B380" s="1" t="str">
        <f ca="1">IF(A380=1, "men", "women")</f>
        <v>men</v>
      </c>
      <c r="C380" s="1">
        <f ca="1">RANDBETWEEN(25,50)</f>
        <v>50</v>
      </c>
      <c r="D380">
        <f ca="1">RANDBETWEEN(1,6)</f>
        <v>6</v>
      </c>
      <c r="E380" t="str">
        <f ca="1">VLOOKUP(D380,$W$5:$X$10,2)</f>
        <v>Agriculture</v>
      </c>
      <c r="F380">
        <f ca="1">RANDBETWEEN(1,5)</f>
        <v>2</v>
      </c>
      <c r="G380" t="str">
        <f ca="1">VLOOKUP(F380,$Y$5:$Z$9,2)</f>
        <v>College</v>
      </c>
      <c r="H380">
        <f ca="1">RANDBETWEEN(0,4)</f>
        <v>0</v>
      </c>
      <c r="I380">
        <f ca="1">RANDBETWEEN(1,3)</f>
        <v>1</v>
      </c>
      <c r="J380">
        <f ca="1">RANDBETWEEN(30000,100000)</f>
        <v>75094</v>
      </c>
      <c r="K380">
        <f ca="1">RANDBETWEEN(1,48)</f>
        <v>42</v>
      </c>
      <c r="L380" t="str">
        <f ca="1">VLOOKUP(K380,$AA$5:$AB$52,2)</f>
        <v>Tyne and Wear</v>
      </c>
      <c r="M380">
        <f ca="1">J380*(RANDBETWEEN(2,5))</f>
        <v>375470</v>
      </c>
      <c r="N380">
        <f ca="1">RAND()*M380</f>
        <v>53891.202571407593</v>
      </c>
      <c r="O380">
        <f ca="1">I380*RAND()*J380</f>
        <v>28839.211703880079</v>
      </c>
      <c r="P380">
        <f ca="1">RANDBETWEEN(0,O380)</f>
        <v>26239</v>
      </c>
      <c r="Q380">
        <f ca="1">RAND()*J380*2</f>
        <v>32915.915790597726</v>
      </c>
      <c r="R380">
        <f ca="1">RAND()*J380*1.5</f>
        <v>90375.758602499787</v>
      </c>
      <c r="S380">
        <f ca="1">J380+R380+O380</f>
        <v>194308.97030637987</v>
      </c>
      <c r="T380">
        <f ca="1">N380+P380+Q380</f>
        <v>113046.11836200533</v>
      </c>
      <c r="U380">
        <f ca="1">S380-T380</f>
        <v>81262.851944374532</v>
      </c>
      <c r="AC380" s="6">
        <f ca="1">IF(Table1[[#This Row],[gender]]="men",1,0)</f>
        <v>1</v>
      </c>
      <c r="AD380">
        <f ca="1">IF(Table1[[#This Row],[gender]]="women",1,0)</f>
        <v>0</v>
      </c>
      <c r="AH380" s="5"/>
      <c r="AJ380" s="6">
        <f ca="1">IF(Table1[[#This Row],[Column1]]="Health",1,0)</f>
        <v>0</v>
      </c>
      <c r="AK380">
        <f ca="1">IF(Table1[[#This Row],[Column1]]="Construction",1,0)</f>
        <v>0</v>
      </c>
      <c r="AL380">
        <f ca="1">IF(Table1[[#This Row],[Column1]]="Technology",1,0)</f>
        <v>0</v>
      </c>
      <c r="AM380">
        <f ca="1">IF(Table1[[#This Row],[Column1]]="Education",1,0)</f>
        <v>0</v>
      </c>
      <c r="AN380">
        <f ca="1">IF(Table1[[#This Row],[Column1]]="Agriculture",1,0)</f>
        <v>1</v>
      </c>
      <c r="AO380">
        <f ca="1">IF(Table1[[#This Row],[Column1]]="Social Service", 1, 0)</f>
        <v>0</v>
      </c>
      <c r="AT380" s="5"/>
      <c r="AV380" s="17">
        <f t="shared" ca="1" si="15"/>
        <v>94743.966565152237</v>
      </c>
      <c r="AW380" s="5"/>
      <c r="AX380" s="6">
        <f ca="1">IF(Table1[[#This Row],[Value of Debts]]&gt;$AY$4,1,0)</f>
        <v>1</v>
      </c>
      <c r="AY380" s="20"/>
      <c r="AZ380" s="20"/>
      <c r="BA380" s="5"/>
      <c r="BB380" s="25">
        <f ca="1">Table1[[#This Row],[Mortage Left]]/Table1[[#This Row],[Value of House]]</f>
        <v>0.14352998261221295</v>
      </c>
      <c r="BC380" s="20">
        <f t="shared" ca="1" si="17"/>
        <v>1</v>
      </c>
      <c r="BD380" s="20"/>
      <c r="BE380" s="20"/>
      <c r="BF380" s="20"/>
      <c r="BG380" s="6">
        <f ca="1">IF(Table1[[#This Row],[County]]="Cumbria",Table1[[#This Row],[income]],0)</f>
        <v>0</v>
      </c>
      <c r="BH380" s="20">
        <f ca="1">IF(Table1[[#This Row],[County]]="Cheshire",Table1[[#This Row],[income]],0)</f>
        <v>0</v>
      </c>
      <c r="BI380" s="20">
        <f ca="1">IF(Table1[[#This Row],[County]]="Bristol",Table1[[#This Row],[income]],0)</f>
        <v>0</v>
      </c>
      <c r="BJ380" s="20">
        <f ca="1">IF(Table1[[#This Row],[County]]="Surrey",Table1[[#This Row],[income]],0)</f>
        <v>0</v>
      </c>
      <c r="BK380" s="20">
        <f ca="1">IF(Table1[[#This Row],[County]]="Norfolk",Table1[[#This Row],[income]],0)</f>
        <v>0</v>
      </c>
      <c r="BL380" s="20">
        <f ca="1">IF(Table1[[#This Row],[County]]="Lincolnshire",Table1[[#This Row],[income]],0)</f>
        <v>0</v>
      </c>
      <c r="BM380" s="20">
        <f ca="1">IF(Table1[[#This Row],[County]]="Somerset",Table1[[#This Row],[income]],0)</f>
        <v>0</v>
      </c>
      <c r="BN380" s="20">
        <f ca="1">IF(Table1[[#This Row],[County]]="Cambridgeshire",Table1[[#This Row],[income]],0)</f>
        <v>0</v>
      </c>
      <c r="BO380" s="20">
        <f ca="1">IF(Table1[[#This Row],[County]]="South Yorkshire",Table1[[#This Row],[income]],0)</f>
        <v>0</v>
      </c>
      <c r="BP380" s="20">
        <f ca="1">IF(Table1[[#This Row],[County]]="Greater London",Table1[[#This Row],[income]],0)</f>
        <v>0</v>
      </c>
      <c r="BQ380" s="20">
        <f ca="1">IF(Table1[[#This Row],[County]]="Hampshire",Table1[[#This Row],[income]],0)</f>
        <v>0</v>
      </c>
      <c r="BR380" s="20">
        <f ca="1">IF(Table1[[#This Row],[County]]="Gloucestershire",Table1[[#This Row],[income]],0)</f>
        <v>0</v>
      </c>
      <c r="BS380" s="20">
        <f ca="1">IF(Table1[[#This Row],[County]]="West Sussex",Table1[[#This Row],[income]],0)</f>
        <v>0</v>
      </c>
      <c r="BT380" s="20">
        <f ca="1">IF(Table1[[#This Row],[County]]="Devon",Table1[[#This Row],[income]],0)</f>
        <v>0</v>
      </c>
      <c r="BU380" s="20">
        <f ca="1">IF(Table1[[#This Row],[County]]="Berkshire",Table1[[#This Row],[income]],0)</f>
        <v>0</v>
      </c>
      <c r="BV380" s="20">
        <f ca="1">IF(Table1[[#This Row],[County]]="Staffordshire",Table1[[#This Row],[income]],0)</f>
        <v>0</v>
      </c>
      <c r="BW380" s="20">
        <f ca="1">IF(Table1[[#This Row],[County]]="Leicestershire",Table1[[#This Row],[income]],0)</f>
        <v>0</v>
      </c>
      <c r="BX380" s="20">
        <f ca="1">IF(Table1[[#This Row],[County]]="Cornwall",Table1[[#This Row],[income]],0)</f>
        <v>0</v>
      </c>
      <c r="BY380" s="20">
        <f ca="1">IF(Table1[[#This Row],[County]]="Isle of Wight",Table1[[#This Row],[income]],0)</f>
        <v>0</v>
      </c>
      <c r="BZ380" s="20">
        <f ca="1">IF(Table1[[#This Row],[County]]="Surrey",Table1[[#This Row],[income]],0)</f>
        <v>0</v>
      </c>
      <c r="CA380" s="20">
        <f ca="1">IF(Table1[[#This Row],[County]]="Derbyshire",Table1[[#This Row],[income]],0)</f>
        <v>0</v>
      </c>
      <c r="CB380" s="20">
        <f ca="1">IF(Table1[[#This Row],[County]]="City of London",Table1[[#This Row],[income]],0)</f>
        <v>0</v>
      </c>
      <c r="CC380" s="20">
        <f ca="1">IF(Table1[[#This Row],[County]]="Bedfordshire",Table1[[#This Row],[income]],0)</f>
        <v>0</v>
      </c>
      <c r="CD380" s="20">
        <f ca="1">IF(Table1[[#This Row],[County]]="County Durham",Table1[[#This Row],[income]],0)</f>
        <v>0</v>
      </c>
      <c r="CE380" s="20">
        <f ca="1">IF(Table1[[#This Row],[County]]="East Riding of Yorkshire",Table1[[#This Row],[income]],0)</f>
        <v>0</v>
      </c>
      <c r="CF380" s="20">
        <f ca="1">IF(Table1[[#This Row],[County]]="West Yorkshire",Table1[[#This Row],[income]],0)</f>
        <v>0</v>
      </c>
      <c r="CG380" s="20">
        <f ca="1">IF(Table1[[#This Row],[County]]="Essex",Table1[[#This Row],[income]],0)</f>
        <v>0</v>
      </c>
      <c r="CH380" s="20">
        <f ca="1">IF(Table1[[#This Row],[County]]="East Sussex",Table1[[#This Row],[income]],0)</f>
        <v>0</v>
      </c>
      <c r="CI380" s="20">
        <f ca="1">IF(Table1[[#This Row],[County]]="Greater Manchester",Table1[[#This Row],[income]],0)</f>
        <v>0</v>
      </c>
      <c r="CJ380" s="20">
        <f ca="1">IF(Table1[[#This Row],[County]]="Hertfordshire",Table1[[#This Row],[income]],0)</f>
        <v>0</v>
      </c>
      <c r="CK380" s="20">
        <f ca="1">IF(Table1[[#This Row],[County]]="Herefordshire",Table1[[#This Row],[income]],0)</f>
        <v>0</v>
      </c>
      <c r="CL380" s="20">
        <f ca="1">IF(Table1[[#This Row],[County]]="Lancashire",Table1[[#This Row],[income]],0)</f>
        <v>0</v>
      </c>
      <c r="CM380" s="20">
        <f ca="1">IF(Table1[[#This Row],[County]]="Merseyside",Table1[[#This Row],[income]],0)</f>
        <v>0</v>
      </c>
      <c r="CN380" s="20">
        <f ca="1">IF(Table1[[#This Row],[County]]="Northamptonshire",Table1[[#This Row],[income]],0)</f>
        <v>0</v>
      </c>
      <c r="CO380" s="20">
        <f ca="1">IF(Table1[[#This Row],[County]]="Northumberland",Table1[[#This Row],[income]],0)</f>
        <v>0</v>
      </c>
      <c r="CP380" s="20">
        <f ca="1">IF(Table1[[#This Row],[County]]="Wiltshire",Table1[[#This Row],[income]],0)</f>
        <v>0</v>
      </c>
      <c r="CQ380" s="20">
        <f ca="1">IF(Table1[[#This Row],[County]]="West Midlands",Table1[[#This Row],[income]],0)</f>
        <v>0</v>
      </c>
      <c r="CR380" s="20">
        <f ca="1">IF(Table1[[#This Row],[County]]="Warwickshire",Table1[[#This Row],[income]],0)</f>
        <v>0</v>
      </c>
      <c r="CS380" s="20">
        <f ca="1">IF(Table1[[#This Row],[County]]="Tyne and Wear",Table1[[#This Row],[income]],0)</f>
        <v>75094</v>
      </c>
      <c r="CT380" s="20">
        <f ca="1">IF(Table1[[#This Row],[County]]="Worcestershire",Table1[[#This Row],[income]],0)</f>
        <v>0</v>
      </c>
      <c r="CU380" s="20">
        <f ca="1">IF(Table1[[#This Row],[County]]="Rutland",Table1[[#This Row],[income]],0)</f>
        <v>0</v>
      </c>
      <c r="CV380" s="20">
        <f ca="1">IF(Table1[[#This Row],[County]]="Shropshire",Table1[[#This Row],[income]],0)</f>
        <v>0</v>
      </c>
      <c r="CW380" s="20">
        <f ca="1">IF(Table1[[#This Row],[County]]="Dorset",Table1[[#This Row],[income]],0)</f>
        <v>0</v>
      </c>
      <c r="CX380" s="20">
        <f ca="1">IF(Table1[[#This Row],[County]]="Buckinghamshire",Table1[[#This Row],[income]],0)</f>
        <v>0</v>
      </c>
      <c r="CY380" s="20">
        <f ca="1">IF(Table1[[#This Row],[County]]="Suffolk",Table1[[#This Row],[income]],0)</f>
        <v>0</v>
      </c>
      <c r="CZ380" s="20">
        <f ca="1">IF(Table1[[#This Row],[County]]="North Yorkshire",Table1[[#This Row],[income]],0)</f>
        <v>0</v>
      </c>
      <c r="DA380" s="20">
        <f ca="1">IF(Table1[[#This Row],[County]]="Kent",Table1[[#This Row],[income]],0)</f>
        <v>0</v>
      </c>
      <c r="DB380" s="5">
        <f ca="1">IF(Table1[[#This Row],[County]]="Derbyshire",Table1[[#This Row],[income]],0)</f>
        <v>0</v>
      </c>
      <c r="DD380" s="6">
        <f ca="1">IF(Table1[[#This Row],[Column1]]="Health",Table1[[#This Row],[income]],0)</f>
        <v>0</v>
      </c>
      <c r="DE380" s="20">
        <f ca="1">IF(Table1[[#This Row],[Column1]]="Agriculture",Table1[[#This Row],[income]],0)</f>
        <v>75094</v>
      </c>
      <c r="DF380" s="20">
        <f ca="1">IF(Table1[[#This Row],[Column1]]="Technology",Table1[[#This Row],[income]],0)</f>
        <v>0</v>
      </c>
      <c r="DG380" s="20">
        <f ca="1">IF(Table1[[#This Row],[Column1]]="Social Service",Table1[[#This Row],[income]],0)</f>
        <v>0</v>
      </c>
      <c r="DH380" s="20">
        <f ca="1">IF(Table1[[#This Row],[Column1]]="Education",Table1[[#This Row],[income]],0)</f>
        <v>0</v>
      </c>
      <c r="DI380" s="5">
        <f ca="1">IF(Table1[[#This Row],[Column1]]="Construction",Table1[[#This Row],[income]],0)</f>
        <v>0</v>
      </c>
      <c r="DK380" s="6">
        <f ca="1">IF(Table1[[#This Row],[Value of Debts]]&gt;Table1[[#This Row],[income]],1,0)</f>
        <v>1</v>
      </c>
      <c r="DL380" s="20"/>
      <c r="DM380" s="20"/>
      <c r="DN380" s="5"/>
      <c r="DP380" s="6">
        <f ca="1">IF(Table1[[#This Row],[Net Worth (£)]]&gt;$DS$5,C380,0)</f>
        <v>50</v>
      </c>
      <c r="DQ380" s="20"/>
      <c r="DR380" s="20"/>
      <c r="DS380" s="5"/>
    </row>
    <row r="381" spans="1:123" x14ac:dyDescent="0.2">
      <c r="A381">
        <f t="shared" ca="1" si="16"/>
        <v>2</v>
      </c>
      <c r="B381" s="1" t="str">
        <f ca="1">IF(A381=1, "men", "women")</f>
        <v>women</v>
      </c>
      <c r="C381" s="1">
        <f ca="1">RANDBETWEEN(25,50)</f>
        <v>49</v>
      </c>
      <c r="D381">
        <f ca="1">RANDBETWEEN(1,6)</f>
        <v>1</v>
      </c>
      <c r="E381" t="str">
        <f ca="1">VLOOKUP(D381,$W$5:$X$10,2)</f>
        <v>Health</v>
      </c>
      <c r="F381">
        <f ca="1">RANDBETWEEN(1,5)</f>
        <v>3</v>
      </c>
      <c r="G381" t="str">
        <f ca="1">VLOOKUP(F381,$Y$5:$Z$9,2)</f>
        <v>University</v>
      </c>
      <c r="H381">
        <f ca="1">RANDBETWEEN(0,4)</f>
        <v>3</v>
      </c>
      <c r="I381">
        <f ca="1">RANDBETWEEN(1,3)</f>
        <v>3</v>
      </c>
      <c r="J381">
        <f ca="1">RANDBETWEEN(30000,100000)</f>
        <v>98387</v>
      </c>
      <c r="K381">
        <f ca="1">RANDBETWEEN(1,48)</f>
        <v>8</v>
      </c>
      <c r="L381" t="str">
        <f ca="1">VLOOKUP(K381,$AA$5:$AB$52,2)</f>
        <v>Cornwall</v>
      </c>
      <c r="M381">
        <f ca="1">J381*(RANDBETWEEN(2,5))</f>
        <v>196774</v>
      </c>
      <c r="N381">
        <f ca="1">RAND()*M381</f>
        <v>45956.281778965851</v>
      </c>
      <c r="O381">
        <f ca="1">I381*RAND()*J381</f>
        <v>284231.89969545673</v>
      </c>
      <c r="P381">
        <f ca="1">RANDBETWEEN(0,O381)</f>
        <v>245208</v>
      </c>
      <c r="Q381">
        <f ca="1">RAND()*J381*2</f>
        <v>76890.649556664284</v>
      </c>
      <c r="R381">
        <f ca="1">RAND()*J381*1.5</f>
        <v>76794.596179950036</v>
      </c>
      <c r="S381">
        <f ca="1">J381+R381+O381</f>
        <v>459413.49587540678</v>
      </c>
      <c r="T381">
        <f ca="1">N381+P381+Q381</f>
        <v>368054.93133563013</v>
      </c>
      <c r="U381">
        <f ca="1">S381-T381</f>
        <v>91358.564539776649</v>
      </c>
      <c r="AC381" s="6">
        <f ca="1">IF(Table1[[#This Row],[gender]]="men",1,0)</f>
        <v>0</v>
      </c>
      <c r="AD381">
        <f ca="1">IF(Table1[[#This Row],[gender]]="women",1,0)</f>
        <v>1</v>
      </c>
      <c r="AH381" s="5"/>
      <c r="AJ381" s="6">
        <f ca="1">IF(Table1[[#This Row],[Column1]]="Health",1,0)</f>
        <v>1</v>
      </c>
      <c r="AK381">
        <f ca="1">IF(Table1[[#This Row],[Column1]]="Construction",1,0)</f>
        <v>0</v>
      </c>
      <c r="AL381">
        <f ca="1">IF(Table1[[#This Row],[Column1]]="Technology",1,0)</f>
        <v>0</v>
      </c>
      <c r="AM381">
        <f ca="1">IF(Table1[[#This Row],[Column1]]="Education",1,0)</f>
        <v>0</v>
      </c>
      <c r="AN381">
        <f ca="1">IF(Table1[[#This Row],[Column1]]="Agriculture",1,0)</f>
        <v>0</v>
      </c>
      <c r="AO381">
        <f ca="1">IF(Table1[[#This Row],[Column1]]="Social Service", 1, 0)</f>
        <v>0</v>
      </c>
      <c r="AT381" s="5"/>
      <c r="AV381" s="17">
        <f t="shared" ca="1" si="15"/>
        <v>51820.235873781232</v>
      </c>
      <c r="AW381" s="5"/>
      <c r="AX381" s="6">
        <f ca="1">IF(Table1[[#This Row],[Value of Debts]]&gt;$AY$4,1,0)</f>
        <v>1</v>
      </c>
      <c r="AY381" s="20"/>
      <c r="AZ381" s="20"/>
      <c r="BA381" s="5"/>
      <c r="BB381" s="25">
        <f ca="1">Table1[[#This Row],[Mortage Left]]/Table1[[#This Row],[Value of House]]</f>
        <v>0.23354854695724969</v>
      </c>
      <c r="BC381" s="20">
        <f t="shared" ca="1" si="17"/>
        <v>1</v>
      </c>
      <c r="BD381" s="20"/>
      <c r="BE381" s="20"/>
      <c r="BF381" s="20"/>
      <c r="BG381" s="6">
        <f ca="1">IF(Table1[[#This Row],[County]]="Cumbria",Table1[[#This Row],[income]],0)</f>
        <v>0</v>
      </c>
      <c r="BH381" s="20">
        <f ca="1">IF(Table1[[#This Row],[County]]="Cheshire",Table1[[#This Row],[income]],0)</f>
        <v>0</v>
      </c>
      <c r="BI381" s="20">
        <f ca="1">IF(Table1[[#This Row],[County]]="Bristol",Table1[[#This Row],[income]],0)</f>
        <v>0</v>
      </c>
      <c r="BJ381" s="20">
        <f ca="1">IF(Table1[[#This Row],[County]]="Surrey",Table1[[#This Row],[income]],0)</f>
        <v>0</v>
      </c>
      <c r="BK381" s="20">
        <f ca="1">IF(Table1[[#This Row],[County]]="Norfolk",Table1[[#This Row],[income]],0)</f>
        <v>0</v>
      </c>
      <c r="BL381" s="20">
        <f ca="1">IF(Table1[[#This Row],[County]]="Lincolnshire",Table1[[#This Row],[income]],0)</f>
        <v>0</v>
      </c>
      <c r="BM381" s="20">
        <f ca="1">IF(Table1[[#This Row],[County]]="Somerset",Table1[[#This Row],[income]],0)</f>
        <v>0</v>
      </c>
      <c r="BN381" s="20">
        <f ca="1">IF(Table1[[#This Row],[County]]="Cambridgeshire",Table1[[#This Row],[income]],0)</f>
        <v>0</v>
      </c>
      <c r="BO381" s="20">
        <f ca="1">IF(Table1[[#This Row],[County]]="South Yorkshire",Table1[[#This Row],[income]],0)</f>
        <v>0</v>
      </c>
      <c r="BP381" s="20">
        <f ca="1">IF(Table1[[#This Row],[County]]="Greater London",Table1[[#This Row],[income]],0)</f>
        <v>0</v>
      </c>
      <c r="BQ381" s="20">
        <f ca="1">IF(Table1[[#This Row],[County]]="Hampshire",Table1[[#This Row],[income]],0)</f>
        <v>0</v>
      </c>
      <c r="BR381" s="20">
        <f ca="1">IF(Table1[[#This Row],[County]]="Gloucestershire",Table1[[#This Row],[income]],0)</f>
        <v>0</v>
      </c>
      <c r="BS381" s="20">
        <f ca="1">IF(Table1[[#This Row],[County]]="West Sussex",Table1[[#This Row],[income]],0)</f>
        <v>0</v>
      </c>
      <c r="BT381" s="20">
        <f ca="1">IF(Table1[[#This Row],[County]]="Devon",Table1[[#This Row],[income]],0)</f>
        <v>0</v>
      </c>
      <c r="BU381" s="20">
        <f ca="1">IF(Table1[[#This Row],[County]]="Berkshire",Table1[[#This Row],[income]],0)</f>
        <v>0</v>
      </c>
      <c r="BV381" s="20">
        <f ca="1">IF(Table1[[#This Row],[County]]="Staffordshire",Table1[[#This Row],[income]],0)</f>
        <v>0</v>
      </c>
      <c r="BW381" s="20">
        <f ca="1">IF(Table1[[#This Row],[County]]="Leicestershire",Table1[[#This Row],[income]],0)</f>
        <v>0</v>
      </c>
      <c r="BX381" s="20">
        <f ca="1">IF(Table1[[#This Row],[County]]="Cornwall",Table1[[#This Row],[income]],0)</f>
        <v>98387</v>
      </c>
      <c r="BY381" s="20">
        <f ca="1">IF(Table1[[#This Row],[County]]="Isle of Wight",Table1[[#This Row],[income]],0)</f>
        <v>0</v>
      </c>
      <c r="BZ381" s="20">
        <f ca="1">IF(Table1[[#This Row],[County]]="Surrey",Table1[[#This Row],[income]],0)</f>
        <v>0</v>
      </c>
      <c r="CA381" s="20">
        <f ca="1">IF(Table1[[#This Row],[County]]="Derbyshire",Table1[[#This Row],[income]],0)</f>
        <v>0</v>
      </c>
      <c r="CB381" s="20">
        <f ca="1">IF(Table1[[#This Row],[County]]="City of London",Table1[[#This Row],[income]],0)</f>
        <v>0</v>
      </c>
      <c r="CC381" s="20">
        <f ca="1">IF(Table1[[#This Row],[County]]="Bedfordshire",Table1[[#This Row],[income]],0)</f>
        <v>0</v>
      </c>
      <c r="CD381" s="20">
        <f ca="1">IF(Table1[[#This Row],[County]]="County Durham",Table1[[#This Row],[income]],0)</f>
        <v>0</v>
      </c>
      <c r="CE381" s="20">
        <f ca="1">IF(Table1[[#This Row],[County]]="East Riding of Yorkshire",Table1[[#This Row],[income]],0)</f>
        <v>0</v>
      </c>
      <c r="CF381" s="20">
        <f ca="1">IF(Table1[[#This Row],[County]]="West Yorkshire",Table1[[#This Row],[income]],0)</f>
        <v>0</v>
      </c>
      <c r="CG381" s="20">
        <f ca="1">IF(Table1[[#This Row],[County]]="Essex",Table1[[#This Row],[income]],0)</f>
        <v>0</v>
      </c>
      <c r="CH381" s="20">
        <f ca="1">IF(Table1[[#This Row],[County]]="East Sussex",Table1[[#This Row],[income]],0)</f>
        <v>0</v>
      </c>
      <c r="CI381" s="20">
        <f ca="1">IF(Table1[[#This Row],[County]]="Greater Manchester",Table1[[#This Row],[income]],0)</f>
        <v>0</v>
      </c>
      <c r="CJ381" s="20">
        <f ca="1">IF(Table1[[#This Row],[County]]="Hertfordshire",Table1[[#This Row],[income]],0)</f>
        <v>0</v>
      </c>
      <c r="CK381" s="20">
        <f ca="1">IF(Table1[[#This Row],[County]]="Herefordshire",Table1[[#This Row],[income]],0)</f>
        <v>0</v>
      </c>
      <c r="CL381" s="20">
        <f ca="1">IF(Table1[[#This Row],[County]]="Lancashire",Table1[[#This Row],[income]],0)</f>
        <v>0</v>
      </c>
      <c r="CM381" s="20">
        <f ca="1">IF(Table1[[#This Row],[County]]="Merseyside",Table1[[#This Row],[income]],0)</f>
        <v>0</v>
      </c>
      <c r="CN381" s="20">
        <f ca="1">IF(Table1[[#This Row],[County]]="Northamptonshire",Table1[[#This Row],[income]],0)</f>
        <v>0</v>
      </c>
      <c r="CO381" s="20">
        <f ca="1">IF(Table1[[#This Row],[County]]="Northumberland",Table1[[#This Row],[income]],0)</f>
        <v>0</v>
      </c>
      <c r="CP381" s="20">
        <f ca="1">IF(Table1[[#This Row],[County]]="Wiltshire",Table1[[#This Row],[income]],0)</f>
        <v>0</v>
      </c>
      <c r="CQ381" s="20">
        <f ca="1">IF(Table1[[#This Row],[County]]="West Midlands",Table1[[#This Row],[income]],0)</f>
        <v>0</v>
      </c>
      <c r="CR381" s="20">
        <f ca="1">IF(Table1[[#This Row],[County]]="Warwickshire",Table1[[#This Row],[income]],0)</f>
        <v>0</v>
      </c>
      <c r="CS381" s="20">
        <f ca="1">IF(Table1[[#This Row],[County]]="Tyne and Wear",Table1[[#This Row],[income]],0)</f>
        <v>0</v>
      </c>
      <c r="CT381" s="20">
        <f ca="1">IF(Table1[[#This Row],[County]]="Worcestershire",Table1[[#This Row],[income]],0)</f>
        <v>0</v>
      </c>
      <c r="CU381" s="20">
        <f ca="1">IF(Table1[[#This Row],[County]]="Rutland",Table1[[#This Row],[income]],0)</f>
        <v>0</v>
      </c>
      <c r="CV381" s="20">
        <f ca="1">IF(Table1[[#This Row],[County]]="Shropshire",Table1[[#This Row],[income]],0)</f>
        <v>0</v>
      </c>
      <c r="CW381" s="20">
        <f ca="1">IF(Table1[[#This Row],[County]]="Dorset",Table1[[#This Row],[income]],0)</f>
        <v>0</v>
      </c>
      <c r="CX381" s="20">
        <f ca="1">IF(Table1[[#This Row],[County]]="Buckinghamshire",Table1[[#This Row],[income]],0)</f>
        <v>0</v>
      </c>
      <c r="CY381" s="20">
        <f ca="1">IF(Table1[[#This Row],[County]]="Suffolk",Table1[[#This Row],[income]],0)</f>
        <v>0</v>
      </c>
      <c r="CZ381" s="20">
        <f ca="1">IF(Table1[[#This Row],[County]]="North Yorkshire",Table1[[#This Row],[income]],0)</f>
        <v>0</v>
      </c>
      <c r="DA381" s="20">
        <f ca="1">IF(Table1[[#This Row],[County]]="Kent",Table1[[#This Row],[income]],0)</f>
        <v>0</v>
      </c>
      <c r="DB381" s="5">
        <f ca="1">IF(Table1[[#This Row],[County]]="Derbyshire",Table1[[#This Row],[income]],0)</f>
        <v>0</v>
      </c>
      <c r="DD381" s="6">
        <f ca="1">IF(Table1[[#This Row],[Column1]]="Health",Table1[[#This Row],[income]],0)</f>
        <v>98387</v>
      </c>
      <c r="DE381" s="20">
        <f ca="1">IF(Table1[[#This Row],[Column1]]="Agriculture",Table1[[#This Row],[income]],0)</f>
        <v>0</v>
      </c>
      <c r="DF381" s="20">
        <f ca="1">IF(Table1[[#This Row],[Column1]]="Technology",Table1[[#This Row],[income]],0)</f>
        <v>0</v>
      </c>
      <c r="DG381" s="20">
        <f ca="1">IF(Table1[[#This Row],[Column1]]="Social Service",Table1[[#This Row],[income]],0)</f>
        <v>0</v>
      </c>
      <c r="DH381" s="20">
        <f ca="1">IF(Table1[[#This Row],[Column1]]="Education",Table1[[#This Row],[income]],0)</f>
        <v>0</v>
      </c>
      <c r="DI381" s="5">
        <f ca="1">IF(Table1[[#This Row],[Column1]]="Construction",Table1[[#This Row],[income]],0)</f>
        <v>0</v>
      </c>
      <c r="DK381" s="6">
        <f ca="1">IF(Table1[[#This Row],[Value of Debts]]&gt;Table1[[#This Row],[income]],1,0)</f>
        <v>1</v>
      </c>
      <c r="DL381" s="20"/>
      <c r="DM381" s="20"/>
      <c r="DN381" s="5"/>
      <c r="DP381" s="6">
        <f ca="1">IF(Table1[[#This Row],[Net Worth (£)]]&gt;$DS$5,C381,0)</f>
        <v>49</v>
      </c>
      <c r="DQ381" s="20"/>
      <c r="DR381" s="20"/>
      <c r="DS381" s="5"/>
    </row>
    <row r="382" spans="1:123" x14ac:dyDescent="0.2">
      <c r="A382">
        <f t="shared" ca="1" si="16"/>
        <v>2</v>
      </c>
      <c r="B382" s="1" t="str">
        <f ca="1">IF(A382=1, "men", "women")</f>
        <v>women</v>
      </c>
      <c r="C382" s="1">
        <f ca="1">RANDBETWEEN(25,50)</f>
        <v>44</v>
      </c>
      <c r="D382">
        <f ca="1">RANDBETWEEN(1,6)</f>
        <v>1</v>
      </c>
      <c r="E382" t="str">
        <f ca="1">VLOOKUP(D382,$W$5:$X$10,2)</f>
        <v>Health</v>
      </c>
      <c r="F382">
        <f ca="1">RANDBETWEEN(1,5)</f>
        <v>5</v>
      </c>
      <c r="G382" t="str">
        <f ca="1">VLOOKUP(F382,$Y$5:$Z$9,2)</f>
        <v>Other</v>
      </c>
      <c r="H382">
        <f ca="1">RANDBETWEEN(0,4)</f>
        <v>2</v>
      </c>
      <c r="I382">
        <f ca="1">RANDBETWEEN(1,3)</f>
        <v>3</v>
      </c>
      <c r="J382">
        <f ca="1">RANDBETWEEN(30000,100000)</f>
        <v>59022</v>
      </c>
      <c r="K382">
        <f ca="1">RANDBETWEEN(1,48)</f>
        <v>33</v>
      </c>
      <c r="L382" t="str">
        <f ca="1">VLOOKUP(K382,$AA$5:$AB$52,2)</f>
        <v>Nottinghamshire</v>
      </c>
      <c r="M382">
        <f ca="1">J382*(RANDBETWEEN(2,5))</f>
        <v>236088</v>
      </c>
      <c r="N382">
        <f ca="1">RAND()*M382</f>
        <v>164456.56391638421</v>
      </c>
      <c r="O382">
        <f ca="1">I382*RAND()*J382</f>
        <v>155460.7076213437</v>
      </c>
      <c r="P382">
        <f ca="1">RANDBETWEEN(0,O382)</f>
        <v>4249</v>
      </c>
      <c r="Q382">
        <f ca="1">RAND()*J382*2</f>
        <v>109511.81485475188</v>
      </c>
      <c r="R382">
        <f ca="1">RAND()*J382*1.5</f>
        <v>71684.074565219969</v>
      </c>
      <c r="S382">
        <f ca="1">J382+R382+O382</f>
        <v>286166.78218656365</v>
      </c>
      <c r="T382">
        <f ca="1">N382+P382+Q382</f>
        <v>278217.37877113611</v>
      </c>
      <c r="U382">
        <f ca="1">S382-T382</f>
        <v>7949.4034154275432</v>
      </c>
      <c r="AC382" s="6">
        <f ca="1">IF(Table1[[#This Row],[gender]]="men",1,0)</f>
        <v>0</v>
      </c>
      <c r="AD382">
        <f ca="1">IF(Table1[[#This Row],[gender]]="women",1,0)</f>
        <v>1</v>
      </c>
      <c r="AH382" s="5"/>
      <c r="AJ382" s="6">
        <f ca="1">IF(Table1[[#This Row],[Column1]]="Health",1,0)</f>
        <v>1</v>
      </c>
      <c r="AK382">
        <f ca="1">IF(Table1[[#This Row],[Column1]]="Construction",1,0)</f>
        <v>0</v>
      </c>
      <c r="AL382">
        <f ca="1">IF(Table1[[#This Row],[Column1]]="Technology",1,0)</f>
        <v>0</v>
      </c>
      <c r="AM382">
        <f ca="1">IF(Table1[[#This Row],[Column1]]="Education",1,0)</f>
        <v>0</v>
      </c>
      <c r="AN382">
        <f ca="1">IF(Table1[[#This Row],[Column1]]="Agriculture",1,0)</f>
        <v>0</v>
      </c>
      <c r="AO382">
        <f ca="1">IF(Table1[[#This Row],[Column1]]="Social Service", 1, 0)</f>
        <v>0</v>
      </c>
      <c r="AT382" s="5"/>
      <c r="AV382" s="17">
        <f t="shared" ca="1" si="15"/>
        <v>36649.06590473665</v>
      </c>
      <c r="AW382" s="5"/>
      <c r="AX382" s="6">
        <f ca="1">IF(Table1[[#This Row],[Value of Debts]]&gt;$AY$4,1,0)</f>
        <v>1</v>
      </c>
      <c r="AY382" s="20"/>
      <c r="AZ382" s="20"/>
      <c r="BA382" s="5"/>
      <c r="BB382" s="25">
        <f ca="1">Table1[[#This Row],[Mortage Left]]/Table1[[#This Row],[Value of House]]</f>
        <v>0.69659010164169388</v>
      </c>
      <c r="BC382" s="20">
        <f t="shared" ca="1" si="17"/>
        <v>0</v>
      </c>
      <c r="BD382" s="20"/>
      <c r="BE382" s="20"/>
      <c r="BF382" s="20"/>
      <c r="BG382" s="6">
        <f ca="1">IF(Table1[[#This Row],[County]]="Cumbria",Table1[[#This Row],[income]],0)</f>
        <v>0</v>
      </c>
      <c r="BH382" s="20">
        <f ca="1">IF(Table1[[#This Row],[County]]="Cheshire",Table1[[#This Row],[income]],0)</f>
        <v>0</v>
      </c>
      <c r="BI382" s="20">
        <f ca="1">IF(Table1[[#This Row],[County]]="Bristol",Table1[[#This Row],[income]],0)</f>
        <v>0</v>
      </c>
      <c r="BJ382" s="20">
        <f ca="1">IF(Table1[[#This Row],[County]]="Surrey",Table1[[#This Row],[income]],0)</f>
        <v>0</v>
      </c>
      <c r="BK382" s="20">
        <f ca="1">IF(Table1[[#This Row],[County]]="Norfolk",Table1[[#This Row],[income]],0)</f>
        <v>0</v>
      </c>
      <c r="BL382" s="20">
        <f ca="1">IF(Table1[[#This Row],[County]]="Lincolnshire",Table1[[#This Row],[income]],0)</f>
        <v>0</v>
      </c>
      <c r="BM382" s="20">
        <f ca="1">IF(Table1[[#This Row],[County]]="Somerset",Table1[[#This Row],[income]],0)</f>
        <v>0</v>
      </c>
      <c r="BN382" s="20">
        <f ca="1">IF(Table1[[#This Row],[County]]="Cambridgeshire",Table1[[#This Row],[income]],0)</f>
        <v>0</v>
      </c>
      <c r="BO382" s="20">
        <f ca="1">IF(Table1[[#This Row],[County]]="South Yorkshire",Table1[[#This Row],[income]],0)</f>
        <v>0</v>
      </c>
      <c r="BP382" s="20">
        <f ca="1">IF(Table1[[#This Row],[County]]="Greater London",Table1[[#This Row],[income]],0)</f>
        <v>0</v>
      </c>
      <c r="BQ382" s="20">
        <f ca="1">IF(Table1[[#This Row],[County]]="Hampshire",Table1[[#This Row],[income]],0)</f>
        <v>0</v>
      </c>
      <c r="BR382" s="20">
        <f ca="1">IF(Table1[[#This Row],[County]]="Gloucestershire",Table1[[#This Row],[income]],0)</f>
        <v>0</v>
      </c>
      <c r="BS382" s="20">
        <f ca="1">IF(Table1[[#This Row],[County]]="West Sussex",Table1[[#This Row],[income]],0)</f>
        <v>0</v>
      </c>
      <c r="BT382" s="20">
        <f ca="1">IF(Table1[[#This Row],[County]]="Devon",Table1[[#This Row],[income]],0)</f>
        <v>0</v>
      </c>
      <c r="BU382" s="20">
        <f ca="1">IF(Table1[[#This Row],[County]]="Berkshire",Table1[[#This Row],[income]],0)</f>
        <v>0</v>
      </c>
      <c r="BV382" s="20">
        <f ca="1">IF(Table1[[#This Row],[County]]="Staffordshire",Table1[[#This Row],[income]],0)</f>
        <v>0</v>
      </c>
      <c r="BW382" s="20">
        <f ca="1">IF(Table1[[#This Row],[County]]="Leicestershire",Table1[[#This Row],[income]],0)</f>
        <v>0</v>
      </c>
      <c r="BX382" s="20">
        <f ca="1">IF(Table1[[#This Row],[County]]="Cornwall",Table1[[#This Row],[income]],0)</f>
        <v>0</v>
      </c>
      <c r="BY382" s="20">
        <f ca="1">IF(Table1[[#This Row],[County]]="Isle of Wight",Table1[[#This Row],[income]],0)</f>
        <v>0</v>
      </c>
      <c r="BZ382" s="20">
        <f ca="1">IF(Table1[[#This Row],[County]]="Surrey",Table1[[#This Row],[income]],0)</f>
        <v>0</v>
      </c>
      <c r="CA382" s="20">
        <f ca="1">IF(Table1[[#This Row],[County]]="Derbyshire",Table1[[#This Row],[income]],0)</f>
        <v>0</v>
      </c>
      <c r="CB382" s="20">
        <f ca="1">IF(Table1[[#This Row],[County]]="City of London",Table1[[#This Row],[income]],0)</f>
        <v>0</v>
      </c>
      <c r="CC382" s="20">
        <f ca="1">IF(Table1[[#This Row],[County]]="Bedfordshire",Table1[[#This Row],[income]],0)</f>
        <v>0</v>
      </c>
      <c r="CD382" s="20">
        <f ca="1">IF(Table1[[#This Row],[County]]="County Durham",Table1[[#This Row],[income]],0)</f>
        <v>0</v>
      </c>
      <c r="CE382" s="20">
        <f ca="1">IF(Table1[[#This Row],[County]]="East Riding of Yorkshire",Table1[[#This Row],[income]],0)</f>
        <v>0</v>
      </c>
      <c r="CF382" s="20">
        <f ca="1">IF(Table1[[#This Row],[County]]="West Yorkshire",Table1[[#This Row],[income]],0)</f>
        <v>0</v>
      </c>
      <c r="CG382" s="20">
        <f ca="1">IF(Table1[[#This Row],[County]]="Essex",Table1[[#This Row],[income]],0)</f>
        <v>0</v>
      </c>
      <c r="CH382" s="20">
        <f ca="1">IF(Table1[[#This Row],[County]]="East Sussex",Table1[[#This Row],[income]],0)</f>
        <v>0</v>
      </c>
      <c r="CI382" s="20">
        <f ca="1">IF(Table1[[#This Row],[County]]="Greater Manchester",Table1[[#This Row],[income]],0)</f>
        <v>0</v>
      </c>
      <c r="CJ382" s="20">
        <f ca="1">IF(Table1[[#This Row],[County]]="Hertfordshire",Table1[[#This Row],[income]],0)</f>
        <v>0</v>
      </c>
      <c r="CK382" s="20">
        <f ca="1">IF(Table1[[#This Row],[County]]="Herefordshire",Table1[[#This Row],[income]],0)</f>
        <v>0</v>
      </c>
      <c r="CL382" s="20">
        <f ca="1">IF(Table1[[#This Row],[County]]="Lancashire",Table1[[#This Row],[income]],0)</f>
        <v>0</v>
      </c>
      <c r="CM382" s="20">
        <f ca="1">IF(Table1[[#This Row],[County]]="Merseyside",Table1[[#This Row],[income]],0)</f>
        <v>0</v>
      </c>
      <c r="CN382" s="20">
        <f ca="1">IF(Table1[[#This Row],[County]]="Northamptonshire",Table1[[#This Row],[income]],0)</f>
        <v>0</v>
      </c>
      <c r="CO382" s="20">
        <f ca="1">IF(Table1[[#This Row],[County]]="Northumberland",Table1[[#This Row],[income]],0)</f>
        <v>0</v>
      </c>
      <c r="CP382" s="20">
        <f ca="1">IF(Table1[[#This Row],[County]]="Wiltshire",Table1[[#This Row],[income]],0)</f>
        <v>0</v>
      </c>
      <c r="CQ382" s="20">
        <f ca="1">IF(Table1[[#This Row],[County]]="West Midlands",Table1[[#This Row],[income]],0)</f>
        <v>0</v>
      </c>
      <c r="CR382" s="20">
        <f ca="1">IF(Table1[[#This Row],[County]]="Warwickshire",Table1[[#This Row],[income]],0)</f>
        <v>0</v>
      </c>
      <c r="CS382" s="20">
        <f ca="1">IF(Table1[[#This Row],[County]]="Tyne and Wear",Table1[[#This Row],[income]],0)</f>
        <v>0</v>
      </c>
      <c r="CT382" s="20">
        <f ca="1">IF(Table1[[#This Row],[County]]="Worcestershire",Table1[[#This Row],[income]],0)</f>
        <v>0</v>
      </c>
      <c r="CU382" s="20">
        <f ca="1">IF(Table1[[#This Row],[County]]="Rutland",Table1[[#This Row],[income]],0)</f>
        <v>0</v>
      </c>
      <c r="CV382" s="20">
        <f ca="1">IF(Table1[[#This Row],[County]]="Shropshire",Table1[[#This Row],[income]],0)</f>
        <v>0</v>
      </c>
      <c r="CW382" s="20">
        <f ca="1">IF(Table1[[#This Row],[County]]="Dorset",Table1[[#This Row],[income]],0)</f>
        <v>0</v>
      </c>
      <c r="CX382" s="20">
        <f ca="1">IF(Table1[[#This Row],[County]]="Buckinghamshire",Table1[[#This Row],[income]],0)</f>
        <v>0</v>
      </c>
      <c r="CY382" s="20">
        <f ca="1">IF(Table1[[#This Row],[County]]="Suffolk",Table1[[#This Row],[income]],0)</f>
        <v>0</v>
      </c>
      <c r="CZ382" s="20">
        <f ca="1">IF(Table1[[#This Row],[County]]="North Yorkshire",Table1[[#This Row],[income]],0)</f>
        <v>0</v>
      </c>
      <c r="DA382" s="20">
        <f ca="1">IF(Table1[[#This Row],[County]]="Kent",Table1[[#This Row],[income]],0)</f>
        <v>0</v>
      </c>
      <c r="DB382" s="5">
        <f ca="1">IF(Table1[[#This Row],[County]]="Derbyshire",Table1[[#This Row],[income]],0)</f>
        <v>0</v>
      </c>
      <c r="DD382" s="6">
        <f ca="1">IF(Table1[[#This Row],[Column1]]="Health",Table1[[#This Row],[income]],0)</f>
        <v>59022</v>
      </c>
      <c r="DE382" s="20">
        <f ca="1">IF(Table1[[#This Row],[Column1]]="Agriculture",Table1[[#This Row],[income]],0)</f>
        <v>0</v>
      </c>
      <c r="DF382" s="20">
        <f ca="1">IF(Table1[[#This Row],[Column1]]="Technology",Table1[[#This Row],[income]],0)</f>
        <v>0</v>
      </c>
      <c r="DG382" s="20">
        <f ca="1">IF(Table1[[#This Row],[Column1]]="Social Service",Table1[[#This Row],[income]],0)</f>
        <v>0</v>
      </c>
      <c r="DH382" s="20">
        <f ca="1">IF(Table1[[#This Row],[Column1]]="Education",Table1[[#This Row],[income]],0)</f>
        <v>0</v>
      </c>
      <c r="DI382" s="5">
        <f ca="1">IF(Table1[[#This Row],[Column1]]="Construction",Table1[[#This Row],[income]],0)</f>
        <v>0</v>
      </c>
      <c r="DK382" s="6">
        <f ca="1">IF(Table1[[#This Row],[Value of Debts]]&gt;Table1[[#This Row],[income]],1,0)</f>
        <v>1</v>
      </c>
      <c r="DL382" s="20"/>
      <c r="DM382" s="20"/>
      <c r="DN382" s="5"/>
      <c r="DP382" s="6">
        <f ca="1">IF(Table1[[#This Row],[Net Worth (£)]]&gt;$DS$5,C382,0)</f>
        <v>0</v>
      </c>
      <c r="DQ382" s="20"/>
      <c r="DR382" s="20"/>
      <c r="DS382" s="5"/>
    </row>
    <row r="383" spans="1:123" x14ac:dyDescent="0.2">
      <c r="A383">
        <f t="shared" ca="1" si="16"/>
        <v>2</v>
      </c>
      <c r="B383" s="1" t="str">
        <f ca="1">IF(A383=1, "men", "women")</f>
        <v>women</v>
      </c>
      <c r="C383" s="1">
        <f ca="1">RANDBETWEEN(25,50)</f>
        <v>39</v>
      </c>
      <c r="D383">
        <f ca="1">RANDBETWEEN(1,6)</f>
        <v>1</v>
      </c>
      <c r="E383" t="str">
        <f ca="1">VLOOKUP(D383,$W$5:$X$10,2)</f>
        <v>Health</v>
      </c>
      <c r="F383">
        <f ca="1">RANDBETWEEN(1,5)</f>
        <v>1</v>
      </c>
      <c r="G383" t="str">
        <f ca="1">VLOOKUP(F383,$Y$5:$Z$9,2)</f>
        <v>High School</v>
      </c>
      <c r="H383">
        <f ca="1">RANDBETWEEN(0,4)</f>
        <v>2</v>
      </c>
      <c r="I383">
        <f ca="1">RANDBETWEEN(1,3)</f>
        <v>1</v>
      </c>
      <c r="J383">
        <f ca="1">RANDBETWEEN(30000,100000)</f>
        <v>95609</v>
      </c>
      <c r="K383">
        <f ca="1">RANDBETWEEN(1,48)</f>
        <v>47</v>
      </c>
      <c r="L383" t="str">
        <f ca="1">VLOOKUP(K383,$AA$5:$AB$52,2)</f>
        <v>Wiltshire</v>
      </c>
      <c r="M383">
        <f ca="1">J383*(RANDBETWEEN(2,5))</f>
        <v>478045</v>
      </c>
      <c r="N383">
        <f ca="1">RAND()*M383</f>
        <v>130144.77446770004</v>
      </c>
      <c r="O383">
        <f ca="1">I383*RAND()*J383</f>
        <v>36649.06590473665</v>
      </c>
      <c r="P383">
        <f ca="1">RANDBETWEEN(0,O383)</f>
        <v>30516</v>
      </c>
      <c r="Q383">
        <f ca="1">RAND()*J383*2</f>
        <v>88859.995628049466</v>
      </c>
      <c r="R383">
        <f ca="1">RAND()*J383*1.5</f>
        <v>72338.387030768077</v>
      </c>
      <c r="S383">
        <f ca="1">J383+R383+O383</f>
        <v>204596.45293550473</v>
      </c>
      <c r="T383">
        <f ca="1">N383+P383+Q383</f>
        <v>249520.77009574953</v>
      </c>
      <c r="U383">
        <f ca="1">S383-T383</f>
        <v>-44924.317160244798</v>
      </c>
      <c r="AC383" s="6">
        <f ca="1">IF(Table1[[#This Row],[gender]]="men",1,0)</f>
        <v>0</v>
      </c>
      <c r="AD383">
        <f ca="1">IF(Table1[[#This Row],[gender]]="women",1,0)</f>
        <v>1</v>
      </c>
      <c r="AH383" s="5"/>
      <c r="AJ383" s="6">
        <f ca="1">IF(Table1[[#This Row],[Column1]]="Health",1,0)</f>
        <v>1</v>
      </c>
      <c r="AK383">
        <f ca="1">IF(Table1[[#This Row],[Column1]]="Construction",1,0)</f>
        <v>0</v>
      </c>
      <c r="AL383">
        <f ca="1">IF(Table1[[#This Row],[Column1]]="Technology",1,0)</f>
        <v>0</v>
      </c>
      <c r="AM383">
        <f ca="1">IF(Table1[[#This Row],[Column1]]="Education",1,0)</f>
        <v>0</v>
      </c>
      <c r="AN383">
        <f ca="1">IF(Table1[[#This Row],[Column1]]="Agriculture",1,0)</f>
        <v>0</v>
      </c>
      <c r="AO383">
        <f ca="1">IF(Table1[[#This Row],[Column1]]="Social Service", 1, 0)</f>
        <v>0</v>
      </c>
      <c r="AT383" s="5"/>
      <c r="AV383" s="17">
        <f t="shared" ca="1" si="15"/>
        <v>42004.533988769756</v>
      </c>
      <c r="AW383" s="5"/>
      <c r="AX383" s="6">
        <f ca="1">IF(Table1[[#This Row],[Value of Debts]]&gt;$AY$4,1,0)</f>
        <v>1</v>
      </c>
      <c r="AY383" s="20"/>
      <c r="AZ383" s="20"/>
      <c r="BA383" s="5"/>
      <c r="BB383" s="25">
        <f ca="1">Table1[[#This Row],[Mortage Left]]/Table1[[#This Row],[Value of House]]</f>
        <v>0.27224377300818969</v>
      </c>
      <c r="BC383" s="20">
        <f t="shared" ca="1" si="17"/>
        <v>1</v>
      </c>
      <c r="BD383" s="20"/>
      <c r="BE383" s="20"/>
      <c r="BF383" s="20"/>
      <c r="BG383" s="6">
        <f ca="1">IF(Table1[[#This Row],[County]]="Cumbria",Table1[[#This Row],[income]],0)</f>
        <v>0</v>
      </c>
      <c r="BH383" s="20">
        <f ca="1">IF(Table1[[#This Row],[County]]="Cheshire",Table1[[#This Row],[income]],0)</f>
        <v>0</v>
      </c>
      <c r="BI383" s="20">
        <f ca="1">IF(Table1[[#This Row],[County]]="Bristol",Table1[[#This Row],[income]],0)</f>
        <v>0</v>
      </c>
      <c r="BJ383" s="20">
        <f ca="1">IF(Table1[[#This Row],[County]]="Surrey",Table1[[#This Row],[income]],0)</f>
        <v>0</v>
      </c>
      <c r="BK383" s="20">
        <f ca="1">IF(Table1[[#This Row],[County]]="Norfolk",Table1[[#This Row],[income]],0)</f>
        <v>0</v>
      </c>
      <c r="BL383" s="20">
        <f ca="1">IF(Table1[[#This Row],[County]]="Lincolnshire",Table1[[#This Row],[income]],0)</f>
        <v>0</v>
      </c>
      <c r="BM383" s="20">
        <f ca="1">IF(Table1[[#This Row],[County]]="Somerset",Table1[[#This Row],[income]],0)</f>
        <v>0</v>
      </c>
      <c r="BN383" s="20">
        <f ca="1">IF(Table1[[#This Row],[County]]="Cambridgeshire",Table1[[#This Row],[income]],0)</f>
        <v>0</v>
      </c>
      <c r="BO383" s="20">
        <f ca="1">IF(Table1[[#This Row],[County]]="South Yorkshire",Table1[[#This Row],[income]],0)</f>
        <v>0</v>
      </c>
      <c r="BP383" s="20">
        <f ca="1">IF(Table1[[#This Row],[County]]="Greater London",Table1[[#This Row],[income]],0)</f>
        <v>0</v>
      </c>
      <c r="BQ383" s="20">
        <f ca="1">IF(Table1[[#This Row],[County]]="Hampshire",Table1[[#This Row],[income]],0)</f>
        <v>0</v>
      </c>
      <c r="BR383" s="20">
        <f ca="1">IF(Table1[[#This Row],[County]]="Gloucestershire",Table1[[#This Row],[income]],0)</f>
        <v>0</v>
      </c>
      <c r="BS383" s="20">
        <f ca="1">IF(Table1[[#This Row],[County]]="West Sussex",Table1[[#This Row],[income]],0)</f>
        <v>0</v>
      </c>
      <c r="BT383" s="20">
        <f ca="1">IF(Table1[[#This Row],[County]]="Devon",Table1[[#This Row],[income]],0)</f>
        <v>0</v>
      </c>
      <c r="BU383" s="20">
        <f ca="1">IF(Table1[[#This Row],[County]]="Berkshire",Table1[[#This Row],[income]],0)</f>
        <v>0</v>
      </c>
      <c r="BV383" s="20">
        <f ca="1">IF(Table1[[#This Row],[County]]="Staffordshire",Table1[[#This Row],[income]],0)</f>
        <v>0</v>
      </c>
      <c r="BW383" s="20">
        <f ca="1">IF(Table1[[#This Row],[County]]="Leicestershire",Table1[[#This Row],[income]],0)</f>
        <v>0</v>
      </c>
      <c r="BX383" s="20">
        <f ca="1">IF(Table1[[#This Row],[County]]="Cornwall",Table1[[#This Row],[income]],0)</f>
        <v>0</v>
      </c>
      <c r="BY383" s="20">
        <f ca="1">IF(Table1[[#This Row],[County]]="Isle of Wight",Table1[[#This Row],[income]],0)</f>
        <v>0</v>
      </c>
      <c r="BZ383" s="20">
        <f ca="1">IF(Table1[[#This Row],[County]]="Surrey",Table1[[#This Row],[income]],0)</f>
        <v>0</v>
      </c>
      <c r="CA383" s="20">
        <f ca="1">IF(Table1[[#This Row],[County]]="Derbyshire",Table1[[#This Row],[income]],0)</f>
        <v>0</v>
      </c>
      <c r="CB383" s="20">
        <f ca="1">IF(Table1[[#This Row],[County]]="City of London",Table1[[#This Row],[income]],0)</f>
        <v>0</v>
      </c>
      <c r="CC383" s="20">
        <f ca="1">IF(Table1[[#This Row],[County]]="Bedfordshire",Table1[[#This Row],[income]],0)</f>
        <v>0</v>
      </c>
      <c r="CD383" s="20">
        <f ca="1">IF(Table1[[#This Row],[County]]="County Durham",Table1[[#This Row],[income]],0)</f>
        <v>0</v>
      </c>
      <c r="CE383" s="20">
        <f ca="1">IF(Table1[[#This Row],[County]]="East Riding of Yorkshire",Table1[[#This Row],[income]],0)</f>
        <v>0</v>
      </c>
      <c r="CF383" s="20">
        <f ca="1">IF(Table1[[#This Row],[County]]="West Yorkshire",Table1[[#This Row],[income]],0)</f>
        <v>0</v>
      </c>
      <c r="CG383" s="20">
        <f ca="1">IF(Table1[[#This Row],[County]]="Essex",Table1[[#This Row],[income]],0)</f>
        <v>0</v>
      </c>
      <c r="CH383" s="20">
        <f ca="1">IF(Table1[[#This Row],[County]]="East Sussex",Table1[[#This Row],[income]],0)</f>
        <v>0</v>
      </c>
      <c r="CI383" s="20">
        <f ca="1">IF(Table1[[#This Row],[County]]="Greater Manchester",Table1[[#This Row],[income]],0)</f>
        <v>0</v>
      </c>
      <c r="CJ383" s="20">
        <f ca="1">IF(Table1[[#This Row],[County]]="Hertfordshire",Table1[[#This Row],[income]],0)</f>
        <v>0</v>
      </c>
      <c r="CK383" s="20">
        <f ca="1">IF(Table1[[#This Row],[County]]="Herefordshire",Table1[[#This Row],[income]],0)</f>
        <v>0</v>
      </c>
      <c r="CL383" s="20">
        <f ca="1">IF(Table1[[#This Row],[County]]="Lancashire",Table1[[#This Row],[income]],0)</f>
        <v>0</v>
      </c>
      <c r="CM383" s="20">
        <f ca="1">IF(Table1[[#This Row],[County]]="Merseyside",Table1[[#This Row],[income]],0)</f>
        <v>0</v>
      </c>
      <c r="CN383" s="20">
        <f ca="1">IF(Table1[[#This Row],[County]]="Northamptonshire",Table1[[#This Row],[income]],0)</f>
        <v>0</v>
      </c>
      <c r="CO383" s="20">
        <f ca="1">IF(Table1[[#This Row],[County]]="Northumberland",Table1[[#This Row],[income]],0)</f>
        <v>0</v>
      </c>
      <c r="CP383" s="20">
        <f ca="1">IF(Table1[[#This Row],[County]]="Wiltshire",Table1[[#This Row],[income]],0)</f>
        <v>95609</v>
      </c>
      <c r="CQ383" s="20">
        <f ca="1">IF(Table1[[#This Row],[County]]="West Midlands",Table1[[#This Row],[income]],0)</f>
        <v>0</v>
      </c>
      <c r="CR383" s="20">
        <f ca="1">IF(Table1[[#This Row],[County]]="Warwickshire",Table1[[#This Row],[income]],0)</f>
        <v>0</v>
      </c>
      <c r="CS383" s="20">
        <f ca="1">IF(Table1[[#This Row],[County]]="Tyne and Wear",Table1[[#This Row],[income]],0)</f>
        <v>0</v>
      </c>
      <c r="CT383" s="20">
        <f ca="1">IF(Table1[[#This Row],[County]]="Worcestershire",Table1[[#This Row],[income]],0)</f>
        <v>0</v>
      </c>
      <c r="CU383" s="20">
        <f ca="1">IF(Table1[[#This Row],[County]]="Rutland",Table1[[#This Row],[income]],0)</f>
        <v>0</v>
      </c>
      <c r="CV383" s="20">
        <f ca="1">IF(Table1[[#This Row],[County]]="Shropshire",Table1[[#This Row],[income]],0)</f>
        <v>0</v>
      </c>
      <c r="CW383" s="20">
        <f ca="1">IF(Table1[[#This Row],[County]]="Dorset",Table1[[#This Row],[income]],0)</f>
        <v>0</v>
      </c>
      <c r="CX383" s="20">
        <f ca="1">IF(Table1[[#This Row],[County]]="Buckinghamshire",Table1[[#This Row],[income]],0)</f>
        <v>0</v>
      </c>
      <c r="CY383" s="20">
        <f ca="1">IF(Table1[[#This Row],[County]]="Suffolk",Table1[[#This Row],[income]],0)</f>
        <v>0</v>
      </c>
      <c r="CZ383" s="20">
        <f ca="1">IF(Table1[[#This Row],[County]]="North Yorkshire",Table1[[#This Row],[income]],0)</f>
        <v>0</v>
      </c>
      <c r="DA383" s="20">
        <f ca="1">IF(Table1[[#This Row],[County]]="Kent",Table1[[#This Row],[income]],0)</f>
        <v>0</v>
      </c>
      <c r="DB383" s="5">
        <f ca="1">IF(Table1[[#This Row],[County]]="Derbyshire",Table1[[#This Row],[income]],0)</f>
        <v>0</v>
      </c>
      <c r="DD383" s="6">
        <f ca="1">IF(Table1[[#This Row],[Column1]]="Health",Table1[[#This Row],[income]],0)</f>
        <v>95609</v>
      </c>
      <c r="DE383" s="20">
        <f ca="1">IF(Table1[[#This Row],[Column1]]="Agriculture",Table1[[#This Row],[income]],0)</f>
        <v>0</v>
      </c>
      <c r="DF383" s="20">
        <f ca="1">IF(Table1[[#This Row],[Column1]]="Technology",Table1[[#This Row],[income]],0)</f>
        <v>0</v>
      </c>
      <c r="DG383" s="20">
        <f ca="1">IF(Table1[[#This Row],[Column1]]="Social Service",Table1[[#This Row],[income]],0)</f>
        <v>0</v>
      </c>
      <c r="DH383" s="20">
        <f ca="1">IF(Table1[[#This Row],[Column1]]="Education",Table1[[#This Row],[income]],0)</f>
        <v>0</v>
      </c>
      <c r="DI383" s="5">
        <f ca="1">IF(Table1[[#This Row],[Column1]]="Construction",Table1[[#This Row],[income]],0)</f>
        <v>0</v>
      </c>
      <c r="DK383" s="6">
        <f ca="1">IF(Table1[[#This Row],[Value of Debts]]&gt;Table1[[#This Row],[income]],1,0)</f>
        <v>1</v>
      </c>
      <c r="DL383" s="20"/>
      <c r="DM383" s="20"/>
      <c r="DN383" s="5"/>
      <c r="DP383" s="6">
        <f ca="1">IF(Table1[[#This Row],[Net Worth (£)]]&gt;$DS$5,C383,0)</f>
        <v>0</v>
      </c>
      <c r="DQ383" s="20"/>
      <c r="DR383" s="20"/>
      <c r="DS383" s="5"/>
    </row>
    <row r="384" spans="1:123" x14ac:dyDescent="0.2">
      <c r="A384">
        <f t="shared" ca="1" si="16"/>
        <v>2</v>
      </c>
      <c r="B384" s="1" t="str">
        <f ca="1">IF(A384=1, "men", "women")</f>
        <v>women</v>
      </c>
      <c r="C384" s="1">
        <f ca="1">RANDBETWEEN(25,50)</f>
        <v>26</v>
      </c>
      <c r="D384">
        <f ca="1">RANDBETWEEN(1,6)</f>
        <v>2</v>
      </c>
      <c r="E384" t="str">
        <f ca="1">VLOOKUP(D384,$W$5:$X$10,2)</f>
        <v>Construction</v>
      </c>
      <c r="F384">
        <f ca="1">RANDBETWEEN(1,5)</f>
        <v>2</v>
      </c>
      <c r="G384" t="str">
        <f ca="1">VLOOKUP(F384,$Y$5:$Z$9,2)</f>
        <v>College</v>
      </c>
      <c r="H384">
        <f ca="1">RANDBETWEEN(0,4)</f>
        <v>4</v>
      </c>
      <c r="I384">
        <f ca="1">RANDBETWEEN(1,3)</f>
        <v>3</v>
      </c>
      <c r="J384">
        <f ca="1">RANDBETWEEN(30000,100000)</f>
        <v>76637</v>
      </c>
      <c r="K384">
        <f ca="1">RANDBETWEEN(1,48)</f>
        <v>22</v>
      </c>
      <c r="L384" t="str">
        <f ca="1">VLOOKUP(K384,$AA$5:$AB$52,2)</f>
        <v>Hertfordshire</v>
      </c>
      <c r="M384">
        <f ca="1">J384*(RANDBETWEEN(2,5))</f>
        <v>306548</v>
      </c>
      <c r="N384">
        <f ca="1">RAND()*M384</f>
        <v>235014.65039914075</v>
      </c>
      <c r="O384">
        <f ca="1">I384*RAND()*J384</f>
        <v>126013.60196630926</v>
      </c>
      <c r="P384">
        <f ca="1">RANDBETWEEN(0,O384)</f>
        <v>63954</v>
      </c>
      <c r="Q384">
        <f ca="1">RAND()*J384*2</f>
        <v>78598.032095290706</v>
      </c>
      <c r="R384">
        <f ca="1">RAND()*J384*1.5</f>
        <v>27945.505787029597</v>
      </c>
      <c r="S384">
        <f ca="1">J384+R384+O384</f>
        <v>230596.10775333887</v>
      </c>
      <c r="T384">
        <f ca="1">N384+P384+Q384</f>
        <v>377566.6824944315</v>
      </c>
      <c r="U384">
        <f ca="1">S384-T384</f>
        <v>-146970.57474109263</v>
      </c>
      <c r="AC384" s="6">
        <f ca="1">IF(Table1[[#This Row],[gender]]="men",1,0)</f>
        <v>0</v>
      </c>
      <c r="AD384">
        <f ca="1">IF(Table1[[#This Row],[gender]]="women",1,0)</f>
        <v>1</v>
      </c>
      <c r="AH384" s="5"/>
      <c r="AJ384" s="6">
        <f ca="1">IF(Table1[[#This Row],[Column1]]="Health",1,0)</f>
        <v>0</v>
      </c>
      <c r="AK384">
        <f ca="1">IF(Table1[[#This Row],[Column1]]="Construction",1,0)</f>
        <v>1</v>
      </c>
      <c r="AL384">
        <f ca="1">IF(Table1[[#This Row],[Column1]]="Technology",1,0)</f>
        <v>0</v>
      </c>
      <c r="AM384">
        <f ca="1">IF(Table1[[#This Row],[Column1]]="Education",1,0)</f>
        <v>0</v>
      </c>
      <c r="AN384">
        <f ca="1">IF(Table1[[#This Row],[Column1]]="Agriculture",1,0)</f>
        <v>0</v>
      </c>
      <c r="AO384">
        <f ca="1">IF(Table1[[#This Row],[Column1]]="Social Service", 1, 0)</f>
        <v>0</v>
      </c>
      <c r="AT384" s="5"/>
      <c r="AV384" s="17">
        <f t="shared" ca="1" si="15"/>
        <v>1160.2929976503283</v>
      </c>
      <c r="AW384" s="5"/>
      <c r="AX384" s="6">
        <f ca="1">IF(Table1[[#This Row],[Value of Debts]]&gt;$AY$4,1,0)</f>
        <v>1</v>
      </c>
      <c r="AY384" s="20"/>
      <c r="AZ384" s="20"/>
      <c r="BA384" s="5"/>
      <c r="BB384" s="25">
        <f ca="1">Table1[[#This Row],[Mortage Left]]/Table1[[#This Row],[Value of House]]</f>
        <v>0.76664878061230457</v>
      </c>
      <c r="BC384" s="20">
        <f t="shared" ca="1" si="17"/>
        <v>0</v>
      </c>
      <c r="BD384" s="20"/>
      <c r="BE384" s="20"/>
      <c r="BF384" s="20"/>
      <c r="BG384" s="6">
        <f ca="1">IF(Table1[[#This Row],[County]]="Cumbria",Table1[[#This Row],[income]],0)</f>
        <v>0</v>
      </c>
      <c r="BH384" s="20">
        <f ca="1">IF(Table1[[#This Row],[County]]="Cheshire",Table1[[#This Row],[income]],0)</f>
        <v>0</v>
      </c>
      <c r="BI384" s="20">
        <f ca="1">IF(Table1[[#This Row],[County]]="Bristol",Table1[[#This Row],[income]],0)</f>
        <v>0</v>
      </c>
      <c r="BJ384" s="20">
        <f ca="1">IF(Table1[[#This Row],[County]]="Surrey",Table1[[#This Row],[income]],0)</f>
        <v>0</v>
      </c>
      <c r="BK384" s="20">
        <f ca="1">IF(Table1[[#This Row],[County]]="Norfolk",Table1[[#This Row],[income]],0)</f>
        <v>0</v>
      </c>
      <c r="BL384" s="20">
        <f ca="1">IF(Table1[[#This Row],[County]]="Lincolnshire",Table1[[#This Row],[income]],0)</f>
        <v>0</v>
      </c>
      <c r="BM384" s="20">
        <f ca="1">IF(Table1[[#This Row],[County]]="Somerset",Table1[[#This Row],[income]],0)</f>
        <v>0</v>
      </c>
      <c r="BN384" s="20">
        <f ca="1">IF(Table1[[#This Row],[County]]="Cambridgeshire",Table1[[#This Row],[income]],0)</f>
        <v>0</v>
      </c>
      <c r="BO384" s="20">
        <f ca="1">IF(Table1[[#This Row],[County]]="South Yorkshire",Table1[[#This Row],[income]],0)</f>
        <v>0</v>
      </c>
      <c r="BP384" s="20">
        <f ca="1">IF(Table1[[#This Row],[County]]="Greater London",Table1[[#This Row],[income]],0)</f>
        <v>0</v>
      </c>
      <c r="BQ384" s="20">
        <f ca="1">IF(Table1[[#This Row],[County]]="Hampshire",Table1[[#This Row],[income]],0)</f>
        <v>0</v>
      </c>
      <c r="BR384" s="20">
        <f ca="1">IF(Table1[[#This Row],[County]]="Gloucestershire",Table1[[#This Row],[income]],0)</f>
        <v>0</v>
      </c>
      <c r="BS384" s="20">
        <f ca="1">IF(Table1[[#This Row],[County]]="West Sussex",Table1[[#This Row],[income]],0)</f>
        <v>0</v>
      </c>
      <c r="BT384" s="20">
        <f ca="1">IF(Table1[[#This Row],[County]]="Devon",Table1[[#This Row],[income]],0)</f>
        <v>0</v>
      </c>
      <c r="BU384" s="20">
        <f ca="1">IF(Table1[[#This Row],[County]]="Berkshire",Table1[[#This Row],[income]],0)</f>
        <v>0</v>
      </c>
      <c r="BV384" s="20">
        <f ca="1">IF(Table1[[#This Row],[County]]="Staffordshire",Table1[[#This Row],[income]],0)</f>
        <v>0</v>
      </c>
      <c r="BW384" s="20">
        <f ca="1">IF(Table1[[#This Row],[County]]="Leicestershire",Table1[[#This Row],[income]],0)</f>
        <v>0</v>
      </c>
      <c r="BX384" s="20">
        <f ca="1">IF(Table1[[#This Row],[County]]="Cornwall",Table1[[#This Row],[income]],0)</f>
        <v>0</v>
      </c>
      <c r="BY384" s="20">
        <f ca="1">IF(Table1[[#This Row],[County]]="Isle of Wight",Table1[[#This Row],[income]],0)</f>
        <v>0</v>
      </c>
      <c r="BZ384" s="20">
        <f ca="1">IF(Table1[[#This Row],[County]]="Surrey",Table1[[#This Row],[income]],0)</f>
        <v>0</v>
      </c>
      <c r="CA384" s="20">
        <f ca="1">IF(Table1[[#This Row],[County]]="Derbyshire",Table1[[#This Row],[income]],0)</f>
        <v>0</v>
      </c>
      <c r="CB384" s="20">
        <f ca="1">IF(Table1[[#This Row],[County]]="City of London",Table1[[#This Row],[income]],0)</f>
        <v>0</v>
      </c>
      <c r="CC384" s="20">
        <f ca="1">IF(Table1[[#This Row],[County]]="Bedfordshire",Table1[[#This Row],[income]],0)</f>
        <v>0</v>
      </c>
      <c r="CD384" s="20">
        <f ca="1">IF(Table1[[#This Row],[County]]="County Durham",Table1[[#This Row],[income]],0)</f>
        <v>0</v>
      </c>
      <c r="CE384" s="20">
        <f ca="1">IF(Table1[[#This Row],[County]]="East Riding of Yorkshire",Table1[[#This Row],[income]],0)</f>
        <v>0</v>
      </c>
      <c r="CF384" s="20">
        <f ca="1">IF(Table1[[#This Row],[County]]="West Yorkshire",Table1[[#This Row],[income]],0)</f>
        <v>0</v>
      </c>
      <c r="CG384" s="20">
        <f ca="1">IF(Table1[[#This Row],[County]]="Essex",Table1[[#This Row],[income]],0)</f>
        <v>0</v>
      </c>
      <c r="CH384" s="20">
        <f ca="1">IF(Table1[[#This Row],[County]]="East Sussex",Table1[[#This Row],[income]],0)</f>
        <v>0</v>
      </c>
      <c r="CI384" s="20">
        <f ca="1">IF(Table1[[#This Row],[County]]="Greater Manchester",Table1[[#This Row],[income]],0)</f>
        <v>0</v>
      </c>
      <c r="CJ384" s="20">
        <f ca="1">IF(Table1[[#This Row],[County]]="Hertfordshire",Table1[[#This Row],[income]],0)</f>
        <v>76637</v>
      </c>
      <c r="CK384" s="20">
        <f ca="1">IF(Table1[[#This Row],[County]]="Herefordshire",Table1[[#This Row],[income]],0)</f>
        <v>0</v>
      </c>
      <c r="CL384" s="20">
        <f ca="1">IF(Table1[[#This Row],[County]]="Lancashire",Table1[[#This Row],[income]],0)</f>
        <v>0</v>
      </c>
      <c r="CM384" s="20">
        <f ca="1">IF(Table1[[#This Row],[County]]="Merseyside",Table1[[#This Row],[income]],0)</f>
        <v>0</v>
      </c>
      <c r="CN384" s="20">
        <f ca="1">IF(Table1[[#This Row],[County]]="Northamptonshire",Table1[[#This Row],[income]],0)</f>
        <v>0</v>
      </c>
      <c r="CO384" s="20">
        <f ca="1">IF(Table1[[#This Row],[County]]="Northumberland",Table1[[#This Row],[income]],0)</f>
        <v>0</v>
      </c>
      <c r="CP384" s="20">
        <f ca="1">IF(Table1[[#This Row],[County]]="Wiltshire",Table1[[#This Row],[income]],0)</f>
        <v>0</v>
      </c>
      <c r="CQ384" s="20">
        <f ca="1">IF(Table1[[#This Row],[County]]="West Midlands",Table1[[#This Row],[income]],0)</f>
        <v>0</v>
      </c>
      <c r="CR384" s="20">
        <f ca="1">IF(Table1[[#This Row],[County]]="Warwickshire",Table1[[#This Row],[income]],0)</f>
        <v>0</v>
      </c>
      <c r="CS384" s="20">
        <f ca="1">IF(Table1[[#This Row],[County]]="Tyne and Wear",Table1[[#This Row],[income]],0)</f>
        <v>0</v>
      </c>
      <c r="CT384" s="20">
        <f ca="1">IF(Table1[[#This Row],[County]]="Worcestershire",Table1[[#This Row],[income]],0)</f>
        <v>0</v>
      </c>
      <c r="CU384" s="20">
        <f ca="1">IF(Table1[[#This Row],[County]]="Rutland",Table1[[#This Row],[income]],0)</f>
        <v>0</v>
      </c>
      <c r="CV384" s="20">
        <f ca="1">IF(Table1[[#This Row],[County]]="Shropshire",Table1[[#This Row],[income]],0)</f>
        <v>0</v>
      </c>
      <c r="CW384" s="20">
        <f ca="1">IF(Table1[[#This Row],[County]]="Dorset",Table1[[#This Row],[income]],0)</f>
        <v>0</v>
      </c>
      <c r="CX384" s="20">
        <f ca="1">IF(Table1[[#This Row],[County]]="Buckinghamshire",Table1[[#This Row],[income]],0)</f>
        <v>0</v>
      </c>
      <c r="CY384" s="20">
        <f ca="1">IF(Table1[[#This Row],[County]]="Suffolk",Table1[[#This Row],[income]],0)</f>
        <v>0</v>
      </c>
      <c r="CZ384" s="20">
        <f ca="1">IF(Table1[[#This Row],[County]]="North Yorkshire",Table1[[#This Row],[income]],0)</f>
        <v>0</v>
      </c>
      <c r="DA384" s="20">
        <f ca="1">IF(Table1[[#This Row],[County]]="Kent",Table1[[#This Row],[income]],0)</f>
        <v>0</v>
      </c>
      <c r="DB384" s="5">
        <f ca="1">IF(Table1[[#This Row],[County]]="Derbyshire",Table1[[#This Row],[income]],0)</f>
        <v>0</v>
      </c>
      <c r="DD384" s="6">
        <f ca="1">IF(Table1[[#This Row],[Column1]]="Health",Table1[[#This Row],[income]],0)</f>
        <v>0</v>
      </c>
      <c r="DE384" s="20">
        <f ca="1">IF(Table1[[#This Row],[Column1]]="Agriculture",Table1[[#This Row],[income]],0)</f>
        <v>0</v>
      </c>
      <c r="DF384" s="20">
        <f ca="1">IF(Table1[[#This Row],[Column1]]="Technology",Table1[[#This Row],[income]],0)</f>
        <v>0</v>
      </c>
      <c r="DG384" s="20">
        <f ca="1">IF(Table1[[#This Row],[Column1]]="Social Service",Table1[[#This Row],[income]],0)</f>
        <v>0</v>
      </c>
      <c r="DH384" s="20">
        <f ca="1">IF(Table1[[#This Row],[Column1]]="Education",Table1[[#This Row],[income]],0)</f>
        <v>0</v>
      </c>
      <c r="DI384" s="5">
        <f ca="1">IF(Table1[[#This Row],[Column1]]="Construction",Table1[[#This Row],[income]],0)</f>
        <v>76637</v>
      </c>
      <c r="DK384" s="6">
        <f ca="1">IF(Table1[[#This Row],[Value of Debts]]&gt;Table1[[#This Row],[income]],1,0)</f>
        <v>1</v>
      </c>
      <c r="DL384" s="20"/>
      <c r="DM384" s="20"/>
      <c r="DN384" s="5"/>
      <c r="DP384" s="6">
        <f ca="1">IF(Table1[[#This Row],[Net Worth (£)]]&gt;$DS$5,C384,0)</f>
        <v>0</v>
      </c>
      <c r="DQ384" s="20"/>
      <c r="DR384" s="20"/>
      <c r="DS384" s="5"/>
    </row>
    <row r="385" spans="1:123" x14ac:dyDescent="0.2">
      <c r="A385">
        <f t="shared" ca="1" si="16"/>
        <v>2</v>
      </c>
      <c r="B385" s="1" t="str">
        <f ca="1">IF(A385=1, "men", "women")</f>
        <v>women</v>
      </c>
      <c r="C385" s="1">
        <f ca="1">RANDBETWEEN(25,50)</f>
        <v>35</v>
      </c>
      <c r="D385">
        <f ca="1">RANDBETWEEN(1,6)</f>
        <v>3</v>
      </c>
      <c r="E385" t="str">
        <f ca="1">VLOOKUP(D385,$W$5:$X$10,2)</f>
        <v>Education</v>
      </c>
      <c r="F385">
        <f ca="1">RANDBETWEEN(1,5)</f>
        <v>1</v>
      </c>
      <c r="G385" t="str">
        <f ca="1">VLOOKUP(F385,$Y$5:$Z$9,2)</f>
        <v>High School</v>
      </c>
      <c r="H385">
        <f ca="1">RANDBETWEEN(0,4)</f>
        <v>0</v>
      </c>
      <c r="I385">
        <f ca="1">RANDBETWEEN(1,3)</f>
        <v>3</v>
      </c>
      <c r="J385">
        <f ca="1">RANDBETWEEN(30000,100000)</f>
        <v>57396</v>
      </c>
      <c r="K385">
        <f ca="1">RANDBETWEEN(1,48)</f>
        <v>42</v>
      </c>
      <c r="L385" t="str">
        <f ca="1">VLOOKUP(K385,$AA$5:$AB$52,2)</f>
        <v>Tyne and Wear</v>
      </c>
      <c r="M385">
        <f ca="1">J385*(RANDBETWEEN(2,5))</f>
        <v>172188</v>
      </c>
      <c r="N385">
        <f ca="1">RAND()*M385</f>
        <v>160950.33121696569</v>
      </c>
      <c r="O385">
        <f ca="1">I385*RAND()*J385</f>
        <v>3480.8789929509849</v>
      </c>
      <c r="P385">
        <f ca="1">RANDBETWEEN(0,O385)</f>
        <v>3113</v>
      </c>
      <c r="Q385">
        <f ca="1">RAND()*J385*2</f>
        <v>26936.276121148236</v>
      </c>
      <c r="R385">
        <f ca="1">RAND()*J385*1.5</f>
        <v>84607.680361982581</v>
      </c>
      <c r="S385">
        <f ca="1">J385+R385+O385</f>
        <v>145484.55935493356</v>
      </c>
      <c r="T385">
        <f ca="1">N385+P385+Q385</f>
        <v>190999.60733811391</v>
      </c>
      <c r="U385">
        <f ca="1">S385-T385</f>
        <v>-45515.047983180353</v>
      </c>
      <c r="AC385" s="6">
        <f ca="1">IF(Table1[[#This Row],[gender]]="men",1,0)</f>
        <v>0</v>
      </c>
      <c r="AD385">
        <f ca="1">IF(Table1[[#This Row],[gender]]="women",1,0)</f>
        <v>1</v>
      </c>
      <c r="AH385" s="5"/>
      <c r="AJ385" s="6">
        <f ca="1">IF(Table1[[#This Row],[Column1]]="Health",1,0)</f>
        <v>0</v>
      </c>
      <c r="AK385">
        <f ca="1">IF(Table1[[#This Row],[Column1]]="Construction",1,0)</f>
        <v>0</v>
      </c>
      <c r="AL385">
        <f ca="1">IF(Table1[[#This Row],[Column1]]="Technology",1,0)</f>
        <v>0</v>
      </c>
      <c r="AM385">
        <f ca="1">IF(Table1[[#This Row],[Column1]]="Education",1,0)</f>
        <v>1</v>
      </c>
      <c r="AN385">
        <f ca="1">IF(Table1[[#This Row],[Column1]]="Agriculture",1,0)</f>
        <v>0</v>
      </c>
      <c r="AO385">
        <f ca="1">IF(Table1[[#This Row],[Column1]]="Social Service", 1, 0)</f>
        <v>0</v>
      </c>
      <c r="AT385" s="5"/>
      <c r="AV385" s="17">
        <f t="shared" ca="1" si="15"/>
        <v>44774.136659042386</v>
      </c>
      <c r="AW385" s="5"/>
      <c r="AX385" s="6">
        <f ca="1">IF(Table1[[#This Row],[Value of Debts]]&gt;$AY$4,1,0)</f>
        <v>1</v>
      </c>
      <c r="AY385" s="20"/>
      <c r="AZ385" s="20"/>
      <c r="BA385" s="5"/>
      <c r="BB385" s="25">
        <f ca="1">Table1[[#This Row],[Mortage Left]]/Table1[[#This Row],[Value of House]]</f>
        <v>0.934736051391303</v>
      </c>
      <c r="BC385" s="20">
        <f t="shared" ca="1" si="17"/>
        <v>0</v>
      </c>
      <c r="BD385" s="20"/>
      <c r="BE385" s="20"/>
      <c r="BF385" s="20"/>
      <c r="BG385" s="6">
        <f ca="1">IF(Table1[[#This Row],[County]]="Cumbria",Table1[[#This Row],[income]],0)</f>
        <v>0</v>
      </c>
      <c r="BH385" s="20">
        <f ca="1">IF(Table1[[#This Row],[County]]="Cheshire",Table1[[#This Row],[income]],0)</f>
        <v>0</v>
      </c>
      <c r="BI385" s="20">
        <f ca="1">IF(Table1[[#This Row],[County]]="Bristol",Table1[[#This Row],[income]],0)</f>
        <v>0</v>
      </c>
      <c r="BJ385" s="20">
        <f ca="1">IF(Table1[[#This Row],[County]]="Surrey",Table1[[#This Row],[income]],0)</f>
        <v>0</v>
      </c>
      <c r="BK385" s="20">
        <f ca="1">IF(Table1[[#This Row],[County]]="Norfolk",Table1[[#This Row],[income]],0)</f>
        <v>0</v>
      </c>
      <c r="BL385" s="20">
        <f ca="1">IF(Table1[[#This Row],[County]]="Lincolnshire",Table1[[#This Row],[income]],0)</f>
        <v>0</v>
      </c>
      <c r="BM385" s="20">
        <f ca="1">IF(Table1[[#This Row],[County]]="Somerset",Table1[[#This Row],[income]],0)</f>
        <v>0</v>
      </c>
      <c r="BN385" s="20">
        <f ca="1">IF(Table1[[#This Row],[County]]="Cambridgeshire",Table1[[#This Row],[income]],0)</f>
        <v>0</v>
      </c>
      <c r="BO385" s="20">
        <f ca="1">IF(Table1[[#This Row],[County]]="South Yorkshire",Table1[[#This Row],[income]],0)</f>
        <v>0</v>
      </c>
      <c r="BP385" s="20">
        <f ca="1">IF(Table1[[#This Row],[County]]="Greater London",Table1[[#This Row],[income]],0)</f>
        <v>0</v>
      </c>
      <c r="BQ385" s="20">
        <f ca="1">IF(Table1[[#This Row],[County]]="Hampshire",Table1[[#This Row],[income]],0)</f>
        <v>0</v>
      </c>
      <c r="BR385" s="20">
        <f ca="1">IF(Table1[[#This Row],[County]]="Gloucestershire",Table1[[#This Row],[income]],0)</f>
        <v>0</v>
      </c>
      <c r="BS385" s="20">
        <f ca="1">IF(Table1[[#This Row],[County]]="West Sussex",Table1[[#This Row],[income]],0)</f>
        <v>0</v>
      </c>
      <c r="BT385" s="20">
        <f ca="1">IF(Table1[[#This Row],[County]]="Devon",Table1[[#This Row],[income]],0)</f>
        <v>0</v>
      </c>
      <c r="BU385" s="20">
        <f ca="1">IF(Table1[[#This Row],[County]]="Berkshire",Table1[[#This Row],[income]],0)</f>
        <v>0</v>
      </c>
      <c r="BV385" s="20">
        <f ca="1">IF(Table1[[#This Row],[County]]="Staffordshire",Table1[[#This Row],[income]],0)</f>
        <v>0</v>
      </c>
      <c r="BW385" s="20">
        <f ca="1">IF(Table1[[#This Row],[County]]="Leicestershire",Table1[[#This Row],[income]],0)</f>
        <v>0</v>
      </c>
      <c r="BX385" s="20">
        <f ca="1">IF(Table1[[#This Row],[County]]="Cornwall",Table1[[#This Row],[income]],0)</f>
        <v>0</v>
      </c>
      <c r="BY385" s="20">
        <f ca="1">IF(Table1[[#This Row],[County]]="Isle of Wight",Table1[[#This Row],[income]],0)</f>
        <v>0</v>
      </c>
      <c r="BZ385" s="20">
        <f ca="1">IF(Table1[[#This Row],[County]]="Surrey",Table1[[#This Row],[income]],0)</f>
        <v>0</v>
      </c>
      <c r="CA385" s="20">
        <f ca="1">IF(Table1[[#This Row],[County]]="Derbyshire",Table1[[#This Row],[income]],0)</f>
        <v>0</v>
      </c>
      <c r="CB385" s="20">
        <f ca="1">IF(Table1[[#This Row],[County]]="City of London",Table1[[#This Row],[income]],0)</f>
        <v>0</v>
      </c>
      <c r="CC385" s="20">
        <f ca="1">IF(Table1[[#This Row],[County]]="Bedfordshire",Table1[[#This Row],[income]],0)</f>
        <v>0</v>
      </c>
      <c r="CD385" s="20">
        <f ca="1">IF(Table1[[#This Row],[County]]="County Durham",Table1[[#This Row],[income]],0)</f>
        <v>0</v>
      </c>
      <c r="CE385" s="20">
        <f ca="1">IF(Table1[[#This Row],[County]]="East Riding of Yorkshire",Table1[[#This Row],[income]],0)</f>
        <v>0</v>
      </c>
      <c r="CF385" s="20">
        <f ca="1">IF(Table1[[#This Row],[County]]="West Yorkshire",Table1[[#This Row],[income]],0)</f>
        <v>0</v>
      </c>
      <c r="CG385" s="20">
        <f ca="1">IF(Table1[[#This Row],[County]]="Essex",Table1[[#This Row],[income]],0)</f>
        <v>0</v>
      </c>
      <c r="CH385" s="20">
        <f ca="1">IF(Table1[[#This Row],[County]]="East Sussex",Table1[[#This Row],[income]],0)</f>
        <v>0</v>
      </c>
      <c r="CI385" s="20">
        <f ca="1">IF(Table1[[#This Row],[County]]="Greater Manchester",Table1[[#This Row],[income]],0)</f>
        <v>0</v>
      </c>
      <c r="CJ385" s="20">
        <f ca="1">IF(Table1[[#This Row],[County]]="Hertfordshire",Table1[[#This Row],[income]],0)</f>
        <v>0</v>
      </c>
      <c r="CK385" s="20">
        <f ca="1">IF(Table1[[#This Row],[County]]="Herefordshire",Table1[[#This Row],[income]],0)</f>
        <v>0</v>
      </c>
      <c r="CL385" s="20">
        <f ca="1">IF(Table1[[#This Row],[County]]="Lancashire",Table1[[#This Row],[income]],0)</f>
        <v>0</v>
      </c>
      <c r="CM385" s="20">
        <f ca="1">IF(Table1[[#This Row],[County]]="Merseyside",Table1[[#This Row],[income]],0)</f>
        <v>0</v>
      </c>
      <c r="CN385" s="20">
        <f ca="1">IF(Table1[[#This Row],[County]]="Northamptonshire",Table1[[#This Row],[income]],0)</f>
        <v>0</v>
      </c>
      <c r="CO385" s="20">
        <f ca="1">IF(Table1[[#This Row],[County]]="Northumberland",Table1[[#This Row],[income]],0)</f>
        <v>0</v>
      </c>
      <c r="CP385" s="20">
        <f ca="1">IF(Table1[[#This Row],[County]]="Wiltshire",Table1[[#This Row],[income]],0)</f>
        <v>0</v>
      </c>
      <c r="CQ385" s="20">
        <f ca="1">IF(Table1[[#This Row],[County]]="West Midlands",Table1[[#This Row],[income]],0)</f>
        <v>0</v>
      </c>
      <c r="CR385" s="20">
        <f ca="1">IF(Table1[[#This Row],[County]]="Warwickshire",Table1[[#This Row],[income]],0)</f>
        <v>0</v>
      </c>
      <c r="CS385" s="20">
        <f ca="1">IF(Table1[[#This Row],[County]]="Tyne and Wear",Table1[[#This Row],[income]],0)</f>
        <v>57396</v>
      </c>
      <c r="CT385" s="20">
        <f ca="1">IF(Table1[[#This Row],[County]]="Worcestershire",Table1[[#This Row],[income]],0)</f>
        <v>0</v>
      </c>
      <c r="CU385" s="20">
        <f ca="1">IF(Table1[[#This Row],[County]]="Rutland",Table1[[#This Row],[income]],0)</f>
        <v>0</v>
      </c>
      <c r="CV385" s="20">
        <f ca="1">IF(Table1[[#This Row],[County]]="Shropshire",Table1[[#This Row],[income]],0)</f>
        <v>0</v>
      </c>
      <c r="CW385" s="20">
        <f ca="1">IF(Table1[[#This Row],[County]]="Dorset",Table1[[#This Row],[income]],0)</f>
        <v>0</v>
      </c>
      <c r="CX385" s="20">
        <f ca="1">IF(Table1[[#This Row],[County]]="Buckinghamshire",Table1[[#This Row],[income]],0)</f>
        <v>0</v>
      </c>
      <c r="CY385" s="20">
        <f ca="1">IF(Table1[[#This Row],[County]]="Suffolk",Table1[[#This Row],[income]],0)</f>
        <v>0</v>
      </c>
      <c r="CZ385" s="20">
        <f ca="1">IF(Table1[[#This Row],[County]]="North Yorkshire",Table1[[#This Row],[income]],0)</f>
        <v>0</v>
      </c>
      <c r="DA385" s="20">
        <f ca="1">IF(Table1[[#This Row],[County]]="Kent",Table1[[#This Row],[income]],0)</f>
        <v>0</v>
      </c>
      <c r="DB385" s="5">
        <f ca="1">IF(Table1[[#This Row],[County]]="Derbyshire",Table1[[#This Row],[income]],0)</f>
        <v>0</v>
      </c>
      <c r="DD385" s="6">
        <f ca="1">IF(Table1[[#This Row],[Column1]]="Health",Table1[[#This Row],[income]],0)</f>
        <v>0</v>
      </c>
      <c r="DE385" s="20">
        <f ca="1">IF(Table1[[#This Row],[Column1]]="Agriculture",Table1[[#This Row],[income]],0)</f>
        <v>0</v>
      </c>
      <c r="DF385" s="20">
        <f ca="1">IF(Table1[[#This Row],[Column1]]="Technology",Table1[[#This Row],[income]],0)</f>
        <v>0</v>
      </c>
      <c r="DG385" s="20">
        <f ca="1">IF(Table1[[#This Row],[Column1]]="Social Service",Table1[[#This Row],[income]],0)</f>
        <v>0</v>
      </c>
      <c r="DH385" s="20">
        <f ca="1">IF(Table1[[#This Row],[Column1]]="Education",Table1[[#This Row],[income]],0)</f>
        <v>57396</v>
      </c>
      <c r="DI385" s="5">
        <f ca="1">IF(Table1[[#This Row],[Column1]]="Construction",Table1[[#This Row],[income]],0)</f>
        <v>0</v>
      </c>
      <c r="DK385" s="6">
        <f ca="1">IF(Table1[[#This Row],[Value of Debts]]&gt;Table1[[#This Row],[income]],1,0)</f>
        <v>1</v>
      </c>
      <c r="DL385" s="20"/>
      <c r="DM385" s="20"/>
      <c r="DN385" s="5"/>
      <c r="DP385" s="6">
        <f ca="1">IF(Table1[[#This Row],[Net Worth (£)]]&gt;$DS$5,C385,0)</f>
        <v>0</v>
      </c>
      <c r="DQ385" s="20"/>
      <c r="DR385" s="20"/>
      <c r="DS385" s="5"/>
    </row>
    <row r="386" spans="1:123" x14ac:dyDescent="0.2">
      <c r="A386">
        <f t="shared" ca="1" si="16"/>
        <v>2</v>
      </c>
      <c r="B386" s="1" t="str">
        <f ca="1">IF(A386=1, "men", "women")</f>
        <v>women</v>
      </c>
      <c r="C386" s="1">
        <f ca="1">RANDBETWEEN(25,50)</f>
        <v>44</v>
      </c>
      <c r="D386">
        <f ca="1">RANDBETWEEN(1,6)</f>
        <v>1</v>
      </c>
      <c r="E386" t="str">
        <f ca="1">VLOOKUP(D386,$W$5:$X$10,2)</f>
        <v>Health</v>
      </c>
      <c r="F386">
        <f ca="1">RANDBETWEEN(1,5)</f>
        <v>3</v>
      </c>
      <c r="G386" t="str">
        <f ca="1">VLOOKUP(F386,$Y$5:$Z$9,2)</f>
        <v>University</v>
      </c>
      <c r="H386">
        <f ca="1">RANDBETWEEN(0,4)</f>
        <v>3</v>
      </c>
      <c r="I386">
        <f ca="1">RANDBETWEEN(1,3)</f>
        <v>3</v>
      </c>
      <c r="J386">
        <f ca="1">RANDBETWEEN(30000,100000)</f>
        <v>62907</v>
      </c>
      <c r="K386">
        <f ca="1">RANDBETWEEN(1,48)</f>
        <v>8</v>
      </c>
      <c r="L386" t="str">
        <f ca="1">VLOOKUP(K386,$AA$5:$AB$52,2)</f>
        <v>Cornwall</v>
      </c>
      <c r="M386">
        <f ca="1">J386*(RANDBETWEEN(2,5))</f>
        <v>125814</v>
      </c>
      <c r="N386">
        <f ca="1">RAND()*M386</f>
        <v>93034.801813110287</v>
      </c>
      <c r="O386">
        <f ca="1">I386*RAND()*J386</f>
        <v>134322.40997712716</v>
      </c>
      <c r="P386">
        <f ca="1">RANDBETWEEN(0,O386)</f>
        <v>79819</v>
      </c>
      <c r="Q386">
        <f ca="1">RAND()*J386*2</f>
        <v>13417.88860029536</v>
      </c>
      <c r="R386">
        <f ca="1">RAND()*J386*1.5</f>
        <v>7977.5882503968169</v>
      </c>
      <c r="S386">
        <f ca="1">J386+R386+O386</f>
        <v>205206.99822752399</v>
      </c>
      <c r="T386">
        <f ca="1">N386+P386+Q386</f>
        <v>186271.69041340565</v>
      </c>
      <c r="U386">
        <f ca="1">S386-T386</f>
        <v>18935.307814118336</v>
      </c>
      <c r="AC386" s="6">
        <f ca="1">IF(Table1[[#This Row],[gender]]="men",1,0)</f>
        <v>0</v>
      </c>
      <c r="AD386">
        <f ca="1">IF(Table1[[#This Row],[gender]]="women",1,0)</f>
        <v>1</v>
      </c>
      <c r="AH386" s="5"/>
      <c r="AJ386" s="6">
        <f ca="1">IF(Table1[[#This Row],[Column1]]="Health",1,0)</f>
        <v>1</v>
      </c>
      <c r="AK386">
        <f ca="1">IF(Table1[[#This Row],[Column1]]="Construction",1,0)</f>
        <v>0</v>
      </c>
      <c r="AL386">
        <f ca="1">IF(Table1[[#This Row],[Column1]]="Technology",1,0)</f>
        <v>0</v>
      </c>
      <c r="AM386">
        <f ca="1">IF(Table1[[#This Row],[Column1]]="Education",1,0)</f>
        <v>0</v>
      </c>
      <c r="AN386">
        <f ca="1">IF(Table1[[#This Row],[Column1]]="Agriculture",1,0)</f>
        <v>0</v>
      </c>
      <c r="AO386">
        <f ca="1">IF(Table1[[#This Row],[Column1]]="Social Service", 1, 0)</f>
        <v>0</v>
      </c>
      <c r="AT386" s="5"/>
      <c r="AV386" s="17">
        <f t="shared" ca="1" si="15"/>
        <v>5466.8799415522335</v>
      </c>
      <c r="AW386" s="5"/>
      <c r="AX386" s="6">
        <f ca="1">IF(Table1[[#This Row],[Value of Debts]]&gt;$AY$4,1,0)</f>
        <v>1</v>
      </c>
      <c r="AY386" s="20"/>
      <c r="AZ386" s="20"/>
      <c r="BA386" s="5"/>
      <c r="BB386" s="25">
        <f ca="1">Table1[[#This Row],[Mortage Left]]/Table1[[#This Row],[Value of House]]</f>
        <v>0.73946303124541213</v>
      </c>
      <c r="BC386" s="20">
        <f t="shared" ca="1" si="17"/>
        <v>0</v>
      </c>
      <c r="BD386" s="20"/>
      <c r="BE386" s="20"/>
      <c r="BF386" s="20"/>
      <c r="BG386" s="6">
        <f ca="1">IF(Table1[[#This Row],[County]]="Cumbria",Table1[[#This Row],[income]],0)</f>
        <v>0</v>
      </c>
      <c r="BH386" s="20">
        <f ca="1">IF(Table1[[#This Row],[County]]="Cheshire",Table1[[#This Row],[income]],0)</f>
        <v>0</v>
      </c>
      <c r="BI386" s="20">
        <f ca="1">IF(Table1[[#This Row],[County]]="Bristol",Table1[[#This Row],[income]],0)</f>
        <v>0</v>
      </c>
      <c r="BJ386" s="20">
        <f ca="1">IF(Table1[[#This Row],[County]]="Surrey",Table1[[#This Row],[income]],0)</f>
        <v>0</v>
      </c>
      <c r="BK386" s="20">
        <f ca="1">IF(Table1[[#This Row],[County]]="Norfolk",Table1[[#This Row],[income]],0)</f>
        <v>0</v>
      </c>
      <c r="BL386" s="20">
        <f ca="1">IF(Table1[[#This Row],[County]]="Lincolnshire",Table1[[#This Row],[income]],0)</f>
        <v>0</v>
      </c>
      <c r="BM386" s="20">
        <f ca="1">IF(Table1[[#This Row],[County]]="Somerset",Table1[[#This Row],[income]],0)</f>
        <v>0</v>
      </c>
      <c r="BN386" s="20">
        <f ca="1">IF(Table1[[#This Row],[County]]="Cambridgeshire",Table1[[#This Row],[income]],0)</f>
        <v>0</v>
      </c>
      <c r="BO386" s="20">
        <f ca="1">IF(Table1[[#This Row],[County]]="South Yorkshire",Table1[[#This Row],[income]],0)</f>
        <v>0</v>
      </c>
      <c r="BP386" s="20">
        <f ca="1">IF(Table1[[#This Row],[County]]="Greater London",Table1[[#This Row],[income]],0)</f>
        <v>0</v>
      </c>
      <c r="BQ386" s="20">
        <f ca="1">IF(Table1[[#This Row],[County]]="Hampshire",Table1[[#This Row],[income]],0)</f>
        <v>0</v>
      </c>
      <c r="BR386" s="20">
        <f ca="1">IF(Table1[[#This Row],[County]]="Gloucestershire",Table1[[#This Row],[income]],0)</f>
        <v>0</v>
      </c>
      <c r="BS386" s="20">
        <f ca="1">IF(Table1[[#This Row],[County]]="West Sussex",Table1[[#This Row],[income]],0)</f>
        <v>0</v>
      </c>
      <c r="BT386" s="20">
        <f ca="1">IF(Table1[[#This Row],[County]]="Devon",Table1[[#This Row],[income]],0)</f>
        <v>0</v>
      </c>
      <c r="BU386" s="20">
        <f ca="1">IF(Table1[[#This Row],[County]]="Berkshire",Table1[[#This Row],[income]],0)</f>
        <v>0</v>
      </c>
      <c r="BV386" s="20">
        <f ca="1">IF(Table1[[#This Row],[County]]="Staffordshire",Table1[[#This Row],[income]],0)</f>
        <v>0</v>
      </c>
      <c r="BW386" s="20">
        <f ca="1">IF(Table1[[#This Row],[County]]="Leicestershire",Table1[[#This Row],[income]],0)</f>
        <v>0</v>
      </c>
      <c r="BX386" s="20">
        <f ca="1">IF(Table1[[#This Row],[County]]="Cornwall",Table1[[#This Row],[income]],0)</f>
        <v>62907</v>
      </c>
      <c r="BY386" s="20">
        <f ca="1">IF(Table1[[#This Row],[County]]="Isle of Wight",Table1[[#This Row],[income]],0)</f>
        <v>0</v>
      </c>
      <c r="BZ386" s="20">
        <f ca="1">IF(Table1[[#This Row],[County]]="Surrey",Table1[[#This Row],[income]],0)</f>
        <v>0</v>
      </c>
      <c r="CA386" s="20">
        <f ca="1">IF(Table1[[#This Row],[County]]="Derbyshire",Table1[[#This Row],[income]],0)</f>
        <v>0</v>
      </c>
      <c r="CB386" s="20">
        <f ca="1">IF(Table1[[#This Row],[County]]="City of London",Table1[[#This Row],[income]],0)</f>
        <v>0</v>
      </c>
      <c r="CC386" s="20">
        <f ca="1">IF(Table1[[#This Row],[County]]="Bedfordshire",Table1[[#This Row],[income]],0)</f>
        <v>0</v>
      </c>
      <c r="CD386" s="20">
        <f ca="1">IF(Table1[[#This Row],[County]]="County Durham",Table1[[#This Row],[income]],0)</f>
        <v>0</v>
      </c>
      <c r="CE386" s="20">
        <f ca="1">IF(Table1[[#This Row],[County]]="East Riding of Yorkshire",Table1[[#This Row],[income]],0)</f>
        <v>0</v>
      </c>
      <c r="CF386" s="20">
        <f ca="1">IF(Table1[[#This Row],[County]]="West Yorkshire",Table1[[#This Row],[income]],0)</f>
        <v>0</v>
      </c>
      <c r="CG386" s="20">
        <f ca="1">IF(Table1[[#This Row],[County]]="Essex",Table1[[#This Row],[income]],0)</f>
        <v>0</v>
      </c>
      <c r="CH386" s="20">
        <f ca="1">IF(Table1[[#This Row],[County]]="East Sussex",Table1[[#This Row],[income]],0)</f>
        <v>0</v>
      </c>
      <c r="CI386" s="20">
        <f ca="1">IF(Table1[[#This Row],[County]]="Greater Manchester",Table1[[#This Row],[income]],0)</f>
        <v>0</v>
      </c>
      <c r="CJ386" s="20">
        <f ca="1">IF(Table1[[#This Row],[County]]="Hertfordshire",Table1[[#This Row],[income]],0)</f>
        <v>0</v>
      </c>
      <c r="CK386" s="20">
        <f ca="1">IF(Table1[[#This Row],[County]]="Herefordshire",Table1[[#This Row],[income]],0)</f>
        <v>0</v>
      </c>
      <c r="CL386" s="20">
        <f ca="1">IF(Table1[[#This Row],[County]]="Lancashire",Table1[[#This Row],[income]],0)</f>
        <v>0</v>
      </c>
      <c r="CM386" s="20">
        <f ca="1">IF(Table1[[#This Row],[County]]="Merseyside",Table1[[#This Row],[income]],0)</f>
        <v>0</v>
      </c>
      <c r="CN386" s="20">
        <f ca="1">IF(Table1[[#This Row],[County]]="Northamptonshire",Table1[[#This Row],[income]],0)</f>
        <v>0</v>
      </c>
      <c r="CO386" s="20">
        <f ca="1">IF(Table1[[#This Row],[County]]="Northumberland",Table1[[#This Row],[income]],0)</f>
        <v>0</v>
      </c>
      <c r="CP386" s="20">
        <f ca="1">IF(Table1[[#This Row],[County]]="Wiltshire",Table1[[#This Row],[income]],0)</f>
        <v>0</v>
      </c>
      <c r="CQ386" s="20">
        <f ca="1">IF(Table1[[#This Row],[County]]="West Midlands",Table1[[#This Row],[income]],0)</f>
        <v>0</v>
      </c>
      <c r="CR386" s="20">
        <f ca="1">IF(Table1[[#This Row],[County]]="Warwickshire",Table1[[#This Row],[income]],0)</f>
        <v>0</v>
      </c>
      <c r="CS386" s="20">
        <f ca="1">IF(Table1[[#This Row],[County]]="Tyne and Wear",Table1[[#This Row],[income]],0)</f>
        <v>0</v>
      </c>
      <c r="CT386" s="20">
        <f ca="1">IF(Table1[[#This Row],[County]]="Worcestershire",Table1[[#This Row],[income]],0)</f>
        <v>0</v>
      </c>
      <c r="CU386" s="20">
        <f ca="1">IF(Table1[[#This Row],[County]]="Rutland",Table1[[#This Row],[income]],0)</f>
        <v>0</v>
      </c>
      <c r="CV386" s="20">
        <f ca="1">IF(Table1[[#This Row],[County]]="Shropshire",Table1[[#This Row],[income]],0)</f>
        <v>0</v>
      </c>
      <c r="CW386" s="20">
        <f ca="1">IF(Table1[[#This Row],[County]]="Dorset",Table1[[#This Row],[income]],0)</f>
        <v>0</v>
      </c>
      <c r="CX386" s="20">
        <f ca="1">IF(Table1[[#This Row],[County]]="Buckinghamshire",Table1[[#This Row],[income]],0)</f>
        <v>0</v>
      </c>
      <c r="CY386" s="20">
        <f ca="1">IF(Table1[[#This Row],[County]]="Suffolk",Table1[[#This Row],[income]],0)</f>
        <v>0</v>
      </c>
      <c r="CZ386" s="20">
        <f ca="1">IF(Table1[[#This Row],[County]]="North Yorkshire",Table1[[#This Row],[income]],0)</f>
        <v>0</v>
      </c>
      <c r="DA386" s="20">
        <f ca="1">IF(Table1[[#This Row],[County]]="Kent",Table1[[#This Row],[income]],0)</f>
        <v>0</v>
      </c>
      <c r="DB386" s="5">
        <f ca="1">IF(Table1[[#This Row],[County]]="Derbyshire",Table1[[#This Row],[income]],0)</f>
        <v>0</v>
      </c>
      <c r="DD386" s="6">
        <f ca="1">IF(Table1[[#This Row],[Column1]]="Health",Table1[[#This Row],[income]],0)</f>
        <v>62907</v>
      </c>
      <c r="DE386" s="20">
        <f ca="1">IF(Table1[[#This Row],[Column1]]="Agriculture",Table1[[#This Row],[income]],0)</f>
        <v>0</v>
      </c>
      <c r="DF386" s="20">
        <f ca="1">IF(Table1[[#This Row],[Column1]]="Technology",Table1[[#This Row],[income]],0)</f>
        <v>0</v>
      </c>
      <c r="DG386" s="20">
        <f ca="1">IF(Table1[[#This Row],[Column1]]="Social Service",Table1[[#This Row],[income]],0)</f>
        <v>0</v>
      </c>
      <c r="DH386" s="20">
        <f ca="1">IF(Table1[[#This Row],[Column1]]="Education",Table1[[#This Row],[income]],0)</f>
        <v>0</v>
      </c>
      <c r="DI386" s="5">
        <f ca="1">IF(Table1[[#This Row],[Column1]]="Construction",Table1[[#This Row],[income]],0)</f>
        <v>0</v>
      </c>
      <c r="DK386" s="6">
        <f ca="1">IF(Table1[[#This Row],[Value of Debts]]&gt;Table1[[#This Row],[income]],1,0)</f>
        <v>1</v>
      </c>
      <c r="DL386" s="20"/>
      <c r="DM386" s="20"/>
      <c r="DN386" s="5"/>
      <c r="DP386" s="6">
        <f ca="1">IF(Table1[[#This Row],[Net Worth (£)]]&gt;$DS$5,C386,0)</f>
        <v>0</v>
      </c>
      <c r="DQ386" s="20"/>
      <c r="DR386" s="20"/>
      <c r="DS386" s="5"/>
    </row>
    <row r="387" spans="1:123" x14ac:dyDescent="0.2">
      <c r="A387">
        <f t="shared" ca="1" si="16"/>
        <v>1</v>
      </c>
      <c r="B387" s="1" t="str">
        <f ca="1">IF(A387=1, "men", "women")</f>
        <v>men</v>
      </c>
      <c r="C387" s="1">
        <f ca="1">RANDBETWEEN(25,50)</f>
        <v>39</v>
      </c>
      <c r="D387">
        <f ca="1">RANDBETWEEN(1,6)</f>
        <v>2</v>
      </c>
      <c r="E387" t="str">
        <f ca="1">VLOOKUP(D387,$W$5:$X$10,2)</f>
        <v>Construction</v>
      </c>
      <c r="F387">
        <f ca="1">RANDBETWEEN(1,5)</f>
        <v>5</v>
      </c>
      <c r="G387" t="str">
        <f ca="1">VLOOKUP(F387,$Y$5:$Z$9,2)</f>
        <v>Other</v>
      </c>
      <c r="H387">
        <f ca="1">RANDBETWEEN(0,4)</f>
        <v>4</v>
      </c>
      <c r="I387">
        <f ca="1">RANDBETWEEN(1,3)</f>
        <v>3</v>
      </c>
      <c r="J387">
        <f ca="1">RANDBETWEEN(30000,100000)</f>
        <v>85442</v>
      </c>
      <c r="K387">
        <f ca="1">RANDBETWEEN(1,48)</f>
        <v>13</v>
      </c>
      <c r="L387" t="str">
        <f ca="1">VLOOKUP(K387,$AA$5:$AB$52,2)</f>
        <v>County Durham</v>
      </c>
      <c r="M387">
        <f ca="1">J387*(RANDBETWEEN(2,5))</f>
        <v>256326</v>
      </c>
      <c r="N387">
        <f ca="1">RAND()*M387</f>
        <v>129859.32925544534</v>
      </c>
      <c r="O387">
        <f ca="1">I387*RAND()*J387</f>
        <v>16400.639824656701</v>
      </c>
      <c r="P387">
        <f ca="1">RANDBETWEEN(0,O387)</f>
        <v>12041</v>
      </c>
      <c r="Q387">
        <f ca="1">RAND()*J387*2</f>
        <v>50716.661146751539</v>
      </c>
      <c r="R387">
        <f ca="1">RAND()*J387*1.5</f>
        <v>77125.29848353719</v>
      </c>
      <c r="S387">
        <f ca="1">J387+R387+O387</f>
        <v>178967.9383081939</v>
      </c>
      <c r="T387">
        <f ca="1">N387+P387+Q387</f>
        <v>192616.99040219688</v>
      </c>
      <c r="U387">
        <f ca="1">S387-T387</f>
        <v>-13649.052094002982</v>
      </c>
      <c r="AC387" s="6">
        <f ca="1">IF(Table1[[#This Row],[gender]]="men",1,0)</f>
        <v>1</v>
      </c>
      <c r="AD387">
        <f ca="1">IF(Table1[[#This Row],[gender]]="women",1,0)</f>
        <v>0</v>
      </c>
      <c r="AH387" s="5"/>
      <c r="AJ387" s="6">
        <f ca="1">IF(Table1[[#This Row],[Column1]]="Health",1,0)</f>
        <v>0</v>
      </c>
      <c r="AK387">
        <f ca="1">IF(Table1[[#This Row],[Column1]]="Construction",1,0)</f>
        <v>1</v>
      </c>
      <c r="AL387">
        <f ca="1">IF(Table1[[#This Row],[Column1]]="Technology",1,0)</f>
        <v>0</v>
      </c>
      <c r="AM387">
        <f ca="1">IF(Table1[[#This Row],[Column1]]="Education",1,0)</f>
        <v>0</v>
      </c>
      <c r="AN387">
        <f ca="1">IF(Table1[[#This Row],[Column1]]="Agriculture",1,0)</f>
        <v>0</v>
      </c>
      <c r="AO387">
        <f ca="1">IF(Table1[[#This Row],[Column1]]="Social Service", 1, 0)</f>
        <v>0</v>
      </c>
      <c r="AT387" s="5"/>
      <c r="AV387" s="17">
        <f t="shared" ca="1" si="15"/>
        <v>27400.203158744171</v>
      </c>
      <c r="AW387" s="5"/>
      <c r="AX387" s="6">
        <f ca="1">IF(Table1[[#This Row],[Value of Debts]]&gt;$AY$4,1,0)</f>
        <v>1</v>
      </c>
      <c r="AY387" s="20"/>
      <c r="AZ387" s="20"/>
      <c r="BA387" s="5"/>
      <c r="BB387" s="25">
        <f ca="1">Table1[[#This Row],[Mortage Left]]/Table1[[#This Row],[Value of House]]</f>
        <v>0.50661785872461373</v>
      </c>
      <c r="BC387" s="20">
        <f t="shared" ca="1" si="17"/>
        <v>0</v>
      </c>
      <c r="BD387" s="20"/>
      <c r="BE387" s="20"/>
      <c r="BF387" s="20"/>
      <c r="BG387" s="6">
        <f ca="1">IF(Table1[[#This Row],[County]]="Cumbria",Table1[[#This Row],[income]],0)</f>
        <v>0</v>
      </c>
      <c r="BH387" s="20">
        <f ca="1">IF(Table1[[#This Row],[County]]="Cheshire",Table1[[#This Row],[income]],0)</f>
        <v>0</v>
      </c>
      <c r="BI387" s="20">
        <f ca="1">IF(Table1[[#This Row],[County]]="Bristol",Table1[[#This Row],[income]],0)</f>
        <v>0</v>
      </c>
      <c r="BJ387" s="20">
        <f ca="1">IF(Table1[[#This Row],[County]]="Surrey",Table1[[#This Row],[income]],0)</f>
        <v>0</v>
      </c>
      <c r="BK387" s="20">
        <f ca="1">IF(Table1[[#This Row],[County]]="Norfolk",Table1[[#This Row],[income]],0)</f>
        <v>0</v>
      </c>
      <c r="BL387" s="20">
        <f ca="1">IF(Table1[[#This Row],[County]]="Lincolnshire",Table1[[#This Row],[income]],0)</f>
        <v>0</v>
      </c>
      <c r="BM387" s="20">
        <f ca="1">IF(Table1[[#This Row],[County]]="Somerset",Table1[[#This Row],[income]],0)</f>
        <v>0</v>
      </c>
      <c r="BN387" s="20">
        <f ca="1">IF(Table1[[#This Row],[County]]="Cambridgeshire",Table1[[#This Row],[income]],0)</f>
        <v>0</v>
      </c>
      <c r="BO387" s="20">
        <f ca="1">IF(Table1[[#This Row],[County]]="South Yorkshire",Table1[[#This Row],[income]],0)</f>
        <v>0</v>
      </c>
      <c r="BP387" s="20">
        <f ca="1">IF(Table1[[#This Row],[County]]="Greater London",Table1[[#This Row],[income]],0)</f>
        <v>0</v>
      </c>
      <c r="BQ387" s="20">
        <f ca="1">IF(Table1[[#This Row],[County]]="Hampshire",Table1[[#This Row],[income]],0)</f>
        <v>0</v>
      </c>
      <c r="BR387" s="20">
        <f ca="1">IF(Table1[[#This Row],[County]]="Gloucestershire",Table1[[#This Row],[income]],0)</f>
        <v>0</v>
      </c>
      <c r="BS387" s="20">
        <f ca="1">IF(Table1[[#This Row],[County]]="West Sussex",Table1[[#This Row],[income]],0)</f>
        <v>0</v>
      </c>
      <c r="BT387" s="20">
        <f ca="1">IF(Table1[[#This Row],[County]]="Devon",Table1[[#This Row],[income]],0)</f>
        <v>0</v>
      </c>
      <c r="BU387" s="20">
        <f ca="1">IF(Table1[[#This Row],[County]]="Berkshire",Table1[[#This Row],[income]],0)</f>
        <v>0</v>
      </c>
      <c r="BV387" s="20">
        <f ca="1">IF(Table1[[#This Row],[County]]="Staffordshire",Table1[[#This Row],[income]],0)</f>
        <v>0</v>
      </c>
      <c r="BW387" s="20">
        <f ca="1">IF(Table1[[#This Row],[County]]="Leicestershire",Table1[[#This Row],[income]],0)</f>
        <v>0</v>
      </c>
      <c r="BX387" s="20">
        <f ca="1">IF(Table1[[#This Row],[County]]="Cornwall",Table1[[#This Row],[income]],0)</f>
        <v>0</v>
      </c>
      <c r="BY387" s="20">
        <f ca="1">IF(Table1[[#This Row],[County]]="Isle of Wight",Table1[[#This Row],[income]],0)</f>
        <v>0</v>
      </c>
      <c r="BZ387" s="20">
        <f ca="1">IF(Table1[[#This Row],[County]]="Surrey",Table1[[#This Row],[income]],0)</f>
        <v>0</v>
      </c>
      <c r="CA387" s="20">
        <f ca="1">IF(Table1[[#This Row],[County]]="Derbyshire",Table1[[#This Row],[income]],0)</f>
        <v>0</v>
      </c>
      <c r="CB387" s="20">
        <f ca="1">IF(Table1[[#This Row],[County]]="City of London",Table1[[#This Row],[income]],0)</f>
        <v>0</v>
      </c>
      <c r="CC387" s="20">
        <f ca="1">IF(Table1[[#This Row],[County]]="Bedfordshire",Table1[[#This Row],[income]],0)</f>
        <v>0</v>
      </c>
      <c r="CD387" s="20">
        <f ca="1">IF(Table1[[#This Row],[County]]="County Durham",Table1[[#This Row],[income]],0)</f>
        <v>85442</v>
      </c>
      <c r="CE387" s="20">
        <f ca="1">IF(Table1[[#This Row],[County]]="East Riding of Yorkshire",Table1[[#This Row],[income]],0)</f>
        <v>0</v>
      </c>
      <c r="CF387" s="20">
        <f ca="1">IF(Table1[[#This Row],[County]]="West Yorkshire",Table1[[#This Row],[income]],0)</f>
        <v>0</v>
      </c>
      <c r="CG387" s="20">
        <f ca="1">IF(Table1[[#This Row],[County]]="Essex",Table1[[#This Row],[income]],0)</f>
        <v>0</v>
      </c>
      <c r="CH387" s="20">
        <f ca="1">IF(Table1[[#This Row],[County]]="East Sussex",Table1[[#This Row],[income]],0)</f>
        <v>0</v>
      </c>
      <c r="CI387" s="20">
        <f ca="1">IF(Table1[[#This Row],[County]]="Greater Manchester",Table1[[#This Row],[income]],0)</f>
        <v>0</v>
      </c>
      <c r="CJ387" s="20">
        <f ca="1">IF(Table1[[#This Row],[County]]="Hertfordshire",Table1[[#This Row],[income]],0)</f>
        <v>0</v>
      </c>
      <c r="CK387" s="20">
        <f ca="1">IF(Table1[[#This Row],[County]]="Herefordshire",Table1[[#This Row],[income]],0)</f>
        <v>0</v>
      </c>
      <c r="CL387" s="20">
        <f ca="1">IF(Table1[[#This Row],[County]]="Lancashire",Table1[[#This Row],[income]],0)</f>
        <v>0</v>
      </c>
      <c r="CM387" s="20">
        <f ca="1">IF(Table1[[#This Row],[County]]="Merseyside",Table1[[#This Row],[income]],0)</f>
        <v>0</v>
      </c>
      <c r="CN387" s="20">
        <f ca="1">IF(Table1[[#This Row],[County]]="Northamptonshire",Table1[[#This Row],[income]],0)</f>
        <v>0</v>
      </c>
      <c r="CO387" s="20">
        <f ca="1">IF(Table1[[#This Row],[County]]="Northumberland",Table1[[#This Row],[income]],0)</f>
        <v>0</v>
      </c>
      <c r="CP387" s="20">
        <f ca="1">IF(Table1[[#This Row],[County]]="Wiltshire",Table1[[#This Row],[income]],0)</f>
        <v>0</v>
      </c>
      <c r="CQ387" s="20">
        <f ca="1">IF(Table1[[#This Row],[County]]="West Midlands",Table1[[#This Row],[income]],0)</f>
        <v>0</v>
      </c>
      <c r="CR387" s="20">
        <f ca="1">IF(Table1[[#This Row],[County]]="Warwickshire",Table1[[#This Row],[income]],0)</f>
        <v>0</v>
      </c>
      <c r="CS387" s="20">
        <f ca="1">IF(Table1[[#This Row],[County]]="Tyne and Wear",Table1[[#This Row],[income]],0)</f>
        <v>0</v>
      </c>
      <c r="CT387" s="20">
        <f ca="1">IF(Table1[[#This Row],[County]]="Worcestershire",Table1[[#This Row],[income]],0)</f>
        <v>0</v>
      </c>
      <c r="CU387" s="20">
        <f ca="1">IF(Table1[[#This Row],[County]]="Rutland",Table1[[#This Row],[income]],0)</f>
        <v>0</v>
      </c>
      <c r="CV387" s="20">
        <f ca="1">IF(Table1[[#This Row],[County]]="Shropshire",Table1[[#This Row],[income]],0)</f>
        <v>0</v>
      </c>
      <c r="CW387" s="20">
        <f ca="1">IF(Table1[[#This Row],[County]]="Dorset",Table1[[#This Row],[income]],0)</f>
        <v>0</v>
      </c>
      <c r="CX387" s="20">
        <f ca="1">IF(Table1[[#This Row],[County]]="Buckinghamshire",Table1[[#This Row],[income]],0)</f>
        <v>0</v>
      </c>
      <c r="CY387" s="20">
        <f ca="1">IF(Table1[[#This Row],[County]]="Suffolk",Table1[[#This Row],[income]],0)</f>
        <v>0</v>
      </c>
      <c r="CZ387" s="20">
        <f ca="1">IF(Table1[[#This Row],[County]]="North Yorkshire",Table1[[#This Row],[income]],0)</f>
        <v>0</v>
      </c>
      <c r="DA387" s="20">
        <f ca="1">IF(Table1[[#This Row],[County]]="Kent",Table1[[#This Row],[income]],0)</f>
        <v>0</v>
      </c>
      <c r="DB387" s="5">
        <f ca="1">IF(Table1[[#This Row],[County]]="Derbyshire",Table1[[#This Row],[income]],0)</f>
        <v>0</v>
      </c>
      <c r="DD387" s="6">
        <f ca="1">IF(Table1[[#This Row],[Column1]]="Health",Table1[[#This Row],[income]],0)</f>
        <v>0</v>
      </c>
      <c r="DE387" s="20">
        <f ca="1">IF(Table1[[#This Row],[Column1]]="Agriculture",Table1[[#This Row],[income]],0)</f>
        <v>0</v>
      </c>
      <c r="DF387" s="20">
        <f ca="1">IF(Table1[[#This Row],[Column1]]="Technology",Table1[[#This Row],[income]],0)</f>
        <v>0</v>
      </c>
      <c r="DG387" s="20">
        <f ca="1">IF(Table1[[#This Row],[Column1]]="Social Service",Table1[[#This Row],[income]],0)</f>
        <v>0</v>
      </c>
      <c r="DH387" s="20">
        <f ca="1">IF(Table1[[#This Row],[Column1]]="Education",Table1[[#This Row],[income]],0)</f>
        <v>0</v>
      </c>
      <c r="DI387" s="5">
        <f ca="1">IF(Table1[[#This Row],[Column1]]="Construction",Table1[[#This Row],[income]],0)</f>
        <v>85442</v>
      </c>
      <c r="DK387" s="6">
        <f ca="1">IF(Table1[[#This Row],[Value of Debts]]&gt;Table1[[#This Row],[income]],1,0)</f>
        <v>1</v>
      </c>
      <c r="DL387" s="20"/>
      <c r="DM387" s="20"/>
      <c r="DN387" s="5"/>
      <c r="DP387" s="6">
        <f ca="1">IF(Table1[[#This Row],[Net Worth (£)]]&gt;$DS$5,C387,0)</f>
        <v>0</v>
      </c>
      <c r="DQ387" s="20"/>
      <c r="DR387" s="20"/>
      <c r="DS387" s="5"/>
    </row>
    <row r="388" spans="1:123" x14ac:dyDescent="0.2">
      <c r="A388">
        <f t="shared" ca="1" si="16"/>
        <v>1</v>
      </c>
      <c r="B388" s="1" t="str">
        <f ca="1">IF(A388=1, "men", "women")</f>
        <v>men</v>
      </c>
      <c r="C388" s="1">
        <f ca="1">RANDBETWEEN(25,50)</f>
        <v>37</v>
      </c>
      <c r="D388">
        <f ca="1">RANDBETWEEN(1,6)</f>
        <v>1</v>
      </c>
      <c r="E388" t="str">
        <f ca="1">VLOOKUP(D388,$W$5:$X$10,2)</f>
        <v>Health</v>
      </c>
      <c r="F388">
        <f ca="1">RANDBETWEEN(1,5)</f>
        <v>3</v>
      </c>
      <c r="G388" t="str">
        <f ca="1">VLOOKUP(F388,$Y$5:$Z$9,2)</f>
        <v>University</v>
      </c>
      <c r="H388">
        <f ca="1">RANDBETWEEN(0,4)</f>
        <v>0</v>
      </c>
      <c r="I388">
        <f ca="1">RANDBETWEEN(1,3)</f>
        <v>2</v>
      </c>
      <c r="J388">
        <f ca="1">RANDBETWEEN(30000,100000)</f>
        <v>38690</v>
      </c>
      <c r="K388">
        <f ca="1">RANDBETWEEN(1,48)</f>
        <v>10</v>
      </c>
      <c r="L388" t="str">
        <f ca="1">VLOOKUP(K388,$AA$5:$AB$52,2)</f>
        <v>Derbyshire</v>
      </c>
      <c r="M388">
        <f ca="1">J388*(RANDBETWEEN(2,5))</f>
        <v>154760</v>
      </c>
      <c r="N388">
        <f ca="1">RAND()*M388</f>
        <v>53921.345142850587</v>
      </c>
      <c r="O388">
        <f ca="1">I388*RAND()*J388</f>
        <v>54800.406317488341</v>
      </c>
      <c r="P388">
        <f ca="1">RANDBETWEEN(0,O388)</f>
        <v>1626</v>
      </c>
      <c r="Q388">
        <f ca="1">RAND()*J388*2</f>
        <v>22771.99533071445</v>
      </c>
      <c r="R388">
        <f ca="1">RAND()*J388*1.5</f>
        <v>17941.087601483079</v>
      </c>
      <c r="S388">
        <f ca="1">J388+R388+O388</f>
        <v>111431.49391897142</v>
      </c>
      <c r="T388">
        <f ca="1">N388+P388+Q388</f>
        <v>78319.34047356504</v>
      </c>
      <c r="U388">
        <f ca="1">S388-T388</f>
        <v>33112.15344540638</v>
      </c>
      <c r="AC388" s="6">
        <f ca="1">IF(Table1[[#This Row],[gender]]="men",1,0)</f>
        <v>1</v>
      </c>
      <c r="AD388">
        <f ca="1">IF(Table1[[#This Row],[gender]]="women",1,0)</f>
        <v>0</v>
      </c>
      <c r="AH388" s="5"/>
      <c r="AJ388" s="6">
        <f ca="1">IF(Table1[[#This Row],[Column1]]="Health",1,0)</f>
        <v>1</v>
      </c>
      <c r="AK388">
        <f ca="1">IF(Table1[[#This Row],[Column1]]="Construction",1,0)</f>
        <v>0</v>
      </c>
      <c r="AL388">
        <f ca="1">IF(Table1[[#This Row],[Column1]]="Technology",1,0)</f>
        <v>0</v>
      </c>
      <c r="AM388">
        <f ca="1">IF(Table1[[#This Row],[Column1]]="Education",1,0)</f>
        <v>0</v>
      </c>
      <c r="AN388">
        <f ca="1">IF(Table1[[#This Row],[Column1]]="Agriculture",1,0)</f>
        <v>0</v>
      </c>
      <c r="AO388">
        <f ca="1">IF(Table1[[#This Row],[Column1]]="Social Service", 1, 0)</f>
        <v>0</v>
      </c>
      <c r="AT388" s="5"/>
      <c r="AV388" s="17">
        <f t="shared" ca="1" si="15"/>
        <v>706.54909474244346</v>
      </c>
      <c r="AW388" s="5"/>
      <c r="AX388" s="6">
        <f ca="1">IF(Table1[[#This Row],[Value of Debts]]&gt;$AY$4,1,0)</f>
        <v>0</v>
      </c>
      <c r="AY388" s="20"/>
      <c r="AZ388" s="20"/>
      <c r="BA388" s="5"/>
      <c r="BB388" s="25">
        <f ca="1">Table1[[#This Row],[Mortage Left]]/Table1[[#This Row],[Value of House]]</f>
        <v>0.34841913377391176</v>
      </c>
      <c r="BC388" s="20">
        <f t="shared" ca="1" si="17"/>
        <v>0</v>
      </c>
      <c r="BD388" s="20"/>
      <c r="BE388" s="20"/>
      <c r="BF388" s="20"/>
      <c r="BG388" s="6">
        <f ca="1">IF(Table1[[#This Row],[County]]="Cumbria",Table1[[#This Row],[income]],0)</f>
        <v>0</v>
      </c>
      <c r="BH388" s="20">
        <f ca="1">IF(Table1[[#This Row],[County]]="Cheshire",Table1[[#This Row],[income]],0)</f>
        <v>0</v>
      </c>
      <c r="BI388" s="20">
        <f ca="1">IF(Table1[[#This Row],[County]]="Bristol",Table1[[#This Row],[income]],0)</f>
        <v>0</v>
      </c>
      <c r="BJ388" s="20">
        <f ca="1">IF(Table1[[#This Row],[County]]="Surrey",Table1[[#This Row],[income]],0)</f>
        <v>0</v>
      </c>
      <c r="BK388" s="20">
        <f ca="1">IF(Table1[[#This Row],[County]]="Norfolk",Table1[[#This Row],[income]],0)</f>
        <v>0</v>
      </c>
      <c r="BL388" s="20">
        <f ca="1">IF(Table1[[#This Row],[County]]="Lincolnshire",Table1[[#This Row],[income]],0)</f>
        <v>0</v>
      </c>
      <c r="BM388" s="20">
        <f ca="1">IF(Table1[[#This Row],[County]]="Somerset",Table1[[#This Row],[income]],0)</f>
        <v>0</v>
      </c>
      <c r="BN388" s="20">
        <f ca="1">IF(Table1[[#This Row],[County]]="Cambridgeshire",Table1[[#This Row],[income]],0)</f>
        <v>0</v>
      </c>
      <c r="BO388" s="20">
        <f ca="1">IF(Table1[[#This Row],[County]]="South Yorkshire",Table1[[#This Row],[income]],0)</f>
        <v>0</v>
      </c>
      <c r="BP388" s="20">
        <f ca="1">IF(Table1[[#This Row],[County]]="Greater London",Table1[[#This Row],[income]],0)</f>
        <v>0</v>
      </c>
      <c r="BQ388" s="20">
        <f ca="1">IF(Table1[[#This Row],[County]]="Hampshire",Table1[[#This Row],[income]],0)</f>
        <v>0</v>
      </c>
      <c r="BR388" s="20">
        <f ca="1">IF(Table1[[#This Row],[County]]="Gloucestershire",Table1[[#This Row],[income]],0)</f>
        <v>0</v>
      </c>
      <c r="BS388" s="20">
        <f ca="1">IF(Table1[[#This Row],[County]]="West Sussex",Table1[[#This Row],[income]],0)</f>
        <v>0</v>
      </c>
      <c r="BT388" s="20">
        <f ca="1">IF(Table1[[#This Row],[County]]="Devon",Table1[[#This Row],[income]],0)</f>
        <v>0</v>
      </c>
      <c r="BU388" s="20">
        <f ca="1">IF(Table1[[#This Row],[County]]="Berkshire",Table1[[#This Row],[income]],0)</f>
        <v>0</v>
      </c>
      <c r="BV388" s="20">
        <f ca="1">IF(Table1[[#This Row],[County]]="Staffordshire",Table1[[#This Row],[income]],0)</f>
        <v>0</v>
      </c>
      <c r="BW388" s="20">
        <f ca="1">IF(Table1[[#This Row],[County]]="Leicestershire",Table1[[#This Row],[income]],0)</f>
        <v>0</v>
      </c>
      <c r="BX388" s="20">
        <f ca="1">IF(Table1[[#This Row],[County]]="Cornwall",Table1[[#This Row],[income]],0)</f>
        <v>0</v>
      </c>
      <c r="BY388" s="20">
        <f ca="1">IF(Table1[[#This Row],[County]]="Isle of Wight",Table1[[#This Row],[income]],0)</f>
        <v>0</v>
      </c>
      <c r="BZ388" s="20">
        <f ca="1">IF(Table1[[#This Row],[County]]="Surrey",Table1[[#This Row],[income]],0)</f>
        <v>0</v>
      </c>
      <c r="CA388" s="20">
        <f ca="1">IF(Table1[[#This Row],[County]]="Derbyshire",Table1[[#This Row],[income]],0)</f>
        <v>38690</v>
      </c>
      <c r="CB388" s="20">
        <f ca="1">IF(Table1[[#This Row],[County]]="City of London",Table1[[#This Row],[income]],0)</f>
        <v>0</v>
      </c>
      <c r="CC388" s="20">
        <f ca="1">IF(Table1[[#This Row],[County]]="Bedfordshire",Table1[[#This Row],[income]],0)</f>
        <v>0</v>
      </c>
      <c r="CD388" s="20">
        <f ca="1">IF(Table1[[#This Row],[County]]="County Durham",Table1[[#This Row],[income]],0)</f>
        <v>0</v>
      </c>
      <c r="CE388" s="20">
        <f ca="1">IF(Table1[[#This Row],[County]]="East Riding of Yorkshire",Table1[[#This Row],[income]],0)</f>
        <v>0</v>
      </c>
      <c r="CF388" s="20">
        <f ca="1">IF(Table1[[#This Row],[County]]="West Yorkshire",Table1[[#This Row],[income]],0)</f>
        <v>0</v>
      </c>
      <c r="CG388" s="20">
        <f ca="1">IF(Table1[[#This Row],[County]]="Essex",Table1[[#This Row],[income]],0)</f>
        <v>0</v>
      </c>
      <c r="CH388" s="20">
        <f ca="1">IF(Table1[[#This Row],[County]]="East Sussex",Table1[[#This Row],[income]],0)</f>
        <v>0</v>
      </c>
      <c r="CI388" s="20">
        <f ca="1">IF(Table1[[#This Row],[County]]="Greater Manchester",Table1[[#This Row],[income]],0)</f>
        <v>0</v>
      </c>
      <c r="CJ388" s="20">
        <f ca="1">IF(Table1[[#This Row],[County]]="Hertfordshire",Table1[[#This Row],[income]],0)</f>
        <v>0</v>
      </c>
      <c r="CK388" s="20">
        <f ca="1">IF(Table1[[#This Row],[County]]="Herefordshire",Table1[[#This Row],[income]],0)</f>
        <v>0</v>
      </c>
      <c r="CL388" s="20">
        <f ca="1">IF(Table1[[#This Row],[County]]="Lancashire",Table1[[#This Row],[income]],0)</f>
        <v>0</v>
      </c>
      <c r="CM388" s="20">
        <f ca="1">IF(Table1[[#This Row],[County]]="Merseyside",Table1[[#This Row],[income]],0)</f>
        <v>0</v>
      </c>
      <c r="CN388" s="20">
        <f ca="1">IF(Table1[[#This Row],[County]]="Northamptonshire",Table1[[#This Row],[income]],0)</f>
        <v>0</v>
      </c>
      <c r="CO388" s="20">
        <f ca="1">IF(Table1[[#This Row],[County]]="Northumberland",Table1[[#This Row],[income]],0)</f>
        <v>0</v>
      </c>
      <c r="CP388" s="20">
        <f ca="1">IF(Table1[[#This Row],[County]]="Wiltshire",Table1[[#This Row],[income]],0)</f>
        <v>0</v>
      </c>
      <c r="CQ388" s="20">
        <f ca="1">IF(Table1[[#This Row],[County]]="West Midlands",Table1[[#This Row],[income]],0)</f>
        <v>0</v>
      </c>
      <c r="CR388" s="20">
        <f ca="1">IF(Table1[[#This Row],[County]]="Warwickshire",Table1[[#This Row],[income]],0)</f>
        <v>0</v>
      </c>
      <c r="CS388" s="20">
        <f ca="1">IF(Table1[[#This Row],[County]]="Tyne and Wear",Table1[[#This Row],[income]],0)</f>
        <v>0</v>
      </c>
      <c r="CT388" s="20">
        <f ca="1">IF(Table1[[#This Row],[County]]="Worcestershire",Table1[[#This Row],[income]],0)</f>
        <v>0</v>
      </c>
      <c r="CU388" s="20">
        <f ca="1">IF(Table1[[#This Row],[County]]="Rutland",Table1[[#This Row],[income]],0)</f>
        <v>0</v>
      </c>
      <c r="CV388" s="20">
        <f ca="1">IF(Table1[[#This Row],[County]]="Shropshire",Table1[[#This Row],[income]],0)</f>
        <v>0</v>
      </c>
      <c r="CW388" s="20">
        <f ca="1">IF(Table1[[#This Row],[County]]="Dorset",Table1[[#This Row],[income]],0)</f>
        <v>0</v>
      </c>
      <c r="CX388" s="20">
        <f ca="1">IF(Table1[[#This Row],[County]]="Buckinghamshire",Table1[[#This Row],[income]],0)</f>
        <v>0</v>
      </c>
      <c r="CY388" s="20">
        <f ca="1">IF(Table1[[#This Row],[County]]="Suffolk",Table1[[#This Row],[income]],0)</f>
        <v>0</v>
      </c>
      <c r="CZ388" s="20">
        <f ca="1">IF(Table1[[#This Row],[County]]="North Yorkshire",Table1[[#This Row],[income]],0)</f>
        <v>0</v>
      </c>
      <c r="DA388" s="20">
        <f ca="1">IF(Table1[[#This Row],[County]]="Kent",Table1[[#This Row],[income]],0)</f>
        <v>0</v>
      </c>
      <c r="DB388" s="5">
        <f ca="1">IF(Table1[[#This Row],[County]]="Derbyshire",Table1[[#This Row],[income]],0)</f>
        <v>38690</v>
      </c>
      <c r="DD388" s="6">
        <f ca="1">IF(Table1[[#This Row],[Column1]]="Health",Table1[[#This Row],[income]],0)</f>
        <v>38690</v>
      </c>
      <c r="DE388" s="20">
        <f ca="1">IF(Table1[[#This Row],[Column1]]="Agriculture",Table1[[#This Row],[income]],0)</f>
        <v>0</v>
      </c>
      <c r="DF388" s="20">
        <f ca="1">IF(Table1[[#This Row],[Column1]]="Technology",Table1[[#This Row],[income]],0)</f>
        <v>0</v>
      </c>
      <c r="DG388" s="20">
        <f ca="1">IF(Table1[[#This Row],[Column1]]="Social Service",Table1[[#This Row],[income]],0)</f>
        <v>0</v>
      </c>
      <c r="DH388" s="20">
        <f ca="1">IF(Table1[[#This Row],[Column1]]="Education",Table1[[#This Row],[income]],0)</f>
        <v>0</v>
      </c>
      <c r="DI388" s="5">
        <f ca="1">IF(Table1[[#This Row],[Column1]]="Construction",Table1[[#This Row],[income]],0)</f>
        <v>0</v>
      </c>
      <c r="DK388" s="6">
        <f ca="1">IF(Table1[[#This Row],[Value of Debts]]&gt;Table1[[#This Row],[income]],1,0)</f>
        <v>1</v>
      </c>
      <c r="DL388" s="20"/>
      <c r="DM388" s="20"/>
      <c r="DN388" s="5"/>
      <c r="DP388" s="6">
        <f ca="1">IF(Table1[[#This Row],[Net Worth (£)]]&gt;$DS$5,C388,0)</f>
        <v>0</v>
      </c>
      <c r="DQ388" s="20"/>
      <c r="DR388" s="20"/>
      <c r="DS388" s="5"/>
    </row>
    <row r="389" spans="1:123" x14ac:dyDescent="0.2">
      <c r="A389">
        <f t="shared" ca="1" si="16"/>
        <v>1</v>
      </c>
      <c r="B389" s="1" t="str">
        <f ca="1">IF(A389=1, "men", "women")</f>
        <v>men</v>
      </c>
      <c r="C389" s="1">
        <f ca="1">RANDBETWEEN(25,50)</f>
        <v>43</v>
      </c>
      <c r="D389">
        <f ca="1">RANDBETWEEN(1,6)</f>
        <v>3</v>
      </c>
      <c r="E389" t="str">
        <f ca="1">VLOOKUP(D389,$W$5:$X$10,2)</f>
        <v>Education</v>
      </c>
      <c r="F389">
        <f ca="1">RANDBETWEEN(1,5)</f>
        <v>4</v>
      </c>
      <c r="G389" t="str">
        <f ca="1">VLOOKUP(F389,$Y$5:$Z$9,2)</f>
        <v xml:space="preserve">Technical </v>
      </c>
      <c r="H389">
        <f ca="1">RANDBETWEEN(0,4)</f>
        <v>4</v>
      </c>
      <c r="I389">
        <f ca="1">RANDBETWEEN(1,3)</f>
        <v>1</v>
      </c>
      <c r="J389">
        <f ca="1">RANDBETWEEN(30000,100000)</f>
        <v>39787</v>
      </c>
      <c r="K389">
        <f ca="1">RANDBETWEEN(1,48)</f>
        <v>37</v>
      </c>
      <c r="L389" t="str">
        <f ca="1">VLOOKUP(K389,$AA$5:$AB$52,2)</f>
        <v>Somerset</v>
      </c>
      <c r="M389">
        <f ca="1">J389*(RANDBETWEEN(2,5))</f>
        <v>198935</v>
      </c>
      <c r="N389">
        <f ca="1">RAND()*M389</f>
        <v>4480.5262105369738</v>
      </c>
      <c r="O389">
        <f ca="1">I389*RAND()*J389</f>
        <v>706.54909474244346</v>
      </c>
      <c r="P389">
        <f ca="1">RANDBETWEEN(0,O389)</f>
        <v>690</v>
      </c>
      <c r="Q389">
        <f ca="1">RAND()*J389*2</f>
        <v>10474.530211728867</v>
      </c>
      <c r="R389">
        <f ca="1">RAND()*J389*1.5</f>
        <v>47167.23068007335</v>
      </c>
      <c r="S389">
        <f ca="1">J389+R389+O389</f>
        <v>87660.77977481579</v>
      </c>
      <c r="T389">
        <f ca="1">N389+P389+Q389</f>
        <v>15645.05642226584</v>
      </c>
      <c r="U389">
        <f ca="1">S389-T389</f>
        <v>72015.723352549947</v>
      </c>
      <c r="AC389" s="6">
        <f ca="1">IF(Table1[[#This Row],[gender]]="men",1,0)</f>
        <v>1</v>
      </c>
      <c r="AD389">
        <f ca="1">IF(Table1[[#This Row],[gender]]="women",1,0)</f>
        <v>0</v>
      </c>
      <c r="AH389" s="5"/>
      <c r="AJ389" s="6">
        <f ca="1">IF(Table1[[#This Row],[Column1]]="Health",1,0)</f>
        <v>0</v>
      </c>
      <c r="AK389">
        <f ca="1">IF(Table1[[#This Row],[Column1]]="Construction",1,0)</f>
        <v>0</v>
      </c>
      <c r="AL389">
        <f ca="1">IF(Table1[[#This Row],[Column1]]="Technology",1,0)</f>
        <v>0</v>
      </c>
      <c r="AM389">
        <f ca="1">IF(Table1[[#This Row],[Column1]]="Education",1,0)</f>
        <v>1</v>
      </c>
      <c r="AN389">
        <f ca="1">IF(Table1[[#This Row],[Column1]]="Agriculture",1,0)</f>
        <v>0</v>
      </c>
      <c r="AO389">
        <f ca="1">IF(Table1[[#This Row],[Column1]]="Social Service", 1, 0)</f>
        <v>0</v>
      </c>
      <c r="AT389" s="5"/>
      <c r="AV389" s="17">
        <f t="shared" ref="AV389:AV452" ca="1" si="18">(O390/I390)</f>
        <v>38771.447486172779</v>
      </c>
      <c r="AW389" s="5"/>
      <c r="AX389" s="6">
        <f ca="1">IF(Table1[[#This Row],[Value of Debts]]&gt;$AY$4,1,0)</f>
        <v>0</v>
      </c>
      <c r="AY389" s="20"/>
      <c r="AZ389" s="20"/>
      <c r="BA389" s="5"/>
      <c r="BB389" s="25">
        <f ca="1">Table1[[#This Row],[Mortage Left]]/Table1[[#This Row],[Value of House]]</f>
        <v>2.2522563704410858E-2</v>
      </c>
      <c r="BC389" s="20">
        <f t="shared" ca="1" si="17"/>
        <v>1</v>
      </c>
      <c r="BD389" s="20"/>
      <c r="BE389" s="20"/>
      <c r="BF389" s="20"/>
      <c r="BG389" s="6">
        <f ca="1">IF(Table1[[#This Row],[County]]="Cumbria",Table1[[#This Row],[income]],0)</f>
        <v>0</v>
      </c>
      <c r="BH389" s="20">
        <f ca="1">IF(Table1[[#This Row],[County]]="Cheshire",Table1[[#This Row],[income]],0)</f>
        <v>0</v>
      </c>
      <c r="BI389" s="20">
        <f ca="1">IF(Table1[[#This Row],[County]]="Bristol",Table1[[#This Row],[income]],0)</f>
        <v>0</v>
      </c>
      <c r="BJ389" s="20">
        <f ca="1">IF(Table1[[#This Row],[County]]="Surrey",Table1[[#This Row],[income]],0)</f>
        <v>0</v>
      </c>
      <c r="BK389" s="20">
        <f ca="1">IF(Table1[[#This Row],[County]]="Norfolk",Table1[[#This Row],[income]],0)</f>
        <v>0</v>
      </c>
      <c r="BL389" s="20">
        <f ca="1">IF(Table1[[#This Row],[County]]="Lincolnshire",Table1[[#This Row],[income]],0)</f>
        <v>0</v>
      </c>
      <c r="BM389" s="20">
        <f ca="1">IF(Table1[[#This Row],[County]]="Somerset",Table1[[#This Row],[income]],0)</f>
        <v>39787</v>
      </c>
      <c r="BN389" s="20">
        <f ca="1">IF(Table1[[#This Row],[County]]="Cambridgeshire",Table1[[#This Row],[income]],0)</f>
        <v>0</v>
      </c>
      <c r="BO389" s="20">
        <f ca="1">IF(Table1[[#This Row],[County]]="South Yorkshire",Table1[[#This Row],[income]],0)</f>
        <v>0</v>
      </c>
      <c r="BP389" s="20">
        <f ca="1">IF(Table1[[#This Row],[County]]="Greater London",Table1[[#This Row],[income]],0)</f>
        <v>0</v>
      </c>
      <c r="BQ389" s="20">
        <f ca="1">IF(Table1[[#This Row],[County]]="Hampshire",Table1[[#This Row],[income]],0)</f>
        <v>0</v>
      </c>
      <c r="BR389" s="20">
        <f ca="1">IF(Table1[[#This Row],[County]]="Gloucestershire",Table1[[#This Row],[income]],0)</f>
        <v>0</v>
      </c>
      <c r="BS389" s="20">
        <f ca="1">IF(Table1[[#This Row],[County]]="West Sussex",Table1[[#This Row],[income]],0)</f>
        <v>0</v>
      </c>
      <c r="BT389" s="20">
        <f ca="1">IF(Table1[[#This Row],[County]]="Devon",Table1[[#This Row],[income]],0)</f>
        <v>0</v>
      </c>
      <c r="BU389" s="20">
        <f ca="1">IF(Table1[[#This Row],[County]]="Berkshire",Table1[[#This Row],[income]],0)</f>
        <v>0</v>
      </c>
      <c r="BV389" s="20">
        <f ca="1">IF(Table1[[#This Row],[County]]="Staffordshire",Table1[[#This Row],[income]],0)</f>
        <v>0</v>
      </c>
      <c r="BW389" s="20">
        <f ca="1">IF(Table1[[#This Row],[County]]="Leicestershire",Table1[[#This Row],[income]],0)</f>
        <v>0</v>
      </c>
      <c r="BX389" s="20">
        <f ca="1">IF(Table1[[#This Row],[County]]="Cornwall",Table1[[#This Row],[income]],0)</f>
        <v>0</v>
      </c>
      <c r="BY389" s="20">
        <f ca="1">IF(Table1[[#This Row],[County]]="Isle of Wight",Table1[[#This Row],[income]],0)</f>
        <v>0</v>
      </c>
      <c r="BZ389" s="20">
        <f ca="1">IF(Table1[[#This Row],[County]]="Surrey",Table1[[#This Row],[income]],0)</f>
        <v>0</v>
      </c>
      <c r="CA389" s="20">
        <f ca="1">IF(Table1[[#This Row],[County]]="Derbyshire",Table1[[#This Row],[income]],0)</f>
        <v>0</v>
      </c>
      <c r="CB389" s="20">
        <f ca="1">IF(Table1[[#This Row],[County]]="City of London",Table1[[#This Row],[income]],0)</f>
        <v>0</v>
      </c>
      <c r="CC389" s="20">
        <f ca="1">IF(Table1[[#This Row],[County]]="Bedfordshire",Table1[[#This Row],[income]],0)</f>
        <v>0</v>
      </c>
      <c r="CD389" s="20">
        <f ca="1">IF(Table1[[#This Row],[County]]="County Durham",Table1[[#This Row],[income]],0)</f>
        <v>0</v>
      </c>
      <c r="CE389" s="20">
        <f ca="1">IF(Table1[[#This Row],[County]]="East Riding of Yorkshire",Table1[[#This Row],[income]],0)</f>
        <v>0</v>
      </c>
      <c r="CF389" s="20">
        <f ca="1">IF(Table1[[#This Row],[County]]="West Yorkshire",Table1[[#This Row],[income]],0)</f>
        <v>0</v>
      </c>
      <c r="CG389" s="20">
        <f ca="1">IF(Table1[[#This Row],[County]]="Essex",Table1[[#This Row],[income]],0)</f>
        <v>0</v>
      </c>
      <c r="CH389" s="20">
        <f ca="1">IF(Table1[[#This Row],[County]]="East Sussex",Table1[[#This Row],[income]],0)</f>
        <v>0</v>
      </c>
      <c r="CI389" s="20">
        <f ca="1">IF(Table1[[#This Row],[County]]="Greater Manchester",Table1[[#This Row],[income]],0)</f>
        <v>0</v>
      </c>
      <c r="CJ389" s="20">
        <f ca="1">IF(Table1[[#This Row],[County]]="Hertfordshire",Table1[[#This Row],[income]],0)</f>
        <v>0</v>
      </c>
      <c r="CK389" s="20">
        <f ca="1">IF(Table1[[#This Row],[County]]="Herefordshire",Table1[[#This Row],[income]],0)</f>
        <v>0</v>
      </c>
      <c r="CL389" s="20">
        <f ca="1">IF(Table1[[#This Row],[County]]="Lancashire",Table1[[#This Row],[income]],0)</f>
        <v>0</v>
      </c>
      <c r="CM389" s="20">
        <f ca="1">IF(Table1[[#This Row],[County]]="Merseyside",Table1[[#This Row],[income]],0)</f>
        <v>0</v>
      </c>
      <c r="CN389" s="20">
        <f ca="1">IF(Table1[[#This Row],[County]]="Northamptonshire",Table1[[#This Row],[income]],0)</f>
        <v>0</v>
      </c>
      <c r="CO389" s="20">
        <f ca="1">IF(Table1[[#This Row],[County]]="Northumberland",Table1[[#This Row],[income]],0)</f>
        <v>0</v>
      </c>
      <c r="CP389" s="20">
        <f ca="1">IF(Table1[[#This Row],[County]]="Wiltshire",Table1[[#This Row],[income]],0)</f>
        <v>0</v>
      </c>
      <c r="CQ389" s="20">
        <f ca="1">IF(Table1[[#This Row],[County]]="West Midlands",Table1[[#This Row],[income]],0)</f>
        <v>0</v>
      </c>
      <c r="CR389" s="20">
        <f ca="1">IF(Table1[[#This Row],[County]]="Warwickshire",Table1[[#This Row],[income]],0)</f>
        <v>0</v>
      </c>
      <c r="CS389" s="20">
        <f ca="1">IF(Table1[[#This Row],[County]]="Tyne and Wear",Table1[[#This Row],[income]],0)</f>
        <v>0</v>
      </c>
      <c r="CT389" s="20">
        <f ca="1">IF(Table1[[#This Row],[County]]="Worcestershire",Table1[[#This Row],[income]],0)</f>
        <v>0</v>
      </c>
      <c r="CU389" s="20">
        <f ca="1">IF(Table1[[#This Row],[County]]="Rutland",Table1[[#This Row],[income]],0)</f>
        <v>0</v>
      </c>
      <c r="CV389" s="20">
        <f ca="1">IF(Table1[[#This Row],[County]]="Shropshire",Table1[[#This Row],[income]],0)</f>
        <v>0</v>
      </c>
      <c r="CW389" s="20">
        <f ca="1">IF(Table1[[#This Row],[County]]="Dorset",Table1[[#This Row],[income]],0)</f>
        <v>0</v>
      </c>
      <c r="CX389" s="20">
        <f ca="1">IF(Table1[[#This Row],[County]]="Buckinghamshire",Table1[[#This Row],[income]],0)</f>
        <v>0</v>
      </c>
      <c r="CY389" s="20">
        <f ca="1">IF(Table1[[#This Row],[County]]="Suffolk",Table1[[#This Row],[income]],0)</f>
        <v>0</v>
      </c>
      <c r="CZ389" s="20">
        <f ca="1">IF(Table1[[#This Row],[County]]="North Yorkshire",Table1[[#This Row],[income]],0)</f>
        <v>0</v>
      </c>
      <c r="DA389" s="20">
        <f ca="1">IF(Table1[[#This Row],[County]]="Kent",Table1[[#This Row],[income]],0)</f>
        <v>0</v>
      </c>
      <c r="DB389" s="5">
        <f ca="1">IF(Table1[[#This Row],[County]]="Derbyshire",Table1[[#This Row],[income]],0)</f>
        <v>0</v>
      </c>
      <c r="DD389" s="6">
        <f ca="1">IF(Table1[[#This Row],[Column1]]="Health",Table1[[#This Row],[income]],0)</f>
        <v>0</v>
      </c>
      <c r="DE389" s="20">
        <f ca="1">IF(Table1[[#This Row],[Column1]]="Agriculture",Table1[[#This Row],[income]],0)</f>
        <v>0</v>
      </c>
      <c r="DF389" s="20">
        <f ca="1">IF(Table1[[#This Row],[Column1]]="Technology",Table1[[#This Row],[income]],0)</f>
        <v>0</v>
      </c>
      <c r="DG389" s="20">
        <f ca="1">IF(Table1[[#This Row],[Column1]]="Social Service",Table1[[#This Row],[income]],0)</f>
        <v>0</v>
      </c>
      <c r="DH389" s="20">
        <f ca="1">IF(Table1[[#This Row],[Column1]]="Education",Table1[[#This Row],[income]],0)</f>
        <v>39787</v>
      </c>
      <c r="DI389" s="5">
        <f ca="1">IF(Table1[[#This Row],[Column1]]="Construction",Table1[[#This Row],[income]],0)</f>
        <v>0</v>
      </c>
      <c r="DK389" s="6">
        <f ca="1">IF(Table1[[#This Row],[Value of Debts]]&gt;Table1[[#This Row],[income]],1,0)</f>
        <v>0</v>
      </c>
      <c r="DL389" s="20"/>
      <c r="DM389" s="20"/>
      <c r="DN389" s="5"/>
      <c r="DP389" s="6">
        <f ca="1">IF(Table1[[#This Row],[Net Worth (£)]]&gt;$DS$5,C389,0)</f>
        <v>43</v>
      </c>
      <c r="DQ389" s="20"/>
      <c r="DR389" s="20"/>
      <c r="DS389" s="5"/>
    </row>
    <row r="390" spans="1:123" x14ac:dyDescent="0.2">
      <c r="A390">
        <f t="shared" ref="A390:A453" ca="1" si="19">RANDBETWEEN(1,2)</f>
        <v>1</v>
      </c>
      <c r="B390" s="1" t="str">
        <f ca="1">IF(A390=1, "men", "women")</f>
        <v>men</v>
      </c>
      <c r="C390" s="1">
        <f ca="1">RANDBETWEEN(25,50)</f>
        <v>43</v>
      </c>
      <c r="D390">
        <f ca="1">RANDBETWEEN(1,6)</f>
        <v>3</v>
      </c>
      <c r="E390" t="str">
        <f ca="1">VLOOKUP(D390,$W$5:$X$10,2)</f>
        <v>Education</v>
      </c>
      <c r="F390">
        <f ca="1">RANDBETWEEN(1,5)</f>
        <v>1</v>
      </c>
      <c r="G390" t="str">
        <f ca="1">VLOOKUP(F390,$Y$5:$Z$9,2)</f>
        <v>High School</v>
      </c>
      <c r="H390">
        <f ca="1">RANDBETWEEN(0,4)</f>
        <v>4</v>
      </c>
      <c r="I390">
        <f ca="1">RANDBETWEEN(1,3)</f>
        <v>1</v>
      </c>
      <c r="J390">
        <f ca="1">RANDBETWEEN(30000,100000)</f>
        <v>55819</v>
      </c>
      <c r="K390">
        <f ca="1">RANDBETWEEN(1,48)</f>
        <v>30</v>
      </c>
      <c r="L390" t="str">
        <f ca="1">VLOOKUP(K390,$AA$5:$AB$52,2)</f>
        <v>North Yorkshire</v>
      </c>
      <c r="M390">
        <f ca="1">J390*(RANDBETWEEN(2,5))</f>
        <v>167457</v>
      </c>
      <c r="N390">
        <f ca="1">RAND()*M390</f>
        <v>35342.475905221225</v>
      </c>
      <c r="O390">
        <f ca="1">I390*RAND()*J390</f>
        <v>38771.447486172779</v>
      </c>
      <c r="P390">
        <f ca="1">RANDBETWEEN(0,O390)</f>
        <v>22960</v>
      </c>
      <c r="Q390">
        <f ca="1">RAND()*J390*2</f>
        <v>86131.142525969728</v>
      </c>
      <c r="R390">
        <f ca="1">RAND()*J390*1.5</f>
        <v>42405.490456851017</v>
      </c>
      <c r="S390">
        <f ca="1">J390+R390+O390</f>
        <v>136995.9379430238</v>
      </c>
      <c r="T390">
        <f ca="1">N390+P390+Q390</f>
        <v>144433.61843119096</v>
      </c>
      <c r="U390">
        <f ca="1">S390-T390</f>
        <v>-7437.680488167156</v>
      </c>
      <c r="AC390" s="6">
        <f ca="1">IF(Table1[[#This Row],[gender]]="men",1,0)</f>
        <v>1</v>
      </c>
      <c r="AD390">
        <f ca="1">IF(Table1[[#This Row],[gender]]="women",1,0)</f>
        <v>0</v>
      </c>
      <c r="AH390" s="5"/>
      <c r="AJ390" s="6">
        <f ca="1">IF(Table1[[#This Row],[Column1]]="Health",1,0)</f>
        <v>0</v>
      </c>
      <c r="AK390">
        <f ca="1">IF(Table1[[#This Row],[Column1]]="Construction",1,0)</f>
        <v>0</v>
      </c>
      <c r="AL390">
        <f ca="1">IF(Table1[[#This Row],[Column1]]="Technology",1,0)</f>
        <v>0</v>
      </c>
      <c r="AM390">
        <f ca="1">IF(Table1[[#This Row],[Column1]]="Education",1,0)</f>
        <v>1</v>
      </c>
      <c r="AN390">
        <f ca="1">IF(Table1[[#This Row],[Column1]]="Agriculture",1,0)</f>
        <v>0</v>
      </c>
      <c r="AO390">
        <f ca="1">IF(Table1[[#This Row],[Column1]]="Social Service", 1, 0)</f>
        <v>0</v>
      </c>
      <c r="AT390" s="5"/>
      <c r="AV390" s="17">
        <f t="shared" ca="1" si="18"/>
        <v>19439.276263900712</v>
      </c>
      <c r="AW390" s="5"/>
      <c r="AX390" s="6">
        <f ca="1">IF(Table1[[#This Row],[Value of Debts]]&gt;$AY$4,1,0)</f>
        <v>1</v>
      </c>
      <c r="AY390" s="20"/>
      <c r="AZ390" s="20"/>
      <c r="BA390" s="5"/>
      <c r="BB390" s="25">
        <f ca="1">Table1[[#This Row],[Mortage Left]]/Table1[[#This Row],[Value of House]]</f>
        <v>0.21105403718698665</v>
      </c>
      <c r="BC390" s="20">
        <f t="shared" ref="BC390:BC453" ca="1" si="20">IF(BB390&lt;$BD$4,1,0)</f>
        <v>1</v>
      </c>
      <c r="BD390" s="20"/>
      <c r="BE390" s="20"/>
      <c r="BF390" s="20"/>
      <c r="BG390" s="6">
        <f ca="1">IF(Table1[[#This Row],[County]]="Cumbria",Table1[[#This Row],[income]],0)</f>
        <v>0</v>
      </c>
      <c r="BH390" s="20">
        <f ca="1">IF(Table1[[#This Row],[County]]="Cheshire",Table1[[#This Row],[income]],0)</f>
        <v>0</v>
      </c>
      <c r="BI390" s="20">
        <f ca="1">IF(Table1[[#This Row],[County]]="Bristol",Table1[[#This Row],[income]],0)</f>
        <v>0</v>
      </c>
      <c r="BJ390" s="20">
        <f ca="1">IF(Table1[[#This Row],[County]]="Surrey",Table1[[#This Row],[income]],0)</f>
        <v>0</v>
      </c>
      <c r="BK390" s="20">
        <f ca="1">IF(Table1[[#This Row],[County]]="Norfolk",Table1[[#This Row],[income]],0)</f>
        <v>0</v>
      </c>
      <c r="BL390" s="20">
        <f ca="1">IF(Table1[[#This Row],[County]]="Lincolnshire",Table1[[#This Row],[income]],0)</f>
        <v>0</v>
      </c>
      <c r="BM390" s="20">
        <f ca="1">IF(Table1[[#This Row],[County]]="Somerset",Table1[[#This Row],[income]],0)</f>
        <v>0</v>
      </c>
      <c r="BN390" s="20">
        <f ca="1">IF(Table1[[#This Row],[County]]="Cambridgeshire",Table1[[#This Row],[income]],0)</f>
        <v>0</v>
      </c>
      <c r="BO390" s="20">
        <f ca="1">IF(Table1[[#This Row],[County]]="South Yorkshire",Table1[[#This Row],[income]],0)</f>
        <v>0</v>
      </c>
      <c r="BP390" s="20">
        <f ca="1">IF(Table1[[#This Row],[County]]="Greater London",Table1[[#This Row],[income]],0)</f>
        <v>0</v>
      </c>
      <c r="BQ390" s="20">
        <f ca="1">IF(Table1[[#This Row],[County]]="Hampshire",Table1[[#This Row],[income]],0)</f>
        <v>0</v>
      </c>
      <c r="BR390" s="20">
        <f ca="1">IF(Table1[[#This Row],[County]]="Gloucestershire",Table1[[#This Row],[income]],0)</f>
        <v>0</v>
      </c>
      <c r="BS390" s="20">
        <f ca="1">IF(Table1[[#This Row],[County]]="West Sussex",Table1[[#This Row],[income]],0)</f>
        <v>0</v>
      </c>
      <c r="BT390" s="20">
        <f ca="1">IF(Table1[[#This Row],[County]]="Devon",Table1[[#This Row],[income]],0)</f>
        <v>0</v>
      </c>
      <c r="BU390" s="20">
        <f ca="1">IF(Table1[[#This Row],[County]]="Berkshire",Table1[[#This Row],[income]],0)</f>
        <v>0</v>
      </c>
      <c r="BV390" s="20">
        <f ca="1">IF(Table1[[#This Row],[County]]="Staffordshire",Table1[[#This Row],[income]],0)</f>
        <v>0</v>
      </c>
      <c r="BW390" s="20">
        <f ca="1">IF(Table1[[#This Row],[County]]="Leicestershire",Table1[[#This Row],[income]],0)</f>
        <v>0</v>
      </c>
      <c r="BX390" s="20">
        <f ca="1">IF(Table1[[#This Row],[County]]="Cornwall",Table1[[#This Row],[income]],0)</f>
        <v>0</v>
      </c>
      <c r="BY390" s="20">
        <f ca="1">IF(Table1[[#This Row],[County]]="Isle of Wight",Table1[[#This Row],[income]],0)</f>
        <v>0</v>
      </c>
      <c r="BZ390" s="20">
        <f ca="1">IF(Table1[[#This Row],[County]]="Surrey",Table1[[#This Row],[income]],0)</f>
        <v>0</v>
      </c>
      <c r="CA390" s="20">
        <f ca="1">IF(Table1[[#This Row],[County]]="Derbyshire",Table1[[#This Row],[income]],0)</f>
        <v>0</v>
      </c>
      <c r="CB390" s="20">
        <f ca="1">IF(Table1[[#This Row],[County]]="City of London",Table1[[#This Row],[income]],0)</f>
        <v>0</v>
      </c>
      <c r="CC390" s="20">
        <f ca="1">IF(Table1[[#This Row],[County]]="Bedfordshire",Table1[[#This Row],[income]],0)</f>
        <v>0</v>
      </c>
      <c r="CD390" s="20">
        <f ca="1">IF(Table1[[#This Row],[County]]="County Durham",Table1[[#This Row],[income]],0)</f>
        <v>0</v>
      </c>
      <c r="CE390" s="20">
        <f ca="1">IF(Table1[[#This Row],[County]]="East Riding of Yorkshire",Table1[[#This Row],[income]],0)</f>
        <v>0</v>
      </c>
      <c r="CF390" s="20">
        <f ca="1">IF(Table1[[#This Row],[County]]="West Yorkshire",Table1[[#This Row],[income]],0)</f>
        <v>0</v>
      </c>
      <c r="CG390" s="20">
        <f ca="1">IF(Table1[[#This Row],[County]]="Essex",Table1[[#This Row],[income]],0)</f>
        <v>0</v>
      </c>
      <c r="CH390" s="20">
        <f ca="1">IF(Table1[[#This Row],[County]]="East Sussex",Table1[[#This Row],[income]],0)</f>
        <v>0</v>
      </c>
      <c r="CI390" s="20">
        <f ca="1">IF(Table1[[#This Row],[County]]="Greater Manchester",Table1[[#This Row],[income]],0)</f>
        <v>0</v>
      </c>
      <c r="CJ390" s="20">
        <f ca="1">IF(Table1[[#This Row],[County]]="Hertfordshire",Table1[[#This Row],[income]],0)</f>
        <v>0</v>
      </c>
      <c r="CK390" s="20">
        <f ca="1">IF(Table1[[#This Row],[County]]="Herefordshire",Table1[[#This Row],[income]],0)</f>
        <v>0</v>
      </c>
      <c r="CL390" s="20">
        <f ca="1">IF(Table1[[#This Row],[County]]="Lancashire",Table1[[#This Row],[income]],0)</f>
        <v>0</v>
      </c>
      <c r="CM390" s="20">
        <f ca="1">IF(Table1[[#This Row],[County]]="Merseyside",Table1[[#This Row],[income]],0)</f>
        <v>0</v>
      </c>
      <c r="CN390" s="20">
        <f ca="1">IF(Table1[[#This Row],[County]]="Northamptonshire",Table1[[#This Row],[income]],0)</f>
        <v>0</v>
      </c>
      <c r="CO390" s="20">
        <f ca="1">IF(Table1[[#This Row],[County]]="Northumberland",Table1[[#This Row],[income]],0)</f>
        <v>0</v>
      </c>
      <c r="CP390" s="20">
        <f ca="1">IF(Table1[[#This Row],[County]]="Wiltshire",Table1[[#This Row],[income]],0)</f>
        <v>0</v>
      </c>
      <c r="CQ390" s="20">
        <f ca="1">IF(Table1[[#This Row],[County]]="West Midlands",Table1[[#This Row],[income]],0)</f>
        <v>0</v>
      </c>
      <c r="CR390" s="20">
        <f ca="1">IF(Table1[[#This Row],[County]]="Warwickshire",Table1[[#This Row],[income]],0)</f>
        <v>0</v>
      </c>
      <c r="CS390" s="20">
        <f ca="1">IF(Table1[[#This Row],[County]]="Tyne and Wear",Table1[[#This Row],[income]],0)</f>
        <v>0</v>
      </c>
      <c r="CT390" s="20">
        <f ca="1">IF(Table1[[#This Row],[County]]="Worcestershire",Table1[[#This Row],[income]],0)</f>
        <v>0</v>
      </c>
      <c r="CU390" s="20">
        <f ca="1">IF(Table1[[#This Row],[County]]="Rutland",Table1[[#This Row],[income]],0)</f>
        <v>0</v>
      </c>
      <c r="CV390" s="20">
        <f ca="1">IF(Table1[[#This Row],[County]]="Shropshire",Table1[[#This Row],[income]],0)</f>
        <v>0</v>
      </c>
      <c r="CW390" s="20">
        <f ca="1">IF(Table1[[#This Row],[County]]="Dorset",Table1[[#This Row],[income]],0)</f>
        <v>0</v>
      </c>
      <c r="CX390" s="20">
        <f ca="1">IF(Table1[[#This Row],[County]]="Buckinghamshire",Table1[[#This Row],[income]],0)</f>
        <v>0</v>
      </c>
      <c r="CY390" s="20">
        <f ca="1">IF(Table1[[#This Row],[County]]="Suffolk",Table1[[#This Row],[income]],0)</f>
        <v>0</v>
      </c>
      <c r="CZ390" s="20">
        <f ca="1">IF(Table1[[#This Row],[County]]="North Yorkshire",Table1[[#This Row],[income]],0)</f>
        <v>55819</v>
      </c>
      <c r="DA390" s="20">
        <f ca="1">IF(Table1[[#This Row],[County]]="Kent",Table1[[#This Row],[income]],0)</f>
        <v>0</v>
      </c>
      <c r="DB390" s="5">
        <f ca="1">IF(Table1[[#This Row],[County]]="Derbyshire",Table1[[#This Row],[income]],0)</f>
        <v>0</v>
      </c>
      <c r="DD390" s="6">
        <f ca="1">IF(Table1[[#This Row],[Column1]]="Health",Table1[[#This Row],[income]],0)</f>
        <v>0</v>
      </c>
      <c r="DE390" s="20">
        <f ca="1">IF(Table1[[#This Row],[Column1]]="Agriculture",Table1[[#This Row],[income]],0)</f>
        <v>0</v>
      </c>
      <c r="DF390" s="20">
        <f ca="1">IF(Table1[[#This Row],[Column1]]="Technology",Table1[[#This Row],[income]],0)</f>
        <v>0</v>
      </c>
      <c r="DG390" s="20">
        <f ca="1">IF(Table1[[#This Row],[Column1]]="Social Service",Table1[[#This Row],[income]],0)</f>
        <v>0</v>
      </c>
      <c r="DH390" s="20">
        <f ca="1">IF(Table1[[#This Row],[Column1]]="Education",Table1[[#This Row],[income]],0)</f>
        <v>55819</v>
      </c>
      <c r="DI390" s="5">
        <f ca="1">IF(Table1[[#This Row],[Column1]]="Construction",Table1[[#This Row],[income]],0)</f>
        <v>0</v>
      </c>
      <c r="DK390" s="6">
        <f ca="1">IF(Table1[[#This Row],[Value of Debts]]&gt;Table1[[#This Row],[income]],1,0)</f>
        <v>1</v>
      </c>
      <c r="DL390" s="20"/>
      <c r="DM390" s="20"/>
      <c r="DN390" s="5"/>
      <c r="DP390" s="6">
        <f ca="1">IF(Table1[[#This Row],[Net Worth (£)]]&gt;$DS$5,C390,0)</f>
        <v>0</v>
      </c>
      <c r="DQ390" s="20"/>
      <c r="DR390" s="20"/>
      <c r="DS390" s="5"/>
    </row>
    <row r="391" spans="1:123" x14ac:dyDescent="0.2">
      <c r="A391">
        <f t="shared" ca="1" si="19"/>
        <v>1</v>
      </c>
      <c r="B391" s="1" t="str">
        <f ca="1">IF(A391=1, "men", "women")</f>
        <v>men</v>
      </c>
      <c r="C391" s="1">
        <f ca="1">RANDBETWEEN(25,50)</f>
        <v>27</v>
      </c>
      <c r="D391">
        <f ca="1">RANDBETWEEN(1,6)</f>
        <v>5</v>
      </c>
      <c r="E391" t="str">
        <f ca="1">VLOOKUP(D391,$W$5:$X$10,2)</f>
        <v>Social Service</v>
      </c>
      <c r="F391">
        <f ca="1">RANDBETWEEN(1,5)</f>
        <v>2</v>
      </c>
      <c r="G391" t="str">
        <f ca="1">VLOOKUP(F391,$Y$5:$Z$9,2)</f>
        <v>College</v>
      </c>
      <c r="H391">
        <f ca="1">RANDBETWEEN(0,4)</f>
        <v>3</v>
      </c>
      <c r="I391">
        <f ca="1">RANDBETWEEN(1,3)</f>
        <v>2</v>
      </c>
      <c r="J391">
        <f ca="1">RANDBETWEEN(30000,100000)</f>
        <v>44127</v>
      </c>
      <c r="K391">
        <f ca="1">RANDBETWEEN(1,48)</f>
        <v>2</v>
      </c>
      <c r="L391" t="str">
        <f ca="1">VLOOKUP(K391,$AA$5:$AB$52,2)</f>
        <v>Berkshire</v>
      </c>
      <c r="M391">
        <f ca="1">J391*(RANDBETWEEN(2,5))</f>
        <v>88254</v>
      </c>
      <c r="N391">
        <f ca="1">RAND()*M391</f>
        <v>74663.383037679436</v>
      </c>
      <c r="O391">
        <f ca="1">I391*RAND()*J391</f>
        <v>38878.552527801425</v>
      </c>
      <c r="P391">
        <f ca="1">RANDBETWEEN(0,O391)</f>
        <v>1274</v>
      </c>
      <c r="Q391">
        <f ca="1">RAND()*J391*2</f>
        <v>7073.4714353782383</v>
      </c>
      <c r="R391">
        <f ca="1">RAND()*J391*1.5</f>
        <v>37755.873616105513</v>
      </c>
      <c r="S391">
        <f ca="1">J391+R391+O391</f>
        <v>120761.42614390694</v>
      </c>
      <c r="T391">
        <f ca="1">N391+P391+Q391</f>
        <v>83010.854473057669</v>
      </c>
      <c r="U391">
        <f ca="1">S391-T391</f>
        <v>37750.571670849269</v>
      </c>
      <c r="AC391" s="6">
        <f ca="1">IF(Table1[[#This Row],[gender]]="men",1,0)</f>
        <v>1</v>
      </c>
      <c r="AD391">
        <f ca="1">IF(Table1[[#This Row],[gender]]="women",1,0)</f>
        <v>0</v>
      </c>
      <c r="AH391" s="5"/>
      <c r="AJ391" s="6">
        <f ca="1">IF(Table1[[#This Row],[Column1]]="Health",1,0)</f>
        <v>0</v>
      </c>
      <c r="AK391">
        <f ca="1">IF(Table1[[#This Row],[Column1]]="Construction",1,0)</f>
        <v>0</v>
      </c>
      <c r="AL391">
        <f ca="1">IF(Table1[[#This Row],[Column1]]="Technology",1,0)</f>
        <v>0</v>
      </c>
      <c r="AM391">
        <f ca="1">IF(Table1[[#This Row],[Column1]]="Education",1,0)</f>
        <v>0</v>
      </c>
      <c r="AN391">
        <f ca="1">IF(Table1[[#This Row],[Column1]]="Agriculture",1,0)</f>
        <v>0</v>
      </c>
      <c r="AO391">
        <f ca="1">IF(Table1[[#This Row],[Column1]]="Social Service", 1, 0)</f>
        <v>1</v>
      </c>
      <c r="AT391" s="5"/>
      <c r="AV391" s="17">
        <f t="shared" ca="1" si="18"/>
        <v>48901.074334012017</v>
      </c>
      <c r="AW391" s="5"/>
      <c r="AX391" s="6">
        <f ca="1">IF(Table1[[#This Row],[Value of Debts]]&gt;$AY$4,1,0)</f>
        <v>0</v>
      </c>
      <c r="AY391" s="20"/>
      <c r="AZ391" s="20"/>
      <c r="BA391" s="5"/>
      <c r="BB391" s="25">
        <f ca="1">Table1[[#This Row],[Mortage Left]]/Table1[[#This Row],[Value of House]]</f>
        <v>0.84600565456159993</v>
      </c>
      <c r="BC391" s="20">
        <f t="shared" ca="1" si="20"/>
        <v>0</v>
      </c>
      <c r="BD391" s="20"/>
      <c r="BE391" s="20"/>
      <c r="BF391" s="20"/>
      <c r="BG391" s="6">
        <f ca="1">IF(Table1[[#This Row],[County]]="Cumbria",Table1[[#This Row],[income]],0)</f>
        <v>0</v>
      </c>
      <c r="BH391" s="20">
        <f ca="1">IF(Table1[[#This Row],[County]]="Cheshire",Table1[[#This Row],[income]],0)</f>
        <v>0</v>
      </c>
      <c r="BI391" s="20">
        <f ca="1">IF(Table1[[#This Row],[County]]="Bristol",Table1[[#This Row],[income]],0)</f>
        <v>0</v>
      </c>
      <c r="BJ391" s="20">
        <f ca="1">IF(Table1[[#This Row],[County]]="Surrey",Table1[[#This Row],[income]],0)</f>
        <v>0</v>
      </c>
      <c r="BK391" s="20">
        <f ca="1">IF(Table1[[#This Row],[County]]="Norfolk",Table1[[#This Row],[income]],0)</f>
        <v>0</v>
      </c>
      <c r="BL391" s="20">
        <f ca="1">IF(Table1[[#This Row],[County]]="Lincolnshire",Table1[[#This Row],[income]],0)</f>
        <v>0</v>
      </c>
      <c r="BM391" s="20">
        <f ca="1">IF(Table1[[#This Row],[County]]="Somerset",Table1[[#This Row],[income]],0)</f>
        <v>0</v>
      </c>
      <c r="BN391" s="20">
        <f ca="1">IF(Table1[[#This Row],[County]]="Cambridgeshire",Table1[[#This Row],[income]],0)</f>
        <v>0</v>
      </c>
      <c r="BO391" s="20">
        <f ca="1">IF(Table1[[#This Row],[County]]="South Yorkshire",Table1[[#This Row],[income]],0)</f>
        <v>0</v>
      </c>
      <c r="BP391" s="20">
        <f ca="1">IF(Table1[[#This Row],[County]]="Greater London",Table1[[#This Row],[income]],0)</f>
        <v>0</v>
      </c>
      <c r="BQ391" s="20">
        <f ca="1">IF(Table1[[#This Row],[County]]="Hampshire",Table1[[#This Row],[income]],0)</f>
        <v>0</v>
      </c>
      <c r="BR391" s="20">
        <f ca="1">IF(Table1[[#This Row],[County]]="Gloucestershire",Table1[[#This Row],[income]],0)</f>
        <v>0</v>
      </c>
      <c r="BS391" s="20">
        <f ca="1">IF(Table1[[#This Row],[County]]="West Sussex",Table1[[#This Row],[income]],0)</f>
        <v>0</v>
      </c>
      <c r="BT391" s="20">
        <f ca="1">IF(Table1[[#This Row],[County]]="Devon",Table1[[#This Row],[income]],0)</f>
        <v>0</v>
      </c>
      <c r="BU391" s="20">
        <f ca="1">IF(Table1[[#This Row],[County]]="Berkshire",Table1[[#This Row],[income]],0)</f>
        <v>44127</v>
      </c>
      <c r="BV391" s="20">
        <f ca="1">IF(Table1[[#This Row],[County]]="Staffordshire",Table1[[#This Row],[income]],0)</f>
        <v>0</v>
      </c>
      <c r="BW391" s="20">
        <f ca="1">IF(Table1[[#This Row],[County]]="Leicestershire",Table1[[#This Row],[income]],0)</f>
        <v>0</v>
      </c>
      <c r="BX391" s="20">
        <f ca="1">IF(Table1[[#This Row],[County]]="Cornwall",Table1[[#This Row],[income]],0)</f>
        <v>0</v>
      </c>
      <c r="BY391" s="20">
        <f ca="1">IF(Table1[[#This Row],[County]]="Isle of Wight",Table1[[#This Row],[income]],0)</f>
        <v>0</v>
      </c>
      <c r="BZ391" s="20">
        <f ca="1">IF(Table1[[#This Row],[County]]="Surrey",Table1[[#This Row],[income]],0)</f>
        <v>0</v>
      </c>
      <c r="CA391" s="20">
        <f ca="1">IF(Table1[[#This Row],[County]]="Derbyshire",Table1[[#This Row],[income]],0)</f>
        <v>0</v>
      </c>
      <c r="CB391" s="20">
        <f ca="1">IF(Table1[[#This Row],[County]]="City of London",Table1[[#This Row],[income]],0)</f>
        <v>0</v>
      </c>
      <c r="CC391" s="20">
        <f ca="1">IF(Table1[[#This Row],[County]]="Bedfordshire",Table1[[#This Row],[income]],0)</f>
        <v>0</v>
      </c>
      <c r="CD391" s="20">
        <f ca="1">IF(Table1[[#This Row],[County]]="County Durham",Table1[[#This Row],[income]],0)</f>
        <v>0</v>
      </c>
      <c r="CE391" s="20">
        <f ca="1">IF(Table1[[#This Row],[County]]="East Riding of Yorkshire",Table1[[#This Row],[income]],0)</f>
        <v>0</v>
      </c>
      <c r="CF391" s="20">
        <f ca="1">IF(Table1[[#This Row],[County]]="West Yorkshire",Table1[[#This Row],[income]],0)</f>
        <v>0</v>
      </c>
      <c r="CG391" s="20">
        <f ca="1">IF(Table1[[#This Row],[County]]="Essex",Table1[[#This Row],[income]],0)</f>
        <v>0</v>
      </c>
      <c r="CH391" s="20">
        <f ca="1">IF(Table1[[#This Row],[County]]="East Sussex",Table1[[#This Row],[income]],0)</f>
        <v>0</v>
      </c>
      <c r="CI391" s="20">
        <f ca="1">IF(Table1[[#This Row],[County]]="Greater Manchester",Table1[[#This Row],[income]],0)</f>
        <v>0</v>
      </c>
      <c r="CJ391" s="20">
        <f ca="1">IF(Table1[[#This Row],[County]]="Hertfordshire",Table1[[#This Row],[income]],0)</f>
        <v>0</v>
      </c>
      <c r="CK391" s="20">
        <f ca="1">IF(Table1[[#This Row],[County]]="Herefordshire",Table1[[#This Row],[income]],0)</f>
        <v>0</v>
      </c>
      <c r="CL391" s="20">
        <f ca="1">IF(Table1[[#This Row],[County]]="Lancashire",Table1[[#This Row],[income]],0)</f>
        <v>0</v>
      </c>
      <c r="CM391" s="20">
        <f ca="1">IF(Table1[[#This Row],[County]]="Merseyside",Table1[[#This Row],[income]],0)</f>
        <v>0</v>
      </c>
      <c r="CN391" s="20">
        <f ca="1">IF(Table1[[#This Row],[County]]="Northamptonshire",Table1[[#This Row],[income]],0)</f>
        <v>0</v>
      </c>
      <c r="CO391" s="20">
        <f ca="1">IF(Table1[[#This Row],[County]]="Northumberland",Table1[[#This Row],[income]],0)</f>
        <v>0</v>
      </c>
      <c r="CP391" s="20">
        <f ca="1">IF(Table1[[#This Row],[County]]="Wiltshire",Table1[[#This Row],[income]],0)</f>
        <v>0</v>
      </c>
      <c r="CQ391" s="20">
        <f ca="1">IF(Table1[[#This Row],[County]]="West Midlands",Table1[[#This Row],[income]],0)</f>
        <v>0</v>
      </c>
      <c r="CR391" s="20">
        <f ca="1">IF(Table1[[#This Row],[County]]="Warwickshire",Table1[[#This Row],[income]],0)</f>
        <v>0</v>
      </c>
      <c r="CS391" s="20">
        <f ca="1">IF(Table1[[#This Row],[County]]="Tyne and Wear",Table1[[#This Row],[income]],0)</f>
        <v>0</v>
      </c>
      <c r="CT391" s="20">
        <f ca="1">IF(Table1[[#This Row],[County]]="Worcestershire",Table1[[#This Row],[income]],0)</f>
        <v>0</v>
      </c>
      <c r="CU391" s="20">
        <f ca="1">IF(Table1[[#This Row],[County]]="Rutland",Table1[[#This Row],[income]],0)</f>
        <v>0</v>
      </c>
      <c r="CV391" s="20">
        <f ca="1">IF(Table1[[#This Row],[County]]="Shropshire",Table1[[#This Row],[income]],0)</f>
        <v>0</v>
      </c>
      <c r="CW391" s="20">
        <f ca="1">IF(Table1[[#This Row],[County]]="Dorset",Table1[[#This Row],[income]],0)</f>
        <v>0</v>
      </c>
      <c r="CX391" s="20">
        <f ca="1">IF(Table1[[#This Row],[County]]="Buckinghamshire",Table1[[#This Row],[income]],0)</f>
        <v>0</v>
      </c>
      <c r="CY391" s="20">
        <f ca="1">IF(Table1[[#This Row],[County]]="Suffolk",Table1[[#This Row],[income]],0)</f>
        <v>0</v>
      </c>
      <c r="CZ391" s="20">
        <f ca="1">IF(Table1[[#This Row],[County]]="North Yorkshire",Table1[[#This Row],[income]],0)</f>
        <v>0</v>
      </c>
      <c r="DA391" s="20">
        <f ca="1">IF(Table1[[#This Row],[County]]="Kent",Table1[[#This Row],[income]],0)</f>
        <v>0</v>
      </c>
      <c r="DB391" s="5">
        <f ca="1">IF(Table1[[#This Row],[County]]="Derbyshire",Table1[[#This Row],[income]],0)</f>
        <v>0</v>
      </c>
      <c r="DD391" s="6">
        <f ca="1">IF(Table1[[#This Row],[Column1]]="Health",Table1[[#This Row],[income]],0)</f>
        <v>0</v>
      </c>
      <c r="DE391" s="20">
        <f ca="1">IF(Table1[[#This Row],[Column1]]="Agriculture",Table1[[#This Row],[income]],0)</f>
        <v>0</v>
      </c>
      <c r="DF391" s="20">
        <f ca="1">IF(Table1[[#This Row],[Column1]]="Technology",Table1[[#This Row],[income]],0)</f>
        <v>0</v>
      </c>
      <c r="DG391" s="20">
        <f ca="1">IF(Table1[[#This Row],[Column1]]="Social Service",Table1[[#This Row],[income]],0)</f>
        <v>44127</v>
      </c>
      <c r="DH391" s="20">
        <f ca="1">IF(Table1[[#This Row],[Column1]]="Education",Table1[[#This Row],[income]],0)</f>
        <v>0</v>
      </c>
      <c r="DI391" s="5">
        <f ca="1">IF(Table1[[#This Row],[Column1]]="Construction",Table1[[#This Row],[income]],0)</f>
        <v>0</v>
      </c>
      <c r="DK391" s="6">
        <f ca="1">IF(Table1[[#This Row],[Value of Debts]]&gt;Table1[[#This Row],[income]],1,0)</f>
        <v>1</v>
      </c>
      <c r="DL391" s="20"/>
      <c r="DM391" s="20"/>
      <c r="DN391" s="5"/>
      <c r="DP391" s="6">
        <f ca="1">IF(Table1[[#This Row],[Net Worth (£)]]&gt;$DS$5,C391,0)</f>
        <v>0</v>
      </c>
      <c r="DQ391" s="20"/>
      <c r="DR391" s="20"/>
      <c r="DS391" s="5"/>
    </row>
    <row r="392" spans="1:123" x14ac:dyDescent="0.2">
      <c r="A392">
        <f t="shared" ca="1" si="19"/>
        <v>1</v>
      </c>
      <c r="B392" s="1" t="str">
        <f ca="1">IF(A392=1, "men", "women")</f>
        <v>men</v>
      </c>
      <c r="C392" s="1">
        <f ca="1">RANDBETWEEN(25,50)</f>
        <v>28</v>
      </c>
      <c r="D392">
        <f ca="1">RANDBETWEEN(1,6)</f>
        <v>2</v>
      </c>
      <c r="E392" t="str">
        <f ca="1">VLOOKUP(D392,$W$5:$X$10,2)</f>
        <v>Construction</v>
      </c>
      <c r="F392">
        <f ca="1">RANDBETWEEN(1,5)</f>
        <v>5</v>
      </c>
      <c r="G392" t="str">
        <f ca="1">VLOOKUP(F392,$Y$5:$Z$9,2)</f>
        <v>Other</v>
      </c>
      <c r="H392">
        <f ca="1">RANDBETWEEN(0,4)</f>
        <v>1</v>
      </c>
      <c r="I392">
        <f ca="1">RANDBETWEEN(1,3)</f>
        <v>3</v>
      </c>
      <c r="J392">
        <f ca="1">RANDBETWEEN(30000,100000)</f>
        <v>89159</v>
      </c>
      <c r="K392">
        <f ca="1">RANDBETWEEN(1,48)</f>
        <v>37</v>
      </c>
      <c r="L392" t="str">
        <f ca="1">VLOOKUP(K392,$AA$5:$AB$52,2)</f>
        <v>Somerset</v>
      </c>
      <c r="M392">
        <f ca="1">J392*(RANDBETWEEN(2,5))</f>
        <v>178318</v>
      </c>
      <c r="N392">
        <f ca="1">RAND()*M392</f>
        <v>63981.03411920787</v>
      </c>
      <c r="O392">
        <f ca="1">I392*RAND()*J392</f>
        <v>146703.22300203604</v>
      </c>
      <c r="P392">
        <f ca="1">RANDBETWEEN(0,O392)</f>
        <v>143725</v>
      </c>
      <c r="Q392">
        <f ca="1">RAND()*J392*2</f>
        <v>142638.37675085786</v>
      </c>
      <c r="R392">
        <f ca="1">RAND()*J392*1.5</f>
        <v>4190.0101924260998</v>
      </c>
      <c r="S392">
        <f ca="1">J392+R392+O392</f>
        <v>240052.23319446214</v>
      </c>
      <c r="T392">
        <f ca="1">N392+P392+Q392</f>
        <v>350344.41087006574</v>
      </c>
      <c r="U392">
        <f ca="1">S392-T392</f>
        <v>-110292.1776756036</v>
      </c>
      <c r="AC392" s="6">
        <f ca="1">IF(Table1[[#This Row],[gender]]="men",1,0)</f>
        <v>1</v>
      </c>
      <c r="AD392">
        <f ca="1">IF(Table1[[#This Row],[gender]]="women",1,0)</f>
        <v>0</v>
      </c>
      <c r="AH392" s="5"/>
      <c r="AJ392" s="6">
        <f ca="1">IF(Table1[[#This Row],[Column1]]="Health",1,0)</f>
        <v>0</v>
      </c>
      <c r="AK392">
        <f ca="1">IF(Table1[[#This Row],[Column1]]="Construction",1,0)</f>
        <v>1</v>
      </c>
      <c r="AL392">
        <f ca="1">IF(Table1[[#This Row],[Column1]]="Technology",1,0)</f>
        <v>0</v>
      </c>
      <c r="AM392">
        <f ca="1">IF(Table1[[#This Row],[Column1]]="Education",1,0)</f>
        <v>0</v>
      </c>
      <c r="AN392">
        <f ca="1">IF(Table1[[#This Row],[Column1]]="Agriculture",1,0)</f>
        <v>0</v>
      </c>
      <c r="AO392">
        <f ca="1">IF(Table1[[#This Row],[Column1]]="Social Service", 1, 0)</f>
        <v>0</v>
      </c>
      <c r="AT392" s="5"/>
      <c r="AV392" s="17">
        <f t="shared" ca="1" si="18"/>
        <v>54510.673494848619</v>
      </c>
      <c r="AW392" s="5"/>
      <c r="AX392" s="6">
        <f ca="1">IF(Table1[[#This Row],[Value of Debts]]&gt;$AY$4,1,0)</f>
        <v>1</v>
      </c>
      <c r="AY392" s="20"/>
      <c r="AZ392" s="20"/>
      <c r="BA392" s="5"/>
      <c r="BB392" s="25">
        <f ca="1">Table1[[#This Row],[Mortage Left]]/Table1[[#This Row],[Value of House]]</f>
        <v>0.35880300429125422</v>
      </c>
      <c r="BC392" s="20">
        <f t="shared" ca="1" si="20"/>
        <v>0</v>
      </c>
      <c r="BD392" s="20"/>
      <c r="BE392" s="20"/>
      <c r="BF392" s="20"/>
      <c r="BG392" s="6">
        <f ca="1">IF(Table1[[#This Row],[County]]="Cumbria",Table1[[#This Row],[income]],0)</f>
        <v>0</v>
      </c>
      <c r="BH392" s="20">
        <f ca="1">IF(Table1[[#This Row],[County]]="Cheshire",Table1[[#This Row],[income]],0)</f>
        <v>0</v>
      </c>
      <c r="BI392" s="20">
        <f ca="1">IF(Table1[[#This Row],[County]]="Bristol",Table1[[#This Row],[income]],0)</f>
        <v>0</v>
      </c>
      <c r="BJ392" s="20">
        <f ca="1">IF(Table1[[#This Row],[County]]="Surrey",Table1[[#This Row],[income]],0)</f>
        <v>0</v>
      </c>
      <c r="BK392" s="20">
        <f ca="1">IF(Table1[[#This Row],[County]]="Norfolk",Table1[[#This Row],[income]],0)</f>
        <v>0</v>
      </c>
      <c r="BL392" s="20">
        <f ca="1">IF(Table1[[#This Row],[County]]="Lincolnshire",Table1[[#This Row],[income]],0)</f>
        <v>0</v>
      </c>
      <c r="BM392" s="20">
        <f ca="1">IF(Table1[[#This Row],[County]]="Somerset",Table1[[#This Row],[income]],0)</f>
        <v>89159</v>
      </c>
      <c r="BN392" s="20">
        <f ca="1">IF(Table1[[#This Row],[County]]="Cambridgeshire",Table1[[#This Row],[income]],0)</f>
        <v>0</v>
      </c>
      <c r="BO392" s="20">
        <f ca="1">IF(Table1[[#This Row],[County]]="South Yorkshire",Table1[[#This Row],[income]],0)</f>
        <v>0</v>
      </c>
      <c r="BP392" s="20">
        <f ca="1">IF(Table1[[#This Row],[County]]="Greater London",Table1[[#This Row],[income]],0)</f>
        <v>0</v>
      </c>
      <c r="BQ392" s="20">
        <f ca="1">IF(Table1[[#This Row],[County]]="Hampshire",Table1[[#This Row],[income]],0)</f>
        <v>0</v>
      </c>
      <c r="BR392" s="20">
        <f ca="1">IF(Table1[[#This Row],[County]]="Gloucestershire",Table1[[#This Row],[income]],0)</f>
        <v>0</v>
      </c>
      <c r="BS392" s="20">
        <f ca="1">IF(Table1[[#This Row],[County]]="West Sussex",Table1[[#This Row],[income]],0)</f>
        <v>0</v>
      </c>
      <c r="BT392" s="20">
        <f ca="1">IF(Table1[[#This Row],[County]]="Devon",Table1[[#This Row],[income]],0)</f>
        <v>0</v>
      </c>
      <c r="BU392" s="20">
        <f ca="1">IF(Table1[[#This Row],[County]]="Berkshire",Table1[[#This Row],[income]],0)</f>
        <v>0</v>
      </c>
      <c r="BV392" s="20">
        <f ca="1">IF(Table1[[#This Row],[County]]="Staffordshire",Table1[[#This Row],[income]],0)</f>
        <v>0</v>
      </c>
      <c r="BW392" s="20">
        <f ca="1">IF(Table1[[#This Row],[County]]="Leicestershire",Table1[[#This Row],[income]],0)</f>
        <v>0</v>
      </c>
      <c r="BX392" s="20">
        <f ca="1">IF(Table1[[#This Row],[County]]="Cornwall",Table1[[#This Row],[income]],0)</f>
        <v>0</v>
      </c>
      <c r="BY392" s="20">
        <f ca="1">IF(Table1[[#This Row],[County]]="Isle of Wight",Table1[[#This Row],[income]],0)</f>
        <v>0</v>
      </c>
      <c r="BZ392" s="20">
        <f ca="1">IF(Table1[[#This Row],[County]]="Surrey",Table1[[#This Row],[income]],0)</f>
        <v>0</v>
      </c>
      <c r="CA392" s="20">
        <f ca="1">IF(Table1[[#This Row],[County]]="Derbyshire",Table1[[#This Row],[income]],0)</f>
        <v>0</v>
      </c>
      <c r="CB392" s="20">
        <f ca="1">IF(Table1[[#This Row],[County]]="City of London",Table1[[#This Row],[income]],0)</f>
        <v>0</v>
      </c>
      <c r="CC392" s="20">
        <f ca="1">IF(Table1[[#This Row],[County]]="Bedfordshire",Table1[[#This Row],[income]],0)</f>
        <v>0</v>
      </c>
      <c r="CD392" s="20">
        <f ca="1">IF(Table1[[#This Row],[County]]="County Durham",Table1[[#This Row],[income]],0)</f>
        <v>0</v>
      </c>
      <c r="CE392" s="20">
        <f ca="1">IF(Table1[[#This Row],[County]]="East Riding of Yorkshire",Table1[[#This Row],[income]],0)</f>
        <v>0</v>
      </c>
      <c r="CF392" s="20">
        <f ca="1">IF(Table1[[#This Row],[County]]="West Yorkshire",Table1[[#This Row],[income]],0)</f>
        <v>0</v>
      </c>
      <c r="CG392" s="20">
        <f ca="1">IF(Table1[[#This Row],[County]]="Essex",Table1[[#This Row],[income]],0)</f>
        <v>0</v>
      </c>
      <c r="CH392" s="20">
        <f ca="1">IF(Table1[[#This Row],[County]]="East Sussex",Table1[[#This Row],[income]],0)</f>
        <v>0</v>
      </c>
      <c r="CI392" s="20">
        <f ca="1">IF(Table1[[#This Row],[County]]="Greater Manchester",Table1[[#This Row],[income]],0)</f>
        <v>0</v>
      </c>
      <c r="CJ392" s="20">
        <f ca="1">IF(Table1[[#This Row],[County]]="Hertfordshire",Table1[[#This Row],[income]],0)</f>
        <v>0</v>
      </c>
      <c r="CK392" s="20">
        <f ca="1">IF(Table1[[#This Row],[County]]="Herefordshire",Table1[[#This Row],[income]],0)</f>
        <v>0</v>
      </c>
      <c r="CL392" s="20">
        <f ca="1">IF(Table1[[#This Row],[County]]="Lancashire",Table1[[#This Row],[income]],0)</f>
        <v>0</v>
      </c>
      <c r="CM392" s="20">
        <f ca="1">IF(Table1[[#This Row],[County]]="Merseyside",Table1[[#This Row],[income]],0)</f>
        <v>0</v>
      </c>
      <c r="CN392" s="20">
        <f ca="1">IF(Table1[[#This Row],[County]]="Northamptonshire",Table1[[#This Row],[income]],0)</f>
        <v>0</v>
      </c>
      <c r="CO392" s="20">
        <f ca="1">IF(Table1[[#This Row],[County]]="Northumberland",Table1[[#This Row],[income]],0)</f>
        <v>0</v>
      </c>
      <c r="CP392" s="20">
        <f ca="1">IF(Table1[[#This Row],[County]]="Wiltshire",Table1[[#This Row],[income]],0)</f>
        <v>0</v>
      </c>
      <c r="CQ392" s="20">
        <f ca="1">IF(Table1[[#This Row],[County]]="West Midlands",Table1[[#This Row],[income]],0)</f>
        <v>0</v>
      </c>
      <c r="CR392" s="20">
        <f ca="1">IF(Table1[[#This Row],[County]]="Warwickshire",Table1[[#This Row],[income]],0)</f>
        <v>0</v>
      </c>
      <c r="CS392" s="20">
        <f ca="1">IF(Table1[[#This Row],[County]]="Tyne and Wear",Table1[[#This Row],[income]],0)</f>
        <v>0</v>
      </c>
      <c r="CT392" s="20">
        <f ca="1">IF(Table1[[#This Row],[County]]="Worcestershire",Table1[[#This Row],[income]],0)</f>
        <v>0</v>
      </c>
      <c r="CU392" s="20">
        <f ca="1">IF(Table1[[#This Row],[County]]="Rutland",Table1[[#This Row],[income]],0)</f>
        <v>0</v>
      </c>
      <c r="CV392" s="20">
        <f ca="1">IF(Table1[[#This Row],[County]]="Shropshire",Table1[[#This Row],[income]],0)</f>
        <v>0</v>
      </c>
      <c r="CW392" s="20">
        <f ca="1">IF(Table1[[#This Row],[County]]="Dorset",Table1[[#This Row],[income]],0)</f>
        <v>0</v>
      </c>
      <c r="CX392" s="20">
        <f ca="1">IF(Table1[[#This Row],[County]]="Buckinghamshire",Table1[[#This Row],[income]],0)</f>
        <v>0</v>
      </c>
      <c r="CY392" s="20">
        <f ca="1">IF(Table1[[#This Row],[County]]="Suffolk",Table1[[#This Row],[income]],0)</f>
        <v>0</v>
      </c>
      <c r="CZ392" s="20">
        <f ca="1">IF(Table1[[#This Row],[County]]="North Yorkshire",Table1[[#This Row],[income]],0)</f>
        <v>0</v>
      </c>
      <c r="DA392" s="20">
        <f ca="1">IF(Table1[[#This Row],[County]]="Kent",Table1[[#This Row],[income]],0)</f>
        <v>0</v>
      </c>
      <c r="DB392" s="5">
        <f ca="1">IF(Table1[[#This Row],[County]]="Derbyshire",Table1[[#This Row],[income]],0)</f>
        <v>0</v>
      </c>
      <c r="DD392" s="6">
        <f ca="1">IF(Table1[[#This Row],[Column1]]="Health",Table1[[#This Row],[income]],0)</f>
        <v>0</v>
      </c>
      <c r="DE392" s="20">
        <f ca="1">IF(Table1[[#This Row],[Column1]]="Agriculture",Table1[[#This Row],[income]],0)</f>
        <v>0</v>
      </c>
      <c r="DF392" s="20">
        <f ca="1">IF(Table1[[#This Row],[Column1]]="Technology",Table1[[#This Row],[income]],0)</f>
        <v>0</v>
      </c>
      <c r="DG392" s="20">
        <f ca="1">IF(Table1[[#This Row],[Column1]]="Social Service",Table1[[#This Row],[income]],0)</f>
        <v>0</v>
      </c>
      <c r="DH392" s="20">
        <f ca="1">IF(Table1[[#This Row],[Column1]]="Education",Table1[[#This Row],[income]],0)</f>
        <v>0</v>
      </c>
      <c r="DI392" s="5">
        <f ca="1">IF(Table1[[#This Row],[Column1]]="Construction",Table1[[#This Row],[income]],0)</f>
        <v>89159</v>
      </c>
      <c r="DK392" s="6">
        <f ca="1">IF(Table1[[#This Row],[Value of Debts]]&gt;Table1[[#This Row],[income]],1,0)</f>
        <v>1</v>
      </c>
      <c r="DL392" s="20"/>
      <c r="DM392" s="20"/>
      <c r="DN392" s="5"/>
      <c r="DP392" s="6">
        <f ca="1">IF(Table1[[#This Row],[Net Worth (£)]]&gt;$DS$5,C392,0)</f>
        <v>0</v>
      </c>
      <c r="DQ392" s="20"/>
      <c r="DR392" s="20"/>
      <c r="DS392" s="5"/>
    </row>
    <row r="393" spans="1:123" x14ac:dyDescent="0.2">
      <c r="A393">
        <f t="shared" ca="1" si="19"/>
        <v>1</v>
      </c>
      <c r="B393" s="1" t="str">
        <f ca="1">IF(A393=1, "men", "women")</f>
        <v>men</v>
      </c>
      <c r="C393" s="1">
        <f ca="1">RANDBETWEEN(25,50)</f>
        <v>50</v>
      </c>
      <c r="D393">
        <f ca="1">RANDBETWEEN(1,6)</f>
        <v>6</v>
      </c>
      <c r="E393" t="str">
        <f ca="1">VLOOKUP(D393,$W$5:$X$10,2)</f>
        <v>Agriculture</v>
      </c>
      <c r="F393">
        <f ca="1">RANDBETWEEN(1,5)</f>
        <v>2</v>
      </c>
      <c r="G393" t="str">
        <f ca="1">VLOOKUP(F393,$Y$5:$Z$9,2)</f>
        <v>College</v>
      </c>
      <c r="H393">
        <f ca="1">RANDBETWEEN(0,4)</f>
        <v>1</v>
      </c>
      <c r="I393">
        <f ca="1">RANDBETWEEN(1,3)</f>
        <v>3</v>
      </c>
      <c r="J393">
        <f ca="1">RANDBETWEEN(30000,100000)</f>
        <v>63409</v>
      </c>
      <c r="K393">
        <f ca="1">RANDBETWEEN(1,48)</f>
        <v>14</v>
      </c>
      <c r="L393" t="str">
        <f ca="1">VLOOKUP(K393,$AA$5:$AB$52,2)</f>
        <v>East Riding of Yorkshire</v>
      </c>
      <c r="M393">
        <f ca="1">J393*(RANDBETWEEN(2,5))</f>
        <v>190227</v>
      </c>
      <c r="N393">
        <f ca="1">RAND()*M393</f>
        <v>129906.77589139763</v>
      </c>
      <c r="O393">
        <f ca="1">I393*RAND()*J393</f>
        <v>163532.02048454585</v>
      </c>
      <c r="P393">
        <f ca="1">RANDBETWEEN(0,O393)</f>
        <v>126141</v>
      </c>
      <c r="Q393">
        <f ca="1">RAND()*J393*2</f>
        <v>102954.95330185053</v>
      </c>
      <c r="R393">
        <f ca="1">RAND()*J393*1.5</f>
        <v>77071.246222646514</v>
      </c>
      <c r="S393">
        <f ca="1">J393+R393+O393</f>
        <v>304012.26670719235</v>
      </c>
      <c r="T393">
        <f ca="1">N393+P393+Q393</f>
        <v>359002.72919324815</v>
      </c>
      <c r="U393">
        <f ca="1">S393-T393</f>
        <v>-54990.462486055796</v>
      </c>
      <c r="AC393" s="6">
        <f ca="1">IF(Table1[[#This Row],[gender]]="men",1,0)</f>
        <v>1</v>
      </c>
      <c r="AD393">
        <f ca="1">IF(Table1[[#This Row],[gender]]="women",1,0)</f>
        <v>0</v>
      </c>
      <c r="AH393" s="5"/>
      <c r="AJ393" s="6">
        <f ca="1">IF(Table1[[#This Row],[Column1]]="Health",1,0)</f>
        <v>0</v>
      </c>
      <c r="AK393">
        <f ca="1">IF(Table1[[#This Row],[Column1]]="Construction",1,0)</f>
        <v>0</v>
      </c>
      <c r="AL393">
        <f ca="1">IF(Table1[[#This Row],[Column1]]="Technology",1,0)</f>
        <v>0</v>
      </c>
      <c r="AM393">
        <f ca="1">IF(Table1[[#This Row],[Column1]]="Education",1,0)</f>
        <v>0</v>
      </c>
      <c r="AN393">
        <f ca="1">IF(Table1[[#This Row],[Column1]]="Agriculture",1,0)</f>
        <v>1</v>
      </c>
      <c r="AO393">
        <f ca="1">IF(Table1[[#This Row],[Column1]]="Social Service", 1, 0)</f>
        <v>0</v>
      </c>
      <c r="AT393" s="5"/>
      <c r="AV393" s="17">
        <f t="shared" ca="1" si="18"/>
        <v>37814.207699917104</v>
      </c>
      <c r="AW393" s="5"/>
      <c r="AX393" s="6">
        <f ca="1">IF(Table1[[#This Row],[Value of Debts]]&gt;$AY$4,1,0)</f>
        <v>1</v>
      </c>
      <c r="AY393" s="20"/>
      <c r="AZ393" s="20"/>
      <c r="BA393" s="5"/>
      <c r="BB393" s="25">
        <f ca="1">Table1[[#This Row],[Mortage Left]]/Table1[[#This Row],[Value of House]]</f>
        <v>0.68290398256502827</v>
      </c>
      <c r="BC393" s="20">
        <f t="shared" ca="1" si="20"/>
        <v>0</v>
      </c>
      <c r="BD393" s="20"/>
      <c r="BE393" s="20"/>
      <c r="BF393" s="20"/>
      <c r="BG393" s="6">
        <f ca="1">IF(Table1[[#This Row],[County]]="Cumbria",Table1[[#This Row],[income]],0)</f>
        <v>0</v>
      </c>
      <c r="BH393" s="20">
        <f ca="1">IF(Table1[[#This Row],[County]]="Cheshire",Table1[[#This Row],[income]],0)</f>
        <v>0</v>
      </c>
      <c r="BI393" s="20">
        <f ca="1">IF(Table1[[#This Row],[County]]="Bristol",Table1[[#This Row],[income]],0)</f>
        <v>0</v>
      </c>
      <c r="BJ393" s="20">
        <f ca="1">IF(Table1[[#This Row],[County]]="Surrey",Table1[[#This Row],[income]],0)</f>
        <v>0</v>
      </c>
      <c r="BK393" s="20">
        <f ca="1">IF(Table1[[#This Row],[County]]="Norfolk",Table1[[#This Row],[income]],0)</f>
        <v>0</v>
      </c>
      <c r="BL393" s="20">
        <f ca="1">IF(Table1[[#This Row],[County]]="Lincolnshire",Table1[[#This Row],[income]],0)</f>
        <v>0</v>
      </c>
      <c r="BM393" s="20">
        <f ca="1">IF(Table1[[#This Row],[County]]="Somerset",Table1[[#This Row],[income]],0)</f>
        <v>0</v>
      </c>
      <c r="BN393" s="20">
        <f ca="1">IF(Table1[[#This Row],[County]]="Cambridgeshire",Table1[[#This Row],[income]],0)</f>
        <v>0</v>
      </c>
      <c r="BO393" s="20">
        <f ca="1">IF(Table1[[#This Row],[County]]="South Yorkshire",Table1[[#This Row],[income]],0)</f>
        <v>0</v>
      </c>
      <c r="BP393" s="20">
        <f ca="1">IF(Table1[[#This Row],[County]]="Greater London",Table1[[#This Row],[income]],0)</f>
        <v>0</v>
      </c>
      <c r="BQ393" s="20">
        <f ca="1">IF(Table1[[#This Row],[County]]="Hampshire",Table1[[#This Row],[income]],0)</f>
        <v>0</v>
      </c>
      <c r="BR393" s="20">
        <f ca="1">IF(Table1[[#This Row],[County]]="Gloucestershire",Table1[[#This Row],[income]],0)</f>
        <v>0</v>
      </c>
      <c r="BS393" s="20">
        <f ca="1">IF(Table1[[#This Row],[County]]="West Sussex",Table1[[#This Row],[income]],0)</f>
        <v>0</v>
      </c>
      <c r="BT393" s="20">
        <f ca="1">IF(Table1[[#This Row],[County]]="Devon",Table1[[#This Row],[income]],0)</f>
        <v>0</v>
      </c>
      <c r="BU393" s="20">
        <f ca="1">IF(Table1[[#This Row],[County]]="Berkshire",Table1[[#This Row],[income]],0)</f>
        <v>0</v>
      </c>
      <c r="BV393" s="20">
        <f ca="1">IF(Table1[[#This Row],[County]]="Staffordshire",Table1[[#This Row],[income]],0)</f>
        <v>0</v>
      </c>
      <c r="BW393" s="20">
        <f ca="1">IF(Table1[[#This Row],[County]]="Leicestershire",Table1[[#This Row],[income]],0)</f>
        <v>0</v>
      </c>
      <c r="BX393" s="20">
        <f ca="1">IF(Table1[[#This Row],[County]]="Cornwall",Table1[[#This Row],[income]],0)</f>
        <v>0</v>
      </c>
      <c r="BY393" s="20">
        <f ca="1">IF(Table1[[#This Row],[County]]="Isle of Wight",Table1[[#This Row],[income]],0)</f>
        <v>0</v>
      </c>
      <c r="BZ393" s="20">
        <f ca="1">IF(Table1[[#This Row],[County]]="Surrey",Table1[[#This Row],[income]],0)</f>
        <v>0</v>
      </c>
      <c r="CA393" s="20">
        <f ca="1">IF(Table1[[#This Row],[County]]="Derbyshire",Table1[[#This Row],[income]],0)</f>
        <v>0</v>
      </c>
      <c r="CB393" s="20">
        <f ca="1">IF(Table1[[#This Row],[County]]="City of London",Table1[[#This Row],[income]],0)</f>
        <v>0</v>
      </c>
      <c r="CC393" s="20">
        <f ca="1">IF(Table1[[#This Row],[County]]="Bedfordshire",Table1[[#This Row],[income]],0)</f>
        <v>0</v>
      </c>
      <c r="CD393" s="20">
        <f ca="1">IF(Table1[[#This Row],[County]]="County Durham",Table1[[#This Row],[income]],0)</f>
        <v>0</v>
      </c>
      <c r="CE393" s="20">
        <f ca="1">IF(Table1[[#This Row],[County]]="East Riding of Yorkshire",Table1[[#This Row],[income]],0)</f>
        <v>63409</v>
      </c>
      <c r="CF393" s="20">
        <f ca="1">IF(Table1[[#This Row],[County]]="West Yorkshire",Table1[[#This Row],[income]],0)</f>
        <v>0</v>
      </c>
      <c r="CG393" s="20">
        <f ca="1">IF(Table1[[#This Row],[County]]="Essex",Table1[[#This Row],[income]],0)</f>
        <v>0</v>
      </c>
      <c r="CH393" s="20">
        <f ca="1">IF(Table1[[#This Row],[County]]="East Sussex",Table1[[#This Row],[income]],0)</f>
        <v>0</v>
      </c>
      <c r="CI393" s="20">
        <f ca="1">IF(Table1[[#This Row],[County]]="Greater Manchester",Table1[[#This Row],[income]],0)</f>
        <v>0</v>
      </c>
      <c r="CJ393" s="20">
        <f ca="1">IF(Table1[[#This Row],[County]]="Hertfordshire",Table1[[#This Row],[income]],0)</f>
        <v>0</v>
      </c>
      <c r="CK393" s="20">
        <f ca="1">IF(Table1[[#This Row],[County]]="Herefordshire",Table1[[#This Row],[income]],0)</f>
        <v>0</v>
      </c>
      <c r="CL393" s="20">
        <f ca="1">IF(Table1[[#This Row],[County]]="Lancashire",Table1[[#This Row],[income]],0)</f>
        <v>0</v>
      </c>
      <c r="CM393" s="20">
        <f ca="1">IF(Table1[[#This Row],[County]]="Merseyside",Table1[[#This Row],[income]],0)</f>
        <v>0</v>
      </c>
      <c r="CN393" s="20">
        <f ca="1">IF(Table1[[#This Row],[County]]="Northamptonshire",Table1[[#This Row],[income]],0)</f>
        <v>0</v>
      </c>
      <c r="CO393" s="20">
        <f ca="1">IF(Table1[[#This Row],[County]]="Northumberland",Table1[[#This Row],[income]],0)</f>
        <v>0</v>
      </c>
      <c r="CP393" s="20">
        <f ca="1">IF(Table1[[#This Row],[County]]="Wiltshire",Table1[[#This Row],[income]],0)</f>
        <v>0</v>
      </c>
      <c r="CQ393" s="20">
        <f ca="1">IF(Table1[[#This Row],[County]]="West Midlands",Table1[[#This Row],[income]],0)</f>
        <v>0</v>
      </c>
      <c r="CR393" s="20">
        <f ca="1">IF(Table1[[#This Row],[County]]="Warwickshire",Table1[[#This Row],[income]],0)</f>
        <v>0</v>
      </c>
      <c r="CS393" s="20">
        <f ca="1">IF(Table1[[#This Row],[County]]="Tyne and Wear",Table1[[#This Row],[income]],0)</f>
        <v>0</v>
      </c>
      <c r="CT393" s="20">
        <f ca="1">IF(Table1[[#This Row],[County]]="Worcestershire",Table1[[#This Row],[income]],0)</f>
        <v>0</v>
      </c>
      <c r="CU393" s="20">
        <f ca="1">IF(Table1[[#This Row],[County]]="Rutland",Table1[[#This Row],[income]],0)</f>
        <v>0</v>
      </c>
      <c r="CV393" s="20">
        <f ca="1">IF(Table1[[#This Row],[County]]="Shropshire",Table1[[#This Row],[income]],0)</f>
        <v>0</v>
      </c>
      <c r="CW393" s="20">
        <f ca="1">IF(Table1[[#This Row],[County]]="Dorset",Table1[[#This Row],[income]],0)</f>
        <v>0</v>
      </c>
      <c r="CX393" s="20">
        <f ca="1">IF(Table1[[#This Row],[County]]="Buckinghamshire",Table1[[#This Row],[income]],0)</f>
        <v>0</v>
      </c>
      <c r="CY393" s="20">
        <f ca="1">IF(Table1[[#This Row],[County]]="Suffolk",Table1[[#This Row],[income]],0)</f>
        <v>0</v>
      </c>
      <c r="CZ393" s="20">
        <f ca="1">IF(Table1[[#This Row],[County]]="North Yorkshire",Table1[[#This Row],[income]],0)</f>
        <v>0</v>
      </c>
      <c r="DA393" s="20">
        <f ca="1">IF(Table1[[#This Row],[County]]="Kent",Table1[[#This Row],[income]],0)</f>
        <v>0</v>
      </c>
      <c r="DB393" s="5">
        <f ca="1">IF(Table1[[#This Row],[County]]="Derbyshire",Table1[[#This Row],[income]],0)</f>
        <v>0</v>
      </c>
      <c r="DD393" s="6">
        <f ca="1">IF(Table1[[#This Row],[Column1]]="Health",Table1[[#This Row],[income]],0)</f>
        <v>0</v>
      </c>
      <c r="DE393" s="20">
        <f ca="1">IF(Table1[[#This Row],[Column1]]="Agriculture",Table1[[#This Row],[income]],0)</f>
        <v>63409</v>
      </c>
      <c r="DF393" s="20">
        <f ca="1">IF(Table1[[#This Row],[Column1]]="Technology",Table1[[#This Row],[income]],0)</f>
        <v>0</v>
      </c>
      <c r="DG393" s="20">
        <f ca="1">IF(Table1[[#This Row],[Column1]]="Social Service",Table1[[#This Row],[income]],0)</f>
        <v>0</v>
      </c>
      <c r="DH393" s="20">
        <f ca="1">IF(Table1[[#This Row],[Column1]]="Education",Table1[[#This Row],[income]],0)</f>
        <v>0</v>
      </c>
      <c r="DI393" s="5">
        <f ca="1">IF(Table1[[#This Row],[Column1]]="Construction",Table1[[#This Row],[income]],0)</f>
        <v>0</v>
      </c>
      <c r="DK393" s="6">
        <f ca="1">IF(Table1[[#This Row],[Value of Debts]]&gt;Table1[[#This Row],[income]],1,0)</f>
        <v>1</v>
      </c>
      <c r="DL393" s="20"/>
      <c r="DM393" s="20"/>
      <c r="DN393" s="5"/>
      <c r="DP393" s="6">
        <f ca="1">IF(Table1[[#This Row],[Net Worth (£)]]&gt;$DS$5,C393,0)</f>
        <v>0</v>
      </c>
      <c r="DQ393" s="20"/>
      <c r="DR393" s="20"/>
      <c r="DS393" s="5"/>
    </row>
    <row r="394" spans="1:123" x14ac:dyDescent="0.2">
      <c r="A394">
        <f t="shared" ca="1" si="19"/>
        <v>2</v>
      </c>
      <c r="B394" s="1" t="str">
        <f ca="1">IF(A394=1, "men", "women")</f>
        <v>women</v>
      </c>
      <c r="C394" s="1">
        <f ca="1">RANDBETWEEN(25,50)</f>
        <v>27</v>
      </c>
      <c r="D394">
        <f ca="1">RANDBETWEEN(1,6)</f>
        <v>6</v>
      </c>
      <c r="E394" t="str">
        <f ca="1">VLOOKUP(D394,$W$5:$X$10,2)</f>
        <v>Agriculture</v>
      </c>
      <c r="F394">
        <f ca="1">RANDBETWEEN(1,5)</f>
        <v>5</v>
      </c>
      <c r="G394" t="str">
        <f ca="1">VLOOKUP(F394,$Y$5:$Z$9,2)</f>
        <v>Other</v>
      </c>
      <c r="H394">
        <f ca="1">RANDBETWEEN(0,4)</f>
        <v>3</v>
      </c>
      <c r="I394">
        <f ca="1">RANDBETWEEN(1,3)</f>
        <v>3</v>
      </c>
      <c r="J394">
        <f ca="1">RANDBETWEEN(30000,100000)</f>
        <v>96608</v>
      </c>
      <c r="K394">
        <f ca="1">RANDBETWEEN(1,48)</f>
        <v>16</v>
      </c>
      <c r="L394" t="str">
        <f ca="1">VLOOKUP(K394,$AA$5:$AB$52,2)</f>
        <v>Essex</v>
      </c>
      <c r="M394">
        <f ca="1">J394*(RANDBETWEEN(2,5))</f>
        <v>386432</v>
      </c>
      <c r="N394">
        <f ca="1">RAND()*M394</f>
        <v>78619.685918536561</v>
      </c>
      <c r="O394">
        <f ca="1">I394*RAND()*J394</f>
        <v>113442.6230997513</v>
      </c>
      <c r="P394">
        <f ca="1">RANDBETWEEN(0,O394)</f>
        <v>38380</v>
      </c>
      <c r="Q394">
        <f ca="1">RAND()*J394*2</f>
        <v>159328.46187040454</v>
      </c>
      <c r="R394">
        <f ca="1">RAND()*J394*1.5</f>
        <v>516.30431348449565</v>
      </c>
      <c r="S394">
        <f ca="1">J394+R394+O394</f>
        <v>210566.9274132358</v>
      </c>
      <c r="T394">
        <f ca="1">N394+P394+Q394</f>
        <v>276328.1477889411</v>
      </c>
      <c r="U394">
        <f ca="1">S394-T394</f>
        <v>-65761.220375705307</v>
      </c>
      <c r="AC394" s="6">
        <f ca="1">IF(Table1[[#This Row],[gender]]="men",1,0)</f>
        <v>0</v>
      </c>
      <c r="AD394">
        <f ca="1">IF(Table1[[#This Row],[gender]]="women",1,0)</f>
        <v>1</v>
      </c>
      <c r="AH394" s="5"/>
      <c r="AJ394" s="6">
        <f ca="1">IF(Table1[[#This Row],[Column1]]="Health",1,0)</f>
        <v>0</v>
      </c>
      <c r="AK394">
        <f ca="1">IF(Table1[[#This Row],[Column1]]="Construction",1,0)</f>
        <v>0</v>
      </c>
      <c r="AL394">
        <f ca="1">IF(Table1[[#This Row],[Column1]]="Technology",1,0)</f>
        <v>0</v>
      </c>
      <c r="AM394">
        <f ca="1">IF(Table1[[#This Row],[Column1]]="Education",1,0)</f>
        <v>0</v>
      </c>
      <c r="AN394">
        <f ca="1">IF(Table1[[#This Row],[Column1]]="Agriculture",1,0)</f>
        <v>1</v>
      </c>
      <c r="AO394">
        <f ca="1">IF(Table1[[#This Row],[Column1]]="Social Service", 1, 0)</f>
        <v>0</v>
      </c>
      <c r="AT394" s="5"/>
      <c r="AV394" s="17">
        <f t="shared" ca="1" si="18"/>
        <v>17495.846355086145</v>
      </c>
      <c r="AW394" s="5"/>
      <c r="AX394" s="6">
        <f ca="1">IF(Table1[[#This Row],[Value of Debts]]&gt;$AY$4,1,0)</f>
        <v>1</v>
      </c>
      <c r="AY394" s="20"/>
      <c r="AZ394" s="20"/>
      <c r="BA394" s="5"/>
      <c r="BB394" s="25">
        <f ca="1">Table1[[#This Row],[Mortage Left]]/Table1[[#This Row],[Value of House]]</f>
        <v>0.20345024718071111</v>
      </c>
      <c r="BC394" s="20">
        <f t="shared" ca="1" si="20"/>
        <v>1</v>
      </c>
      <c r="BD394" s="20"/>
      <c r="BE394" s="20"/>
      <c r="BF394" s="20"/>
      <c r="BG394" s="6">
        <f ca="1">IF(Table1[[#This Row],[County]]="Cumbria",Table1[[#This Row],[income]],0)</f>
        <v>0</v>
      </c>
      <c r="BH394" s="20">
        <f ca="1">IF(Table1[[#This Row],[County]]="Cheshire",Table1[[#This Row],[income]],0)</f>
        <v>0</v>
      </c>
      <c r="BI394" s="20">
        <f ca="1">IF(Table1[[#This Row],[County]]="Bristol",Table1[[#This Row],[income]],0)</f>
        <v>0</v>
      </c>
      <c r="BJ394" s="20">
        <f ca="1">IF(Table1[[#This Row],[County]]="Surrey",Table1[[#This Row],[income]],0)</f>
        <v>0</v>
      </c>
      <c r="BK394" s="20">
        <f ca="1">IF(Table1[[#This Row],[County]]="Norfolk",Table1[[#This Row],[income]],0)</f>
        <v>0</v>
      </c>
      <c r="BL394" s="20">
        <f ca="1">IF(Table1[[#This Row],[County]]="Lincolnshire",Table1[[#This Row],[income]],0)</f>
        <v>0</v>
      </c>
      <c r="BM394" s="20">
        <f ca="1">IF(Table1[[#This Row],[County]]="Somerset",Table1[[#This Row],[income]],0)</f>
        <v>0</v>
      </c>
      <c r="BN394" s="20">
        <f ca="1">IF(Table1[[#This Row],[County]]="Cambridgeshire",Table1[[#This Row],[income]],0)</f>
        <v>0</v>
      </c>
      <c r="BO394" s="20">
        <f ca="1">IF(Table1[[#This Row],[County]]="South Yorkshire",Table1[[#This Row],[income]],0)</f>
        <v>0</v>
      </c>
      <c r="BP394" s="20">
        <f ca="1">IF(Table1[[#This Row],[County]]="Greater London",Table1[[#This Row],[income]],0)</f>
        <v>0</v>
      </c>
      <c r="BQ394" s="20">
        <f ca="1">IF(Table1[[#This Row],[County]]="Hampshire",Table1[[#This Row],[income]],0)</f>
        <v>0</v>
      </c>
      <c r="BR394" s="20">
        <f ca="1">IF(Table1[[#This Row],[County]]="Gloucestershire",Table1[[#This Row],[income]],0)</f>
        <v>0</v>
      </c>
      <c r="BS394" s="20">
        <f ca="1">IF(Table1[[#This Row],[County]]="West Sussex",Table1[[#This Row],[income]],0)</f>
        <v>0</v>
      </c>
      <c r="BT394" s="20">
        <f ca="1">IF(Table1[[#This Row],[County]]="Devon",Table1[[#This Row],[income]],0)</f>
        <v>0</v>
      </c>
      <c r="BU394" s="20">
        <f ca="1">IF(Table1[[#This Row],[County]]="Berkshire",Table1[[#This Row],[income]],0)</f>
        <v>0</v>
      </c>
      <c r="BV394" s="20">
        <f ca="1">IF(Table1[[#This Row],[County]]="Staffordshire",Table1[[#This Row],[income]],0)</f>
        <v>0</v>
      </c>
      <c r="BW394" s="20">
        <f ca="1">IF(Table1[[#This Row],[County]]="Leicestershire",Table1[[#This Row],[income]],0)</f>
        <v>0</v>
      </c>
      <c r="BX394" s="20">
        <f ca="1">IF(Table1[[#This Row],[County]]="Cornwall",Table1[[#This Row],[income]],0)</f>
        <v>0</v>
      </c>
      <c r="BY394" s="20">
        <f ca="1">IF(Table1[[#This Row],[County]]="Isle of Wight",Table1[[#This Row],[income]],0)</f>
        <v>0</v>
      </c>
      <c r="BZ394" s="20">
        <f ca="1">IF(Table1[[#This Row],[County]]="Surrey",Table1[[#This Row],[income]],0)</f>
        <v>0</v>
      </c>
      <c r="CA394" s="20">
        <f ca="1">IF(Table1[[#This Row],[County]]="Derbyshire",Table1[[#This Row],[income]],0)</f>
        <v>0</v>
      </c>
      <c r="CB394" s="20">
        <f ca="1">IF(Table1[[#This Row],[County]]="City of London",Table1[[#This Row],[income]],0)</f>
        <v>0</v>
      </c>
      <c r="CC394" s="20">
        <f ca="1">IF(Table1[[#This Row],[County]]="Bedfordshire",Table1[[#This Row],[income]],0)</f>
        <v>0</v>
      </c>
      <c r="CD394" s="20">
        <f ca="1">IF(Table1[[#This Row],[County]]="County Durham",Table1[[#This Row],[income]],0)</f>
        <v>0</v>
      </c>
      <c r="CE394" s="20">
        <f ca="1">IF(Table1[[#This Row],[County]]="East Riding of Yorkshire",Table1[[#This Row],[income]],0)</f>
        <v>0</v>
      </c>
      <c r="CF394" s="20">
        <f ca="1">IF(Table1[[#This Row],[County]]="West Yorkshire",Table1[[#This Row],[income]],0)</f>
        <v>0</v>
      </c>
      <c r="CG394" s="20">
        <f ca="1">IF(Table1[[#This Row],[County]]="Essex",Table1[[#This Row],[income]],0)</f>
        <v>96608</v>
      </c>
      <c r="CH394" s="20">
        <f ca="1">IF(Table1[[#This Row],[County]]="East Sussex",Table1[[#This Row],[income]],0)</f>
        <v>0</v>
      </c>
      <c r="CI394" s="20">
        <f ca="1">IF(Table1[[#This Row],[County]]="Greater Manchester",Table1[[#This Row],[income]],0)</f>
        <v>0</v>
      </c>
      <c r="CJ394" s="20">
        <f ca="1">IF(Table1[[#This Row],[County]]="Hertfordshire",Table1[[#This Row],[income]],0)</f>
        <v>0</v>
      </c>
      <c r="CK394" s="20">
        <f ca="1">IF(Table1[[#This Row],[County]]="Herefordshire",Table1[[#This Row],[income]],0)</f>
        <v>0</v>
      </c>
      <c r="CL394" s="20">
        <f ca="1">IF(Table1[[#This Row],[County]]="Lancashire",Table1[[#This Row],[income]],0)</f>
        <v>0</v>
      </c>
      <c r="CM394" s="20">
        <f ca="1">IF(Table1[[#This Row],[County]]="Merseyside",Table1[[#This Row],[income]],0)</f>
        <v>0</v>
      </c>
      <c r="CN394" s="20">
        <f ca="1">IF(Table1[[#This Row],[County]]="Northamptonshire",Table1[[#This Row],[income]],0)</f>
        <v>0</v>
      </c>
      <c r="CO394" s="20">
        <f ca="1">IF(Table1[[#This Row],[County]]="Northumberland",Table1[[#This Row],[income]],0)</f>
        <v>0</v>
      </c>
      <c r="CP394" s="20">
        <f ca="1">IF(Table1[[#This Row],[County]]="Wiltshire",Table1[[#This Row],[income]],0)</f>
        <v>0</v>
      </c>
      <c r="CQ394" s="20">
        <f ca="1">IF(Table1[[#This Row],[County]]="West Midlands",Table1[[#This Row],[income]],0)</f>
        <v>0</v>
      </c>
      <c r="CR394" s="20">
        <f ca="1">IF(Table1[[#This Row],[County]]="Warwickshire",Table1[[#This Row],[income]],0)</f>
        <v>0</v>
      </c>
      <c r="CS394" s="20">
        <f ca="1">IF(Table1[[#This Row],[County]]="Tyne and Wear",Table1[[#This Row],[income]],0)</f>
        <v>0</v>
      </c>
      <c r="CT394" s="20">
        <f ca="1">IF(Table1[[#This Row],[County]]="Worcestershire",Table1[[#This Row],[income]],0)</f>
        <v>0</v>
      </c>
      <c r="CU394" s="20">
        <f ca="1">IF(Table1[[#This Row],[County]]="Rutland",Table1[[#This Row],[income]],0)</f>
        <v>0</v>
      </c>
      <c r="CV394" s="20">
        <f ca="1">IF(Table1[[#This Row],[County]]="Shropshire",Table1[[#This Row],[income]],0)</f>
        <v>0</v>
      </c>
      <c r="CW394" s="20">
        <f ca="1">IF(Table1[[#This Row],[County]]="Dorset",Table1[[#This Row],[income]],0)</f>
        <v>0</v>
      </c>
      <c r="CX394" s="20">
        <f ca="1">IF(Table1[[#This Row],[County]]="Buckinghamshire",Table1[[#This Row],[income]],0)</f>
        <v>0</v>
      </c>
      <c r="CY394" s="20">
        <f ca="1">IF(Table1[[#This Row],[County]]="Suffolk",Table1[[#This Row],[income]],0)</f>
        <v>0</v>
      </c>
      <c r="CZ394" s="20">
        <f ca="1">IF(Table1[[#This Row],[County]]="North Yorkshire",Table1[[#This Row],[income]],0)</f>
        <v>0</v>
      </c>
      <c r="DA394" s="20">
        <f ca="1">IF(Table1[[#This Row],[County]]="Kent",Table1[[#This Row],[income]],0)</f>
        <v>0</v>
      </c>
      <c r="DB394" s="5">
        <f ca="1">IF(Table1[[#This Row],[County]]="Derbyshire",Table1[[#This Row],[income]],0)</f>
        <v>0</v>
      </c>
      <c r="DD394" s="6">
        <f ca="1">IF(Table1[[#This Row],[Column1]]="Health",Table1[[#This Row],[income]],0)</f>
        <v>0</v>
      </c>
      <c r="DE394" s="20">
        <f ca="1">IF(Table1[[#This Row],[Column1]]="Agriculture",Table1[[#This Row],[income]],0)</f>
        <v>96608</v>
      </c>
      <c r="DF394" s="20">
        <f ca="1">IF(Table1[[#This Row],[Column1]]="Technology",Table1[[#This Row],[income]],0)</f>
        <v>0</v>
      </c>
      <c r="DG394" s="20">
        <f ca="1">IF(Table1[[#This Row],[Column1]]="Social Service",Table1[[#This Row],[income]],0)</f>
        <v>0</v>
      </c>
      <c r="DH394" s="20">
        <f ca="1">IF(Table1[[#This Row],[Column1]]="Education",Table1[[#This Row],[income]],0)</f>
        <v>0</v>
      </c>
      <c r="DI394" s="5">
        <f ca="1">IF(Table1[[#This Row],[Column1]]="Construction",Table1[[#This Row],[income]],0)</f>
        <v>0</v>
      </c>
      <c r="DK394" s="6">
        <f ca="1">IF(Table1[[#This Row],[Value of Debts]]&gt;Table1[[#This Row],[income]],1,0)</f>
        <v>1</v>
      </c>
      <c r="DL394" s="20"/>
      <c r="DM394" s="20"/>
      <c r="DN394" s="5"/>
      <c r="DP394" s="6">
        <f ca="1">IF(Table1[[#This Row],[Net Worth (£)]]&gt;$DS$5,C394,0)</f>
        <v>0</v>
      </c>
      <c r="DQ394" s="20"/>
      <c r="DR394" s="20"/>
      <c r="DS394" s="5"/>
    </row>
    <row r="395" spans="1:123" x14ac:dyDescent="0.2">
      <c r="A395">
        <f t="shared" ca="1" si="19"/>
        <v>1</v>
      </c>
      <c r="B395" s="1" t="str">
        <f ca="1">IF(A395=1, "men", "women")</f>
        <v>men</v>
      </c>
      <c r="C395" s="1">
        <f ca="1">RANDBETWEEN(25,50)</f>
        <v>36</v>
      </c>
      <c r="D395">
        <f ca="1">RANDBETWEEN(1,6)</f>
        <v>2</v>
      </c>
      <c r="E395" t="str">
        <f ca="1">VLOOKUP(D395,$W$5:$X$10,2)</f>
        <v>Construction</v>
      </c>
      <c r="F395">
        <f ca="1">RANDBETWEEN(1,5)</f>
        <v>4</v>
      </c>
      <c r="G395" t="str">
        <f ca="1">VLOOKUP(F395,$Y$5:$Z$9,2)</f>
        <v xml:space="preserve">Technical </v>
      </c>
      <c r="H395">
        <f ca="1">RANDBETWEEN(0,4)</f>
        <v>3</v>
      </c>
      <c r="I395">
        <f ca="1">RANDBETWEEN(1,3)</f>
        <v>2</v>
      </c>
      <c r="J395">
        <f ca="1">RANDBETWEEN(30000,100000)</f>
        <v>39592</v>
      </c>
      <c r="K395">
        <f ca="1">RANDBETWEEN(1,48)</f>
        <v>20</v>
      </c>
      <c r="L395" t="str">
        <f ca="1">VLOOKUP(K395,$AA$5:$AB$52,2)</f>
        <v>Hampshire</v>
      </c>
      <c r="M395">
        <f ca="1">J395*(RANDBETWEEN(2,5))</f>
        <v>118776</v>
      </c>
      <c r="N395">
        <f ca="1">RAND()*M395</f>
        <v>60042.421242528791</v>
      </c>
      <c r="O395">
        <f ca="1">I395*RAND()*J395</f>
        <v>34991.69271017229</v>
      </c>
      <c r="P395">
        <f ca="1">RANDBETWEEN(0,O395)</f>
        <v>4775</v>
      </c>
      <c r="Q395">
        <f ca="1">RAND()*J395*2</f>
        <v>2018.3701641704354</v>
      </c>
      <c r="R395">
        <f ca="1">RAND()*J395*1.5</f>
        <v>4083.7632377287837</v>
      </c>
      <c r="S395">
        <f ca="1">J395+R395+O395</f>
        <v>78667.455947901064</v>
      </c>
      <c r="T395">
        <f ca="1">N395+P395+Q395</f>
        <v>66835.791406699223</v>
      </c>
      <c r="U395">
        <f ca="1">S395-T395</f>
        <v>11831.664541201841</v>
      </c>
      <c r="AC395" s="6">
        <f ca="1">IF(Table1[[#This Row],[gender]]="men",1,0)</f>
        <v>1</v>
      </c>
      <c r="AD395">
        <f ca="1">IF(Table1[[#This Row],[gender]]="women",1,0)</f>
        <v>0</v>
      </c>
      <c r="AH395" s="5"/>
      <c r="AJ395" s="6">
        <f ca="1">IF(Table1[[#This Row],[Column1]]="Health",1,0)</f>
        <v>0</v>
      </c>
      <c r="AK395">
        <f ca="1">IF(Table1[[#This Row],[Column1]]="Construction",1,0)</f>
        <v>1</v>
      </c>
      <c r="AL395">
        <f ca="1">IF(Table1[[#This Row],[Column1]]="Technology",1,0)</f>
        <v>0</v>
      </c>
      <c r="AM395">
        <f ca="1">IF(Table1[[#This Row],[Column1]]="Education",1,0)</f>
        <v>0</v>
      </c>
      <c r="AN395">
        <f ca="1">IF(Table1[[#This Row],[Column1]]="Agriculture",1,0)</f>
        <v>0</v>
      </c>
      <c r="AO395">
        <f ca="1">IF(Table1[[#This Row],[Column1]]="Social Service", 1, 0)</f>
        <v>0</v>
      </c>
      <c r="AT395" s="5"/>
      <c r="AV395" s="17">
        <f t="shared" ca="1" si="18"/>
        <v>79395.02127360634</v>
      </c>
      <c r="AW395" s="5"/>
      <c r="AX395" s="6">
        <f ca="1">IF(Table1[[#This Row],[Value of Debts]]&gt;$AY$4,1,0)</f>
        <v>0</v>
      </c>
      <c r="AY395" s="20"/>
      <c r="AZ395" s="20"/>
      <c r="BA395" s="5"/>
      <c r="BB395" s="25">
        <f ca="1">Table1[[#This Row],[Mortage Left]]/Table1[[#This Row],[Value of House]]</f>
        <v>0.50550970939018647</v>
      </c>
      <c r="BC395" s="20">
        <f t="shared" ca="1" si="20"/>
        <v>0</v>
      </c>
      <c r="BD395" s="20"/>
      <c r="BE395" s="20"/>
      <c r="BF395" s="20"/>
      <c r="BG395" s="6">
        <f ca="1">IF(Table1[[#This Row],[County]]="Cumbria",Table1[[#This Row],[income]],0)</f>
        <v>0</v>
      </c>
      <c r="BH395" s="20">
        <f ca="1">IF(Table1[[#This Row],[County]]="Cheshire",Table1[[#This Row],[income]],0)</f>
        <v>0</v>
      </c>
      <c r="BI395" s="20">
        <f ca="1">IF(Table1[[#This Row],[County]]="Bristol",Table1[[#This Row],[income]],0)</f>
        <v>0</v>
      </c>
      <c r="BJ395" s="20">
        <f ca="1">IF(Table1[[#This Row],[County]]="Surrey",Table1[[#This Row],[income]],0)</f>
        <v>0</v>
      </c>
      <c r="BK395" s="20">
        <f ca="1">IF(Table1[[#This Row],[County]]="Norfolk",Table1[[#This Row],[income]],0)</f>
        <v>0</v>
      </c>
      <c r="BL395" s="20">
        <f ca="1">IF(Table1[[#This Row],[County]]="Lincolnshire",Table1[[#This Row],[income]],0)</f>
        <v>0</v>
      </c>
      <c r="BM395" s="20">
        <f ca="1">IF(Table1[[#This Row],[County]]="Somerset",Table1[[#This Row],[income]],0)</f>
        <v>0</v>
      </c>
      <c r="BN395" s="20">
        <f ca="1">IF(Table1[[#This Row],[County]]="Cambridgeshire",Table1[[#This Row],[income]],0)</f>
        <v>0</v>
      </c>
      <c r="BO395" s="20">
        <f ca="1">IF(Table1[[#This Row],[County]]="South Yorkshire",Table1[[#This Row],[income]],0)</f>
        <v>0</v>
      </c>
      <c r="BP395" s="20">
        <f ca="1">IF(Table1[[#This Row],[County]]="Greater London",Table1[[#This Row],[income]],0)</f>
        <v>0</v>
      </c>
      <c r="BQ395" s="20">
        <f ca="1">IF(Table1[[#This Row],[County]]="Hampshire",Table1[[#This Row],[income]],0)</f>
        <v>39592</v>
      </c>
      <c r="BR395" s="20">
        <f ca="1">IF(Table1[[#This Row],[County]]="Gloucestershire",Table1[[#This Row],[income]],0)</f>
        <v>0</v>
      </c>
      <c r="BS395" s="20">
        <f ca="1">IF(Table1[[#This Row],[County]]="West Sussex",Table1[[#This Row],[income]],0)</f>
        <v>0</v>
      </c>
      <c r="BT395" s="20">
        <f ca="1">IF(Table1[[#This Row],[County]]="Devon",Table1[[#This Row],[income]],0)</f>
        <v>0</v>
      </c>
      <c r="BU395" s="20">
        <f ca="1">IF(Table1[[#This Row],[County]]="Berkshire",Table1[[#This Row],[income]],0)</f>
        <v>0</v>
      </c>
      <c r="BV395" s="20">
        <f ca="1">IF(Table1[[#This Row],[County]]="Staffordshire",Table1[[#This Row],[income]],0)</f>
        <v>0</v>
      </c>
      <c r="BW395" s="20">
        <f ca="1">IF(Table1[[#This Row],[County]]="Leicestershire",Table1[[#This Row],[income]],0)</f>
        <v>0</v>
      </c>
      <c r="BX395" s="20">
        <f ca="1">IF(Table1[[#This Row],[County]]="Cornwall",Table1[[#This Row],[income]],0)</f>
        <v>0</v>
      </c>
      <c r="BY395" s="20">
        <f ca="1">IF(Table1[[#This Row],[County]]="Isle of Wight",Table1[[#This Row],[income]],0)</f>
        <v>0</v>
      </c>
      <c r="BZ395" s="20">
        <f ca="1">IF(Table1[[#This Row],[County]]="Surrey",Table1[[#This Row],[income]],0)</f>
        <v>0</v>
      </c>
      <c r="CA395" s="20">
        <f ca="1">IF(Table1[[#This Row],[County]]="Derbyshire",Table1[[#This Row],[income]],0)</f>
        <v>0</v>
      </c>
      <c r="CB395" s="20">
        <f ca="1">IF(Table1[[#This Row],[County]]="City of London",Table1[[#This Row],[income]],0)</f>
        <v>0</v>
      </c>
      <c r="CC395" s="20">
        <f ca="1">IF(Table1[[#This Row],[County]]="Bedfordshire",Table1[[#This Row],[income]],0)</f>
        <v>0</v>
      </c>
      <c r="CD395" s="20">
        <f ca="1">IF(Table1[[#This Row],[County]]="County Durham",Table1[[#This Row],[income]],0)</f>
        <v>0</v>
      </c>
      <c r="CE395" s="20">
        <f ca="1">IF(Table1[[#This Row],[County]]="East Riding of Yorkshire",Table1[[#This Row],[income]],0)</f>
        <v>0</v>
      </c>
      <c r="CF395" s="20">
        <f ca="1">IF(Table1[[#This Row],[County]]="West Yorkshire",Table1[[#This Row],[income]],0)</f>
        <v>0</v>
      </c>
      <c r="CG395" s="20">
        <f ca="1">IF(Table1[[#This Row],[County]]="Essex",Table1[[#This Row],[income]],0)</f>
        <v>0</v>
      </c>
      <c r="CH395" s="20">
        <f ca="1">IF(Table1[[#This Row],[County]]="East Sussex",Table1[[#This Row],[income]],0)</f>
        <v>0</v>
      </c>
      <c r="CI395" s="20">
        <f ca="1">IF(Table1[[#This Row],[County]]="Greater Manchester",Table1[[#This Row],[income]],0)</f>
        <v>0</v>
      </c>
      <c r="CJ395" s="20">
        <f ca="1">IF(Table1[[#This Row],[County]]="Hertfordshire",Table1[[#This Row],[income]],0)</f>
        <v>0</v>
      </c>
      <c r="CK395" s="20">
        <f ca="1">IF(Table1[[#This Row],[County]]="Herefordshire",Table1[[#This Row],[income]],0)</f>
        <v>0</v>
      </c>
      <c r="CL395" s="20">
        <f ca="1">IF(Table1[[#This Row],[County]]="Lancashire",Table1[[#This Row],[income]],0)</f>
        <v>0</v>
      </c>
      <c r="CM395" s="20">
        <f ca="1">IF(Table1[[#This Row],[County]]="Merseyside",Table1[[#This Row],[income]],0)</f>
        <v>0</v>
      </c>
      <c r="CN395" s="20">
        <f ca="1">IF(Table1[[#This Row],[County]]="Northamptonshire",Table1[[#This Row],[income]],0)</f>
        <v>0</v>
      </c>
      <c r="CO395" s="20">
        <f ca="1">IF(Table1[[#This Row],[County]]="Northumberland",Table1[[#This Row],[income]],0)</f>
        <v>0</v>
      </c>
      <c r="CP395" s="20">
        <f ca="1">IF(Table1[[#This Row],[County]]="Wiltshire",Table1[[#This Row],[income]],0)</f>
        <v>0</v>
      </c>
      <c r="CQ395" s="20">
        <f ca="1">IF(Table1[[#This Row],[County]]="West Midlands",Table1[[#This Row],[income]],0)</f>
        <v>0</v>
      </c>
      <c r="CR395" s="20">
        <f ca="1">IF(Table1[[#This Row],[County]]="Warwickshire",Table1[[#This Row],[income]],0)</f>
        <v>0</v>
      </c>
      <c r="CS395" s="20">
        <f ca="1">IF(Table1[[#This Row],[County]]="Tyne and Wear",Table1[[#This Row],[income]],0)</f>
        <v>0</v>
      </c>
      <c r="CT395" s="20">
        <f ca="1">IF(Table1[[#This Row],[County]]="Worcestershire",Table1[[#This Row],[income]],0)</f>
        <v>0</v>
      </c>
      <c r="CU395" s="20">
        <f ca="1">IF(Table1[[#This Row],[County]]="Rutland",Table1[[#This Row],[income]],0)</f>
        <v>0</v>
      </c>
      <c r="CV395" s="20">
        <f ca="1">IF(Table1[[#This Row],[County]]="Shropshire",Table1[[#This Row],[income]],0)</f>
        <v>0</v>
      </c>
      <c r="CW395" s="20">
        <f ca="1">IF(Table1[[#This Row],[County]]="Dorset",Table1[[#This Row],[income]],0)</f>
        <v>0</v>
      </c>
      <c r="CX395" s="20">
        <f ca="1">IF(Table1[[#This Row],[County]]="Buckinghamshire",Table1[[#This Row],[income]],0)</f>
        <v>0</v>
      </c>
      <c r="CY395" s="20">
        <f ca="1">IF(Table1[[#This Row],[County]]="Suffolk",Table1[[#This Row],[income]],0)</f>
        <v>0</v>
      </c>
      <c r="CZ395" s="20">
        <f ca="1">IF(Table1[[#This Row],[County]]="North Yorkshire",Table1[[#This Row],[income]],0)</f>
        <v>0</v>
      </c>
      <c r="DA395" s="20">
        <f ca="1">IF(Table1[[#This Row],[County]]="Kent",Table1[[#This Row],[income]],0)</f>
        <v>0</v>
      </c>
      <c r="DB395" s="5">
        <f ca="1">IF(Table1[[#This Row],[County]]="Derbyshire",Table1[[#This Row],[income]],0)</f>
        <v>0</v>
      </c>
      <c r="DD395" s="6">
        <f ca="1">IF(Table1[[#This Row],[Column1]]="Health",Table1[[#This Row],[income]],0)</f>
        <v>0</v>
      </c>
      <c r="DE395" s="20">
        <f ca="1">IF(Table1[[#This Row],[Column1]]="Agriculture",Table1[[#This Row],[income]],0)</f>
        <v>0</v>
      </c>
      <c r="DF395" s="20">
        <f ca="1">IF(Table1[[#This Row],[Column1]]="Technology",Table1[[#This Row],[income]],0)</f>
        <v>0</v>
      </c>
      <c r="DG395" s="20">
        <f ca="1">IF(Table1[[#This Row],[Column1]]="Social Service",Table1[[#This Row],[income]],0)</f>
        <v>0</v>
      </c>
      <c r="DH395" s="20">
        <f ca="1">IF(Table1[[#This Row],[Column1]]="Education",Table1[[#This Row],[income]],0)</f>
        <v>0</v>
      </c>
      <c r="DI395" s="5">
        <f ca="1">IF(Table1[[#This Row],[Column1]]="Construction",Table1[[#This Row],[income]],0)</f>
        <v>39592</v>
      </c>
      <c r="DK395" s="6">
        <f ca="1">IF(Table1[[#This Row],[Value of Debts]]&gt;Table1[[#This Row],[income]],1,0)</f>
        <v>1</v>
      </c>
      <c r="DL395" s="20"/>
      <c r="DM395" s="20"/>
      <c r="DN395" s="5"/>
      <c r="DP395" s="6">
        <f ca="1">IF(Table1[[#This Row],[Net Worth (£)]]&gt;$DS$5,C395,0)</f>
        <v>0</v>
      </c>
      <c r="DQ395" s="20"/>
      <c r="DR395" s="20"/>
      <c r="DS395" s="5"/>
    </row>
    <row r="396" spans="1:123" x14ac:dyDescent="0.2">
      <c r="A396">
        <f t="shared" ca="1" si="19"/>
        <v>1</v>
      </c>
      <c r="B396" s="1" t="str">
        <f ca="1">IF(A396=1, "men", "women")</f>
        <v>men</v>
      </c>
      <c r="C396" s="1">
        <f ca="1">RANDBETWEEN(25,50)</f>
        <v>47</v>
      </c>
      <c r="D396">
        <f ca="1">RANDBETWEEN(1,6)</f>
        <v>6</v>
      </c>
      <c r="E396" t="str">
        <f ca="1">VLOOKUP(D396,$W$5:$X$10,2)</f>
        <v>Agriculture</v>
      </c>
      <c r="F396">
        <f ca="1">RANDBETWEEN(1,5)</f>
        <v>3</v>
      </c>
      <c r="G396" t="str">
        <f ca="1">VLOOKUP(F396,$Y$5:$Z$9,2)</f>
        <v>University</v>
      </c>
      <c r="H396">
        <f ca="1">RANDBETWEEN(0,4)</f>
        <v>4</v>
      </c>
      <c r="I396">
        <f ca="1">RANDBETWEEN(1,3)</f>
        <v>1</v>
      </c>
      <c r="J396">
        <f ca="1">RANDBETWEEN(30000,100000)</f>
        <v>96029</v>
      </c>
      <c r="K396">
        <f ca="1">RANDBETWEEN(1,48)</f>
        <v>32</v>
      </c>
      <c r="L396" t="str">
        <f ca="1">VLOOKUP(K396,$AA$5:$AB$52,2)</f>
        <v>Northumberland</v>
      </c>
      <c r="M396">
        <f ca="1">J396*(RANDBETWEEN(2,5))</f>
        <v>480145</v>
      </c>
      <c r="N396">
        <f ca="1">RAND()*M396</f>
        <v>277485.70402984828</v>
      </c>
      <c r="O396">
        <f ca="1">I396*RAND()*J396</f>
        <v>79395.02127360634</v>
      </c>
      <c r="P396">
        <f ca="1">RANDBETWEEN(0,O396)</f>
        <v>14736</v>
      </c>
      <c r="Q396">
        <f ca="1">RAND()*J396*2</f>
        <v>114944.70414450424</v>
      </c>
      <c r="R396">
        <f ca="1">RAND()*J396*1.5</f>
        <v>1784.9029624135151</v>
      </c>
      <c r="S396">
        <f ca="1">J396+R396+O396</f>
        <v>177208.92423601984</v>
      </c>
      <c r="T396">
        <f ca="1">N396+P396+Q396</f>
        <v>407166.40817435249</v>
      </c>
      <c r="U396">
        <f ca="1">S396-T396</f>
        <v>-229957.48393833265</v>
      </c>
      <c r="AC396" s="6">
        <f ca="1">IF(Table1[[#This Row],[gender]]="men",1,0)</f>
        <v>1</v>
      </c>
      <c r="AD396">
        <f ca="1">IF(Table1[[#This Row],[gender]]="women",1,0)</f>
        <v>0</v>
      </c>
      <c r="AH396" s="5"/>
      <c r="AJ396" s="6">
        <f ca="1">IF(Table1[[#This Row],[Column1]]="Health",1,0)</f>
        <v>0</v>
      </c>
      <c r="AK396">
        <f ca="1">IF(Table1[[#This Row],[Column1]]="Construction",1,0)</f>
        <v>0</v>
      </c>
      <c r="AL396">
        <f ca="1">IF(Table1[[#This Row],[Column1]]="Technology",1,0)</f>
        <v>0</v>
      </c>
      <c r="AM396">
        <f ca="1">IF(Table1[[#This Row],[Column1]]="Education",1,0)</f>
        <v>0</v>
      </c>
      <c r="AN396">
        <f ca="1">IF(Table1[[#This Row],[Column1]]="Agriculture",1,0)</f>
        <v>1</v>
      </c>
      <c r="AO396">
        <f ca="1">IF(Table1[[#This Row],[Column1]]="Social Service", 1, 0)</f>
        <v>0</v>
      </c>
      <c r="AT396" s="5"/>
      <c r="AV396" s="17">
        <f t="shared" ca="1" si="18"/>
        <v>21330.961950828303</v>
      </c>
      <c r="AW396" s="5"/>
      <c r="AX396" s="6">
        <f ca="1">IF(Table1[[#This Row],[Value of Debts]]&gt;$AY$4,1,0)</f>
        <v>1</v>
      </c>
      <c r="AY396" s="20"/>
      <c r="AZ396" s="20"/>
      <c r="BA396" s="5"/>
      <c r="BB396" s="25">
        <f ca="1">Table1[[#This Row],[Mortage Left]]/Table1[[#This Row],[Value of House]]</f>
        <v>0.57792063653656345</v>
      </c>
      <c r="BC396" s="20">
        <f t="shared" ca="1" si="20"/>
        <v>0</v>
      </c>
      <c r="BD396" s="20"/>
      <c r="BE396" s="20"/>
      <c r="BF396" s="20"/>
      <c r="BG396" s="6">
        <f ca="1">IF(Table1[[#This Row],[County]]="Cumbria",Table1[[#This Row],[income]],0)</f>
        <v>0</v>
      </c>
      <c r="BH396" s="20">
        <f ca="1">IF(Table1[[#This Row],[County]]="Cheshire",Table1[[#This Row],[income]],0)</f>
        <v>0</v>
      </c>
      <c r="BI396" s="20">
        <f ca="1">IF(Table1[[#This Row],[County]]="Bristol",Table1[[#This Row],[income]],0)</f>
        <v>0</v>
      </c>
      <c r="BJ396" s="20">
        <f ca="1">IF(Table1[[#This Row],[County]]="Surrey",Table1[[#This Row],[income]],0)</f>
        <v>0</v>
      </c>
      <c r="BK396" s="20">
        <f ca="1">IF(Table1[[#This Row],[County]]="Norfolk",Table1[[#This Row],[income]],0)</f>
        <v>0</v>
      </c>
      <c r="BL396" s="20">
        <f ca="1">IF(Table1[[#This Row],[County]]="Lincolnshire",Table1[[#This Row],[income]],0)</f>
        <v>0</v>
      </c>
      <c r="BM396" s="20">
        <f ca="1">IF(Table1[[#This Row],[County]]="Somerset",Table1[[#This Row],[income]],0)</f>
        <v>0</v>
      </c>
      <c r="BN396" s="20">
        <f ca="1">IF(Table1[[#This Row],[County]]="Cambridgeshire",Table1[[#This Row],[income]],0)</f>
        <v>0</v>
      </c>
      <c r="BO396" s="20">
        <f ca="1">IF(Table1[[#This Row],[County]]="South Yorkshire",Table1[[#This Row],[income]],0)</f>
        <v>0</v>
      </c>
      <c r="BP396" s="20">
        <f ca="1">IF(Table1[[#This Row],[County]]="Greater London",Table1[[#This Row],[income]],0)</f>
        <v>0</v>
      </c>
      <c r="BQ396" s="20">
        <f ca="1">IF(Table1[[#This Row],[County]]="Hampshire",Table1[[#This Row],[income]],0)</f>
        <v>0</v>
      </c>
      <c r="BR396" s="20">
        <f ca="1">IF(Table1[[#This Row],[County]]="Gloucestershire",Table1[[#This Row],[income]],0)</f>
        <v>0</v>
      </c>
      <c r="BS396" s="20">
        <f ca="1">IF(Table1[[#This Row],[County]]="West Sussex",Table1[[#This Row],[income]],0)</f>
        <v>0</v>
      </c>
      <c r="BT396" s="20">
        <f ca="1">IF(Table1[[#This Row],[County]]="Devon",Table1[[#This Row],[income]],0)</f>
        <v>0</v>
      </c>
      <c r="BU396" s="20">
        <f ca="1">IF(Table1[[#This Row],[County]]="Berkshire",Table1[[#This Row],[income]],0)</f>
        <v>0</v>
      </c>
      <c r="BV396" s="20">
        <f ca="1">IF(Table1[[#This Row],[County]]="Staffordshire",Table1[[#This Row],[income]],0)</f>
        <v>0</v>
      </c>
      <c r="BW396" s="20">
        <f ca="1">IF(Table1[[#This Row],[County]]="Leicestershire",Table1[[#This Row],[income]],0)</f>
        <v>0</v>
      </c>
      <c r="BX396" s="20">
        <f ca="1">IF(Table1[[#This Row],[County]]="Cornwall",Table1[[#This Row],[income]],0)</f>
        <v>0</v>
      </c>
      <c r="BY396" s="20">
        <f ca="1">IF(Table1[[#This Row],[County]]="Isle of Wight",Table1[[#This Row],[income]],0)</f>
        <v>0</v>
      </c>
      <c r="BZ396" s="20">
        <f ca="1">IF(Table1[[#This Row],[County]]="Surrey",Table1[[#This Row],[income]],0)</f>
        <v>0</v>
      </c>
      <c r="CA396" s="20">
        <f ca="1">IF(Table1[[#This Row],[County]]="Derbyshire",Table1[[#This Row],[income]],0)</f>
        <v>0</v>
      </c>
      <c r="CB396" s="20">
        <f ca="1">IF(Table1[[#This Row],[County]]="City of London",Table1[[#This Row],[income]],0)</f>
        <v>0</v>
      </c>
      <c r="CC396" s="20">
        <f ca="1">IF(Table1[[#This Row],[County]]="Bedfordshire",Table1[[#This Row],[income]],0)</f>
        <v>0</v>
      </c>
      <c r="CD396" s="20">
        <f ca="1">IF(Table1[[#This Row],[County]]="County Durham",Table1[[#This Row],[income]],0)</f>
        <v>0</v>
      </c>
      <c r="CE396" s="20">
        <f ca="1">IF(Table1[[#This Row],[County]]="East Riding of Yorkshire",Table1[[#This Row],[income]],0)</f>
        <v>0</v>
      </c>
      <c r="CF396" s="20">
        <f ca="1">IF(Table1[[#This Row],[County]]="West Yorkshire",Table1[[#This Row],[income]],0)</f>
        <v>0</v>
      </c>
      <c r="CG396" s="20">
        <f ca="1">IF(Table1[[#This Row],[County]]="Essex",Table1[[#This Row],[income]],0)</f>
        <v>0</v>
      </c>
      <c r="CH396" s="20">
        <f ca="1">IF(Table1[[#This Row],[County]]="East Sussex",Table1[[#This Row],[income]],0)</f>
        <v>0</v>
      </c>
      <c r="CI396" s="20">
        <f ca="1">IF(Table1[[#This Row],[County]]="Greater Manchester",Table1[[#This Row],[income]],0)</f>
        <v>0</v>
      </c>
      <c r="CJ396" s="20">
        <f ca="1">IF(Table1[[#This Row],[County]]="Hertfordshire",Table1[[#This Row],[income]],0)</f>
        <v>0</v>
      </c>
      <c r="CK396" s="20">
        <f ca="1">IF(Table1[[#This Row],[County]]="Herefordshire",Table1[[#This Row],[income]],0)</f>
        <v>0</v>
      </c>
      <c r="CL396" s="20">
        <f ca="1">IF(Table1[[#This Row],[County]]="Lancashire",Table1[[#This Row],[income]],0)</f>
        <v>0</v>
      </c>
      <c r="CM396" s="20">
        <f ca="1">IF(Table1[[#This Row],[County]]="Merseyside",Table1[[#This Row],[income]],0)</f>
        <v>0</v>
      </c>
      <c r="CN396" s="20">
        <f ca="1">IF(Table1[[#This Row],[County]]="Northamptonshire",Table1[[#This Row],[income]],0)</f>
        <v>0</v>
      </c>
      <c r="CO396" s="20">
        <f ca="1">IF(Table1[[#This Row],[County]]="Northumberland",Table1[[#This Row],[income]],0)</f>
        <v>96029</v>
      </c>
      <c r="CP396" s="20">
        <f ca="1">IF(Table1[[#This Row],[County]]="Wiltshire",Table1[[#This Row],[income]],0)</f>
        <v>0</v>
      </c>
      <c r="CQ396" s="20">
        <f ca="1">IF(Table1[[#This Row],[County]]="West Midlands",Table1[[#This Row],[income]],0)</f>
        <v>0</v>
      </c>
      <c r="CR396" s="20">
        <f ca="1">IF(Table1[[#This Row],[County]]="Warwickshire",Table1[[#This Row],[income]],0)</f>
        <v>0</v>
      </c>
      <c r="CS396" s="20">
        <f ca="1">IF(Table1[[#This Row],[County]]="Tyne and Wear",Table1[[#This Row],[income]],0)</f>
        <v>0</v>
      </c>
      <c r="CT396" s="20">
        <f ca="1">IF(Table1[[#This Row],[County]]="Worcestershire",Table1[[#This Row],[income]],0)</f>
        <v>0</v>
      </c>
      <c r="CU396" s="20">
        <f ca="1">IF(Table1[[#This Row],[County]]="Rutland",Table1[[#This Row],[income]],0)</f>
        <v>0</v>
      </c>
      <c r="CV396" s="20">
        <f ca="1">IF(Table1[[#This Row],[County]]="Shropshire",Table1[[#This Row],[income]],0)</f>
        <v>0</v>
      </c>
      <c r="CW396" s="20">
        <f ca="1">IF(Table1[[#This Row],[County]]="Dorset",Table1[[#This Row],[income]],0)</f>
        <v>0</v>
      </c>
      <c r="CX396" s="20">
        <f ca="1">IF(Table1[[#This Row],[County]]="Buckinghamshire",Table1[[#This Row],[income]],0)</f>
        <v>0</v>
      </c>
      <c r="CY396" s="20">
        <f ca="1">IF(Table1[[#This Row],[County]]="Suffolk",Table1[[#This Row],[income]],0)</f>
        <v>0</v>
      </c>
      <c r="CZ396" s="20">
        <f ca="1">IF(Table1[[#This Row],[County]]="North Yorkshire",Table1[[#This Row],[income]],0)</f>
        <v>0</v>
      </c>
      <c r="DA396" s="20">
        <f ca="1">IF(Table1[[#This Row],[County]]="Kent",Table1[[#This Row],[income]],0)</f>
        <v>0</v>
      </c>
      <c r="DB396" s="5">
        <f ca="1">IF(Table1[[#This Row],[County]]="Derbyshire",Table1[[#This Row],[income]],0)</f>
        <v>0</v>
      </c>
      <c r="DD396" s="6">
        <f ca="1">IF(Table1[[#This Row],[Column1]]="Health",Table1[[#This Row],[income]],0)</f>
        <v>0</v>
      </c>
      <c r="DE396" s="20">
        <f ca="1">IF(Table1[[#This Row],[Column1]]="Agriculture",Table1[[#This Row],[income]],0)</f>
        <v>96029</v>
      </c>
      <c r="DF396" s="20">
        <f ca="1">IF(Table1[[#This Row],[Column1]]="Technology",Table1[[#This Row],[income]],0)</f>
        <v>0</v>
      </c>
      <c r="DG396" s="20">
        <f ca="1">IF(Table1[[#This Row],[Column1]]="Social Service",Table1[[#This Row],[income]],0)</f>
        <v>0</v>
      </c>
      <c r="DH396" s="20">
        <f ca="1">IF(Table1[[#This Row],[Column1]]="Education",Table1[[#This Row],[income]],0)</f>
        <v>0</v>
      </c>
      <c r="DI396" s="5">
        <f ca="1">IF(Table1[[#This Row],[Column1]]="Construction",Table1[[#This Row],[income]],0)</f>
        <v>0</v>
      </c>
      <c r="DK396" s="6">
        <f ca="1">IF(Table1[[#This Row],[Value of Debts]]&gt;Table1[[#This Row],[income]],1,0)</f>
        <v>1</v>
      </c>
      <c r="DL396" s="20"/>
      <c r="DM396" s="20"/>
      <c r="DN396" s="5"/>
      <c r="DP396" s="6">
        <f ca="1">IF(Table1[[#This Row],[Net Worth (£)]]&gt;$DS$5,C396,0)</f>
        <v>0</v>
      </c>
      <c r="DQ396" s="20"/>
      <c r="DR396" s="20"/>
      <c r="DS396" s="5"/>
    </row>
    <row r="397" spans="1:123" hidden="1" x14ac:dyDescent="0.2">
      <c r="A397">
        <f t="shared" ca="1" si="19"/>
        <v>1</v>
      </c>
      <c r="B397" s="1" t="str">
        <f ca="1">IF(A397=1, "men", "women")</f>
        <v>men</v>
      </c>
      <c r="C397" s="1">
        <f ca="1">RANDBETWEEN(25,50)</f>
        <v>39</v>
      </c>
      <c r="D397">
        <f ca="1">RANDBETWEEN(1,6)</f>
        <v>2</v>
      </c>
      <c r="E397" t="str">
        <f ca="1">VLOOKUP(D397,$W$5:$X$10,2)</f>
        <v>Construction</v>
      </c>
      <c r="F397">
        <f ca="1">RANDBETWEEN(1,5)</f>
        <v>4</v>
      </c>
      <c r="G397" t="str">
        <f ca="1">VLOOKUP(F397,$Y$5:$Z$9,2)</f>
        <v xml:space="preserve">Technical </v>
      </c>
      <c r="H397">
        <f ca="1">RANDBETWEEN(0,4)</f>
        <v>1</v>
      </c>
      <c r="I397">
        <f ca="1">RANDBETWEEN(1,3)</f>
        <v>1</v>
      </c>
      <c r="J397">
        <f ca="1">RANDBETWEEN(30000,100000)</f>
        <v>33526</v>
      </c>
      <c r="K397">
        <f ca="1">RANDBETWEEN(1,48)</f>
        <v>1</v>
      </c>
      <c r="L397" t="str">
        <f ca="1">VLOOKUP(K397,$AA$5:$AB$52,2)</f>
        <v>Bedfordshire</v>
      </c>
      <c r="M397">
        <f ca="1">J397*(RANDBETWEEN(2,5))</f>
        <v>167630</v>
      </c>
      <c r="N397">
        <f ca="1">RAND()*M397</f>
        <v>128273.38840374183</v>
      </c>
      <c r="O397">
        <f ca="1">I397*RAND()*J397</f>
        <v>21330.961950828303</v>
      </c>
      <c r="P397">
        <f ca="1">RANDBETWEEN(0,O397)</f>
        <v>9367</v>
      </c>
      <c r="Q397">
        <f ca="1">RAND()*J397*2</f>
        <v>46255.880513192307</v>
      </c>
      <c r="R397">
        <f ca="1">RAND()*J397*1.5</f>
        <v>8524.8688983353404</v>
      </c>
      <c r="S397">
        <f ca="1">J397+R397+O397</f>
        <v>63381.830849163642</v>
      </c>
      <c r="T397">
        <f ca="1">N397+P397+Q397</f>
        <v>183896.26891693412</v>
      </c>
      <c r="U397">
        <f ca="1">S397-T397</f>
        <v>-120514.43806777048</v>
      </c>
      <c r="AC397" s="6">
        <f ca="1">IF(Table1[[#This Row],[gender]]="men",1,0)</f>
        <v>1</v>
      </c>
      <c r="AD397">
        <f ca="1">IF(Table1[[#This Row],[gender]]="women",1,0)</f>
        <v>0</v>
      </c>
      <c r="AH397" s="5"/>
      <c r="AJ397" s="6">
        <f ca="1">IF(Table1[[#This Row],[Column1]]="Health",1,0)</f>
        <v>0</v>
      </c>
      <c r="AK397">
        <f ca="1">IF(Table1[[#This Row],[Column1]]="Construction",1,0)</f>
        <v>1</v>
      </c>
      <c r="AL397">
        <f ca="1">IF(Table1[[#This Row],[Column1]]="Technology",1,0)</f>
        <v>0</v>
      </c>
      <c r="AM397">
        <f ca="1">IF(Table1[[#This Row],[Column1]]="Education",1,0)</f>
        <v>0</v>
      </c>
      <c r="AN397">
        <f ca="1">IF(Table1[[#This Row],[Column1]]="Agriculture",1,0)</f>
        <v>0</v>
      </c>
      <c r="AO397">
        <f ca="1">IF(Table1[[#This Row],[Column1]]="Social Service", 1, 0)</f>
        <v>0</v>
      </c>
      <c r="AT397" s="5"/>
      <c r="AV397" s="17">
        <f t="shared" ca="1" si="18"/>
        <v>84095.854338584642</v>
      </c>
      <c r="AW397" s="5"/>
      <c r="AX397" s="6">
        <f ca="1">IF(Table1[[#This Row],[Value of Debts]]&gt;$AY$4,1,0)</f>
        <v>1</v>
      </c>
      <c r="AY397" s="20"/>
      <c r="AZ397" s="20"/>
      <c r="BA397" s="5"/>
      <c r="BB397" s="25">
        <f ca="1">Table1[[#This Row],[Mortage Left]]/Table1[[#This Row],[Value of House]]</f>
        <v>0.76521737400072676</v>
      </c>
      <c r="BC397" s="20">
        <f t="shared" ca="1" si="20"/>
        <v>0</v>
      </c>
      <c r="BD397" s="20"/>
      <c r="BE397" s="20"/>
      <c r="BF397" s="20"/>
      <c r="BG397" s="6">
        <f ca="1">IF(Table1[[#This Row],[County]]="Cumbria",Table1[[#This Row],[income]],0)</f>
        <v>0</v>
      </c>
      <c r="BH397" s="20">
        <f ca="1">IF(Table1[[#This Row],[County]]="Cheshire",Table1[[#This Row],[income]],0)</f>
        <v>0</v>
      </c>
      <c r="BI397" s="20">
        <f ca="1">IF(Table1[[#This Row],[County]]="Bristol",Table1[[#This Row],[income]],0)</f>
        <v>0</v>
      </c>
      <c r="BJ397" s="20">
        <f ca="1">IF(Table1[[#This Row],[County]]="Surrey",Table1[[#This Row],[income]],0)</f>
        <v>0</v>
      </c>
      <c r="BK397" s="20">
        <f ca="1">IF(Table1[[#This Row],[County]]="Norfolk",Table1[[#This Row],[income]],0)</f>
        <v>0</v>
      </c>
      <c r="BL397" s="20">
        <f ca="1">IF(Table1[[#This Row],[County]]="Lincolnshire",Table1[[#This Row],[income]],0)</f>
        <v>0</v>
      </c>
      <c r="BM397" s="20">
        <f ca="1">IF(Table1[[#This Row],[County]]="Somerset",Table1[[#This Row],[income]],0)</f>
        <v>0</v>
      </c>
      <c r="BN397" s="20">
        <f ca="1">IF(Table1[[#This Row],[County]]="Cambridgeshire",Table1[[#This Row],[income]],0)</f>
        <v>0</v>
      </c>
      <c r="BO397" s="20">
        <f ca="1">IF(Table1[[#This Row],[County]]="South Yorkshire",Table1[[#This Row],[income]],0)</f>
        <v>0</v>
      </c>
      <c r="BP397" s="20">
        <f ca="1">IF(Table1[[#This Row],[County]]="Greater London",Table1[[#This Row],[income]],0)</f>
        <v>0</v>
      </c>
      <c r="BQ397" s="20">
        <f ca="1">IF(Table1[[#This Row],[County]]="Hampshire",Table1[[#This Row],[income]],0)</f>
        <v>0</v>
      </c>
      <c r="BR397" s="20">
        <f ca="1">IF(Table1[[#This Row],[County]]="Gloucestershire",Table1[[#This Row],[income]],0)</f>
        <v>0</v>
      </c>
      <c r="BS397" s="20">
        <f ca="1">IF(Table1[[#This Row],[County]]="West Sussex",Table1[[#This Row],[income]],0)</f>
        <v>0</v>
      </c>
      <c r="BT397" s="20">
        <f ca="1">IF(Table1[[#This Row],[County]]="Devon",Table1[[#This Row],[income]],0)</f>
        <v>0</v>
      </c>
      <c r="BU397" s="20">
        <f ca="1">IF(Table1[[#This Row],[County]]="Berkshire",Table1[[#This Row],[income]],0)</f>
        <v>0</v>
      </c>
      <c r="BV397" s="20">
        <f ca="1">IF(Table1[[#This Row],[County]]="Staffordshire",Table1[[#This Row],[income]],0)</f>
        <v>0</v>
      </c>
      <c r="BW397" s="20">
        <f ca="1">IF(Table1[[#This Row],[County]]="Leicestershire",Table1[[#This Row],[income]],0)</f>
        <v>0</v>
      </c>
      <c r="BX397" s="20">
        <f ca="1">IF(Table1[[#This Row],[County]]="Cornwall",Table1[[#This Row],[income]],0)</f>
        <v>0</v>
      </c>
      <c r="BY397" s="20">
        <f ca="1">IF(Table1[[#This Row],[County]]="Isle of Wight",Table1[[#This Row],[income]],0)</f>
        <v>0</v>
      </c>
      <c r="BZ397" s="20">
        <f ca="1">IF(Table1[[#This Row],[County]]="Surrey",Table1[[#This Row],[income]],0)</f>
        <v>0</v>
      </c>
      <c r="CA397" s="20">
        <f ca="1">IF(Table1[[#This Row],[County]]="Derbyshire",Table1[[#This Row],[income]],0)</f>
        <v>0</v>
      </c>
      <c r="CB397" s="20">
        <f ca="1">IF(Table1[[#This Row],[County]]="City of London",Table1[[#This Row],[income]],0)</f>
        <v>0</v>
      </c>
      <c r="CC397" s="20">
        <f ca="1">IF(Table1[[#This Row],[County]]="Bedfordshire",Table1[[#This Row],[income]],0)</f>
        <v>33526</v>
      </c>
      <c r="CD397" s="20">
        <f ca="1">IF(Table1[[#This Row],[County]]="County Durham",Table1[[#This Row],[income]],0)</f>
        <v>0</v>
      </c>
      <c r="CE397" s="20">
        <f ca="1">IF(Table1[[#This Row],[County]]="East Riding of Yorkshire",Table1[[#This Row],[income]],0)</f>
        <v>0</v>
      </c>
      <c r="CF397" s="20">
        <f ca="1">IF(Table1[[#This Row],[County]]="West Yorkshire",Table1[[#This Row],[income]],0)</f>
        <v>0</v>
      </c>
      <c r="CG397" s="20">
        <f ca="1">IF(Table1[[#This Row],[County]]="Essex",Table1[[#This Row],[income]],0)</f>
        <v>0</v>
      </c>
      <c r="CH397" s="20">
        <f ca="1">IF(Table1[[#This Row],[County]]="East Sussex",Table1[[#This Row],[income]],0)</f>
        <v>0</v>
      </c>
      <c r="CI397" s="20">
        <f ca="1">IF(Table1[[#This Row],[County]]="Greater Manchester",Table1[[#This Row],[income]],0)</f>
        <v>0</v>
      </c>
      <c r="CJ397" s="20">
        <f ca="1">IF(Table1[[#This Row],[County]]="Hertfordshire",Table1[[#This Row],[income]],0)</f>
        <v>0</v>
      </c>
      <c r="CK397" s="20">
        <f ca="1">IF(Table1[[#This Row],[County]]="Herefordshire",Table1[[#This Row],[income]],0)</f>
        <v>0</v>
      </c>
      <c r="CL397" s="20">
        <f ca="1">IF(Table1[[#This Row],[County]]="Lancashire",Table1[[#This Row],[income]],0)</f>
        <v>0</v>
      </c>
      <c r="CM397" s="20">
        <f ca="1">IF(Table1[[#This Row],[County]]="Merseyside",Table1[[#This Row],[income]],0)</f>
        <v>0</v>
      </c>
      <c r="CN397" s="20">
        <f ca="1">IF(Table1[[#This Row],[County]]="Northamptonshire",Table1[[#This Row],[income]],0)</f>
        <v>0</v>
      </c>
      <c r="CO397" s="20">
        <f ca="1">IF(Table1[[#This Row],[County]]="Northumberland",Table1[[#This Row],[income]],0)</f>
        <v>0</v>
      </c>
      <c r="CP397" s="20">
        <f ca="1">IF(Table1[[#This Row],[County]]="Wiltshire",Table1[[#This Row],[income]],0)</f>
        <v>0</v>
      </c>
      <c r="CQ397" s="20">
        <f ca="1">IF(Table1[[#This Row],[County]]="West Midlands",Table1[[#This Row],[income]],0)</f>
        <v>0</v>
      </c>
      <c r="CR397" s="20">
        <f ca="1">IF(Table1[[#This Row],[County]]="Warwickshire",Table1[[#This Row],[income]],0)</f>
        <v>0</v>
      </c>
      <c r="CS397" s="20">
        <f ca="1">IF(Table1[[#This Row],[County]]="Tyne and Wear",Table1[[#This Row],[income]],0)</f>
        <v>0</v>
      </c>
      <c r="CT397" s="20">
        <f ca="1">IF(Table1[[#This Row],[County]]="Worcestershire",Table1[[#This Row],[income]],0)</f>
        <v>0</v>
      </c>
      <c r="CU397" s="20">
        <f ca="1">IF(Table1[[#This Row],[County]]="Rutland",Table1[[#This Row],[income]],0)</f>
        <v>0</v>
      </c>
      <c r="CV397" s="20">
        <f ca="1">IF(Table1[[#This Row],[County]]="Shropshire",Table1[[#This Row],[income]],0)</f>
        <v>0</v>
      </c>
      <c r="CW397" s="20">
        <f ca="1">IF(Table1[[#This Row],[County]]="Dorset",Table1[[#This Row],[income]],0)</f>
        <v>0</v>
      </c>
      <c r="CX397" s="20">
        <f ca="1">IF(Table1[[#This Row],[County]]="Buckinghamshire",Table1[[#This Row],[income]],0)</f>
        <v>0</v>
      </c>
      <c r="CY397" s="20">
        <f ca="1">IF(Table1[[#This Row],[County]]="Suffolk",Table1[[#This Row],[income]],0)</f>
        <v>0</v>
      </c>
      <c r="CZ397" s="20">
        <f ca="1">IF(Table1[[#This Row],[County]]="North Yorkshire",Table1[[#This Row],[income]],0)</f>
        <v>0</v>
      </c>
      <c r="DA397" s="20">
        <f ca="1">IF(Table1[[#This Row],[County]]="Kent",Table1[[#This Row],[income]],0)</f>
        <v>0</v>
      </c>
      <c r="DB397" s="5">
        <f ca="1">IF(Table1[[#This Row],[County]]="Derbyshire",Table1[[#This Row],[income]],0)</f>
        <v>0</v>
      </c>
      <c r="DD397" s="6">
        <f ca="1">IF(Table1[[#This Row],[Column1]]="Health",Table1[[#This Row],[income]],0)</f>
        <v>0</v>
      </c>
      <c r="DE397" s="20">
        <f ca="1">IF(Table1[[#This Row],[Column1]]="Agriculture",Table1[[#This Row],[income]],0)</f>
        <v>0</v>
      </c>
      <c r="DF397" s="20">
        <f ca="1">IF(Table1[[#This Row],[Column1]]="Technology",Table1[[#This Row],[income]],0)</f>
        <v>0</v>
      </c>
      <c r="DG397" s="20">
        <f ca="1">IF(Table1[[#This Row],[Column1]]="Social Service",Table1[[#This Row],[income]],0)</f>
        <v>0</v>
      </c>
      <c r="DH397" s="20">
        <f ca="1">IF(Table1[[#This Row],[Column1]]="Education",Table1[[#This Row],[income]],0)</f>
        <v>0</v>
      </c>
      <c r="DI397" s="5">
        <f ca="1">IF(Table1[[#This Row],[Column1]]="Construction",Table1[[#This Row],[income]],0)</f>
        <v>33526</v>
      </c>
      <c r="DK397" s="6">
        <f ca="1">IF(Table1[[#This Row],[Value of Debts]]&gt;Table1[[#This Row],[income]],1,0)</f>
        <v>1</v>
      </c>
      <c r="DL397" s="20"/>
      <c r="DM397" s="20"/>
      <c r="DN397" s="5"/>
      <c r="DP397" s="6">
        <f ca="1">IF(Table1[[#This Row],[Net Worth (£)]]&gt;$DS$5,C397,0)</f>
        <v>0</v>
      </c>
      <c r="DQ397" s="20"/>
      <c r="DR397" s="20"/>
      <c r="DS397" s="5"/>
    </row>
    <row r="398" spans="1:123" x14ac:dyDescent="0.2">
      <c r="A398">
        <f t="shared" ca="1" si="19"/>
        <v>2</v>
      </c>
      <c r="B398" s="1" t="str">
        <f ca="1">IF(A398=1, "men", "women")</f>
        <v>women</v>
      </c>
      <c r="C398" s="1">
        <f ca="1">RANDBETWEEN(25,50)</f>
        <v>31</v>
      </c>
      <c r="D398">
        <f ca="1">RANDBETWEEN(1,6)</f>
        <v>3</v>
      </c>
      <c r="E398" t="str">
        <f ca="1">VLOOKUP(D398,$W$5:$X$10,2)</f>
        <v>Education</v>
      </c>
      <c r="F398">
        <f ca="1">RANDBETWEEN(1,5)</f>
        <v>5</v>
      </c>
      <c r="G398" t="str">
        <f ca="1">VLOOKUP(F398,$Y$5:$Z$9,2)</f>
        <v>Other</v>
      </c>
      <c r="H398">
        <f ca="1">RANDBETWEEN(0,4)</f>
        <v>1</v>
      </c>
      <c r="I398">
        <f ca="1">RANDBETWEEN(1,3)</f>
        <v>3</v>
      </c>
      <c r="J398">
        <f ca="1">RANDBETWEEN(30000,100000)</f>
        <v>98083</v>
      </c>
      <c r="K398">
        <f ca="1">RANDBETWEEN(1,48)</f>
        <v>35</v>
      </c>
      <c r="L398" t="str">
        <f ca="1">VLOOKUP(K398,$AA$5:$AB$52,2)</f>
        <v>Rutland</v>
      </c>
      <c r="M398">
        <f ca="1">J398*(RANDBETWEEN(2,5))</f>
        <v>294249</v>
      </c>
      <c r="N398">
        <f ca="1">RAND()*M398</f>
        <v>122128.39903025801</v>
      </c>
      <c r="O398">
        <f ca="1">I398*RAND()*J398</f>
        <v>252287.56301575393</v>
      </c>
      <c r="P398">
        <f ca="1">RANDBETWEEN(0,O398)</f>
        <v>80661</v>
      </c>
      <c r="Q398">
        <f ca="1">RAND()*J398*2</f>
        <v>21945.101873967673</v>
      </c>
      <c r="R398">
        <f ca="1">RAND()*J398*1.5</f>
        <v>32623.769072154893</v>
      </c>
      <c r="S398">
        <f ca="1">J398+R398+O398</f>
        <v>382994.33208790881</v>
      </c>
      <c r="T398">
        <f ca="1">N398+P398+Q398</f>
        <v>224734.50090422569</v>
      </c>
      <c r="U398">
        <f ca="1">S398-T398</f>
        <v>158259.83118368313</v>
      </c>
      <c r="AC398" s="6">
        <f ca="1">IF(Table1[[#This Row],[gender]]="men",1,0)</f>
        <v>0</v>
      </c>
      <c r="AD398">
        <f ca="1">IF(Table1[[#This Row],[gender]]="women",1,0)</f>
        <v>1</v>
      </c>
      <c r="AH398" s="5"/>
      <c r="AJ398" s="6">
        <f ca="1">IF(Table1[[#This Row],[Column1]]="Health",1,0)</f>
        <v>0</v>
      </c>
      <c r="AK398">
        <f ca="1">IF(Table1[[#This Row],[Column1]]="Construction",1,0)</f>
        <v>0</v>
      </c>
      <c r="AL398">
        <f ca="1">IF(Table1[[#This Row],[Column1]]="Technology",1,0)</f>
        <v>0</v>
      </c>
      <c r="AM398">
        <f ca="1">IF(Table1[[#This Row],[Column1]]="Education",1,0)</f>
        <v>1</v>
      </c>
      <c r="AN398">
        <f ca="1">IF(Table1[[#This Row],[Column1]]="Agriculture",1,0)</f>
        <v>0</v>
      </c>
      <c r="AO398">
        <f ca="1">IF(Table1[[#This Row],[Column1]]="Social Service", 1, 0)</f>
        <v>0</v>
      </c>
      <c r="AT398" s="5"/>
      <c r="AV398" s="17">
        <f t="shared" ca="1" si="18"/>
        <v>15660.555805076054</v>
      </c>
      <c r="AW398" s="5"/>
      <c r="AX398" s="6">
        <f ca="1">IF(Table1[[#This Row],[Value of Debts]]&gt;$AY$4,1,0)</f>
        <v>1</v>
      </c>
      <c r="AY398" s="20"/>
      <c r="AZ398" s="20"/>
      <c r="BA398" s="5"/>
      <c r="BB398" s="25">
        <f ca="1">Table1[[#This Row],[Mortage Left]]/Table1[[#This Row],[Value of House]]</f>
        <v>0.41505119483926201</v>
      </c>
      <c r="BC398" s="20">
        <f t="shared" ca="1" si="20"/>
        <v>0</v>
      </c>
      <c r="BD398" s="20"/>
      <c r="BE398" s="20"/>
      <c r="BF398" s="20"/>
      <c r="BG398" s="6">
        <f ca="1">IF(Table1[[#This Row],[County]]="Cumbria",Table1[[#This Row],[income]],0)</f>
        <v>0</v>
      </c>
      <c r="BH398" s="20">
        <f ca="1">IF(Table1[[#This Row],[County]]="Cheshire",Table1[[#This Row],[income]],0)</f>
        <v>0</v>
      </c>
      <c r="BI398" s="20">
        <f ca="1">IF(Table1[[#This Row],[County]]="Bristol",Table1[[#This Row],[income]],0)</f>
        <v>0</v>
      </c>
      <c r="BJ398" s="20">
        <f ca="1">IF(Table1[[#This Row],[County]]="Surrey",Table1[[#This Row],[income]],0)</f>
        <v>0</v>
      </c>
      <c r="BK398" s="20">
        <f ca="1">IF(Table1[[#This Row],[County]]="Norfolk",Table1[[#This Row],[income]],0)</f>
        <v>0</v>
      </c>
      <c r="BL398" s="20">
        <f ca="1">IF(Table1[[#This Row],[County]]="Lincolnshire",Table1[[#This Row],[income]],0)</f>
        <v>0</v>
      </c>
      <c r="BM398" s="20">
        <f ca="1">IF(Table1[[#This Row],[County]]="Somerset",Table1[[#This Row],[income]],0)</f>
        <v>0</v>
      </c>
      <c r="BN398" s="20">
        <f ca="1">IF(Table1[[#This Row],[County]]="Cambridgeshire",Table1[[#This Row],[income]],0)</f>
        <v>0</v>
      </c>
      <c r="BO398" s="20">
        <f ca="1">IF(Table1[[#This Row],[County]]="South Yorkshire",Table1[[#This Row],[income]],0)</f>
        <v>0</v>
      </c>
      <c r="BP398" s="20">
        <f ca="1">IF(Table1[[#This Row],[County]]="Greater London",Table1[[#This Row],[income]],0)</f>
        <v>0</v>
      </c>
      <c r="BQ398" s="20">
        <f ca="1">IF(Table1[[#This Row],[County]]="Hampshire",Table1[[#This Row],[income]],0)</f>
        <v>0</v>
      </c>
      <c r="BR398" s="20">
        <f ca="1">IF(Table1[[#This Row],[County]]="Gloucestershire",Table1[[#This Row],[income]],0)</f>
        <v>0</v>
      </c>
      <c r="BS398" s="20">
        <f ca="1">IF(Table1[[#This Row],[County]]="West Sussex",Table1[[#This Row],[income]],0)</f>
        <v>0</v>
      </c>
      <c r="BT398" s="20">
        <f ca="1">IF(Table1[[#This Row],[County]]="Devon",Table1[[#This Row],[income]],0)</f>
        <v>0</v>
      </c>
      <c r="BU398" s="20">
        <f ca="1">IF(Table1[[#This Row],[County]]="Berkshire",Table1[[#This Row],[income]],0)</f>
        <v>0</v>
      </c>
      <c r="BV398" s="20">
        <f ca="1">IF(Table1[[#This Row],[County]]="Staffordshire",Table1[[#This Row],[income]],0)</f>
        <v>0</v>
      </c>
      <c r="BW398" s="20">
        <f ca="1">IF(Table1[[#This Row],[County]]="Leicestershire",Table1[[#This Row],[income]],0)</f>
        <v>0</v>
      </c>
      <c r="BX398" s="20">
        <f ca="1">IF(Table1[[#This Row],[County]]="Cornwall",Table1[[#This Row],[income]],0)</f>
        <v>0</v>
      </c>
      <c r="BY398" s="20">
        <f ca="1">IF(Table1[[#This Row],[County]]="Isle of Wight",Table1[[#This Row],[income]],0)</f>
        <v>0</v>
      </c>
      <c r="BZ398" s="20">
        <f ca="1">IF(Table1[[#This Row],[County]]="Surrey",Table1[[#This Row],[income]],0)</f>
        <v>0</v>
      </c>
      <c r="CA398" s="20">
        <f ca="1">IF(Table1[[#This Row],[County]]="Derbyshire",Table1[[#This Row],[income]],0)</f>
        <v>0</v>
      </c>
      <c r="CB398" s="20">
        <f ca="1">IF(Table1[[#This Row],[County]]="City of London",Table1[[#This Row],[income]],0)</f>
        <v>0</v>
      </c>
      <c r="CC398" s="20">
        <f ca="1">IF(Table1[[#This Row],[County]]="Bedfordshire",Table1[[#This Row],[income]],0)</f>
        <v>0</v>
      </c>
      <c r="CD398" s="20">
        <f ca="1">IF(Table1[[#This Row],[County]]="County Durham",Table1[[#This Row],[income]],0)</f>
        <v>0</v>
      </c>
      <c r="CE398" s="20">
        <f ca="1">IF(Table1[[#This Row],[County]]="East Riding of Yorkshire",Table1[[#This Row],[income]],0)</f>
        <v>0</v>
      </c>
      <c r="CF398" s="20">
        <f ca="1">IF(Table1[[#This Row],[County]]="West Yorkshire",Table1[[#This Row],[income]],0)</f>
        <v>0</v>
      </c>
      <c r="CG398" s="20">
        <f ca="1">IF(Table1[[#This Row],[County]]="Essex",Table1[[#This Row],[income]],0)</f>
        <v>0</v>
      </c>
      <c r="CH398" s="20">
        <f ca="1">IF(Table1[[#This Row],[County]]="East Sussex",Table1[[#This Row],[income]],0)</f>
        <v>0</v>
      </c>
      <c r="CI398" s="20">
        <f ca="1">IF(Table1[[#This Row],[County]]="Greater Manchester",Table1[[#This Row],[income]],0)</f>
        <v>0</v>
      </c>
      <c r="CJ398" s="20">
        <f ca="1">IF(Table1[[#This Row],[County]]="Hertfordshire",Table1[[#This Row],[income]],0)</f>
        <v>0</v>
      </c>
      <c r="CK398" s="20">
        <f ca="1">IF(Table1[[#This Row],[County]]="Herefordshire",Table1[[#This Row],[income]],0)</f>
        <v>0</v>
      </c>
      <c r="CL398" s="20">
        <f ca="1">IF(Table1[[#This Row],[County]]="Lancashire",Table1[[#This Row],[income]],0)</f>
        <v>0</v>
      </c>
      <c r="CM398" s="20">
        <f ca="1">IF(Table1[[#This Row],[County]]="Merseyside",Table1[[#This Row],[income]],0)</f>
        <v>0</v>
      </c>
      <c r="CN398" s="20">
        <f ca="1">IF(Table1[[#This Row],[County]]="Northamptonshire",Table1[[#This Row],[income]],0)</f>
        <v>0</v>
      </c>
      <c r="CO398" s="20">
        <f ca="1">IF(Table1[[#This Row],[County]]="Northumberland",Table1[[#This Row],[income]],0)</f>
        <v>0</v>
      </c>
      <c r="CP398" s="20">
        <f ca="1">IF(Table1[[#This Row],[County]]="Wiltshire",Table1[[#This Row],[income]],0)</f>
        <v>0</v>
      </c>
      <c r="CQ398" s="20">
        <f ca="1">IF(Table1[[#This Row],[County]]="West Midlands",Table1[[#This Row],[income]],0)</f>
        <v>0</v>
      </c>
      <c r="CR398" s="20">
        <f ca="1">IF(Table1[[#This Row],[County]]="Warwickshire",Table1[[#This Row],[income]],0)</f>
        <v>0</v>
      </c>
      <c r="CS398" s="20">
        <f ca="1">IF(Table1[[#This Row],[County]]="Tyne and Wear",Table1[[#This Row],[income]],0)</f>
        <v>0</v>
      </c>
      <c r="CT398" s="20">
        <f ca="1">IF(Table1[[#This Row],[County]]="Worcestershire",Table1[[#This Row],[income]],0)</f>
        <v>0</v>
      </c>
      <c r="CU398" s="20">
        <f ca="1">IF(Table1[[#This Row],[County]]="Rutland",Table1[[#This Row],[income]],0)</f>
        <v>98083</v>
      </c>
      <c r="CV398" s="20">
        <f ca="1">IF(Table1[[#This Row],[County]]="Shropshire",Table1[[#This Row],[income]],0)</f>
        <v>0</v>
      </c>
      <c r="CW398" s="20">
        <f ca="1">IF(Table1[[#This Row],[County]]="Dorset",Table1[[#This Row],[income]],0)</f>
        <v>0</v>
      </c>
      <c r="CX398" s="20">
        <f ca="1">IF(Table1[[#This Row],[County]]="Buckinghamshire",Table1[[#This Row],[income]],0)</f>
        <v>0</v>
      </c>
      <c r="CY398" s="20">
        <f ca="1">IF(Table1[[#This Row],[County]]="Suffolk",Table1[[#This Row],[income]],0)</f>
        <v>0</v>
      </c>
      <c r="CZ398" s="20">
        <f ca="1">IF(Table1[[#This Row],[County]]="North Yorkshire",Table1[[#This Row],[income]],0)</f>
        <v>0</v>
      </c>
      <c r="DA398" s="20">
        <f ca="1">IF(Table1[[#This Row],[County]]="Kent",Table1[[#This Row],[income]],0)</f>
        <v>0</v>
      </c>
      <c r="DB398" s="5">
        <f ca="1">IF(Table1[[#This Row],[County]]="Derbyshire",Table1[[#This Row],[income]],0)</f>
        <v>0</v>
      </c>
      <c r="DD398" s="6">
        <f ca="1">IF(Table1[[#This Row],[Column1]]="Health",Table1[[#This Row],[income]],0)</f>
        <v>0</v>
      </c>
      <c r="DE398" s="20">
        <f ca="1">IF(Table1[[#This Row],[Column1]]="Agriculture",Table1[[#This Row],[income]],0)</f>
        <v>0</v>
      </c>
      <c r="DF398" s="20">
        <f ca="1">IF(Table1[[#This Row],[Column1]]="Technology",Table1[[#This Row],[income]],0)</f>
        <v>0</v>
      </c>
      <c r="DG398" s="20">
        <f ca="1">IF(Table1[[#This Row],[Column1]]="Social Service",Table1[[#This Row],[income]],0)</f>
        <v>0</v>
      </c>
      <c r="DH398" s="20">
        <f ca="1">IF(Table1[[#This Row],[Column1]]="Education",Table1[[#This Row],[income]],0)</f>
        <v>98083</v>
      </c>
      <c r="DI398" s="5">
        <f ca="1">IF(Table1[[#This Row],[Column1]]="Construction",Table1[[#This Row],[income]],0)</f>
        <v>0</v>
      </c>
      <c r="DK398" s="6">
        <f ca="1">IF(Table1[[#This Row],[Value of Debts]]&gt;Table1[[#This Row],[income]],1,0)</f>
        <v>1</v>
      </c>
      <c r="DL398" s="20"/>
      <c r="DM398" s="20"/>
      <c r="DN398" s="5"/>
      <c r="DP398" s="6">
        <f ca="1">IF(Table1[[#This Row],[Net Worth (£)]]&gt;$DS$5,C398,0)</f>
        <v>31</v>
      </c>
      <c r="DQ398" s="20"/>
      <c r="DR398" s="20"/>
      <c r="DS398" s="5"/>
    </row>
    <row r="399" spans="1:123" x14ac:dyDescent="0.2">
      <c r="A399">
        <f t="shared" ca="1" si="19"/>
        <v>2</v>
      </c>
      <c r="B399" s="1" t="str">
        <f ca="1">IF(A399=1, "men", "women")</f>
        <v>women</v>
      </c>
      <c r="C399" s="1">
        <f ca="1">RANDBETWEEN(25,50)</f>
        <v>29</v>
      </c>
      <c r="D399">
        <f ca="1">RANDBETWEEN(1,6)</f>
        <v>1</v>
      </c>
      <c r="E399" t="str">
        <f ca="1">VLOOKUP(D399,$W$5:$X$10,2)</f>
        <v>Health</v>
      </c>
      <c r="F399">
        <f ca="1">RANDBETWEEN(1,5)</f>
        <v>3</v>
      </c>
      <c r="G399" t="str">
        <f ca="1">VLOOKUP(F399,$Y$5:$Z$9,2)</f>
        <v>University</v>
      </c>
      <c r="H399">
        <f ca="1">RANDBETWEEN(0,4)</f>
        <v>4</v>
      </c>
      <c r="I399">
        <f ca="1">RANDBETWEEN(1,3)</f>
        <v>3</v>
      </c>
      <c r="J399">
        <f ca="1">RANDBETWEEN(30000,100000)</f>
        <v>96259</v>
      </c>
      <c r="K399">
        <f ca="1">RANDBETWEEN(1,48)</f>
        <v>29</v>
      </c>
      <c r="L399" t="str">
        <f ca="1">VLOOKUP(K399,$AA$5:$AB$52,2)</f>
        <v>Norfolk</v>
      </c>
      <c r="M399">
        <f ca="1">J399*(RANDBETWEEN(2,5))</f>
        <v>192518</v>
      </c>
      <c r="N399">
        <f ca="1">RAND()*M399</f>
        <v>115506.2049378384</v>
      </c>
      <c r="O399">
        <f ca="1">I399*RAND()*J399</f>
        <v>46981.667415228163</v>
      </c>
      <c r="P399">
        <f ca="1">RANDBETWEEN(0,O399)</f>
        <v>25004</v>
      </c>
      <c r="Q399">
        <f ca="1">RAND()*J399*2</f>
        <v>129946.25047265137</v>
      </c>
      <c r="R399">
        <f ca="1">RAND()*J399*1.5</f>
        <v>57458.312815989855</v>
      </c>
      <c r="S399">
        <f ca="1">J399+R399+O399</f>
        <v>200698.98023121804</v>
      </c>
      <c r="T399">
        <f ca="1">N399+P399+Q399</f>
        <v>270456.45541048975</v>
      </c>
      <c r="U399">
        <f ca="1">S399-T399</f>
        <v>-69757.475179271714</v>
      </c>
      <c r="AC399" s="6">
        <f ca="1">IF(Table1[[#This Row],[gender]]="men",1,0)</f>
        <v>0</v>
      </c>
      <c r="AD399">
        <f ca="1">IF(Table1[[#This Row],[gender]]="women",1,0)</f>
        <v>1</v>
      </c>
      <c r="AH399" s="5"/>
      <c r="AJ399" s="6">
        <f ca="1">IF(Table1[[#This Row],[Column1]]="Health",1,0)</f>
        <v>1</v>
      </c>
      <c r="AK399">
        <f ca="1">IF(Table1[[#This Row],[Column1]]="Construction",1,0)</f>
        <v>0</v>
      </c>
      <c r="AL399">
        <f ca="1">IF(Table1[[#This Row],[Column1]]="Technology",1,0)</f>
        <v>0</v>
      </c>
      <c r="AM399">
        <f ca="1">IF(Table1[[#This Row],[Column1]]="Education",1,0)</f>
        <v>0</v>
      </c>
      <c r="AN399">
        <f ca="1">IF(Table1[[#This Row],[Column1]]="Agriculture",1,0)</f>
        <v>0</v>
      </c>
      <c r="AO399">
        <f ca="1">IF(Table1[[#This Row],[Column1]]="Social Service", 1, 0)</f>
        <v>0</v>
      </c>
      <c r="AT399" s="5"/>
      <c r="AV399" s="17">
        <f t="shared" ca="1" si="18"/>
        <v>23437.001521259546</v>
      </c>
      <c r="AW399" s="5"/>
      <c r="AX399" s="6">
        <f ca="1">IF(Table1[[#This Row],[Value of Debts]]&gt;$AY$4,1,0)</f>
        <v>1</v>
      </c>
      <c r="AY399" s="20"/>
      <c r="AZ399" s="20"/>
      <c r="BA399" s="5"/>
      <c r="BB399" s="25">
        <f ca="1">Table1[[#This Row],[Mortage Left]]/Table1[[#This Row],[Value of House]]</f>
        <v>0.59997613177904607</v>
      </c>
      <c r="BC399" s="20">
        <f t="shared" ca="1" si="20"/>
        <v>0</v>
      </c>
      <c r="BD399" s="20"/>
      <c r="BE399" s="20"/>
      <c r="BF399" s="20"/>
      <c r="BG399" s="6">
        <f ca="1">IF(Table1[[#This Row],[County]]="Cumbria",Table1[[#This Row],[income]],0)</f>
        <v>0</v>
      </c>
      <c r="BH399" s="20">
        <f ca="1">IF(Table1[[#This Row],[County]]="Cheshire",Table1[[#This Row],[income]],0)</f>
        <v>0</v>
      </c>
      <c r="BI399" s="20">
        <f ca="1">IF(Table1[[#This Row],[County]]="Bristol",Table1[[#This Row],[income]],0)</f>
        <v>0</v>
      </c>
      <c r="BJ399" s="20">
        <f ca="1">IF(Table1[[#This Row],[County]]="Surrey",Table1[[#This Row],[income]],0)</f>
        <v>0</v>
      </c>
      <c r="BK399" s="20">
        <f ca="1">IF(Table1[[#This Row],[County]]="Norfolk",Table1[[#This Row],[income]],0)</f>
        <v>96259</v>
      </c>
      <c r="BL399" s="20">
        <f ca="1">IF(Table1[[#This Row],[County]]="Lincolnshire",Table1[[#This Row],[income]],0)</f>
        <v>0</v>
      </c>
      <c r="BM399" s="20">
        <f ca="1">IF(Table1[[#This Row],[County]]="Somerset",Table1[[#This Row],[income]],0)</f>
        <v>0</v>
      </c>
      <c r="BN399" s="20">
        <f ca="1">IF(Table1[[#This Row],[County]]="Cambridgeshire",Table1[[#This Row],[income]],0)</f>
        <v>0</v>
      </c>
      <c r="BO399" s="20">
        <f ca="1">IF(Table1[[#This Row],[County]]="South Yorkshire",Table1[[#This Row],[income]],0)</f>
        <v>0</v>
      </c>
      <c r="BP399" s="20">
        <f ca="1">IF(Table1[[#This Row],[County]]="Greater London",Table1[[#This Row],[income]],0)</f>
        <v>0</v>
      </c>
      <c r="BQ399" s="20">
        <f ca="1">IF(Table1[[#This Row],[County]]="Hampshire",Table1[[#This Row],[income]],0)</f>
        <v>0</v>
      </c>
      <c r="BR399" s="20">
        <f ca="1">IF(Table1[[#This Row],[County]]="Gloucestershire",Table1[[#This Row],[income]],0)</f>
        <v>0</v>
      </c>
      <c r="BS399" s="20">
        <f ca="1">IF(Table1[[#This Row],[County]]="West Sussex",Table1[[#This Row],[income]],0)</f>
        <v>0</v>
      </c>
      <c r="BT399" s="20">
        <f ca="1">IF(Table1[[#This Row],[County]]="Devon",Table1[[#This Row],[income]],0)</f>
        <v>0</v>
      </c>
      <c r="BU399" s="20">
        <f ca="1">IF(Table1[[#This Row],[County]]="Berkshire",Table1[[#This Row],[income]],0)</f>
        <v>0</v>
      </c>
      <c r="BV399" s="20">
        <f ca="1">IF(Table1[[#This Row],[County]]="Staffordshire",Table1[[#This Row],[income]],0)</f>
        <v>0</v>
      </c>
      <c r="BW399" s="20">
        <f ca="1">IF(Table1[[#This Row],[County]]="Leicestershire",Table1[[#This Row],[income]],0)</f>
        <v>0</v>
      </c>
      <c r="BX399" s="20">
        <f ca="1">IF(Table1[[#This Row],[County]]="Cornwall",Table1[[#This Row],[income]],0)</f>
        <v>0</v>
      </c>
      <c r="BY399" s="20">
        <f ca="1">IF(Table1[[#This Row],[County]]="Isle of Wight",Table1[[#This Row],[income]],0)</f>
        <v>0</v>
      </c>
      <c r="BZ399" s="20">
        <f ca="1">IF(Table1[[#This Row],[County]]="Surrey",Table1[[#This Row],[income]],0)</f>
        <v>0</v>
      </c>
      <c r="CA399" s="20">
        <f ca="1">IF(Table1[[#This Row],[County]]="Derbyshire",Table1[[#This Row],[income]],0)</f>
        <v>0</v>
      </c>
      <c r="CB399" s="20">
        <f ca="1">IF(Table1[[#This Row],[County]]="City of London",Table1[[#This Row],[income]],0)</f>
        <v>0</v>
      </c>
      <c r="CC399" s="20">
        <f ca="1">IF(Table1[[#This Row],[County]]="Bedfordshire",Table1[[#This Row],[income]],0)</f>
        <v>0</v>
      </c>
      <c r="CD399" s="20">
        <f ca="1">IF(Table1[[#This Row],[County]]="County Durham",Table1[[#This Row],[income]],0)</f>
        <v>0</v>
      </c>
      <c r="CE399" s="20">
        <f ca="1">IF(Table1[[#This Row],[County]]="East Riding of Yorkshire",Table1[[#This Row],[income]],0)</f>
        <v>0</v>
      </c>
      <c r="CF399" s="20">
        <f ca="1">IF(Table1[[#This Row],[County]]="West Yorkshire",Table1[[#This Row],[income]],0)</f>
        <v>0</v>
      </c>
      <c r="CG399" s="20">
        <f ca="1">IF(Table1[[#This Row],[County]]="Essex",Table1[[#This Row],[income]],0)</f>
        <v>0</v>
      </c>
      <c r="CH399" s="20">
        <f ca="1">IF(Table1[[#This Row],[County]]="East Sussex",Table1[[#This Row],[income]],0)</f>
        <v>0</v>
      </c>
      <c r="CI399" s="20">
        <f ca="1">IF(Table1[[#This Row],[County]]="Greater Manchester",Table1[[#This Row],[income]],0)</f>
        <v>0</v>
      </c>
      <c r="CJ399" s="20">
        <f ca="1">IF(Table1[[#This Row],[County]]="Hertfordshire",Table1[[#This Row],[income]],0)</f>
        <v>0</v>
      </c>
      <c r="CK399" s="20">
        <f ca="1">IF(Table1[[#This Row],[County]]="Herefordshire",Table1[[#This Row],[income]],0)</f>
        <v>0</v>
      </c>
      <c r="CL399" s="20">
        <f ca="1">IF(Table1[[#This Row],[County]]="Lancashire",Table1[[#This Row],[income]],0)</f>
        <v>0</v>
      </c>
      <c r="CM399" s="20">
        <f ca="1">IF(Table1[[#This Row],[County]]="Merseyside",Table1[[#This Row],[income]],0)</f>
        <v>0</v>
      </c>
      <c r="CN399" s="20">
        <f ca="1">IF(Table1[[#This Row],[County]]="Northamptonshire",Table1[[#This Row],[income]],0)</f>
        <v>0</v>
      </c>
      <c r="CO399" s="20">
        <f ca="1">IF(Table1[[#This Row],[County]]="Northumberland",Table1[[#This Row],[income]],0)</f>
        <v>0</v>
      </c>
      <c r="CP399" s="20">
        <f ca="1">IF(Table1[[#This Row],[County]]="Wiltshire",Table1[[#This Row],[income]],0)</f>
        <v>0</v>
      </c>
      <c r="CQ399" s="20">
        <f ca="1">IF(Table1[[#This Row],[County]]="West Midlands",Table1[[#This Row],[income]],0)</f>
        <v>0</v>
      </c>
      <c r="CR399" s="20">
        <f ca="1">IF(Table1[[#This Row],[County]]="Warwickshire",Table1[[#This Row],[income]],0)</f>
        <v>0</v>
      </c>
      <c r="CS399" s="20">
        <f ca="1">IF(Table1[[#This Row],[County]]="Tyne and Wear",Table1[[#This Row],[income]],0)</f>
        <v>0</v>
      </c>
      <c r="CT399" s="20">
        <f ca="1">IF(Table1[[#This Row],[County]]="Worcestershire",Table1[[#This Row],[income]],0)</f>
        <v>0</v>
      </c>
      <c r="CU399" s="20">
        <f ca="1">IF(Table1[[#This Row],[County]]="Rutland",Table1[[#This Row],[income]],0)</f>
        <v>0</v>
      </c>
      <c r="CV399" s="20">
        <f ca="1">IF(Table1[[#This Row],[County]]="Shropshire",Table1[[#This Row],[income]],0)</f>
        <v>0</v>
      </c>
      <c r="CW399" s="20">
        <f ca="1">IF(Table1[[#This Row],[County]]="Dorset",Table1[[#This Row],[income]],0)</f>
        <v>0</v>
      </c>
      <c r="CX399" s="20">
        <f ca="1">IF(Table1[[#This Row],[County]]="Buckinghamshire",Table1[[#This Row],[income]],0)</f>
        <v>0</v>
      </c>
      <c r="CY399" s="20">
        <f ca="1">IF(Table1[[#This Row],[County]]="Suffolk",Table1[[#This Row],[income]],0)</f>
        <v>0</v>
      </c>
      <c r="CZ399" s="20">
        <f ca="1">IF(Table1[[#This Row],[County]]="North Yorkshire",Table1[[#This Row],[income]],0)</f>
        <v>0</v>
      </c>
      <c r="DA399" s="20">
        <f ca="1">IF(Table1[[#This Row],[County]]="Kent",Table1[[#This Row],[income]],0)</f>
        <v>0</v>
      </c>
      <c r="DB399" s="5">
        <f ca="1">IF(Table1[[#This Row],[County]]="Derbyshire",Table1[[#This Row],[income]],0)</f>
        <v>0</v>
      </c>
      <c r="DD399" s="6">
        <f ca="1">IF(Table1[[#This Row],[Column1]]="Health",Table1[[#This Row],[income]],0)</f>
        <v>96259</v>
      </c>
      <c r="DE399" s="20">
        <f ca="1">IF(Table1[[#This Row],[Column1]]="Agriculture",Table1[[#This Row],[income]],0)</f>
        <v>0</v>
      </c>
      <c r="DF399" s="20">
        <f ca="1">IF(Table1[[#This Row],[Column1]]="Technology",Table1[[#This Row],[income]],0)</f>
        <v>0</v>
      </c>
      <c r="DG399" s="20">
        <f ca="1">IF(Table1[[#This Row],[Column1]]="Social Service",Table1[[#This Row],[income]],0)</f>
        <v>0</v>
      </c>
      <c r="DH399" s="20">
        <f ca="1">IF(Table1[[#This Row],[Column1]]="Education",Table1[[#This Row],[income]],0)</f>
        <v>0</v>
      </c>
      <c r="DI399" s="5">
        <f ca="1">IF(Table1[[#This Row],[Column1]]="Construction",Table1[[#This Row],[income]],0)</f>
        <v>0</v>
      </c>
      <c r="DK399" s="6">
        <f ca="1">IF(Table1[[#This Row],[Value of Debts]]&gt;Table1[[#This Row],[income]],1,0)</f>
        <v>1</v>
      </c>
      <c r="DL399" s="20"/>
      <c r="DM399" s="20"/>
      <c r="DN399" s="5"/>
      <c r="DP399" s="6">
        <f ca="1">IF(Table1[[#This Row],[Net Worth (£)]]&gt;$DS$5,C399,0)</f>
        <v>0</v>
      </c>
      <c r="DQ399" s="20"/>
      <c r="DR399" s="20"/>
      <c r="DS399" s="5"/>
    </row>
    <row r="400" spans="1:123" x14ac:dyDescent="0.2">
      <c r="A400">
        <f t="shared" ca="1" si="19"/>
        <v>2</v>
      </c>
      <c r="B400" s="1" t="str">
        <f ca="1">IF(A400=1, "men", "women")</f>
        <v>women</v>
      </c>
      <c r="C400" s="1">
        <f ca="1">RANDBETWEEN(25,50)</f>
        <v>41</v>
      </c>
      <c r="D400">
        <f ca="1">RANDBETWEEN(1,6)</f>
        <v>3</v>
      </c>
      <c r="E400" t="str">
        <f ca="1">VLOOKUP(D400,$W$5:$X$10,2)</f>
        <v>Education</v>
      </c>
      <c r="F400">
        <f ca="1">RANDBETWEEN(1,5)</f>
        <v>4</v>
      </c>
      <c r="G400" t="str">
        <f ca="1">VLOOKUP(F400,$Y$5:$Z$9,2)</f>
        <v xml:space="preserve">Technical </v>
      </c>
      <c r="H400">
        <f ca="1">RANDBETWEEN(0,4)</f>
        <v>3</v>
      </c>
      <c r="I400">
        <f ca="1">RANDBETWEEN(1,3)</f>
        <v>3</v>
      </c>
      <c r="J400">
        <f ca="1">RANDBETWEEN(30000,100000)</f>
        <v>62864</v>
      </c>
      <c r="K400">
        <f ca="1">RANDBETWEEN(1,48)</f>
        <v>29</v>
      </c>
      <c r="L400" t="str">
        <f ca="1">VLOOKUP(K400,$AA$5:$AB$52,2)</f>
        <v>Norfolk</v>
      </c>
      <c r="M400">
        <f ca="1">J400*(RANDBETWEEN(2,5))</f>
        <v>314320</v>
      </c>
      <c r="N400">
        <f ca="1">RAND()*M400</f>
        <v>286192.72329187096</v>
      </c>
      <c r="O400">
        <f ca="1">I400*RAND()*J400</f>
        <v>70311.004563778639</v>
      </c>
      <c r="P400">
        <f ca="1">RANDBETWEEN(0,O400)</f>
        <v>36245</v>
      </c>
      <c r="Q400">
        <f ca="1">RAND()*J400*2</f>
        <v>70381.303306015383</v>
      </c>
      <c r="R400">
        <f ca="1">RAND()*J400*1.5</f>
        <v>23891.110978051274</v>
      </c>
      <c r="S400">
        <f ca="1">J400+R400+O400</f>
        <v>157066.1155418299</v>
      </c>
      <c r="T400">
        <f ca="1">N400+P400+Q400</f>
        <v>392819.02659788635</v>
      </c>
      <c r="U400">
        <f ca="1">S400-T400</f>
        <v>-235752.91105605644</v>
      </c>
      <c r="AC400" s="6">
        <f ca="1">IF(Table1[[#This Row],[gender]]="men",1,0)</f>
        <v>0</v>
      </c>
      <c r="AD400">
        <f ca="1">IF(Table1[[#This Row],[gender]]="women",1,0)</f>
        <v>1</v>
      </c>
      <c r="AH400" s="5"/>
      <c r="AJ400" s="6">
        <f ca="1">IF(Table1[[#This Row],[Column1]]="Health",1,0)</f>
        <v>0</v>
      </c>
      <c r="AK400">
        <f ca="1">IF(Table1[[#This Row],[Column1]]="Construction",1,0)</f>
        <v>0</v>
      </c>
      <c r="AL400">
        <f ca="1">IF(Table1[[#This Row],[Column1]]="Technology",1,0)</f>
        <v>0</v>
      </c>
      <c r="AM400">
        <f ca="1">IF(Table1[[#This Row],[Column1]]="Education",1,0)</f>
        <v>1</v>
      </c>
      <c r="AN400">
        <f ca="1">IF(Table1[[#This Row],[Column1]]="Agriculture",1,0)</f>
        <v>0</v>
      </c>
      <c r="AO400">
        <f ca="1">IF(Table1[[#This Row],[Column1]]="Social Service", 1, 0)</f>
        <v>0</v>
      </c>
      <c r="AT400" s="5"/>
      <c r="AV400" s="17">
        <f t="shared" ca="1" si="18"/>
        <v>21892.830897532058</v>
      </c>
      <c r="AW400" s="5"/>
      <c r="AX400" s="6">
        <f ca="1">IF(Table1[[#This Row],[Value of Debts]]&gt;$AY$4,1,0)</f>
        <v>1</v>
      </c>
      <c r="AY400" s="20"/>
      <c r="AZ400" s="20"/>
      <c r="BA400" s="5"/>
      <c r="BB400" s="25">
        <f ca="1">Table1[[#This Row],[Mortage Left]]/Table1[[#This Row],[Value of House]]</f>
        <v>0.91051388168704173</v>
      </c>
      <c r="BC400" s="20">
        <f t="shared" ca="1" si="20"/>
        <v>0</v>
      </c>
      <c r="BD400" s="20"/>
      <c r="BE400" s="20"/>
      <c r="BF400" s="20"/>
      <c r="BG400" s="6">
        <f ca="1">IF(Table1[[#This Row],[County]]="Cumbria",Table1[[#This Row],[income]],0)</f>
        <v>0</v>
      </c>
      <c r="BH400" s="20">
        <f ca="1">IF(Table1[[#This Row],[County]]="Cheshire",Table1[[#This Row],[income]],0)</f>
        <v>0</v>
      </c>
      <c r="BI400" s="20">
        <f ca="1">IF(Table1[[#This Row],[County]]="Bristol",Table1[[#This Row],[income]],0)</f>
        <v>0</v>
      </c>
      <c r="BJ400" s="20">
        <f ca="1">IF(Table1[[#This Row],[County]]="Surrey",Table1[[#This Row],[income]],0)</f>
        <v>0</v>
      </c>
      <c r="BK400" s="20">
        <f ca="1">IF(Table1[[#This Row],[County]]="Norfolk",Table1[[#This Row],[income]],0)</f>
        <v>62864</v>
      </c>
      <c r="BL400" s="20">
        <f ca="1">IF(Table1[[#This Row],[County]]="Lincolnshire",Table1[[#This Row],[income]],0)</f>
        <v>0</v>
      </c>
      <c r="BM400" s="20">
        <f ca="1">IF(Table1[[#This Row],[County]]="Somerset",Table1[[#This Row],[income]],0)</f>
        <v>0</v>
      </c>
      <c r="BN400" s="20">
        <f ca="1">IF(Table1[[#This Row],[County]]="Cambridgeshire",Table1[[#This Row],[income]],0)</f>
        <v>0</v>
      </c>
      <c r="BO400" s="20">
        <f ca="1">IF(Table1[[#This Row],[County]]="South Yorkshire",Table1[[#This Row],[income]],0)</f>
        <v>0</v>
      </c>
      <c r="BP400" s="20">
        <f ca="1">IF(Table1[[#This Row],[County]]="Greater London",Table1[[#This Row],[income]],0)</f>
        <v>0</v>
      </c>
      <c r="BQ400" s="20">
        <f ca="1">IF(Table1[[#This Row],[County]]="Hampshire",Table1[[#This Row],[income]],0)</f>
        <v>0</v>
      </c>
      <c r="BR400" s="20">
        <f ca="1">IF(Table1[[#This Row],[County]]="Gloucestershire",Table1[[#This Row],[income]],0)</f>
        <v>0</v>
      </c>
      <c r="BS400" s="20">
        <f ca="1">IF(Table1[[#This Row],[County]]="West Sussex",Table1[[#This Row],[income]],0)</f>
        <v>0</v>
      </c>
      <c r="BT400" s="20">
        <f ca="1">IF(Table1[[#This Row],[County]]="Devon",Table1[[#This Row],[income]],0)</f>
        <v>0</v>
      </c>
      <c r="BU400" s="20">
        <f ca="1">IF(Table1[[#This Row],[County]]="Berkshire",Table1[[#This Row],[income]],0)</f>
        <v>0</v>
      </c>
      <c r="BV400" s="20">
        <f ca="1">IF(Table1[[#This Row],[County]]="Staffordshire",Table1[[#This Row],[income]],0)</f>
        <v>0</v>
      </c>
      <c r="BW400" s="20">
        <f ca="1">IF(Table1[[#This Row],[County]]="Leicestershire",Table1[[#This Row],[income]],0)</f>
        <v>0</v>
      </c>
      <c r="BX400" s="20">
        <f ca="1">IF(Table1[[#This Row],[County]]="Cornwall",Table1[[#This Row],[income]],0)</f>
        <v>0</v>
      </c>
      <c r="BY400" s="20">
        <f ca="1">IF(Table1[[#This Row],[County]]="Isle of Wight",Table1[[#This Row],[income]],0)</f>
        <v>0</v>
      </c>
      <c r="BZ400" s="20">
        <f ca="1">IF(Table1[[#This Row],[County]]="Surrey",Table1[[#This Row],[income]],0)</f>
        <v>0</v>
      </c>
      <c r="CA400" s="20">
        <f ca="1">IF(Table1[[#This Row],[County]]="Derbyshire",Table1[[#This Row],[income]],0)</f>
        <v>0</v>
      </c>
      <c r="CB400" s="20">
        <f ca="1">IF(Table1[[#This Row],[County]]="City of London",Table1[[#This Row],[income]],0)</f>
        <v>0</v>
      </c>
      <c r="CC400" s="20">
        <f ca="1">IF(Table1[[#This Row],[County]]="Bedfordshire",Table1[[#This Row],[income]],0)</f>
        <v>0</v>
      </c>
      <c r="CD400" s="20">
        <f ca="1">IF(Table1[[#This Row],[County]]="County Durham",Table1[[#This Row],[income]],0)</f>
        <v>0</v>
      </c>
      <c r="CE400" s="20">
        <f ca="1">IF(Table1[[#This Row],[County]]="East Riding of Yorkshire",Table1[[#This Row],[income]],0)</f>
        <v>0</v>
      </c>
      <c r="CF400" s="20">
        <f ca="1">IF(Table1[[#This Row],[County]]="West Yorkshire",Table1[[#This Row],[income]],0)</f>
        <v>0</v>
      </c>
      <c r="CG400" s="20">
        <f ca="1">IF(Table1[[#This Row],[County]]="Essex",Table1[[#This Row],[income]],0)</f>
        <v>0</v>
      </c>
      <c r="CH400" s="20">
        <f ca="1">IF(Table1[[#This Row],[County]]="East Sussex",Table1[[#This Row],[income]],0)</f>
        <v>0</v>
      </c>
      <c r="CI400" s="20">
        <f ca="1">IF(Table1[[#This Row],[County]]="Greater Manchester",Table1[[#This Row],[income]],0)</f>
        <v>0</v>
      </c>
      <c r="CJ400" s="20">
        <f ca="1">IF(Table1[[#This Row],[County]]="Hertfordshire",Table1[[#This Row],[income]],0)</f>
        <v>0</v>
      </c>
      <c r="CK400" s="20">
        <f ca="1">IF(Table1[[#This Row],[County]]="Herefordshire",Table1[[#This Row],[income]],0)</f>
        <v>0</v>
      </c>
      <c r="CL400" s="20">
        <f ca="1">IF(Table1[[#This Row],[County]]="Lancashire",Table1[[#This Row],[income]],0)</f>
        <v>0</v>
      </c>
      <c r="CM400" s="20">
        <f ca="1">IF(Table1[[#This Row],[County]]="Merseyside",Table1[[#This Row],[income]],0)</f>
        <v>0</v>
      </c>
      <c r="CN400" s="20">
        <f ca="1">IF(Table1[[#This Row],[County]]="Northamptonshire",Table1[[#This Row],[income]],0)</f>
        <v>0</v>
      </c>
      <c r="CO400" s="20">
        <f ca="1">IF(Table1[[#This Row],[County]]="Northumberland",Table1[[#This Row],[income]],0)</f>
        <v>0</v>
      </c>
      <c r="CP400" s="20">
        <f ca="1">IF(Table1[[#This Row],[County]]="Wiltshire",Table1[[#This Row],[income]],0)</f>
        <v>0</v>
      </c>
      <c r="CQ400" s="20">
        <f ca="1">IF(Table1[[#This Row],[County]]="West Midlands",Table1[[#This Row],[income]],0)</f>
        <v>0</v>
      </c>
      <c r="CR400" s="20">
        <f ca="1">IF(Table1[[#This Row],[County]]="Warwickshire",Table1[[#This Row],[income]],0)</f>
        <v>0</v>
      </c>
      <c r="CS400" s="20">
        <f ca="1">IF(Table1[[#This Row],[County]]="Tyne and Wear",Table1[[#This Row],[income]],0)</f>
        <v>0</v>
      </c>
      <c r="CT400" s="20">
        <f ca="1">IF(Table1[[#This Row],[County]]="Worcestershire",Table1[[#This Row],[income]],0)</f>
        <v>0</v>
      </c>
      <c r="CU400" s="20">
        <f ca="1">IF(Table1[[#This Row],[County]]="Rutland",Table1[[#This Row],[income]],0)</f>
        <v>0</v>
      </c>
      <c r="CV400" s="20">
        <f ca="1">IF(Table1[[#This Row],[County]]="Shropshire",Table1[[#This Row],[income]],0)</f>
        <v>0</v>
      </c>
      <c r="CW400" s="20">
        <f ca="1">IF(Table1[[#This Row],[County]]="Dorset",Table1[[#This Row],[income]],0)</f>
        <v>0</v>
      </c>
      <c r="CX400" s="20">
        <f ca="1">IF(Table1[[#This Row],[County]]="Buckinghamshire",Table1[[#This Row],[income]],0)</f>
        <v>0</v>
      </c>
      <c r="CY400" s="20">
        <f ca="1">IF(Table1[[#This Row],[County]]="Suffolk",Table1[[#This Row],[income]],0)</f>
        <v>0</v>
      </c>
      <c r="CZ400" s="20">
        <f ca="1">IF(Table1[[#This Row],[County]]="North Yorkshire",Table1[[#This Row],[income]],0)</f>
        <v>0</v>
      </c>
      <c r="DA400" s="20">
        <f ca="1">IF(Table1[[#This Row],[County]]="Kent",Table1[[#This Row],[income]],0)</f>
        <v>0</v>
      </c>
      <c r="DB400" s="5">
        <f ca="1">IF(Table1[[#This Row],[County]]="Derbyshire",Table1[[#This Row],[income]],0)</f>
        <v>0</v>
      </c>
      <c r="DD400" s="6">
        <f ca="1">IF(Table1[[#This Row],[Column1]]="Health",Table1[[#This Row],[income]],0)</f>
        <v>0</v>
      </c>
      <c r="DE400" s="20">
        <f ca="1">IF(Table1[[#This Row],[Column1]]="Agriculture",Table1[[#This Row],[income]],0)</f>
        <v>0</v>
      </c>
      <c r="DF400" s="20">
        <f ca="1">IF(Table1[[#This Row],[Column1]]="Technology",Table1[[#This Row],[income]],0)</f>
        <v>0</v>
      </c>
      <c r="DG400" s="20">
        <f ca="1">IF(Table1[[#This Row],[Column1]]="Social Service",Table1[[#This Row],[income]],0)</f>
        <v>0</v>
      </c>
      <c r="DH400" s="20">
        <f ca="1">IF(Table1[[#This Row],[Column1]]="Education",Table1[[#This Row],[income]],0)</f>
        <v>62864</v>
      </c>
      <c r="DI400" s="5">
        <f ca="1">IF(Table1[[#This Row],[Column1]]="Construction",Table1[[#This Row],[income]],0)</f>
        <v>0</v>
      </c>
      <c r="DK400" s="6">
        <f ca="1">IF(Table1[[#This Row],[Value of Debts]]&gt;Table1[[#This Row],[income]],1,0)</f>
        <v>1</v>
      </c>
      <c r="DL400" s="20"/>
      <c r="DM400" s="20"/>
      <c r="DN400" s="5"/>
      <c r="DP400" s="6">
        <f ca="1">IF(Table1[[#This Row],[Net Worth (£)]]&gt;$DS$5,C400,0)</f>
        <v>0</v>
      </c>
      <c r="DQ400" s="20"/>
      <c r="DR400" s="20"/>
      <c r="DS400" s="5"/>
    </row>
    <row r="401" spans="1:123" x14ac:dyDescent="0.2">
      <c r="A401">
        <f t="shared" ca="1" si="19"/>
        <v>1</v>
      </c>
      <c r="B401" s="1" t="str">
        <f ca="1">IF(A401=1, "men", "women")</f>
        <v>men</v>
      </c>
      <c r="C401" s="1">
        <f ca="1">RANDBETWEEN(25,50)</f>
        <v>40</v>
      </c>
      <c r="D401">
        <f ca="1">RANDBETWEEN(1,6)</f>
        <v>2</v>
      </c>
      <c r="E401" t="str">
        <f ca="1">VLOOKUP(D401,$W$5:$X$10,2)</f>
        <v>Construction</v>
      </c>
      <c r="F401">
        <f ca="1">RANDBETWEEN(1,5)</f>
        <v>2</v>
      </c>
      <c r="G401" t="str">
        <f ca="1">VLOOKUP(F401,$Y$5:$Z$9,2)</f>
        <v>College</v>
      </c>
      <c r="H401">
        <f ca="1">RANDBETWEEN(0,4)</f>
        <v>1</v>
      </c>
      <c r="I401">
        <f ca="1">RANDBETWEEN(1,3)</f>
        <v>3</v>
      </c>
      <c r="J401">
        <f ca="1">RANDBETWEEN(30000,100000)</f>
        <v>31092</v>
      </c>
      <c r="K401">
        <f ca="1">RANDBETWEEN(1,48)</f>
        <v>10</v>
      </c>
      <c r="L401" t="str">
        <f ca="1">VLOOKUP(K401,$AA$5:$AB$52,2)</f>
        <v>Derbyshire</v>
      </c>
      <c r="M401">
        <f ca="1">J401*(RANDBETWEEN(2,5))</f>
        <v>62184</v>
      </c>
      <c r="N401">
        <f ca="1">RAND()*M401</f>
        <v>55766.088913838496</v>
      </c>
      <c r="O401">
        <f ca="1">I401*RAND()*J401</f>
        <v>65678.492692596177</v>
      </c>
      <c r="P401">
        <f ca="1">RANDBETWEEN(0,O401)</f>
        <v>15119</v>
      </c>
      <c r="Q401">
        <f ca="1">RAND()*J401*2</f>
        <v>41330.570835452876</v>
      </c>
      <c r="R401">
        <f ca="1">RAND()*J401*1.5</f>
        <v>23675.021720573019</v>
      </c>
      <c r="S401">
        <f ca="1">J401+R401+O401</f>
        <v>120445.51441316919</v>
      </c>
      <c r="T401">
        <f ca="1">N401+P401+Q401</f>
        <v>112215.65974929137</v>
      </c>
      <c r="U401">
        <f ca="1">S401-T401</f>
        <v>8229.8546638778207</v>
      </c>
      <c r="AC401" s="6">
        <f ca="1">IF(Table1[[#This Row],[gender]]="men",1,0)</f>
        <v>1</v>
      </c>
      <c r="AD401">
        <f ca="1">IF(Table1[[#This Row],[gender]]="women",1,0)</f>
        <v>0</v>
      </c>
      <c r="AH401" s="5"/>
      <c r="AJ401" s="6">
        <f ca="1">IF(Table1[[#This Row],[Column1]]="Health",1,0)</f>
        <v>0</v>
      </c>
      <c r="AK401">
        <f ca="1">IF(Table1[[#This Row],[Column1]]="Construction",1,0)</f>
        <v>1</v>
      </c>
      <c r="AL401">
        <f ca="1">IF(Table1[[#This Row],[Column1]]="Technology",1,0)</f>
        <v>0</v>
      </c>
      <c r="AM401">
        <f ca="1">IF(Table1[[#This Row],[Column1]]="Education",1,0)</f>
        <v>0</v>
      </c>
      <c r="AN401">
        <f ca="1">IF(Table1[[#This Row],[Column1]]="Agriculture",1,0)</f>
        <v>0</v>
      </c>
      <c r="AO401">
        <f ca="1">IF(Table1[[#This Row],[Column1]]="Social Service", 1, 0)</f>
        <v>0</v>
      </c>
      <c r="AT401" s="5"/>
      <c r="AV401" s="17">
        <f t="shared" ca="1" si="18"/>
        <v>15735.872001277332</v>
      </c>
      <c r="AW401" s="5"/>
      <c r="AX401" s="6">
        <f ca="1">IF(Table1[[#This Row],[Value of Debts]]&gt;$AY$4,1,0)</f>
        <v>1</v>
      </c>
      <c r="AY401" s="20"/>
      <c r="AZ401" s="20"/>
      <c r="BA401" s="5"/>
      <c r="BB401" s="25">
        <f ca="1">Table1[[#This Row],[Mortage Left]]/Table1[[#This Row],[Value of House]]</f>
        <v>0.89679160095584864</v>
      </c>
      <c r="BC401" s="20">
        <f t="shared" ca="1" si="20"/>
        <v>0</v>
      </c>
      <c r="BD401" s="20"/>
      <c r="BE401" s="20"/>
      <c r="BF401" s="20"/>
      <c r="BG401" s="6">
        <f ca="1">IF(Table1[[#This Row],[County]]="Cumbria",Table1[[#This Row],[income]],0)</f>
        <v>0</v>
      </c>
      <c r="BH401" s="20">
        <f ca="1">IF(Table1[[#This Row],[County]]="Cheshire",Table1[[#This Row],[income]],0)</f>
        <v>0</v>
      </c>
      <c r="BI401" s="20">
        <f ca="1">IF(Table1[[#This Row],[County]]="Bristol",Table1[[#This Row],[income]],0)</f>
        <v>0</v>
      </c>
      <c r="BJ401" s="20">
        <f ca="1">IF(Table1[[#This Row],[County]]="Surrey",Table1[[#This Row],[income]],0)</f>
        <v>0</v>
      </c>
      <c r="BK401" s="20">
        <f ca="1">IF(Table1[[#This Row],[County]]="Norfolk",Table1[[#This Row],[income]],0)</f>
        <v>0</v>
      </c>
      <c r="BL401" s="20">
        <f ca="1">IF(Table1[[#This Row],[County]]="Lincolnshire",Table1[[#This Row],[income]],0)</f>
        <v>0</v>
      </c>
      <c r="BM401" s="20">
        <f ca="1">IF(Table1[[#This Row],[County]]="Somerset",Table1[[#This Row],[income]],0)</f>
        <v>0</v>
      </c>
      <c r="BN401" s="20">
        <f ca="1">IF(Table1[[#This Row],[County]]="Cambridgeshire",Table1[[#This Row],[income]],0)</f>
        <v>0</v>
      </c>
      <c r="BO401" s="20">
        <f ca="1">IF(Table1[[#This Row],[County]]="South Yorkshire",Table1[[#This Row],[income]],0)</f>
        <v>0</v>
      </c>
      <c r="BP401" s="20">
        <f ca="1">IF(Table1[[#This Row],[County]]="Greater London",Table1[[#This Row],[income]],0)</f>
        <v>0</v>
      </c>
      <c r="BQ401" s="20">
        <f ca="1">IF(Table1[[#This Row],[County]]="Hampshire",Table1[[#This Row],[income]],0)</f>
        <v>0</v>
      </c>
      <c r="BR401" s="20">
        <f ca="1">IF(Table1[[#This Row],[County]]="Gloucestershire",Table1[[#This Row],[income]],0)</f>
        <v>0</v>
      </c>
      <c r="BS401" s="20">
        <f ca="1">IF(Table1[[#This Row],[County]]="West Sussex",Table1[[#This Row],[income]],0)</f>
        <v>0</v>
      </c>
      <c r="BT401" s="20">
        <f ca="1">IF(Table1[[#This Row],[County]]="Devon",Table1[[#This Row],[income]],0)</f>
        <v>0</v>
      </c>
      <c r="BU401" s="20">
        <f ca="1">IF(Table1[[#This Row],[County]]="Berkshire",Table1[[#This Row],[income]],0)</f>
        <v>0</v>
      </c>
      <c r="BV401" s="20">
        <f ca="1">IF(Table1[[#This Row],[County]]="Staffordshire",Table1[[#This Row],[income]],0)</f>
        <v>0</v>
      </c>
      <c r="BW401" s="20">
        <f ca="1">IF(Table1[[#This Row],[County]]="Leicestershire",Table1[[#This Row],[income]],0)</f>
        <v>0</v>
      </c>
      <c r="BX401" s="20">
        <f ca="1">IF(Table1[[#This Row],[County]]="Cornwall",Table1[[#This Row],[income]],0)</f>
        <v>0</v>
      </c>
      <c r="BY401" s="20">
        <f ca="1">IF(Table1[[#This Row],[County]]="Isle of Wight",Table1[[#This Row],[income]],0)</f>
        <v>0</v>
      </c>
      <c r="BZ401" s="20">
        <f ca="1">IF(Table1[[#This Row],[County]]="Surrey",Table1[[#This Row],[income]],0)</f>
        <v>0</v>
      </c>
      <c r="CA401" s="20">
        <f ca="1">IF(Table1[[#This Row],[County]]="Derbyshire",Table1[[#This Row],[income]],0)</f>
        <v>31092</v>
      </c>
      <c r="CB401" s="20">
        <f ca="1">IF(Table1[[#This Row],[County]]="City of London",Table1[[#This Row],[income]],0)</f>
        <v>0</v>
      </c>
      <c r="CC401" s="20">
        <f ca="1">IF(Table1[[#This Row],[County]]="Bedfordshire",Table1[[#This Row],[income]],0)</f>
        <v>0</v>
      </c>
      <c r="CD401" s="20">
        <f ca="1">IF(Table1[[#This Row],[County]]="County Durham",Table1[[#This Row],[income]],0)</f>
        <v>0</v>
      </c>
      <c r="CE401" s="20">
        <f ca="1">IF(Table1[[#This Row],[County]]="East Riding of Yorkshire",Table1[[#This Row],[income]],0)</f>
        <v>0</v>
      </c>
      <c r="CF401" s="20">
        <f ca="1">IF(Table1[[#This Row],[County]]="West Yorkshire",Table1[[#This Row],[income]],0)</f>
        <v>0</v>
      </c>
      <c r="CG401" s="20">
        <f ca="1">IF(Table1[[#This Row],[County]]="Essex",Table1[[#This Row],[income]],0)</f>
        <v>0</v>
      </c>
      <c r="CH401" s="20">
        <f ca="1">IF(Table1[[#This Row],[County]]="East Sussex",Table1[[#This Row],[income]],0)</f>
        <v>0</v>
      </c>
      <c r="CI401" s="20">
        <f ca="1">IF(Table1[[#This Row],[County]]="Greater Manchester",Table1[[#This Row],[income]],0)</f>
        <v>0</v>
      </c>
      <c r="CJ401" s="20">
        <f ca="1">IF(Table1[[#This Row],[County]]="Hertfordshire",Table1[[#This Row],[income]],0)</f>
        <v>0</v>
      </c>
      <c r="CK401" s="20">
        <f ca="1">IF(Table1[[#This Row],[County]]="Herefordshire",Table1[[#This Row],[income]],0)</f>
        <v>0</v>
      </c>
      <c r="CL401" s="20">
        <f ca="1">IF(Table1[[#This Row],[County]]="Lancashire",Table1[[#This Row],[income]],0)</f>
        <v>0</v>
      </c>
      <c r="CM401" s="20">
        <f ca="1">IF(Table1[[#This Row],[County]]="Merseyside",Table1[[#This Row],[income]],0)</f>
        <v>0</v>
      </c>
      <c r="CN401" s="20">
        <f ca="1">IF(Table1[[#This Row],[County]]="Northamptonshire",Table1[[#This Row],[income]],0)</f>
        <v>0</v>
      </c>
      <c r="CO401" s="20">
        <f ca="1">IF(Table1[[#This Row],[County]]="Northumberland",Table1[[#This Row],[income]],0)</f>
        <v>0</v>
      </c>
      <c r="CP401" s="20">
        <f ca="1">IF(Table1[[#This Row],[County]]="Wiltshire",Table1[[#This Row],[income]],0)</f>
        <v>0</v>
      </c>
      <c r="CQ401" s="20">
        <f ca="1">IF(Table1[[#This Row],[County]]="West Midlands",Table1[[#This Row],[income]],0)</f>
        <v>0</v>
      </c>
      <c r="CR401" s="20">
        <f ca="1">IF(Table1[[#This Row],[County]]="Warwickshire",Table1[[#This Row],[income]],0)</f>
        <v>0</v>
      </c>
      <c r="CS401" s="20">
        <f ca="1">IF(Table1[[#This Row],[County]]="Tyne and Wear",Table1[[#This Row],[income]],0)</f>
        <v>0</v>
      </c>
      <c r="CT401" s="20">
        <f ca="1">IF(Table1[[#This Row],[County]]="Worcestershire",Table1[[#This Row],[income]],0)</f>
        <v>0</v>
      </c>
      <c r="CU401" s="20">
        <f ca="1">IF(Table1[[#This Row],[County]]="Rutland",Table1[[#This Row],[income]],0)</f>
        <v>0</v>
      </c>
      <c r="CV401" s="20">
        <f ca="1">IF(Table1[[#This Row],[County]]="Shropshire",Table1[[#This Row],[income]],0)</f>
        <v>0</v>
      </c>
      <c r="CW401" s="20">
        <f ca="1">IF(Table1[[#This Row],[County]]="Dorset",Table1[[#This Row],[income]],0)</f>
        <v>0</v>
      </c>
      <c r="CX401" s="20">
        <f ca="1">IF(Table1[[#This Row],[County]]="Buckinghamshire",Table1[[#This Row],[income]],0)</f>
        <v>0</v>
      </c>
      <c r="CY401" s="20">
        <f ca="1">IF(Table1[[#This Row],[County]]="Suffolk",Table1[[#This Row],[income]],0)</f>
        <v>0</v>
      </c>
      <c r="CZ401" s="20">
        <f ca="1">IF(Table1[[#This Row],[County]]="North Yorkshire",Table1[[#This Row],[income]],0)</f>
        <v>0</v>
      </c>
      <c r="DA401" s="20">
        <f ca="1">IF(Table1[[#This Row],[County]]="Kent",Table1[[#This Row],[income]],0)</f>
        <v>0</v>
      </c>
      <c r="DB401" s="5">
        <f ca="1">IF(Table1[[#This Row],[County]]="Derbyshire",Table1[[#This Row],[income]],0)</f>
        <v>31092</v>
      </c>
      <c r="DD401" s="6">
        <f ca="1">IF(Table1[[#This Row],[Column1]]="Health",Table1[[#This Row],[income]],0)</f>
        <v>0</v>
      </c>
      <c r="DE401" s="20">
        <f ca="1">IF(Table1[[#This Row],[Column1]]="Agriculture",Table1[[#This Row],[income]],0)</f>
        <v>0</v>
      </c>
      <c r="DF401" s="20">
        <f ca="1">IF(Table1[[#This Row],[Column1]]="Technology",Table1[[#This Row],[income]],0)</f>
        <v>0</v>
      </c>
      <c r="DG401" s="20">
        <f ca="1">IF(Table1[[#This Row],[Column1]]="Social Service",Table1[[#This Row],[income]],0)</f>
        <v>0</v>
      </c>
      <c r="DH401" s="20">
        <f ca="1">IF(Table1[[#This Row],[Column1]]="Education",Table1[[#This Row],[income]],0)</f>
        <v>0</v>
      </c>
      <c r="DI401" s="5">
        <f ca="1">IF(Table1[[#This Row],[Column1]]="Construction",Table1[[#This Row],[income]],0)</f>
        <v>31092</v>
      </c>
      <c r="DK401" s="6">
        <f ca="1">IF(Table1[[#This Row],[Value of Debts]]&gt;Table1[[#This Row],[income]],1,0)</f>
        <v>1</v>
      </c>
      <c r="DL401" s="20"/>
      <c r="DM401" s="20"/>
      <c r="DN401" s="5"/>
      <c r="DP401" s="6">
        <f ca="1">IF(Table1[[#This Row],[Net Worth (£)]]&gt;$DS$5,C401,0)</f>
        <v>0</v>
      </c>
      <c r="DQ401" s="20"/>
      <c r="DR401" s="20"/>
      <c r="DS401" s="5"/>
    </row>
    <row r="402" spans="1:123" x14ac:dyDescent="0.2">
      <c r="A402">
        <f t="shared" ca="1" si="19"/>
        <v>2</v>
      </c>
      <c r="B402" s="1" t="str">
        <f ca="1">IF(A402=1, "men", "women")</f>
        <v>women</v>
      </c>
      <c r="C402" s="1">
        <f ca="1">RANDBETWEEN(25,50)</f>
        <v>40</v>
      </c>
      <c r="D402">
        <f ca="1">RANDBETWEEN(1,6)</f>
        <v>5</v>
      </c>
      <c r="E402" t="str">
        <f ca="1">VLOOKUP(D402,$W$5:$X$10,2)</f>
        <v>Social Service</v>
      </c>
      <c r="F402">
        <f ca="1">RANDBETWEEN(1,5)</f>
        <v>4</v>
      </c>
      <c r="G402" t="str">
        <f ca="1">VLOOKUP(F402,$Y$5:$Z$9,2)</f>
        <v xml:space="preserve">Technical </v>
      </c>
      <c r="H402">
        <f ca="1">RANDBETWEEN(0,4)</f>
        <v>4</v>
      </c>
      <c r="I402">
        <f ca="1">RANDBETWEEN(1,3)</f>
        <v>1</v>
      </c>
      <c r="J402">
        <f ca="1">RANDBETWEEN(30000,100000)</f>
        <v>79419</v>
      </c>
      <c r="K402">
        <f ca="1">RANDBETWEEN(1,48)</f>
        <v>4</v>
      </c>
      <c r="L402" t="str">
        <f ca="1">VLOOKUP(K402,$AA$5:$AB$52,2)</f>
        <v>Buckinghamshire</v>
      </c>
      <c r="M402">
        <f ca="1">J402*(RANDBETWEEN(2,5))</f>
        <v>238257</v>
      </c>
      <c r="N402">
        <f ca="1">RAND()*M402</f>
        <v>188793.50213051229</v>
      </c>
      <c r="O402">
        <f ca="1">I402*RAND()*J402</f>
        <v>15735.872001277332</v>
      </c>
      <c r="P402">
        <f ca="1">RANDBETWEEN(0,O402)</f>
        <v>1816</v>
      </c>
      <c r="Q402">
        <f ca="1">RAND()*J402*2</f>
        <v>156443.6762149141</v>
      </c>
      <c r="R402">
        <f ca="1">RAND()*J402*1.5</f>
        <v>12218.325699566478</v>
      </c>
      <c r="S402">
        <f ca="1">J402+R402+O402</f>
        <v>107373.19770084381</v>
      </c>
      <c r="T402">
        <f ca="1">N402+P402+Q402</f>
        <v>347053.17834542639</v>
      </c>
      <c r="U402">
        <f ca="1">S402-T402</f>
        <v>-239679.9806445826</v>
      </c>
      <c r="AC402" s="6">
        <f ca="1">IF(Table1[[#This Row],[gender]]="men",1,0)</f>
        <v>0</v>
      </c>
      <c r="AD402">
        <f ca="1">IF(Table1[[#This Row],[gender]]="women",1,0)</f>
        <v>1</v>
      </c>
      <c r="AH402" s="5"/>
      <c r="AJ402" s="6">
        <f ca="1">IF(Table1[[#This Row],[Column1]]="Health",1,0)</f>
        <v>0</v>
      </c>
      <c r="AK402">
        <f ca="1">IF(Table1[[#This Row],[Column1]]="Construction",1,0)</f>
        <v>0</v>
      </c>
      <c r="AL402">
        <f ca="1">IF(Table1[[#This Row],[Column1]]="Technology",1,0)</f>
        <v>0</v>
      </c>
      <c r="AM402">
        <f ca="1">IF(Table1[[#This Row],[Column1]]="Education",1,0)</f>
        <v>0</v>
      </c>
      <c r="AN402">
        <f ca="1">IF(Table1[[#This Row],[Column1]]="Agriculture",1,0)</f>
        <v>0</v>
      </c>
      <c r="AO402">
        <f ca="1">IF(Table1[[#This Row],[Column1]]="Social Service", 1, 0)</f>
        <v>1</v>
      </c>
      <c r="AT402" s="5"/>
      <c r="AV402" s="17">
        <f t="shared" ca="1" si="18"/>
        <v>17341.596056053724</v>
      </c>
      <c r="AW402" s="5"/>
      <c r="AX402" s="6">
        <f ca="1">IF(Table1[[#This Row],[Value of Debts]]&gt;$AY$4,1,0)</f>
        <v>1</v>
      </c>
      <c r="AY402" s="20"/>
      <c r="AZ402" s="20"/>
      <c r="BA402" s="5"/>
      <c r="BB402" s="25">
        <f ca="1">Table1[[#This Row],[Mortage Left]]/Table1[[#This Row],[Value of House]]</f>
        <v>0.79239435622253407</v>
      </c>
      <c r="BC402" s="20">
        <f t="shared" ca="1" si="20"/>
        <v>0</v>
      </c>
      <c r="BD402" s="20"/>
      <c r="BE402" s="20"/>
      <c r="BF402" s="20"/>
      <c r="BG402" s="6">
        <f ca="1">IF(Table1[[#This Row],[County]]="Cumbria",Table1[[#This Row],[income]],0)</f>
        <v>0</v>
      </c>
      <c r="BH402" s="20">
        <f ca="1">IF(Table1[[#This Row],[County]]="Cheshire",Table1[[#This Row],[income]],0)</f>
        <v>0</v>
      </c>
      <c r="BI402" s="20">
        <f ca="1">IF(Table1[[#This Row],[County]]="Bristol",Table1[[#This Row],[income]],0)</f>
        <v>0</v>
      </c>
      <c r="BJ402" s="20">
        <f ca="1">IF(Table1[[#This Row],[County]]="Surrey",Table1[[#This Row],[income]],0)</f>
        <v>0</v>
      </c>
      <c r="BK402" s="20">
        <f ca="1">IF(Table1[[#This Row],[County]]="Norfolk",Table1[[#This Row],[income]],0)</f>
        <v>0</v>
      </c>
      <c r="BL402" s="20">
        <f ca="1">IF(Table1[[#This Row],[County]]="Lincolnshire",Table1[[#This Row],[income]],0)</f>
        <v>0</v>
      </c>
      <c r="BM402" s="20">
        <f ca="1">IF(Table1[[#This Row],[County]]="Somerset",Table1[[#This Row],[income]],0)</f>
        <v>0</v>
      </c>
      <c r="BN402" s="20">
        <f ca="1">IF(Table1[[#This Row],[County]]="Cambridgeshire",Table1[[#This Row],[income]],0)</f>
        <v>0</v>
      </c>
      <c r="BO402" s="20">
        <f ca="1">IF(Table1[[#This Row],[County]]="South Yorkshire",Table1[[#This Row],[income]],0)</f>
        <v>0</v>
      </c>
      <c r="BP402" s="20">
        <f ca="1">IF(Table1[[#This Row],[County]]="Greater London",Table1[[#This Row],[income]],0)</f>
        <v>0</v>
      </c>
      <c r="BQ402" s="20">
        <f ca="1">IF(Table1[[#This Row],[County]]="Hampshire",Table1[[#This Row],[income]],0)</f>
        <v>0</v>
      </c>
      <c r="BR402" s="20">
        <f ca="1">IF(Table1[[#This Row],[County]]="Gloucestershire",Table1[[#This Row],[income]],0)</f>
        <v>0</v>
      </c>
      <c r="BS402" s="20">
        <f ca="1">IF(Table1[[#This Row],[County]]="West Sussex",Table1[[#This Row],[income]],0)</f>
        <v>0</v>
      </c>
      <c r="BT402" s="20">
        <f ca="1">IF(Table1[[#This Row],[County]]="Devon",Table1[[#This Row],[income]],0)</f>
        <v>0</v>
      </c>
      <c r="BU402" s="20">
        <f ca="1">IF(Table1[[#This Row],[County]]="Berkshire",Table1[[#This Row],[income]],0)</f>
        <v>0</v>
      </c>
      <c r="BV402" s="20">
        <f ca="1">IF(Table1[[#This Row],[County]]="Staffordshire",Table1[[#This Row],[income]],0)</f>
        <v>0</v>
      </c>
      <c r="BW402" s="20">
        <f ca="1">IF(Table1[[#This Row],[County]]="Leicestershire",Table1[[#This Row],[income]],0)</f>
        <v>0</v>
      </c>
      <c r="BX402" s="20">
        <f ca="1">IF(Table1[[#This Row],[County]]="Cornwall",Table1[[#This Row],[income]],0)</f>
        <v>0</v>
      </c>
      <c r="BY402" s="20">
        <f ca="1">IF(Table1[[#This Row],[County]]="Isle of Wight",Table1[[#This Row],[income]],0)</f>
        <v>0</v>
      </c>
      <c r="BZ402" s="20">
        <f ca="1">IF(Table1[[#This Row],[County]]="Surrey",Table1[[#This Row],[income]],0)</f>
        <v>0</v>
      </c>
      <c r="CA402" s="20">
        <f ca="1">IF(Table1[[#This Row],[County]]="Derbyshire",Table1[[#This Row],[income]],0)</f>
        <v>0</v>
      </c>
      <c r="CB402" s="20">
        <f ca="1">IF(Table1[[#This Row],[County]]="City of London",Table1[[#This Row],[income]],0)</f>
        <v>0</v>
      </c>
      <c r="CC402" s="20">
        <f ca="1">IF(Table1[[#This Row],[County]]="Bedfordshire",Table1[[#This Row],[income]],0)</f>
        <v>0</v>
      </c>
      <c r="CD402" s="20">
        <f ca="1">IF(Table1[[#This Row],[County]]="County Durham",Table1[[#This Row],[income]],0)</f>
        <v>0</v>
      </c>
      <c r="CE402" s="20">
        <f ca="1">IF(Table1[[#This Row],[County]]="East Riding of Yorkshire",Table1[[#This Row],[income]],0)</f>
        <v>0</v>
      </c>
      <c r="CF402" s="20">
        <f ca="1">IF(Table1[[#This Row],[County]]="West Yorkshire",Table1[[#This Row],[income]],0)</f>
        <v>0</v>
      </c>
      <c r="CG402" s="20">
        <f ca="1">IF(Table1[[#This Row],[County]]="Essex",Table1[[#This Row],[income]],0)</f>
        <v>0</v>
      </c>
      <c r="CH402" s="20">
        <f ca="1">IF(Table1[[#This Row],[County]]="East Sussex",Table1[[#This Row],[income]],0)</f>
        <v>0</v>
      </c>
      <c r="CI402" s="20">
        <f ca="1">IF(Table1[[#This Row],[County]]="Greater Manchester",Table1[[#This Row],[income]],0)</f>
        <v>0</v>
      </c>
      <c r="CJ402" s="20">
        <f ca="1">IF(Table1[[#This Row],[County]]="Hertfordshire",Table1[[#This Row],[income]],0)</f>
        <v>0</v>
      </c>
      <c r="CK402" s="20">
        <f ca="1">IF(Table1[[#This Row],[County]]="Herefordshire",Table1[[#This Row],[income]],0)</f>
        <v>0</v>
      </c>
      <c r="CL402" s="20">
        <f ca="1">IF(Table1[[#This Row],[County]]="Lancashire",Table1[[#This Row],[income]],0)</f>
        <v>0</v>
      </c>
      <c r="CM402" s="20">
        <f ca="1">IF(Table1[[#This Row],[County]]="Merseyside",Table1[[#This Row],[income]],0)</f>
        <v>0</v>
      </c>
      <c r="CN402" s="20">
        <f ca="1">IF(Table1[[#This Row],[County]]="Northamptonshire",Table1[[#This Row],[income]],0)</f>
        <v>0</v>
      </c>
      <c r="CO402" s="20">
        <f ca="1">IF(Table1[[#This Row],[County]]="Northumberland",Table1[[#This Row],[income]],0)</f>
        <v>0</v>
      </c>
      <c r="CP402" s="20">
        <f ca="1">IF(Table1[[#This Row],[County]]="Wiltshire",Table1[[#This Row],[income]],0)</f>
        <v>0</v>
      </c>
      <c r="CQ402" s="20">
        <f ca="1">IF(Table1[[#This Row],[County]]="West Midlands",Table1[[#This Row],[income]],0)</f>
        <v>0</v>
      </c>
      <c r="CR402" s="20">
        <f ca="1">IF(Table1[[#This Row],[County]]="Warwickshire",Table1[[#This Row],[income]],0)</f>
        <v>0</v>
      </c>
      <c r="CS402" s="20">
        <f ca="1">IF(Table1[[#This Row],[County]]="Tyne and Wear",Table1[[#This Row],[income]],0)</f>
        <v>0</v>
      </c>
      <c r="CT402" s="20">
        <f ca="1">IF(Table1[[#This Row],[County]]="Worcestershire",Table1[[#This Row],[income]],0)</f>
        <v>0</v>
      </c>
      <c r="CU402" s="20">
        <f ca="1">IF(Table1[[#This Row],[County]]="Rutland",Table1[[#This Row],[income]],0)</f>
        <v>0</v>
      </c>
      <c r="CV402" s="20">
        <f ca="1">IF(Table1[[#This Row],[County]]="Shropshire",Table1[[#This Row],[income]],0)</f>
        <v>0</v>
      </c>
      <c r="CW402" s="20">
        <f ca="1">IF(Table1[[#This Row],[County]]="Dorset",Table1[[#This Row],[income]],0)</f>
        <v>0</v>
      </c>
      <c r="CX402" s="20">
        <f ca="1">IF(Table1[[#This Row],[County]]="Buckinghamshire",Table1[[#This Row],[income]],0)</f>
        <v>79419</v>
      </c>
      <c r="CY402" s="20">
        <f ca="1">IF(Table1[[#This Row],[County]]="Suffolk",Table1[[#This Row],[income]],0)</f>
        <v>0</v>
      </c>
      <c r="CZ402" s="20">
        <f ca="1">IF(Table1[[#This Row],[County]]="North Yorkshire",Table1[[#This Row],[income]],0)</f>
        <v>0</v>
      </c>
      <c r="DA402" s="20">
        <f ca="1">IF(Table1[[#This Row],[County]]="Kent",Table1[[#This Row],[income]],0)</f>
        <v>0</v>
      </c>
      <c r="DB402" s="5">
        <f ca="1">IF(Table1[[#This Row],[County]]="Derbyshire",Table1[[#This Row],[income]],0)</f>
        <v>0</v>
      </c>
      <c r="DD402" s="6">
        <f ca="1">IF(Table1[[#This Row],[Column1]]="Health",Table1[[#This Row],[income]],0)</f>
        <v>0</v>
      </c>
      <c r="DE402" s="20">
        <f ca="1">IF(Table1[[#This Row],[Column1]]="Agriculture",Table1[[#This Row],[income]],0)</f>
        <v>0</v>
      </c>
      <c r="DF402" s="20">
        <f ca="1">IF(Table1[[#This Row],[Column1]]="Technology",Table1[[#This Row],[income]],0)</f>
        <v>0</v>
      </c>
      <c r="DG402" s="20">
        <f ca="1">IF(Table1[[#This Row],[Column1]]="Social Service",Table1[[#This Row],[income]],0)</f>
        <v>79419</v>
      </c>
      <c r="DH402" s="20">
        <f ca="1">IF(Table1[[#This Row],[Column1]]="Education",Table1[[#This Row],[income]],0)</f>
        <v>0</v>
      </c>
      <c r="DI402" s="5">
        <f ca="1">IF(Table1[[#This Row],[Column1]]="Construction",Table1[[#This Row],[income]],0)</f>
        <v>0</v>
      </c>
      <c r="DK402" s="6">
        <f ca="1">IF(Table1[[#This Row],[Value of Debts]]&gt;Table1[[#This Row],[income]],1,0)</f>
        <v>1</v>
      </c>
      <c r="DL402" s="20"/>
      <c r="DM402" s="20"/>
      <c r="DN402" s="5"/>
      <c r="DP402" s="6">
        <f ca="1">IF(Table1[[#This Row],[Net Worth (£)]]&gt;$DS$5,C402,0)</f>
        <v>0</v>
      </c>
      <c r="DQ402" s="20"/>
      <c r="DR402" s="20"/>
      <c r="DS402" s="5"/>
    </row>
    <row r="403" spans="1:123" x14ac:dyDescent="0.2">
      <c r="A403">
        <f t="shared" ca="1" si="19"/>
        <v>1</v>
      </c>
      <c r="B403" s="1" t="str">
        <f ca="1">IF(A403=1, "men", "women")</f>
        <v>men</v>
      </c>
      <c r="C403" s="1">
        <f ca="1">RANDBETWEEN(25,50)</f>
        <v>47</v>
      </c>
      <c r="D403">
        <f ca="1">RANDBETWEEN(1,6)</f>
        <v>4</v>
      </c>
      <c r="E403" t="str">
        <f ca="1">VLOOKUP(D403,$W$5:$X$10,2)</f>
        <v>Technology</v>
      </c>
      <c r="F403">
        <f ca="1">RANDBETWEEN(1,5)</f>
        <v>5</v>
      </c>
      <c r="G403" t="str">
        <f ca="1">VLOOKUP(F403,$Y$5:$Z$9,2)</f>
        <v>Other</v>
      </c>
      <c r="H403">
        <f ca="1">RANDBETWEEN(0,4)</f>
        <v>1</v>
      </c>
      <c r="I403">
        <f ca="1">RANDBETWEEN(1,3)</f>
        <v>2</v>
      </c>
      <c r="J403">
        <f ca="1">RANDBETWEEN(30000,100000)</f>
        <v>42638</v>
      </c>
      <c r="K403">
        <f ca="1">RANDBETWEEN(1,48)</f>
        <v>7</v>
      </c>
      <c r="L403" t="str">
        <f ca="1">VLOOKUP(K403,$AA$5:$AB$52,2)</f>
        <v>City of London</v>
      </c>
      <c r="M403">
        <f ca="1">J403*(RANDBETWEEN(2,5))</f>
        <v>85276</v>
      </c>
      <c r="N403">
        <f ca="1">RAND()*M403</f>
        <v>60022.545274864417</v>
      </c>
      <c r="O403">
        <f ca="1">I403*RAND()*J403</f>
        <v>34683.192112107448</v>
      </c>
      <c r="P403">
        <f ca="1">RANDBETWEEN(0,O403)</f>
        <v>23409</v>
      </c>
      <c r="Q403">
        <f ca="1">RAND()*J403*2</f>
        <v>62464.856647480039</v>
      </c>
      <c r="R403">
        <f ca="1">RAND()*J403*1.5</f>
        <v>53309.328307843622</v>
      </c>
      <c r="S403">
        <f ca="1">J403+R403+O403</f>
        <v>130630.52041995106</v>
      </c>
      <c r="T403">
        <f ca="1">N403+P403+Q403</f>
        <v>145896.40192234446</v>
      </c>
      <c r="U403">
        <f ca="1">S403-T403</f>
        <v>-15265.8815023934</v>
      </c>
      <c r="AC403" s="6">
        <f ca="1">IF(Table1[[#This Row],[gender]]="men",1,0)</f>
        <v>1</v>
      </c>
      <c r="AD403">
        <f ca="1">IF(Table1[[#This Row],[gender]]="women",1,0)</f>
        <v>0</v>
      </c>
      <c r="AH403" s="5"/>
      <c r="AJ403" s="6">
        <f ca="1">IF(Table1[[#This Row],[Column1]]="Health",1,0)</f>
        <v>0</v>
      </c>
      <c r="AK403">
        <f ca="1">IF(Table1[[#This Row],[Column1]]="Construction",1,0)</f>
        <v>0</v>
      </c>
      <c r="AL403">
        <f ca="1">IF(Table1[[#This Row],[Column1]]="Technology",1,0)</f>
        <v>1</v>
      </c>
      <c r="AM403">
        <f ca="1">IF(Table1[[#This Row],[Column1]]="Education",1,0)</f>
        <v>0</v>
      </c>
      <c r="AN403">
        <f ca="1">IF(Table1[[#This Row],[Column1]]="Agriculture",1,0)</f>
        <v>0</v>
      </c>
      <c r="AO403">
        <f ca="1">IF(Table1[[#This Row],[Column1]]="Social Service", 1, 0)</f>
        <v>0</v>
      </c>
      <c r="AT403" s="5"/>
      <c r="AV403" s="17">
        <f t="shared" ca="1" si="18"/>
        <v>12118.152687331984</v>
      </c>
      <c r="AW403" s="5"/>
      <c r="AX403" s="6">
        <f ca="1">IF(Table1[[#This Row],[Value of Debts]]&gt;$AY$4,1,0)</f>
        <v>1</v>
      </c>
      <c r="AY403" s="20"/>
      <c r="AZ403" s="20"/>
      <c r="BA403" s="5"/>
      <c r="BB403" s="25">
        <f ca="1">Table1[[#This Row],[Mortage Left]]/Table1[[#This Row],[Value of House]]</f>
        <v>0.70386210979483577</v>
      </c>
      <c r="BC403" s="20">
        <f t="shared" ca="1" si="20"/>
        <v>0</v>
      </c>
      <c r="BD403" s="20"/>
      <c r="BE403" s="20"/>
      <c r="BF403" s="20"/>
      <c r="BG403" s="6">
        <f ca="1">IF(Table1[[#This Row],[County]]="Cumbria",Table1[[#This Row],[income]],0)</f>
        <v>0</v>
      </c>
      <c r="BH403" s="20">
        <f ca="1">IF(Table1[[#This Row],[County]]="Cheshire",Table1[[#This Row],[income]],0)</f>
        <v>0</v>
      </c>
      <c r="BI403" s="20">
        <f ca="1">IF(Table1[[#This Row],[County]]="Bristol",Table1[[#This Row],[income]],0)</f>
        <v>0</v>
      </c>
      <c r="BJ403" s="20">
        <f ca="1">IF(Table1[[#This Row],[County]]="Surrey",Table1[[#This Row],[income]],0)</f>
        <v>0</v>
      </c>
      <c r="BK403" s="20">
        <f ca="1">IF(Table1[[#This Row],[County]]="Norfolk",Table1[[#This Row],[income]],0)</f>
        <v>0</v>
      </c>
      <c r="BL403" s="20">
        <f ca="1">IF(Table1[[#This Row],[County]]="Lincolnshire",Table1[[#This Row],[income]],0)</f>
        <v>0</v>
      </c>
      <c r="BM403" s="20">
        <f ca="1">IF(Table1[[#This Row],[County]]="Somerset",Table1[[#This Row],[income]],0)</f>
        <v>0</v>
      </c>
      <c r="BN403" s="20">
        <f ca="1">IF(Table1[[#This Row],[County]]="Cambridgeshire",Table1[[#This Row],[income]],0)</f>
        <v>0</v>
      </c>
      <c r="BO403" s="20">
        <f ca="1">IF(Table1[[#This Row],[County]]="South Yorkshire",Table1[[#This Row],[income]],0)</f>
        <v>0</v>
      </c>
      <c r="BP403" s="20">
        <f ca="1">IF(Table1[[#This Row],[County]]="Greater London",Table1[[#This Row],[income]],0)</f>
        <v>0</v>
      </c>
      <c r="BQ403" s="20">
        <f ca="1">IF(Table1[[#This Row],[County]]="Hampshire",Table1[[#This Row],[income]],0)</f>
        <v>0</v>
      </c>
      <c r="BR403" s="20">
        <f ca="1">IF(Table1[[#This Row],[County]]="Gloucestershire",Table1[[#This Row],[income]],0)</f>
        <v>0</v>
      </c>
      <c r="BS403" s="20">
        <f ca="1">IF(Table1[[#This Row],[County]]="West Sussex",Table1[[#This Row],[income]],0)</f>
        <v>0</v>
      </c>
      <c r="BT403" s="20">
        <f ca="1">IF(Table1[[#This Row],[County]]="Devon",Table1[[#This Row],[income]],0)</f>
        <v>0</v>
      </c>
      <c r="BU403" s="20">
        <f ca="1">IF(Table1[[#This Row],[County]]="Berkshire",Table1[[#This Row],[income]],0)</f>
        <v>0</v>
      </c>
      <c r="BV403" s="20">
        <f ca="1">IF(Table1[[#This Row],[County]]="Staffordshire",Table1[[#This Row],[income]],0)</f>
        <v>0</v>
      </c>
      <c r="BW403" s="20">
        <f ca="1">IF(Table1[[#This Row],[County]]="Leicestershire",Table1[[#This Row],[income]],0)</f>
        <v>0</v>
      </c>
      <c r="BX403" s="20">
        <f ca="1">IF(Table1[[#This Row],[County]]="Cornwall",Table1[[#This Row],[income]],0)</f>
        <v>0</v>
      </c>
      <c r="BY403" s="20">
        <f ca="1">IF(Table1[[#This Row],[County]]="Isle of Wight",Table1[[#This Row],[income]],0)</f>
        <v>0</v>
      </c>
      <c r="BZ403" s="20">
        <f ca="1">IF(Table1[[#This Row],[County]]="Surrey",Table1[[#This Row],[income]],0)</f>
        <v>0</v>
      </c>
      <c r="CA403" s="20">
        <f ca="1">IF(Table1[[#This Row],[County]]="Derbyshire",Table1[[#This Row],[income]],0)</f>
        <v>0</v>
      </c>
      <c r="CB403" s="20">
        <f ca="1">IF(Table1[[#This Row],[County]]="City of London",Table1[[#This Row],[income]],0)</f>
        <v>42638</v>
      </c>
      <c r="CC403" s="20">
        <f ca="1">IF(Table1[[#This Row],[County]]="Bedfordshire",Table1[[#This Row],[income]],0)</f>
        <v>0</v>
      </c>
      <c r="CD403" s="20">
        <f ca="1">IF(Table1[[#This Row],[County]]="County Durham",Table1[[#This Row],[income]],0)</f>
        <v>0</v>
      </c>
      <c r="CE403" s="20">
        <f ca="1">IF(Table1[[#This Row],[County]]="East Riding of Yorkshire",Table1[[#This Row],[income]],0)</f>
        <v>0</v>
      </c>
      <c r="CF403" s="20">
        <f ca="1">IF(Table1[[#This Row],[County]]="West Yorkshire",Table1[[#This Row],[income]],0)</f>
        <v>0</v>
      </c>
      <c r="CG403" s="20">
        <f ca="1">IF(Table1[[#This Row],[County]]="Essex",Table1[[#This Row],[income]],0)</f>
        <v>0</v>
      </c>
      <c r="CH403" s="20">
        <f ca="1">IF(Table1[[#This Row],[County]]="East Sussex",Table1[[#This Row],[income]],0)</f>
        <v>0</v>
      </c>
      <c r="CI403" s="20">
        <f ca="1">IF(Table1[[#This Row],[County]]="Greater Manchester",Table1[[#This Row],[income]],0)</f>
        <v>0</v>
      </c>
      <c r="CJ403" s="20">
        <f ca="1">IF(Table1[[#This Row],[County]]="Hertfordshire",Table1[[#This Row],[income]],0)</f>
        <v>0</v>
      </c>
      <c r="CK403" s="20">
        <f ca="1">IF(Table1[[#This Row],[County]]="Herefordshire",Table1[[#This Row],[income]],0)</f>
        <v>0</v>
      </c>
      <c r="CL403" s="20">
        <f ca="1">IF(Table1[[#This Row],[County]]="Lancashire",Table1[[#This Row],[income]],0)</f>
        <v>0</v>
      </c>
      <c r="CM403" s="20">
        <f ca="1">IF(Table1[[#This Row],[County]]="Merseyside",Table1[[#This Row],[income]],0)</f>
        <v>0</v>
      </c>
      <c r="CN403" s="20">
        <f ca="1">IF(Table1[[#This Row],[County]]="Northamptonshire",Table1[[#This Row],[income]],0)</f>
        <v>0</v>
      </c>
      <c r="CO403" s="20">
        <f ca="1">IF(Table1[[#This Row],[County]]="Northumberland",Table1[[#This Row],[income]],0)</f>
        <v>0</v>
      </c>
      <c r="CP403" s="20">
        <f ca="1">IF(Table1[[#This Row],[County]]="Wiltshire",Table1[[#This Row],[income]],0)</f>
        <v>0</v>
      </c>
      <c r="CQ403" s="20">
        <f ca="1">IF(Table1[[#This Row],[County]]="West Midlands",Table1[[#This Row],[income]],0)</f>
        <v>0</v>
      </c>
      <c r="CR403" s="20">
        <f ca="1">IF(Table1[[#This Row],[County]]="Warwickshire",Table1[[#This Row],[income]],0)</f>
        <v>0</v>
      </c>
      <c r="CS403" s="20">
        <f ca="1">IF(Table1[[#This Row],[County]]="Tyne and Wear",Table1[[#This Row],[income]],0)</f>
        <v>0</v>
      </c>
      <c r="CT403" s="20">
        <f ca="1">IF(Table1[[#This Row],[County]]="Worcestershire",Table1[[#This Row],[income]],0)</f>
        <v>0</v>
      </c>
      <c r="CU403" s="20">
        <f ca="1">IF(Table1[[#This Row],[County]]="Rutland",Table1[[#This Row],[income]],0)</f>
        <v>0</v>
      </c>
      <c r="CV403" s="20">
        <f ca="1">IF(Table1[[#This Row],[County]]="Shropshire",Table1[[#This Row],[income]],0)</f>
        <v>0</v>
      </c>
      <c r="CW403" s="20">
        <f ca="1">IF(Table1[[#This Row],[County]]="Dorset",Table1[[#This Row],[income]],0)</f>
        <v>0</v>
      </c>
      <c r="CX403" s="20">
        <f ca="1">IF(Table1[[#This Row],[County]]="Buckinghamshire",Table1[[#This Row],[income]],0)</f>
        <v>0</v>
      </c>
      <c r="CY403" s="20">
        <f ca="1">IF(Table1[[#This Row],[County]]="Suffolk",Table1[[#This Row],[income]],0)</f>
        <v>0</v>
      </c>
      <c r="CZ403" s="20">
        <f ca="1">IF(Table1[[#This Row],[County]]="North Yorkshire",Table1[[#This Row],[income]],0)</f>
        <v>0</v>
      </c>
      <c r="DA403" s="20">
        <f ca="1">IF(Table1[[#This Row],[County]]="Kent",Table1[[#This Row],[income]],0)</f>
        <v>0</v>
      </c>
      <c r="DB403" s="5">
        <f ca="1">IF(Table1[[#This Row],[County]]="Derbyshire",Table1[[#This Row],[income]],0)</f>
        <v>0</v>
      </c>
      <c r="DD403" s="6">
        <f ca="1">IF(Table1[[#This Row],[Column1]]="Health",Table1[[#This Row],[income]],0)</f>
        <v>0</v>
      </c>
      <c r="DE403" s="20">
        <f ca="1">IF(Table1[[#This Row],[Column1]]="Agriculture",Table1[[#This Row],[income]],0)</f>
        <v>0</v>
      </c>
      <c r="DF403" s="20">
        <f ca="1">IF(Table1[[#This Row],[Column1]]="Technology",Table1[[#This Row],[income]],0)</f>
        <v>42638</v>
      </c>
      <c r="DG403" s="20">
        <f ca="1">IF(Table1[[#This Row],[Column1]]="Social Service",Table1[[#This Row],[income]],0)</f>
        <v>0</v>
      </c>
      <c r="DH403" s="20">
        <f ca="1">IF(Table1[[#This Row],[Column1]]="Education",Table1[[#This Row],[income]],0)</f>
        <v>0</v>
      </c>
      <c r="DI403" s="5">
        <f ca="1">IF(Table1[[#This Row],[Column1]]="Construction",Table1[[#This Row],[income]],0)</f>
        <v>0</v>
      </c>
      <c r="DK403" s="6">
        <f ca="1">IF(Table1[[#This Row],[Value of Debts]]&gt;Table1[[#This Row],[income]],1,0)</f>
        <v>1</v>
      </c>
      <c r="DL403" s="20"/>
      <c r="DM403" s="20"/>
      <c r="DN403" s="5"/>
      <c r="DP403" s="6">
        <f ca="1">IF(Table1[[#This Row],[Net Worth (£)]]&gt;$DS$5,C403,0)</f>
        <v>0</v>
      </c>
      <c r="DQ403" s="20"/>
      <c r="DR403" s="20"/>
      <c r="DS403" s="5"/>
    </row>
    <row r="404" spans="1:123" x14ac:dyDescent="0.2">
      <c r="A404">
        <f t="shared" ca="1" si="19"/>
        <v>2</v>
      </c>
      <c r="B404" s="1" t="str">
        <f ca="1">IF(A404=1, "men", "women")</f>
        <v>women</v>
      </c>
      <c r="C404" s="1">
        <f ca="1">RANDBETWEEN(25,50)</f>
        <v>27</v>
      </c>
      <c r="D404">
        <f ca="1">RANDBETWEEN(1,6)</f>
        <v>6</v>
      </c>
      <c r="E404" t="str">
        <f ca="1">VLOOKUP(D404,$W$5:$X$10,2)</f>
        <v>Agriculture</v>
      </c>
      <c r="F404">
        <f ca="1">RANDBETWEEN(1,5)</f>
        <v>1</v>
      </c>
      <c r="G404" t="str">
        <f ca="1">VLOOKUP(F404,$Y$5:$Z$9,2)</f>
        <v>High School</v>
      </c>
      <c r="H404">
        <f ca="1">RANDBETWEEN(0,4)</f>
        <v>1</v>
      </c>
      <c r="I404">
        <f ca="1">RANDBETWEEN(1,3)</f>
        <v>2</v>
      </c>
      <c r="J404">
        <f ca="1">RANDBETWEEN(30000,100000)</f>
        <v>43786</v>
      </c>
      <c r="K404">
        <f ca="1">RANDBETWEEN(1,48)</f>
        <v>8</v>
      </c>
      <c r="L404" t="str">
        <f ca="1">VLOOKUP(K404,$AA$5:$AB$52,2)</f>
        <v>Cornwall</v>
      </c>
      <c r="M404">
        <f ca="1">J404*(RANDBETWEEN(2,5))</f>
        <v>218930</v>
      </c>
      <c r="N404">
        <f ca="1">RAND()*M404</f>
        <v>46264.07073767262</v>
      </c>
      <c r="O404">
        <f ca="1">I404*RAND()*J404</f>
        <v>24236.305374663967</v>
      </c>
      <c r="P404">
        <f ca="1">RANDBETWEEN(0,O404)</f>
        <v>13557</v>
      </c>
      <c r="Q404">
        <f ca="1">RAND()*J404*2</f>
        <v>45169.195288572286</v>
      </c>
      <c r="R404">
        <f ca="1">RAND()*J404*1.5</f>
        <v>33616.648940749365</v>
      </c>
      <c r="S404">
        <f ca="1">J404+R404+O404</f>
        <v>101638.95431541333</v>
      </c>
      <c r="T404">
        <f ca="1">N404+P404+Q404</f>
        <v>104990.26602624491</v>
      </c>
      <c r="U404">
        <f ca="1">S404-T404</f>
        <v>-3351.3117108315782</v>
      </c>
      <c r="AC404" s="6">
        <f ca="1">IF(Table1[[#This Row],[gender]]="men",1,0)</f>
        <v>0</v>
      </c>
      <c r="AD404">
        <f ca="1">IF(Table1[[#This Row],[gender]]="women",1,0)</f>
        <v>1</v>
      </c>
      <c r="AH404" s="5"/>
      <c r="AJ404" s="6">
        <f ca="1">IF(Table1[[#This Row],[Column1]]="Health",1,0)</f>
        <v>0</v>
      </c>
      <c r="AK404">
        <f ca="1">IF(Table1[[#This Row],[Column1]]="Construction",1,0)</f>
        <v>0</v>
      </c>
      <c r="AL404">
        <f ca="1">IF(Table1[[#This Row],[Column1]]="Technology",1,0)</f>
        <v>0</v>
      </c>
      <c r="AM404">
        <f ca="1">IF(Table1[[#This Row],[Column1]]="Education",1,0)</f>
        <v>0</v>
      </c>
      <c r="AN404">
        <f ca="1">IF(Table1[[#This Row],[Column1]]="Agriculture",1,0)</f>
        <v>1</v>
      </c>
      <c r="AO404">
        <f ca="1">IF(Table1[[#This Row],[Column1]]="Social Service", 1, 0)</f>
        <v>0</v>
      </c>
      <c r="AT404" s="5"/>
      <c r="AV404" s="17">
        <f t="shared" ca="1" si="18"/>
        <v>27137.944140747695</v>
      </c>
      <c r="AW404" s="5"/>
      <c r="AX404" s="6">
        <f ca="1">IF(Table1[[#This Row],[Value of Debts]]&gt;$AY$4,1,0)</f>
        <v>1</v>
      </c>
      <c r="AY404" s="20"/>
      <c r="AZ404" s="20"/>
      <c r="BA404" s="5"/>
      <c r="BB404" s="25">
        <f ca="1">Table1[[#This Row],[Mortage Left]]/Table1[[#This Row],[Value of House]]</f>
        <v>0.21131900944444626</v>
      </c>
      <c r="BC404" s="20">
        <f t="shared" ca="1" si="20"/>
        <v>1</v>
      </c>
      <c r="BD404" s="20"/>
      <c r="BE404" s="20"/>
      <c r="BF404" s="20"/>
      <c r="BG404" s="6">
        <f ca="1">IF(Table1[[#This Row],[County]]="Cumbria",Table1[[#This Row],[income]],0)</f>
        <v>0</v>
      </c>
      <c r="BH404" s="20">
        <f ca="1">IF(Table1[[#This Row],[County]]="Cheshire",Table1[[#This Row],[income]],0)</f>
        <v>0</v>
      </c>
      <c r="BI404" s="20">
        <f ca="1">IF(Table1[[#This Row],[County]]="Bristol",Table1[[#This Row],[income]],0)</f>
        <v>0</v>
      </c>
      <c r="BJ404" s="20">
        <f ca="1">IF(Table1[[#This Row],[County]]="Surrey",Table1[[#This Row],[income]],0)</f>
        <v>0</v>
      </c>
      <c r="BK404" s="20">
        <f ca="1">IF(Table1[[#This Row],[County]]="Norfolk",Table1[[#This Row],[income]],0)</f>
        <v>0</v>
      </c>
      <c r="BL404" s="20">
        <f ca="1">IF(Table1[[#This Row],[County]]="Lincolnshire",Table1[[#This Row],[income]],0)</f>
        <v>0</v>
      </c>
      <c r="BM404" s="20">
        <f ca="1">IF(Table1[[#This Row],[County]]="Somerset",Table1[[#This Row],[income]],0)</f>
        <v>0</v>
      </c>
      <c r="BN404" s="20">
        <f ca="1">IF(Table1[[#This Row],[County]]="Cambridgeshire",Table1[[#This Row],[income]],0)</f>
        <v>0</v>
      </c>
      <c r="BO404" s="20">
        <f ca="1">IF(Table1[[#This Row],[County]]="South Yorkshire",Table1[[#This Row],[income]],0)</f>
        <v>0</v>
      </c>
      <c r="BP404" s="20">
        <f ca="1">IF(Table1[[#This Row],[County]]="Greater London",Table1[[#This Row],[income]],0)</f>
        <v>0</v>
      </c>
      <c r="BQ404" s="20">
        <f ca="1">IF(Table1[[#This Row],[County]]="Hampshire",Table1[[#This Row],[income]],0)</f>
        <v>0</v>
      </c>
      <c r="BR404" s="20">
        <f ca="1">IF(Table1[[#This Row],[County]]="Gloucestershire",Table1[[#This Row],[income]],0)</f>
        <v>0</v>
      </c>
      <c r="BS404" s="20">
        <f ca="1">IF(Table1[[#This Row],[County]]="West Sussex",Table1[[#This Row],[income]],0)</f>
        <v>0</v>
      </c>
      <c r="BT404" s="20">
        <f ca="1">IF(Table1[[#This Row],[County]]="Devon",Table1[[#This Row],[income]],0)</f>
        <v>0</v>
      </c>
      <c r="BU404" s="20">
        <f ca="1">IF(Table1[[#This Row],[County]]="Berkshire",Table1[[#This Row],[income]],0)</f>
        <v>0</v>
      </c>
      <c r="BV404" s="20">
        <f ca="1">IF(Table1[[#This Row],[County]]="Staffordshire",Table1[[#This Row],[income]],0)</f>
        <v>0</v>
      </c>
      <c r="BW404" s="20">
        <f ca="1">IF(Table1[[#This Row],[County]]="Leicestershire",Table1[[#This Row],[income]],0)</f>
        <v>0</v>
      </c>
      <c r="BX404" s="20">
        <f ca="1">IF(Table1[[#This Row],[County]]="Cornwall",Table1[[#This Row],[income]],0)</f>
        <v>43786</v>
      </c>
      <c r="BY404" s="20">
        <f ca="1">IF(Table1[[#This Row],[County]]="Isle of Wight",Table1[[#This Row],[income]],0)</f>
        <v>0</v>
      </c>
      <c r="BZ404" s="20">
        <f ca="1">IF(Table1[[#This Row],[County]]="Surrey",Table1[[#This Row],[income]],0)</f>
        <v>0</v>
      </c>
      <c r="CA404" s="20">
        <f ca="1">IF(Table1[[#This Row],[County]]="Derbyshire",Table1[[#This Row],[income]],0)</f>
        <v>0</v>
      </c>
      <c r="CB404" s="20">
        <f ca="1">IF(Table1[[#This Row],[County]]="City of London",Table1[[#This Row],[income]],0)</f>
        <v>0</v>
      </c>
      <c r="CC404" s="20">
        <f ca="1">IF(Table1[[#This Row],[County]]="Bedfordshire",Table1[[#This Row],[income]],0)</f>
        <v>0</v>
      </c>
      <c r="CD404" s="20">
        <f ca="1">IF(Table1[[#This Row],[County]]="County Durham",Table1[[#This Row],[income]],0)</f>
        <v>0</v>
      </c>
      <c r="CE404" s="20">
        <f ca="1">IF(Table1[[#This Row],[County]]="East Riding of Yorkshire",Table1[[#This Row],[income]],0)</f>
        <v>0</v>
      </c>
      <c r="CF404" s="20">
        <f ca="1">IF(Table1[[#This Row],[County]]="West Yorkshire",Table1[[#This Row],[income]],0)</f>
        <v>0</v>
      </c>
      <c r="CG404" s="20">
        <f ca="1">IF(Table1[[#This Row],[County]]="Essex",Table1[[#This Row],[income]],0)</f>
        <v>0</v>
      </c>
      <c r="CH404" s="20">
        <f ca="1">IF(Table1[[#This Row],[County]]="East Sussex",Table1[[#This Row],[income]],0)</f>
        <v>0</v>
      </c>
      <c r="CI404" s="20">
        <f ca="1">IF(Table1[[#This Row],[County]]="Greater Manchester",Table1[[#This Row],[income]],0)</f>
        <v>0</v>
      </c>
      <c r="CJ404" s="20">
        <f ca="1">IF(Table1[[#This Row],[County]]="Hertfordshire",Table1[[#This Row],[income]],0)</f>
        <v>0</v>
      </c>
      <c r="CK404" s="20">
        <f ca="1">IF(Table1[[#This Row],[County]]="Herefordshire",Table1[[#This Row],[income]],0)</f>
        <v>0</v>
      </c>
      <c r="CL404" s="20">
        <f ca="1">IF(Table1[[#This Row],[County]]="Lancashire",Table1[[#This Row],[income]],0)</f>
        <v>0</v>
      </c>
      <c r="CM404" s="20">
        <f ca="1">IF(Table1[[#This Row],[County]]="Merseyside",Table1[[#This Row],[income]],0)</f>
        <v>0</v>
      </c>
      <c r="CN404" s="20">
        <f ca="1">IF(Table1[[#This Row],[County]]="Northamptonshire",Table1[[#This Row],[income]],0)</f>
        <v>0</v>
      </c>
      <c r="CO404" s="20">
        <f ca="1">IF(Table1[[#This Row],[County]]="Northumberland",Table1[[#This Row],[income]],0)</f>
        <v>0</v>
      </c>
      <c r="CP404" s="20">
        <f ca="1">IF(Table1[[#This Row],[County]]="Wiltshire",Table1[[#This Row],[income]],0)</f>
        <v>0</v>
      </c>
      <c r="CQ404" s="20">
        <f ca="1">IF(Table1[[#This Row],[County]]="West Midlands",Table1[[#This Row],[income]],0)</f>
        <v>0</v>
      </c>
      <c r="CR404" s="20">
        <f ca="1">IF(Table1[[#This Row],[County]]="Warwickshire",Table1[[#This Row],[income]],0)</f>
        <v>0</v>
      </c>
      <c r="CS404" s="20">
        <f ca="1">IF(Table1[[#This Row],[County]]="Tyne and Wear",Table1[[#This Row],[income]],0)</f>
        <v>0</v>
      </c>
      <c r="CT404" s="20">
        <f ca="1">IF(Table1[[#This Row],[County]]="Worcestershire",Table1[[#This Row],[income]],0)</f>
        <v>0</v>
      </c>
      <c r="CU404" s="20">
        <f ca="1">IF(Table1[[#This Row],[County]]="Rutland",Table1[[#This Row],[income]],0)</f>
        <v>0</v>
      </c>
      <c r="CV404" s="20">
        <f ca="1">IF(Table1[[#This Row],[County]]="Shropshire",Table1[[#This Row],[income]],0)</f>
        <v>0</v>
      </c>
      <c r="CW404" s="20">
        <f ca="1">IF(Table1[[#This Row],[County]]="Dorset",Table1[[#This Row],[income]],0)</f>
        <v>0</v>
      </c>
      <c r="CX404" s="20">
        <f ca="1">IF(Table1[[#This Row],[County]]="Buckinghamshire",Table1[[#This Row],[income]],0)</f>
        <v>0</v>
      </c>
      <c r="CY404" s="20">
        <f ca="1">IF(Table1[[#This Row],[County]]="Suffolk",Table1[[#This Row],[income]],0)</f>
        <v>0</v>
      </c>
      <c r="CZ404" s="20">
        <f ca="1">IF(Table1[[#This Row],[County]]="North Yorkshire",Table1[[#This Row],[income]],0)</f>
        <v>0</v>
      </c>
      <c r="DA404" s="20">
        <f ca="1">IF(Table1[[#This Row],[County]]="Kent",Table1[[#This Row],[income]],0)</f>
        <v>0</v>
      </c>
      <c r="DB404" s="5">
        <f ca="1">IF(Table1[[#This Row],[County]]="Derbyshire",Table1[[#This Row],[income]],0)</f>
        <v>0</v>
      </c>
      <c r="DD404" s="6">
        <f ca="1">IF(Table1[[#This Row],[Column1]]="Health",Table1[[#This Row],[income]],0)</f>
        <v>0</v>
      </c>
      <c r="DE404" s="20">
        <f ca="1">IF(Table1[[#This Row],[Column1]]="Agriculture",Table1[[#This Row],[income]],0)</f>
        <v>43786</v>
      </c>
      <c r="DF404" s="20">
        <f ca="1">IF(Table1[[#This Row],[Column1]]="Technology",Table1[[#This Row],[income]],0)</f>
        <v>0</v>
      </c>
      <c r="DG404" s="20">
        <f ca="1">IF(Table1[[#This Row],[Column1]]="Social Service",Table1[[#This Row],[income]],0)</f>
        <v>0</v>
      </c>
      <c r="DH404" s="20">
        <f ca="1">IF(Table1[[#This Row],[Column1]]="Education",Table1[[#This Row],[income]],0)</f>
        <v>0</v>
      </c>
      <c r="DI404" s="5">
        <f ca="1">IF(Table1[[#This Row],[Column1]]="Construction",Table1[[#This Row],[income]],0)</f>
        <v>0</v>
      </c>
      <c r="DK404" s="6">
        <f ca="1">IF(Table1[[#This Row],[Value of Debts]]&gt;Table1[[#This Row],[income]],1,0)</f>
        <v>1</v>
      </c>
      <c r="DL404" s="20"/>
      <c r="DM404" s="20"/>
      <c r="DN404" s="5"/>
      <c r="DP404" s="6">
        <f ca="1">IF(Table1[[#This Row],[Net Worth (£)]]&gt;$DS$5,C404,0)</f>
        <v>0</v>
      </c>
      <c r="DQ404" s="20"/>
      <c r="DR404" s="20"/>
      <c r="DS404" s="5"/>
    </row>
    <row r="405" spans="1:123" x14ac:dyDescent="0.2">
      <c r="A405">
        <f t="shared" ca="1" si="19"/>
        <v>1</v>
      </c>
      <c r="B405" s="1" t="str">
        <f ca="1">IF(A405=1, "men", "women")</f>
        <v>men</v>
      </c>
      <c r="C405" s="1">
        <f ca="1">RANDBETWEEN(25,50)</f>
        <v>50</v>
      </c>
      <c r="D405">
        <f ca="1">RANDBETWEEN(1,6)</f>
        <v>2</v>
      </c>
      <c r="E405" t="str">
        <f ca="1">VLOOKUP(D405,$W$5:$X$10,2)</f>
        <v>Construction</v>
      </c>
      <c r="F405">
        <f ca="1">RANDBETWEEN(1,5)</f>
        <v>3</v>
      </c>
      <c r="G405" t="str">
        <f ca="1">VLOOKUP(F405,$Y$5:$Z$9,2)</f>
        <v>University</v>
      </c>
      <c r="H405">
        <f ca="1">RANDBETWEEN(0,4)</f>
        <v>1</v>
      </c>
      <c r="I405">
        <f ca="1">RANDBETWEEN(1,3)</f>
        <v>2</v>
      </c>
      <c r="J405">
        <f ca="1">RANDBETWEEN(30000,100000)</f>
        <v>43396</v>
      </c>
      <c r="K405">
        <f ca="1">RANDBETWEEN(1,48)</f>
        <v>33</v>
      </c>
      <c r="L405" t="str">
        <f ca="1">VLOOKUP(K405,$AA$5:$AB$52,2)</f>
        <v>Nottinghamshire</v>
      </c>
      <c r="M405">
        <f ca="1">J405*(RANDBETWEEN(2,5))</f>
        <v>130188</v>
      </c>
      <c r="N405">
        <f ca="1">RAND()*M405</f>
        <v>36781.492649218017</v>
      </c>
      <c r="O405">
        <f ca="1">I405*RAND()*J405</f>
        <v>54275.88828149539</v>
      </c>
      <c r="P405">
        <f ca="1">RANDBETWEEN(0,O405)</f>
        <v>8860</v>
      </c>
      <c r="Q405">
        <f ca="1">RAND()*J405*2</f>
        <v>4209.7078142155142</v>
      </c>
      <c r="R405">
        <f ca="1">RAND()*J405*1.5</f>
        <v>59955.125647648398</v>
      </c>
      <c r="S405">
        <f ca="1">J405+R405+O405</f>
        <v>157627.01392914378</v>
      </c>
      <c r="T405">
        <f ca="1">N405+P405+Q405</f>
        <v>49851.200463433532</v>
      </c>
      <c r="U405">
        <f ca="1">S405-T405</f>
        <v>107775.81346571025</v>
      </c>
      <c r="AC405" s="6">
        <f ca="1">IF(Table1[[#This Row],[gender]]="men",1,0)</f>
        <v>1</v>
      </c>
      <c r="AD405">
        <f ca="1">IF(Table1[[#This Row],[gender]]="women",1,0)</f>
        <v>0</v>
      </c>
      <c r="AH405" s="5"/>
      <c r="AJ405" s="6">
        <f ca="1">IF(Table1[[#This Row],[Column1]]="Health",1,0)</f>
        <v>0</v>
      </c>
      <c r="AK405">
        <f ca="1">IF(Table1[[#This Row],[Column1]]="Construction",1,0)</f>
        <v>1</v>
      </c>
      <c r="AL405">
        <f ca="1">IF(Table1[[#This Row],[Column1]]="Technology",1,0)</f>
        <v>0</v>
      </c>
      <c r="AM405">
        <f ca="1">IF(Table1[[#This Row],[Column1]]="Education",1,0)</f>
        <v>0</v>
      </c>
      <c r="AN405">
        <f ca="1">IF(Table1[[#This Row],[Column1]]="Agriculture",1,0)</f>
        <v>0</v>
      </c>
      <c r="AO405">
        <f ca="1">IF(Table1[[#This Row],[Column1]]="Social Service", 1, 0)</f>
        <v>0</v>
      </c>
      <c r="AT405" s="5"/>
      <c r="AV405" s="17">
        <f t="shared" ca="1" si="18"/>
        <v>37077.521579469721</v>
      </c>
      <c r="AW405" s="5"/>
      <c r="AX405" s="6">
        <f ca="1">IF(Table1[[#This Row],[Value of Debts]]&gt;$AY$4,1,0)</f>
        <v>0</v>
      </c>
      <c r="AY405" s="20"/>
      <c r="AZ405" s="20"/>
      <c r="BA405" s="5"/>
      <c r="BB405" s="25">
        <f ca="1">Table1[[#This Row],[Mortage Left]]/Table1[[#This Row],[Value of House]]</f>
        <v>0.28252598280346897</v>
      </c>
      <c r="BC405" s="20">
        <f t="shared" ca="1" si="20"/>
        <v>1</v>
      </c>
      <c r="BD405" s="20"/>
      <c r="BE405" s="20"/>
      <c r="BF405" s="20"/>
      <c r="BG405" s="6">
        <f ca="1">IF(Table1[[#This Row],[County]]="Cumbria",Table1[[#This Row],[income]],0)</f>
        <v>0</v>
      </c>
      <c r="BH405" s="20">
        <f ca="1">IF(Table1[[#This Row],[County]]="Cheshire",Table1[[#This Row],[income]],0)</f>
        <v>0</v>
      </c>
      <c r="BI405" s="20">
        <f ca="1">IF(Table1[[#This Row],[County]]="Bristol",Table1[[#This Row],[income]],0)</f>
        <v>0</v>
      </c>
      <c r="BJ405" s="20">
        <f ca="1">IF(Table1[[#This Row],[County]]="Surrey",Table1[[#This Row],[income]],0)</f>
        <v>0</v>
      </c>
      <c r="BK405" s="20">
        <f ca="1">IF(Table1[[#This Row],[County]]="Norfolk",Table1[[#This Row],[income]],0)</f>
        <v>0</v>
      </c>
      <c r="BL405" s="20">
        <f ca="1">IF(Table1[[#This Row],[County]]="Lincolnshire",Table1[[#This Row],[income]],0)</f>
        <v>0</v>
      </c>
      <c r="BM405" s="20">
        <f ca="1">IF(Table1[[#This Row],[County]]="Somerset",Table1[[#This Row],[income]],0)</f>
        <v>0</v>
      </c>
      <c r="BN405" s="20">
        <f ca="1">IF(Table1[[#This Row],[County]]="Cambridgeshire",Table1[[#This Row],[income]],0)</f>
        <v>0</v>
      </c>
      <c r="BO405" s="20">
        <f ca="1">IF(Table1[[#This Row],[County]]="South Yorkshire",Table1[[#This Row],[income]],0)</f>
        <v>0</v>
      </c>
      <c r="BP405" s="20">
        <f ca="1">IF(Table1[[#This Row],[County]]="Greater London",Table1[[#This Row],[income]],0)</f>
        <v>0</v>
      </c>
      <c r="BQ405" s="20">
        <f ca="1">IF(Table1[[#This Row],[County]]="Hampshire",Table1[[#This Row],[income]],0)</f>
        <v>0</v>
      </c>
      <c r="BR405" s="20">
        <f ca="1">IF(Table1[[#This Row],[County]]="Gloucestershire",Table1[[#This Row],[income]],0)</f>
        <v>0</v>
      </c>
      <c r="BS405" s="20">
        <f ca="1">IF(Table1[[#This Row],[County]]="West Sussex",Table1[[#This Row],[income]],0)</f>
        <v>0</v>
      </c>
      <c r="BT405" s="20">
        <f ca="1">IF(Table1[[#This Row],[County]]="Devon",Table1[[#This Row],[income]],0)</f>
        <v>0</v>
      </c>
      <c r="BU405" s="20">
        <f ca="1">IF(Table1[[#This Row],[County]]="Berkshire",Table1[[#This Row],[income]],0)</f>
        <v>0</v>
      </c>
      <c r="BV405" s="20">
        <f ca="1">IF(Table1[[#This Row],[County]]="Staffordshire",Table1[[#This Row],[income]],0)</f>
        <v>0</v>
      </c>
      <c r="BW405" s="20">
        <f ca="1">IF(Table1[[#This Row],[County]]="Leicestershire",Table1[[#This Row],[income]],0)</f>
        <v>0</v>
      </c>
      <c r="BX405" s="20">
        <f ca="1">IF(Table1[[#This Row],[County]]="Cornwall",Table1[[#This Row],[income]],0)</f>
        <v>0</v>
      </c>
      <c r="BY405" s="20">
        <f ca="1">IF(Table1[[#This Row],[County]]="Isle of Wight",Table1[[#This Row],[income]],0)</f>
        <v>0</v>
      </c>
      <c r="BZ405" s="20">
        <f ca="1">IF(Table1[[#This Row],[County]]="Surrey",Table1[[#This Row],[income]],0)</f>
        <v>0</v>
      </c>
      <c r="CA405" s="20">
        <f ca="1">IF(Table1[[#This Row],[County]]="Derbyshire",Table1[[#This Row],[income]],0)</f>
        <v>0</v>
      </c>
      <c r="CB405" s="20">
        <f ca="1">IF(Table1[[#This Row],[County]]="City of London",Table1[[#This Row],[income]],0)</f>
        <v>0</v>
      </c>
      <c r="CC405" s="20">
        <f ca="1">IF(Table1[[#This Row],[County]]="Bedfordshire",Table1[[#This Row],[income]],0)</f>
        <v>0</v>
      </c>
      <c r="CD405" s="20">
        <f ca="1">IF(Table1[[#This Row],[County]]="County Durham",Table1[[#This Row],[income]],0)</f>
        <v>0</v>
      </c>
      <c r="CE405" s="20">
        <f ca="1">IF(Table1[[#This Row],[County]]="East Riding of Yorkshire",Table1[[#This Row],[income]],0)</f>
        <v>0</v>
      </c>
      <c r="CF405" s="20">
        <f ca="1">IF(Table1[[#This Row],[County]]="West Yorkshire",Table1[[#This Row],[income]],0)</f>
        <v>0</v>
      </c>
      <c r="CG405" s="20">
        <f ca="1">IF(Table1[[#This Row],[County]]="Essex",Table1[[#This Row],[income]],0)</f>
        <v>0</v>
      </c>
      <c r="CH405" s="20">
        <f ca="1">IF(Table1[[#This Row],[County]]="East Sussex",Table1[[#This Row],[income]],0)</f>
        <v>0</v>
      </c>
      <c r="CI405" s="20">
        <f ca="1">IF(Table1[[#This Row],[County]]="Greater Manchester",Table1[[#This Row],[income]],0)</f>
        <v>0</v>
      </c>
      <c r="CJ405" s="20">
        <f ca="1">IF(Table1[[#This Row],[County]]="Hertfordshire",Table1[[#This Row],[income]],0)</f>
        <v>0</v>
      </c>
      <c r="CK405" s="20">
        <f ca="1">IF(Table1[[#This Row],[County]]="Herefordshire",Table1[[#This Row],[income]],0)</f>
        <v>0</v>
      </c>
      <c r="CL405" s="20">
        <f ca="1">IF(Table1[[#This Row],[County]]="Lancashire",Table1[[#This Row],[income]],0)</f>
        <v>0</v>
      </c>
      <c r="CM405" s="20">
        <f ca="1">IF(Table1[[#This Row],[County]]="Merseyside",Table1[[#This Row],[income]],0)</f>
        <v>0</v>
      </c>
      <c r="CN405" s="20">
        <f ca="1">IF(Table1[[#This Row],[County]]="Northamptonshire",Table1[[#This Row],[income]],0)</f>
        <v>0</v>
      </c>
      <c r="CO405" s="20">
        <f ca="1">IF(Table1[[#This Row],[County]]="Northumberland",Table1[[#This Row],[income]],0)</f>
        <v>0</v>
      </c>
      <c r="CP405" s="20">
        <f ca="1">IF(Table1[[#This Row],[County]]="Wiltshire",Table1[[#This Row],[income]],0)</f>
        <v>0</v>
      </c>
      <c r="CQ405" s="20">
        <f ca="1">IF(Table1[[#This Row],[County]]="West Midlands",Table1[[#This Row],[income]],0)</f>
        <v>0</v>
      </c>
      <c r="CR405" s="20">
        <f ca="1">IF(Table1[[#This Row],[County]]="Warwickshire",Table1[[#This Row],[income]],0)</f>
        <v>0</v>
      </c>
      <c r="CS405" s="20">
        <f ca="1">IF(Table1[[#This Row],[County]]="Tyne and Wear",Table1[[#This Row],[income]],0)</f>
        <v>0</v>
      </c>
      <c r="CT405" s="20">
        <f ca="1">IF(Table1[[#This Row],[County]]="Worcestershire",Table1[[#This Row],[income]],0)</f>
        <v>0</v>
      </c>
      <c r="CU405" s="20">
        <f ca="1">IF(Table1[[#This Row],[County]]="Rutland",Table1[[#This Row],[income]],0)</f>
        <v>0</v>
      </c>
      <c r="CV405" s="20">
        <f ca="1">IF(Table1[[#This Row],[County]]="Shropshire",Table1[[#This Row],[income]],0)</f>
        <v>0</v>
      </c>
      <c r="CW405" s="20">
        <f ca="1">IF(Table1[[#This Row],[County]]="Dorset",Table1[[#This Row],[income]],0)</f>
        <v>0</v>
      </c>
      <c r="CX405" s="20">
        <f ca="1">IF(Table1[[#This Row],[County]]="Buckinghamshire",Table1[[#This Row],[income]],0)</f>
        <v>0</v>
      </c>
      <c r="CY405" s="20">
        <f ca="1">IF(Table1[[#This Row],[County]]="Suffolk",Table1[[#This Row],[income]],0)</f>
        <v>0</v>
      </c>
      <c r="CZ405" s="20">
        <f ca="1">IF(Table1[[#This Row],[County]]="North Yorkshire",Table1[[#This Row],[income]],0)</f>
        <v>0</v>
      </c>
      <c r="DA405" s="20">
        <f ca="1">IF(Table1[[#This Row],[County]]="Kent",Table1[[#This Row],[income]],0)</f>
        <v>0</v>
      </c>
      <c r="DB405" s="5">
        <f ca="1">IF(Table1[[#This Row],[County]]="Derbyshire",Table1[[#This Row],[income]],0)</f>
        <v>0</v>
      </c>
      <c r="DD405" s="6">
        <f ca="1">IF(Table1[[#This Row],[Column1]]="Health",Table1[[#This Row],[income]],0)</f>
        <v>0</v>
      </c>
      <c r="DE405" s="20">
        <f ca="1">IF(Table1[[#This Row],[Column1]]="Agriculture",Table1[[#This Row],[income]],0)</f>
        <v>0</v>
      </c>
      <c r="DF405" s="20">
        <f ca="1">IF(Table1[[#This Row],[Column1]]="Technology",Table1[[#This Row],[income]],0)</f>
        <v>0</v>
      </c>
      <c r="DG405" s="20">
        <f ca="1">IF(Table1[[#This Row],[Column1]]="Social Service",Table1[[#This Row],[income]],0)</f>
        <v>0</v>
      </c>
      <c r="DH405" s="20">
        <f ca="1">IF(Table1[[#This Row],[Column1]]="Education",Table1[[#This Row],[income]],0)</f>
        <v>0</v>
      </c>
      <c r="DI405" s="5">
        <f ca="1">IF(Table1[[#This Row],[Column1]]="Construction",Table1[[#This Row],[income]],0)</f>
        <v>43396</v>
      </c>
      <c r="DK405" s="6">
        <f ca="1">IF(Table1[[#This Row],[Value of Debts]]&gt;Table1[[#This Row],[income]],1,0)</f>
        <v>1</v>
      </c>
      <c r="DL405" s="20"/>
      <c r="DM405" s="20"/>
      <c r="DN405" s="5"/>
      <c r="DP405" s="6">
        <f ca="1">IF(Table1[[#This Row],[Net Worth (£)]]&gt;$DS$5,C405,0)</f>
        <v>50</v>
      </c>
      <c r="DQ405" s="20"/>
      <c r="DR405" s="20"/>
      <c r="DS405" s="5"/>
    </row>
    <row r="406" spans="1:123" x14ac:dyDescent="0.2">
      <c r="A406">
        <f t="shared" ca="1" si="19"/>
        <v>2</v>
      </c>
      <c r="B406" s="1" t="str">
        <f ca="1">IF(A406=1, "men", "women")</f>
        <v>women</v>
      </c>
      <c r="C406" s="1">
        <f ca="1">RANDBETWEEN(25,50)</f>
        <v>28</v>
      </c>
      <c r="D406">
        <f ca="1">RANDBETWEEN(1,6)</f>
        <v>4</v>
      </c>
      <c r="E406" t="str">
        <f ca="1">VLOOKUP(D406,$W$5:$X$10,2)</f>
        <v>Technology</v>
      </c>
      <c r="F406">
        <f ca="1">RANDBETWEEN(1,5)</f>
        <v>3</v>
      </c>
      <c r="G406" t="str">
        <f ca="1">VLOOKUP(F406,$Y$5:$Z$9,2)</f>
        <v>University</v>
      </c>
      <c r="H406">
        <f ca="1">RANDBETWEEN(0,4)</f>
        <v>1</v>
      </c>
      <c r="I406">
        <f ca="1">RANDBETWEEN(1,3)</f>
        <v>2</v>
      </c>
      <c r="J406">
        <f ca="1">RANDBETWEEN(30000,100000)</f>
        <v>63834</v>
      </c>
      <c r="K406">
        <f ca="1">RANDBETWEEN(1,48)</f>
        <v>1</v>
      </c>
      <c r="L406" t="str">
        <f ca="1">VLOOKUP(K406,$AA$5:$AB$52,2)</f>
        <v>Bedfordshire</v>
      </c>
      <c r="M406">
        <f ca="1">J406*(RANDBETWEEN(2,5))</f>
        <v>319170</v>
      </c>
      <c r="N406">
        <f ca="1">RAND()*M406</f>
        <v>106664.52236234187</v>
      </c>
      <c r="O406">
        <f ca="1">I406*RAND()*J406</f>
        <v>74155.043158939443</v>
      </c>
      <c r="P406">
        <f ca="1">RANDBETWEEN(0,O406)</f>
        <v>43394</v>
      </c>
      <c r="Q406">
        <f ca="1">RAND()*J406*2</f>
        <v>73442.522419857632</v>
      </c>
      <c r="R406">
        <f ca="1">RAND()*J406*1.5</f>
        <v>28759.688616077052</v>
      </c>
      <c r="S406">
        <f ca="1">J406+R406+O406</f>
        <v>166748.73177501649</v>
      </c>
      <c r="T406">
        <f ca="1">N406+P406+Q406</f>
        <v>223501.04478219949</v>
      </c>
      <c r="U406">
        <f ca="1">S406-T406</f>
        <v>-56752.313007182995</v>
      </c>
      <c r="AC406" s="6">
        <f ca="1">IF(Table1[[#This Row],[gender]]="men",1,0)</f>
        <v>0</v>
      </c>
      <c r="AD406">
        <f ca="1">IF(Table1[[#This Row],[gender]]="women",1,0)</f>
        <v>1</v>
      </c>
      <c r="AH406" s="5"/>
      <c r="AJ406" s="6">
        <f ca="1">IF(Table1[[#This Row],[Column1]]="Health",1,0)</f>
        <v>0</v>
      </c>
      <c r="AK406">
        <f ca="1">IF(Table1[[#This Row],[Column1]]="Construction",1,0)</f>
        <v>0</v>
      </c>
      <c r="AL406">
        <f ca="1">IF(Table1[[#This Row],[Column1]]="Technology",1,0)</f>
        <v>1</v>
      </c>
      <c r="AM406">
        <f ca="1">IF(Table1[[#This Row],[Column1]]="Education",1,0)</f>
        <v>0</v>
      </c>
      <c r="AN406">
        <f ca="1">IF(Table1[[#This Row],[Column1]]="Agriculture",1,0)</f>
        <v>0</v>
      </c>
      <c r="AO406">
        <f ca="1">IF(Table1[[#This Row],[Column1]]="Social Service", 1, 0)</f>
        <v>0</v>
      </c>
      <c r="AT406" s="5"/>
      <c r="AV406" s="17">
        <f t="shared" ca="1" si="18"/>
        <v>5161.4596963606264</v>
      </c>
      <c r="AW406" s="5"/>
      <c r="AX406" s="6">
        <f ca="1">IF(Table1[[#This Row],[Value of Debts]]&gt;$AY$4,1,0)</f>
        <v>1</v>
      </c>
      <c r="AY406" s="20"/>
      <c r="AZ406" s="20"/>
      <c r="BA406" s="5"/>
      <c r="BB406" s="25">
        <f ca="1">Table1[[#This Row],[Mortage Left]]/Table1[[#This Row],[Value of House]]</f>
        <v>0.33419344663452666</v>
      </c>
      <c r="BC406" s="20">
        <f t="shared" ca="1" si="20"/>
        <v>0</v>
      </c>
      <c r="BD406" s="20"/>
      <c r="BE406" s="20"/>
      <c r="BF406" s="20"/>
      <c r="BG406" s="6">
        <f ca="1">IF(Table1[[#This Row],[County]]="Cumbria",Table1[[#This Row],[income]],0)</f>
        <v>0</v>
      </c>
      <c r="BH406" s="20">
        <f ca="1">IF(Table1[[#This Row],[County]]="Cheshire",Table1[[#This Row],[income]],0)</f>
        <v>0</v>
      </c>
      <c r="BI406" s="20">
        <f ca="1">IF(Table1[[#This Row],[County]]="Bristol",Table1[[#This Row],[income]],0)</f>
        <v>0</v>
      </c>
      <c r="BJ406" s="20">
        <f ca="1">IF(Table1[[#This Row],[County]]="Surrey",Table1[[#This Row],[income]],0)</f>
        <v>0</v>
      </c>
      <c r="BK406" s="20">
        <f ca="1">IF(Table1[[#This Row],[County]]="Norfolk",Table1[[#This Row],[income]],0)</f>
        <v>0</v>
      </c>
      <c r="BL406" s="20">
        <f ca="1">IF(Table1[[#This Row],[County]]="Lincolnshire",Table1[[#This Row],[income]],0)</f>
        <v>0</v>
      </c>
      <c r="BM406" s="20">
        <f ca="1">IF(Table1[[#This Row],[County]]="Somerset",Table1[[#This Row],[income]],0)</f>
        <v>0</v>
      </c>
      <c r="BN406" s="20">
        <f ca="1">IF(Table1[[#This Row],[County]]="Cambridgeshire",Table1[[#This Row],[income]],0)</f>
        <v>0</v>
      </c>
      <c r="BO406" s="20">
        <f ca="1">IF(Table1[[#This Row],[County]]="South Yorkshire",Table1[[#This Row],[income]],0)</f>
        <v>0</v>
      </c>
      <c r="BP406" s="20">
        <f ca="1">IF(Table1[[#This Row],[County]]="Greater London",Table1[[#This Row],[income]],0)</f>
        <v>0</v>
      </c>
      <c r="BQ406" s="20">
        <f ca="1">IF(Table1[[#This Row],[County]]="Hampshire",Table1[[#This Row],[income]],0)</f>
        <v>0</v>
      </c>
      <c r="BR406" s="20">
        <f ca="1">IF(Table1[[#This Row],[County]]="Gloucestershire",Table1[[#This Row],[income]],0)</f>
        <v>0</v>
      </c>
      <c r="BS406" s="20">
        <f ca="1">IF(Table1[[#This Row],[County]]="West Sussex",Table1[[#This Row],[income]],0)</f>
        <v>0</v>
      </c>
      <c r="BT406" s="20">
        <f ca="1">IF(Table1[[#This Row],[County]]="Devon",Table1[[#This Row],[income]],0)</f>
        <v>0</v>
      </c>
      <c r="BU406" s="20">
        <f ca="1">IF(Table1[[#This Row],[County]]="Berkshire",Table1[[#This Row],[income]],0)</f>
        <v>0</v>
      </c>
      <c r="BV406" s="20">
        <f ca="1">IF(Table1[[#This Row],[County]]="Staffordshire",Table1[[#This Row],[income]],0)</f>
        <v>0</v>
      </c>
      <c r="BW406" s="20">
        <f ca="1">IF(Table1[[#This Row],[County]]="Leicestershire",Table1[[#This Row],[income]],0)</f>
        <v>0</v>
      </c>
      <c r="BX406" s="20">
        <f ca="1">IF(Table1[[#This Row],[County]]="Cornwall",Table1[[#This Row],[income]],0)</f>
        <v>0</v>
      </c>
      <c r="BY406" s="20">
        <f ca="1">IF(Table1[[#This Row],[County]]="Isle of Wight",Table1[[#This Row],[income]],0)</f>
        <v>0</v>
      </c>
      <c r="BZ406" s="20">
        <f ca="1">IF(Table1[[#This Row],[County]]="Surrey",Table1[[#This Row],[income]],0)</f>
        <v>0</v>
      </c>
      <c r="CA406" s="20">
        <f ca="1">IF(Table1[[#This Row],[County]]="Derbyshire",Table1[[#This Row],[income]],0)</f>
        <v>0</v>
      </c>
      <c r="CB406" s="20">
        <f ca="1">IF(Table1[[#This Row],[County]]="City of London",Table1[[#This Row],[income]],0)</f>
        <v>0</v>
      </c>
      <c r="CC406" s="20">
        <f ca="1">IF(Table1[[#This Row],[County]]="Bedfordshire",Table1[[#This Row],[income]],0)</f>
        <v>63834</v>
      </c>
      <c r="CD406" s="20">
        <f ca="1">IF(Table1[[#This Row],[County]]="County Durham",Table1[[#This Row],[income]],0)</f>
        <v>0</v>
      </c>
      <c r="CE406" s="20">
        <f ca="1">IF(Table1[[#This Row],[County]]="East Riding of Yorkshire",Table1[[#This Row],[income]],0)</f>
        <v>0</v>
      </c>
      <c r="CF406" s="20">
        <f ca="1">IF(Table1[[#This Row],[County]]="West Yorkshire",Table1[[#This Row],[income]],0)</f>
        <v>0</v>
      </c>
      <c r="CG406" s="20">
        <f ca="1">IF(Table1[[#This Row],[County]]="Essex",Table1[[#This Row],[income]],0)</f>
        <v>0</v>
      </c>
      <c r="CH406" s="20">
        <f ca="1">IF(Table1[[#This Row],[County]]="East Sussex",Table1[[#This Row],[income]],0)</f>
        <v>0</v>
      </c>
      <c r="CI406" s="20">
        <f ca="1">IF(Table1[[#This Row],[County]]="Greater Manchester",Table1[[#This Row],[income]],0)</f>
        <v>0</v>
      </c>
      <c r="CJ406" s="20">
        <f ca="1">IF(Table1[[#This Row],[County]]="Hertfordshire",Table1[[#This Row],[income]],0)</f>
        <v>0</v>
      </c>
      <c r="CK406" s="20">
        <f ca="1">IF(Table1[[#This Row],[County]]="Herefordshire",Table1[[#This Row],[income]],0)</f>
        <v>0</v>
      </c>
      <c r="CL406" s="20">
        <f ca="1">IF(Table1[[#This Row],[County]]="Lancashire",Table1[[#This Row],[income]],0)</f>
        <v>0</v>
      </c>
      <c r="CM406" s="20">
        <f ca="1">IF(Table1[[#This Row],[County]]="Merseyside",Table1[[#This Row],[income]],0)</f>
        <v>0</v>
      </c>
      <c r="CN406" s="20">
        <f ca="1">IF(Table1[[#This Row],[County]]="Northamptonshire",Table1[[#This Row],[income]],0)</f>
        <v>0</v>
      </c>
      <c r="CO406" s="20">
        <f ca="1">IF(Table1[[#This Row],[County]]="Northumberland",Table1[[#This Row],[income]],0)</f>
        <v>0</v>
      </c>
      <c r="CP406" s="20">
        <f ca="1">IF(Table1[[#This Row],[County]]="Wiltshire",Table1[[#This Row],[income]],0)</f>
        <v>0</v>
      </c>
      <c r="CQ406" s="20">
        <f ca="1">IF(Table1[[#This Row],[County]]="West Midlands",Table1[[#This Row],[income]],0)</f>
        <v>0</v>
      </c>
      <c r="CR406" s="20">
        <f ca="1">IF(Table1[[#This Row],[County]]="Warwickshire",Table1[[#This Row],[income]],0)</f>
        <v>0</v>
      </c>
      <c r="CS406" s="20">
        <f ca="1">IF(Table1[[#This Row],[County]]="Tyne and Wear",Table1[[#This Row],[income]],0)</f>
        <v>0</v>
      </c>
      <c r="CT406" s="20">
        <f ca="1">IF(Table1[[#This Row],[County]]="Worcestershire",Table1[[#This Row],[income]],0)</f>
        <v>0</v>
      </c>
      <c r="CU406" s="20">
        <f ca="1">IF(Table1[[#This Row],[County]]="Rutland",Table1[[#This Row],[income]],0)</f>
        <v>0</v>
      </c>
      <c r="CV406" s="20">
        <f ca="1">IF(Table1[[#This Row],[County]]="Shropshire",Table1[[#This Row],[income]],0)</f>
        <v>0</v>
      </c>
      <c r="CW406" s="20">
        <f ca="1">IF(Table1[[#This Row],[County]]="Dorset",Table1[[#This Row],[income]],0)</f>
        <v>0</v>
      </c>
      <c r="CX406" s="20">
        <f ca="1">IF(Table1[[#This Row],[County]]="Buckinghamshire",Table1[[#This Row],[income]],0)</f>
        <v>0</v>
      </c>
      <c r="CY406" s="20">
        <f ca="1">IF(Table1[[#This Row],[County]]="Suffolk",Table1[[#This Row],[income]],0)</f>
        <v>0</v>
      </c>
      <c r="CZ406" s="20">
        <f ca="1">IF(Table1[[#This Row],[County]]="North Yorkshire",Table1[[#This Row],[income]],0)</f>
        <v>0</v>
      </c>
      <c r="DA406" s="20">
        <f ca="1">IF(Table1[[#This Row],[County]]="Kent",Table1[[#This Row],[income]],0)</f>
        <v>0</v>
      </c>
      <c r="DB406" s="5">
        <f ca="1">IF(Table1[[#This Row],[County]]="Derbyshire",Table1[[#This Row],[income]],0)</f>
        <v>0</v>
      </c>
      <c r="DD406" s="6">
        <f ca="1">IF(Table1[[#This Row],[Column1]]="Health",Table1[[#This Row],[income]],0)</f>
        <v>0</v>
      </c>
      <c r="DE406" s="20">
        <f ca="1">IF(Table1[[#This Row],[Column1]]="Agriculture",Table1[[#This Row],[income]],0)</f>
        <v>0</v>
      </c>
      <c r="DF406" s="20">
        <f ca="1">IF(Table1[[#This Row],[Column1]]="Technology",Table1[[#This Row],[income]],0)</f>
        <v>63834</v>
      </c>
      <c r="DG406" s="20">
        <f ca="1">IF(Table1[[#This Row],[Column1]]="Social Service",Table1[[#This Row],[income]],0)</f>
        <v>0</v>
      </c>
      <c r="DH406" s="20">
        <f ca="1">IF(Table1[[#This Row],[Column1]]="Education",Table1[[#This Row],[income]],0)</f>
        <v>0</v>
      </c>
      <c r="DI406" s="5">
        <f ca="1">IF(Table1[[#This Row],[Column1]]="Construction",Table1[[#This Row],[income]],0)</f>
        <v>0</v>
      </c>
      <c r="DK406" s="6">
        <f ca="1">IF(Table1[[#This Row],[Value of Debts]]&gt;Table1[[#This Row],[income]],1,0)</f>
        <v>1</v>
      </c>
      <c r="DL406" s="20"/>
      <c r="DM406" s="20"/>
      <c r="DN406" s="5"/>
      <c r="DP406" s="6">
        <f ca="1">IF(Table1[[#This Row],[Net Worth (£)]]&gt;$DS$5,C406,0)</f>
        <v>0</v>
      </c>
      <c r="DQ406" s="20"/>
      <c r="DR406" s="20"/>
      <c r="DS406" s="5"/>
    </row>
    <row r="407" spans="1:123" x14ac:dyDescent="0.2">
      <c r="A407">
        <f t="shared" ca="1" si="19"/>
        <v>2</v>
      </c>
      <c r="B407" s="1" t="str">
        <f ca="1">IF(A407=1, "men", "women")</f>
        <v>women</v>
      </c>
      <c r="C407" s="1">
        <f ca="1">RANDBETWEEN(25,50)</f>
        <v>47</v>
      </c>
      <c r="D407">
        <f ca="1">RANDBETWEEN(1,6)</f>
        <v>3</v>
      </c>
      <c r="E407" t="str">
        <f ca="1">VLOOKUP(D407,$W$5:$X$10,2)</f>
        <v>Education</v>
      </c>
      <c r="F407">
        <f ca="1">RANDBETWEEN(1,5)</f>
        <v>4</v>
      </c>
      <c r="G407" t="str">
        <f ca="1">VLOOKUP(F407,$Y$5:$Z$9,2)</f>
        <v xml:space="preserve">Technical </v>
      </c>
      <c r="H407">
        <f ca="1">RANDBETWEEN(0,4)</f>
        <v>3</v>
      </c>
      <c r="I407">
        <f ca="1">RANDBETWEEN(1,3)</f>
        <v>3</v>
      </c>
      <c r="J407">
        <f ca="1">RANDBETWEEN(30000,100000)</f>
        <v>37303</v>
      </c>
      <c r="K407">
        <f ca="1">RANDBETWEEN(1,48)</f>
        <v>48</v>
      </c>
      <c r="L407" t="str">
        <f ca="1">VLOOKUP(K407,$AA$5:$AB$52,2)</f>
        <v>Worcestershire</v>
      </c>
      <c r="M407">
        <f ca="1">J407*(RANDBETWEEN(2,5))</f>
        <v>149212</v>
      </c>
      <c r="N407">
        <f ca="1">RAND()*M407</f>
        <v>104619.76389054199</v>
      </c>
      <c r="O407">
        <f ca="1">I407*RAND()*J407</f>
        <v>15484.379089081878</v>
      </c>
      <c r="P407">
        <f ca="1">RANDBETWEEN(0,O407)</f>
        <v>10852</v>
      </c>
      <c r="Q407">
        <f ca="1">RAND()*J407*2</f>
        <v>12305.29929163401</v>
      </c>
      <c r="R407">
        <f ca="1">RAND()*J407*1.5</f>
        <v>26166.941269530656</v>
      </c>
      <c r="S407">
        <f ca="1">J407+R407+O407</f>
        <v>78954.320358612531</v>
      </c>
      <c r="T407">
        <f ca="1">N407+P407+Q407</f>
        <v>127777.063182176</v>
      </c>
      <c r="U407">
        <f ca="1">S407-T407</f>
        <v>-48822.742823563472</v>
      </c>
      <c r="AC407" s="6">
        <f ca="1">IF(Table1[[#This Row],[gender]]="men",1,0)</f>
        <v>0</v>
      </c>
      <c r="AD407">
        <f ca="1">IF(Table1[[#This Row],[gender]]="women",1,0)</f>
        <v>1</v>
      </c>
      <c r="AH407" s="5"/>
      <c r="AJ407" s="6">
        <f ca="1">IF(Table1[[#This Row],[Column1]]="Health",1,0)</f>
        <v>0</v>
      </c>
      <c r="AK407">
        <f ca="1">IF(Table1[[#This Row],[Column1]]="Construction",1,0)</f>
        <v>0</v>
      </c>
      <c r="AL407">
        <f ca="1">IF(Table1[[#This Row],[Column1]]="Technology",1,0)</f>
        <v>0</v>
      </c>
      <c r="AM407">
        <f ca="1">IF(Table1[[#This Row],[Column1]]="Education",1,0)</f>
        <v>1</v>
      </c>
      <c r="AN407">
        <f ca="1">IF(Table1[[#This Row],[Column1]]="Agriculture",1,0)</f>
        <v>0</v>
      </c>
      <c r="AO407">
        <f ca="1">IF(Table1[[#This Row],[Column1]]="Social Service", 1, 0)</f>
        <v>0</v>
      </c>
      <c r="AT407" s="5"/>
      <c r="AV407" s="17">
        <f t="shared" ca="1" si="18"/>
        <v>55565.51581510422</v>
      </c>
      <c r="AW407" s="5"/>
      <c r="AX407" s="6">
        <f ca="1">IF(Table1[[#This Row],[Value of Debts]]&gt;$AY$4,1,0)</f>
        <v>1</v>
      </c>
      <c r="AY407" s="20"/>
      <c r="AZ407" s="20"/>
      <c r="BA407" s="5"/>
      <c r="BB407" s="25">
        <f ca="1">Table1[[#This Row],[Mortage Left]]/Table1[[#This Row],[Value of House]]</f>
        <v>0.70114845917581692</v>
      </c>
      <c r="BC407" s="20">
        <f t="shared" ca="1" si="20"/>
        <v>0</v>
      </c>
      <c r="BD407" s="20"/>
      <c r="BE407" s="20"/>
      <c r="BF407" s="20"/>
      <c r="BG407" s="6">
        <f ca="1">IF(Table1[[#This Row],[County]]="Cumbria",Table1[[#This Row],[income]],0)</f>
        <v>0</v>
      </c>
      <c r="BH407" s="20">
        <f ca="1">IF(Table1[[#This Row],[County]]="Cheshire",Table1[[#This Row],[income]],0)</f>
        <v>0</v>
      </c>
      <c r="BI407" s="20">
        <f ca="1">IF(Table1[[#This Row],[County]]="Bristol",Table1[[#This Row],[income]],0)</f>
        <v>0</v>
      </c>
      <c r="BJ407" s="20">
        <f ca="1">IF(Table1[[#This Row],[County]]="Surrey",Table1[[#This Row],[income]],0)</f>
        <v>0</v>
      </c>
      <c r="BK407" s="20">
        <f ca="1">IF(Table1[[#This Row],[County]]="Norfolk",Table1[[#This Row],[income]],0)</f>
        <v>0</v>
      </c>
      <c r="BL407" s="20">
        <f ca="1">IF(Table1[[#This Row],[County]]="Lincolnshire",Table1[[#This Row],[income]],0)</f>
        <v>0</v>
      </c>
      <c r="BM407" s="20">
        <f ca="1">IF(Table1[[#This Row],[County]]="Somerset",Table1[[#This Row],[income]],0)</f>
        <v>0</v>
      </c>
      <c r="BN407" s="20">
        <f ca="1">IF(Table1[[#This Row],[County]]="Cambridgeshire",Table1[[#This Row],[income]],0)</f>
        <v>0</v>
      </c>
      <c r="BO407" s="20">
        <f ca="1">IF(Table1[[#This Row],[County]]="South Yorkshire",Table1[[#This Row],[income]],0)</f>
        <v>0</v>
      </c>
      <c r="BP407" s="20">
        <f ca="1">IF(Table1[[#This Row],[County]]="Greater London",Table1[[#This Row],[income]],0)</f>
        <v>0</v>
      </c>
      <c r="BQ407" s="20">
        <f ca="1">IF(Table1[[#This Row],[County]]="Hampshire",Table1[[#This Row],[income]],0)</f>
        <v>0</v>
      </c>
      <c r="BR407" s="20">
        <f ca="1">IF(Table1[[#This Row],[County]]="Gloucestershire",Table1[[#This Row],[income]],0)</f>
        <v>0</v>
      </c>
      <c r="BS407" s="20">
        <f ca="1">IF(Table1[[#This Row],[County]]="West Sussex",Table1[[#This Row],[income]],0)</f>
        <v>0</v>
      </c>
      <c r="BT407" s="20">
        <f ca="1">IF(Table1[[#This Row],[County]]="Devon",Table1[[#This Row],[income]],0)</f>
        <v>0</v>
      </c>
      <c r="BU407" s="20">
        <f ca="1">IF(Table1[[#This Row],[County]]="Berkshire",Table1[[#This Row],[income]],0)</f>
        <v>0</v>
      </c>
      <c r="BV407" s="20">
        <f ca="1">IF(Table1[[#This Row],[County]]="Staffordshire",Table1[[#This Row],[income]],0)</f>
        <v>0</v>
      </c>
      <c r="BW407" s="20">
        <f ca="1">IF(Table1[[#This Row],[County]]="Leicestershire",Table1[[#This Row],[income]],0)</f>
        <v>0</v>
      </c>
      <c r="BX407" s="20">
        <f ca="1">IF(Table1[[#This Row],[County]]="Cornwall",Table1[[#This Row],[income]],0)</f>
        <v>0</v>
      </c>
      <c r="BY407" s="20">
        <f ca="1">IF(Table1[[#This Row],[County]]="Isle of Wight",Table1[[#This Row],[income]],0)</f>
        <v>0</v>
      </c>
      <c r="BZ407" s="20">
        <f ca="1">IF(Table1[[#This Row],[County]]="Surrey",Table1[[#This Row],[income]],0)</f>
        <v>0</v>
      </c>
      <c r="CA407" s="20">
        <f ca="1">IF(Table1[[#This Row],[County]]="Derbyshire",Table1[[#This Row],[income]],0)</f>
        <v>0</v>
      </c>
      <c r="CB407" s="20">
        <f ca="1">IF(Table1[[#This Row],[County]]="City of London",Table1[[#This Row],[income]],0)</f>
        <v>0</v>
      </c>
      <c r="CC407" s="20">
        <f ca="1">IF(Table1[[#This Row],[County]]="Bedfordshire",Table1[[#This Row],[income]],0)</f>
        <v>0</v>
      </c>
      <c r="CD407" s="20">
        <f ca="1">IF(Table1[[#This Row],[County]]="County Durham",Table1[[#This Row],[income]],0)</f>
        <v>0</v>
      </c>
      <c r="CE407" s="20">
        <f ca="1">IF(Table1[[#This Row],[County]]="East Riding of Yorkshire",Table1[[#This Row],[income]],0)</f>
        <v>0</v>
      </c>
      <c r="CF407" s="20">
        <f ca="1">IF(Table1[[#This Row],[County]]="West Yorkshire",Table1[[#This Row],[income]],0)</f>
        <v>0</v>
      </c>
      <c r="CG407" s="20">
        <f ca="1">IF(Table1[[#This Row],[County]]="Essex",Table1[[#This Row],[income]],0)</f>
        <v>0</v>
      </c>
      <c r="CH407" s="20">
        <f ca="1">IF(Table1[[#This Row],[County]]="East Sussex",Table1[[#This Row],[income]],0)</f>
        <v>0</v>
      </c>
      <c r="CI407" s="20">
        <f ca="1">IF(Table1[[#This Row],[County]]="Greater Manchester",Table1[[#This Row],[income]],0)</f>
        <v>0</v>
      </c>
      <c r="CJ407" s="20">
        <f ca="1">IF(Table1[[#This Row],[County]]="Hertfordshire",Table1[[#This Row],[income]],0)</f>
        <v>0</v>
      </c>
      <c r="CK407" s="20">
        <f ca="1">IF(Table1[[#This Row],[County]]="Herefordshire",Table1[[#This Row],[income]],0)</f>
        <v>0</v>
      </c>
      <c r="CL407" s="20">
        <f ca="1">IF(Table1[[#This Row],[County]]="Lancashire",Table1[[#This Row],[income]],0)</f>
        <v>0</v>
      </c>
      <c r="CM407" s="20">
        <f ca="1">IF(Table1[[#This Row],[County]]="Merseyside",Table1[[#This Row],[income]],0)</f>
        <v>0</v>
      </c>
      <c r="CN407" s="20">
        <f ca="1">IF(Table1[[#This Row],[County]]="Northamptonshire",Table1[[#This Row],[income]],0)</f>
        <v>0</v>
      </c>
      <c r="CO407" s="20">
        <f ca="1">IF(Table1[[#This Row],[County]]="Northumberland",Table1[[#This Row],[income]],0)</f>
        <v>0</v>
      </c>
      <c r="CP407" s="20">
        <f ca="1">IF(Table1[[#This Row],[County]]="Wiltshire",Table1[[#This Row],[income]],0)</f>
        <v>0</v>
      </c>
      <c r="CQ407" s="20">
        <f ca="1">IF(Table1[[#This Row],[County]]="West Midlands",Table1[[#This Row],[income]],0)</f>
        <v>0</v>
      </c>
      <c r="CR407" s="20">
        <f ca="1">IF(Table1[[#This Row],[County]]="Warwickshire",Table1[[#This Row],[income]],0)</f>
        <v>0</v>
      </c>
      <c r="CS407" s="20">
        <f ca="1">IF(Table1[[#This Row],[County]]="Tyne and Wear",Table1[[#This Row],[income]],0)</f>
        <v>0</v>
      </c>
      <c r="CT407" s="20">
        <f ca="1">IF(Table1[[#This Row],[County]]="Worcestershire",Table1[[#This Row],[income]],0)</f>
        <v>37303</v>
      </c>
      <c r="CU407" s="20">
        <f ca="1">IF(Table1[[#This Row],[County]]="Rutland",Table1[[#This Row],[income]],0)</f>
        <v>0</v>
      </c>
      <c r="CV407" s="20">
        <f ca="1">IF(Table1[[#This Row],[County]]="Shropshire",Table1[[#This Row],[income]],0)</f>
        <v>0</v>
      </c>
      <c r="CW407" s="20">
        <f ca="1">IF(Table1[[#This Row],[County]]="Dorset",Table1[[#This Row],[income]],0)</f>
        <v>0</v>
      </c>
      <c r="CX407" s="20">
        <f ca="1">IF(Table1[[#This Row],[County]]="Buckinghamshire",Table1[[#This Row],[income]],0)</f>
        <v>0</v>
      </c>
      <c r="CY407" s="20">
        <f ca="1">IF(Table1[[#This Row],[County]]="Suffolk",Table1[[#This Row],[income]],0)</f>
        <v>0</v>
      </c>
      <c r="CZ407" s="20">
        <f ca="1">IF(Table1[[#This Row],[County]]="North Yorkshire",Table1[[#This Row],[income]],0)</f>
        <v>0</v>
      </c>
      <c r="DA407" s="20">
        <f ca="1">IF(Table1[[#This Row],[County]]="Kent",Table1[[#This Row],[income]],0)</f>
        <v>0</v>
      </c>
      <c r="DB407" s="5">
        <f ca="1">IF(Table1[[#This Row],[County]]="Derbyshire",Table1[[#This Row],[income]],0)</f>
        <v>0</v>
      </c>
      <c r="DD407" s="6">
        <f ca="1">IF(Table1[[#This Row],[Column1]]="Health",Table1[[#This Row],[income]],0)</f>
        <v>0</v>
      </c>
      <c r="DE407" s="20">
        <f ca="1">IF(Table1[[#This Row],[Column1]]="Agriculture",Table1[[#This Row],[income]],0)</f>
        <v>0</v>
      </c>
      <c r="DF407" s="20">
        <f ca="1">IF(Table1[[#This Row],[Column1]]="Technology",Table1[[#This Row],[income]],0)</f>
        <v>0</v>
      </c>
      <c r="DG407" s="20">
        <f ca="1">IF(Table1[[#This Row],[Column1]]="Social Service",Table1[[#This Row],[income]],0)</f>
        <v>0</v>
      </c>
      <c r="DH407" s="20">
        <f ca="1">IF(Table1[[#This Row],[Column1]]="Education",Table1[[#This Row],[income]],0)</f>
        <v>37303</v>
      </c>
      <c r="DI407" s="5">
        <f ca="1">IF(Table1[[#This Row],[Column1]]="Construction",Table1[[#This Row],[income]],0)</f>
        <v>0</v>
      </c>
      <c r="DK407" s="6">
        <f ca="1">IF(Table1[[#This Row],[Value of Debts]]&gt;Table1[[#This Row],[income]],1,0)</f>
        <v>1</v>
      </c>
      <c r="DL407" s="20"/>
      <c r="DM407" s="20"/>
      <c r="DN407" s="5"/>
      <c r="DP407" s="6">
        <f ca="1">IF(Table1[[#This Row],[Net Worth (£)]]&gt;$DS$5,C407,0)</f>
        <v>0</v>
      </c>
      <c r="DQ407" s="20"/>
      <c r="DR407" s="20"/>
      <c r="DS407" s="5"/>
    </row>
    <row r="408" spans="1:123" x14ac:dyDescent="0.2">
      <c r="A408">
        <f t="shared" ca="1" si="19"/>
        <v>2</v>
      </c>
      <c r="B408" s="1" t="str">
        <f ca="1">IF(A408=1, "men", "women")</f>
        <v>women</v>
      </c>
      <c r="C408" s="1">
        <f ca="1">RANDBETWEEN(25,50)</f>
        <v>41</v>
      </c>
      <c r="D408">
        <f ca="1">RANDBETWEEN(1,6)</f>
        <v>4</v>
      </c>
      <c r="E408" t="str">
        <f ca="1">VLOOKUP(D408,$W$5:$X$10,2)</f>
        <v>Technology</v>
      </c>
      <c r="F408">
        <f ca="1">RANDBETWEEN(1,5)</f>
        <v>3</v>
      </c>
      <c r="G408" t="str">
        <f ca="1">VLOOKUP(F408,$Y$5:$Z$9,2)</f>
        <v>University</v>
      </c>
      <c r="H408">
        <f ca="1">RANDBETWEEN(0,4)</f>
        <v>0</v>
      </c>
      <c r="I408">
        <f ca="1">RANDBETWEEN(1,3)</f>
        <v>2</v>
      </c>
      <c r="J408">
        <f ca="1">RANDBETWEEN(30000,100000)</f>
        <v>74608</v>
      </c>
      <c r="K408">
        <f ca="1">RANDBETWEEN(1,48)</f>
        <v>22</v>
      </c>
      <c r="L408" t="str">
        <f ca="1">VLOOKUP(K408,$AA$5:$AB$52,2)</f>
        <v>Hertfordshire</v>
      </c>
      <c r="M408">
        <f ca="1">J408*(RANDBETWEEN(2,5))</f>
        <v>223824</v>
      </c>
      <c r="N408">
        <f ca="1">RAND()*M408</f>
        <v>160607.36685320371</v>
      </c>
      <c r="O408">
        <f ca="1">I408*RAND()*J408</f>
        <v>111131.03163020844</v>
      </c>
      <c r="P408">
        <f ca="1">RANDBETWEEN(0,O408)</f>
        <v>95728</v>
      </c>
      <c r="Q408">
        <f ca="1">RAND()*J408*2</f>
        <v>147071.80155953378</v>
      </c>
      <c r="R408">
        <f ca="1">RAND()*J408*1.5</f>
        <v>52381.990382588934</v>
      </c>
      <c r="S408">
        <f ca="1">J408+R408+O408</f>
        <v>238121.02201279736</v>
      </c>
      <c r="T408">
        <f ca="1">N408+P408+Q408</f>
        <v>403407.16841273749</v>
      </c>
      <c r="U408">
        <f ca="1">S408-T408</f>
        <v>-165286.14639994013</v>
      </c>
      <c r="AC408" s="6">
        <f ca="1">IF(Table1[[#This Row],[gender]]="men",1,0)</f>
        <v>0</v>
      </c>
      <c r="AD408">
        <f ca="1">IF(Table1[[#This Row],[gender]]="women",1,0)</f>
        <v>1</v>
      </c>
      <c r="AH408" s="5"/>
      <c r="AJ408" s="6">
        <f ca="1">IF(Table1[[#This Row],[Column1]]="Health",1,0)</f>
        <v>0</v>
      </c>
      <c r="AK408">
        <f ca="1">IF(Table1[[#This Row],[Column1]]="Construction",1,0)</f>
        <v>0</v>
      </c>
      <c r="AL408">
        <f ca="1">IF(Table1[[#This Row],[Column1]]="Technology",1,0)</f>
        <v>1</v>
      </c>
      <c r="AM408">
        <f ca="1">IF(Table1[[#This Row],[Column1]]="Education",1,0)</f>
        <v>0</v>
      </c>
      <c r="AN408">
        <f ca="1">IF(Table1[[#This Row],[Column1]]="Agriculture",1,0)</f>
        <v>0</v>
      </c>
      <c r="AO408">
        <f ca="1">IF(Table1[[#This Row],[Column1]]="Social Service", 1, 0)</f>
        <v>0</v>
      </c>
      <c r="AT408" s="5"/>
      <c r="AV408" s="17">
        <f t="shared" ca="1" si="18"/>
        <v>24338.294922213812</v>
      </c>
      <c r="AW408" s="5"/>
      <c r="AX408" s="6">
        <f ca="1">IF(Table1[[#This Row],[Value of Debts]]&gt;$AY$4,1,0)</f>
        <v>1</v>
      </c>
      <c r="AY408" s="20"/>
      <c r="AZ408" s="20"/>
      <c r="BA408" s="5"/>
      <c r="BB408" s="25">
        <f ca="1">Table1[[#This Row],[Mortage Left]]/Table1[[#This Row],[Value of House]]</f>
        <v>0.71756097135786923</v>
      </c>
      <c r="BC408" s="20">
        <f t="shared" ca="1" si="20"/>
        <v>0</v>
      </c>
      <c r="BD408" s="20"/>
      <c r="BE408" s="20"/>
      <c r="BF408" s="20"/>
      <c r="BG408" s="6">
        <f ca="1">IF(Table1[[#This Row],[County]]="Cumbria",Table1[[#This Row],[income]],0)</f>
        <v>0</v>
      </c>
      <c r="BH408" s="20">
        <f ca="1">IF(Table1[[#This Row],[County]]="Cheshire",Table1[[#This Row],[income]],0)</f>
        <v>0</v>
      </c>
      <c r="BI408" s="20">
        <f ca="1">IF(Table1[[#This Row],[County]]="Bristol",Table1[[#This Row],[income]],0)</f>
        <v>0</v>
      </c>
      <c r="BJ408" s="20">
        <f ca="1">IF(Table1[[#This Row],[County]]="Surrey",Table1[[#This Row],[income]],0)</f>
        <v>0</v>
      </c>
      <c r="BK408" s="20">
        <f ca="1">IF(Table1[[#This Row],[County]]="Norfolk",Table1[[#This Row],[income]],0)</f>
        <v>0</v>
      </c>
      <c r="BL408" s="20">
        <f ca="1">IF(Table1[[#This Row],[County]]="Lincolnshire",Table1[[#This Row],[income]],0)</f>
        <v>0</v>
      </c>
      <c r="BM408" s="20">
        <f ca="1">IF(Table1[[#This Row],[County]]="Somerset",Table1[[#This Row],[income]],0)</f>
        <v>0</v>
      </c>
      <c r="BN408" s="20">
        <f ca="1">IF(Table1[[#This Row],[County]]="Cambridgeshire",Table1[[#This Row],[income]],0)</f>
        <v>0</v>
      </c>
      <c r="BO408" s="20">
        <f ca="1">IF(Table1[[#This Row],[County]]="South Yorkshire",Table1[[#This Row],[income]],0)</f>
        <v>0</v>
      </c>
      <c r="BP408" s="20">
        <f ca="1">IF(Table1[[#This Row],[County]]="Greater London",Table1[[#This Row],[income]],0)</f>
        <v>0</v>
      </c>
      <c r="BQ408" s="20">
        <f ca="1">IF(Table1[[#This Row],[County]]="Hampshire",Table1[[#This Row],[income]],0)</f>
        <v>0</v>
      </c>
      <c r="BR408" s="20">
        <f ca="1">IF(Table1[[#This Row],[County]]="Gloucestershire",Table1[[#This Row],[income]],0)</f>
        <v>0</v>
      </c>
      <c r="BS408" s="20">
        <f ca="1">IF(Table1[[#This Row],[County]]="West Sussex",Table1[[#This Row],[income]],0)</f>
        <v>0</v>
      </c>
      <c r="BT408" s="20">
        <f ca="1">IF(Table1[[#This Row],[County]]="Devon",Table1[[#This Row],[income]],0)</f>
        <v>0</v>
      </c>
      <c r="BU408" s="20">
        <f ca="1">IF(Table1[[#This Row],[County]]="Berkshire",Table1[[#This Row],[income]],0)</f>
        <v>0</v>
      </c>
      <c r="BV408" s="20">
        <f ca="1">IF(Table1[[#This Row],[County]]="Staffordshire",Table1[[#This Row],[income]],0)</f>
        <v>0</v>
      </c>
      <c r="BW408" s="20">
        <f ca="1">IF(Table1[[#This Row],[County]]="Leicestershire",Table1[[#This Row],[income]],0)</f>
        <v>0</v>
      </c>
      <c r="BX408" s="20">
        <f ca="1">IF(Table1[[#This Row],[County]]="Cornwall",Table1[[#This Row],[income]],0)</f>
        <v>0</v>
      </c>
      <c r="BY408" s="20">
        <f ca="1">IF(Table1[[#This Row],[County]]="Isle of Wight",Table1[[#This Row],[income]],0)</f>
        <v>0</v>
      </c>
      <c r="BZ408" s="20">
        <f ca="1">IF(Table1[[#This Row],[County]]="Surrey",Table1[[#This Row],[income]],0)</f>
        <v>0</v>
      </c>
      <c r="CA408" s="20">
        <f ca="1">IF(Table1[[#This Row],[County]]="Derbyshire",Table1[[#This Row],[income]],0)</f>
        <v>0</v>
      </c>
      <c r="CB408" s="20">
        <f ca="1">IF(Table1[[#This Row],[County]]="City of London",Table1[[#This Row],[income]],0)</f>
        <v>0</v>
      </c>
      <c r="CC408" s="20">
        <f ca="1">IF(Table1[[#This Row],[County]]="Bedfordshire",Table1[[#This Row],[income]],0)</f>
        <v>0</v>
      </c>
      <c r="CD408" s="20">
        <f ca="1">IF(Table1[[#This Row],[County]]="County Durham",Table1[[#This Row],[income]],0)</f>
        <v>0</v>
      </c>
      <c r="CE408" s="20">
        <f ca="1">IF(Table1[[#This Row],[County]]="East Riding of Yorkshire",Table1[[#This Row],[income]],0)</f>
        <v>0</v>
      </c>
      <c r="CF408" s="20">
        <f ca="1">IF(Table1[[#This Row],[County]]="West Yorkshire",Table1[[#This Row],[income]],0)</f>
        <v>0</v>
      </c>
      <c r="CG408" s="20">
        <f ca="1">IF(Table1[[#This Row],[County]]="Essex",Table1[[#This Row],[income]],0)</f>
        <v>0</v>
      </c>
      <c r="CH408" s="20">
        <f ca="1">IF(Table1[[#This Row],[County]]="East Sussex",Table1[[#This Row],[income]],0)</f>
        <v>0</v>
      </c>
      <c r="CI408" s="20">
        <f ca="1">IF(Table1[[#This Row],[County]]="Greater Manchester",Table1[[#This Row],[income]],0)</f>
        <v>0</v>
      </c>
      <c r="CJ408" s="20">
        <f ca="1">IF(Table1[[#This Row],[County]]="Hertfordshire",Table1[[#This Row],[income]],0)</f>
        <v>74608</v>
      </c>
      <c r="CK408" s="20">
        <f ca="1">IF(Table1[[#This Row],[County]]="Herefordshire",Table1[[#This Row],[income]],0)</f>
        <v>0</v>
      </c>
      <c r="CL408" s="20">
        <f ca="1">IF(Table1[[#This Row],[County]]="Lancashire",Table1[[#This Row],[income]],0)</f>
        <v>0</v>
      </c>
      <c r="CM408" s="20">
        <f ca="1">IF(Table1[[#This Row],[County]]="Merseyside",Table1[[#This Row],[income]],0)</f>
        <v>0</v>
      </c>
      <c r="CN408" s="20">
        <f ca="1">IF(Table1[[#This Row],[County]]="Northamptonshire",Table1[[#This Row],[income]],0)</f>
        <v>0</v>
      </c>
      <c r="CO408" s="20">
        <f ca="1">IF(Table1[[#This Row],[County]]="Northumberland",Table1[[#This Row],[income]],0)</f>
        <v>0</v>
      </c>
      <c r="CP408" s="20">
        <f ca="1">IF(Table1[[#This Row],[County]]="Wiltshire",Table1[[#This Row],[income]],0)</f>
        <v>0</v>
      </c>
      <c r="CQ408" s="20">
        <f ca="1">IF(Table1[[#This Row],[County]]="West Midlands",Table1[[#This Row],[income]],0)</f>
        <v>0</v>
      </c>
      <c r="CR408" s="20">
        <f ca="1">IF(Table1[[#This Row],[County]]="Warwickshire",Table1[[#This Row],[income]],0)</f>
        <v>0</v>
      </c>
      <c r="CS408" s="20">
        <f ca="1">IF(Table1[[#This Row],[County]]="Tyne and Wear",Table1[[#This Row],[income]],0)</f>
        <v>0</v>
      </c>
      <c r="CT408" s="20">
        <f ca="1">IF(Table1[[#This Row],[County]]="Worcestershire",Table1[[#This Row],[income]],0)</f>
        <v>0</v>
      </c>
      <c r="CU408" s="20">
        <f ca="1">IF(Table1[[#This Row],[County]]="Rutland",Table1[[#This Row],[income]],0)</f>
        <v>0</v>
      </c>
      <c r="CV408" s="20">
        <f ca="1">IF(Table1[[#This Row],[County]]="Shropshire",Table1[[#This Row],[income]],0)</f>
        <v>0</v>
      </c>
      <c r="CW408" s="20">
        <f ca="1">IF(Table1[[#This Row],[County]]="Dorset",Table1[[#This Row],[income]],0)</f>
        <v>0</v>
      </c>
      <c r="CX408" s="20">
        <f ca="1">IF(Table1[[#This Row],[County]]="Buckinghamshire",Table1[[#This Row],[income]],0)</f>
        <v>0</v>
      </c>
      <c r="CY408" s="20">
        <f ca="1">IF(Table1[[#This Row],[County]]="Suffolk",Table1[[#This Row],[income]],0)</f>
        <v>0</v>
      </c>
      <c r="CZ408" s="20">
        <f ca="1">IF(Table1[[#This Row],[County]]="North Yorkshire",Table1[[#This Row],[income]],0)</f>
        <v>0</v>
      </c>
      <c r="DA408" s="20">
        <f ca="1">IF(Table1[[#This Row],[County]]="Kent",Table1[[#This Row],[income]],0)</f>
        <v>0</v>
      </c>
      <c r="DB408" s="5">
        <f ca="1">IF(Table1[[#This Row],[County]]="Derbyshire",Table1[[#This Row],[income]],0)</f>
        <v>0</v>
      </c>
      <c r="DD408" s="6">
        <f ca="1">IF(Table1[[#This Row],[Column1]]="Health",Table1[[#This Row],[income]],0)</f>
        <v>0</v>
      </c>
      <c r="DE408" s="20">
        <f ca="1">IF(Table1[[#This Row],[Column1]]="Agriculture",Table1[[#This Row],[income]],0)</f>
        <v>0</v>
      </c>
      <c r="DF408" s="20">
        <f ca="1">IF(Table1[[#This Row],[Column1]]="Technology",Table1[[#This Row],[income]],0)</f>
        <v>74608</v>
      </c>
      <c r="DG408" s="20">
        <f ca="1">IF(Table1[[#This Row],[Column1]]="Social Service",Table1[[#This Row],[income]],0)</f>
        <v>0</v>
      </c>
      <c r="DH408" s="20">
        <f ca="1">IF(Table1[[#This Row],[Column1]]="Education",Table1[[#This Row],[income]],0)</f>
        <v>0</v>
      </c>
      <c r="DI408" s="5">
        <f ca="1">IF(Table1[[#This Row],[Column1]]="Construction",Table1[[#This Row],[income]],0)</f>
        <v>0</v>
      </c>
      <c r="DK408" s="6">
        <f ca="1">IF(Table1[[#This Row],[Value of Debts]]&gt;Table1[[#This Row],[income]],1,0)</f>
        <v>1</v>
      </c>
      <c r="DL408" s="20"/>
      <c r="DM408" s="20"/>
      <c r="DN408" s="5"/>
      <c r="DP408" s="6">
        <f ca="1">IF(Table1[[#This Row],[Net Worth (£)]]&gt;$DS$5,C408,0)</f>
        <v>0</v>
      </c>
      <c r="DQ408" s="20"/>
      <c r="DR408" s="20"/>
      <c r="DS408" s="5"/>
    </row>
    <row r="409" spans="1:123" x14ac:dyDescent="0.2">
      <c r="A409">
        <f t="shared" ca="1" si="19"/>
        <v>1</v>
      </c>
      <c r="B409" s="1" t="str">
        <f ca="1">IF(A409=1, "men", "women")</f>
        <v>men</v>
      </c>
      <c r="C409" s="1">
        <f ca="1">RANDBETWEEN(25,50)</f>
        <v>42</v>
      </c>
      <c r="D409">
        <f ca="1">RANDBETWEEN(1,6)</f>
        <v>2</v>
      </c>
      <c r="E409" t="str">
        <f ca="1">VLOOKUP(D409,$W$5:$X$10,2)</f>
        <v>Construction</v>
      </c>
      <c r="F409">
        <f ca="1">RANDBETWEEN(1,5)</f>
        <v>1</v>
      </c>
      <c r="G409" t="str">
        <f ca="1">VLOOKUP(F409,$Y$5:$Z$9,2)</f>
        <v>High School</v>
      </c>
      <c r="H409">
        <f ca="1">RANDBETWEEN(0,4)</f>
        <v>1</v>
      </c>
      <c r="I409">
        <f ca="1">RANDBETWEEN(1,3)</f>
        <v>2</v>
      </c>
      <c r="J409">
        <f ca="1">RANDBETWEEN(30000,100000)</f>
        <v>71439</v>
      </c>
      <c r="K409">
        <f ca="1">RANDBETWEEN(1,48)</f>
        <v>44</v>
      </c>
      <c r="L409" t="str">
        <f ca="1">VLOOKUP(K409,$AA$5:$AB$52,2)</f>
        <v>West Midlands</v>
      </c>
      <c r="M409">
        <f ca="1">J409*(RANDBETWEEN(2,5))</f>
        <v>357195</v>
      </c>
      <c r="N409">
        <f ca="1">RAND()*M409</f>
        <v>310071.01701814192</v>
      </c>
      <c r="O409">
        <f ca="1">I409*RAND()*J409</f>
        <v>48676.589844427624</v>
      </c>
      <c r="P409">
        <f ca="1">RANDBETWEEN(0,O409)</f>
        <v>37872</v>
      </c>
      <c r="Q409">
        <f ca="1">RAND()*J409*2</f>
        <v>92195.767622426531</v>
      </c>
      <c r="R409">
        <f ca="1">RAND()*J409*1.5</f>
        <v>71450.011462946801</v>
      </c>
      <c r="S409">
        <f ca="1">J409+R409+O409</f>
        <v>191565.60130737443</v>
      </c>
      <c r="T409">
        <f ca="1">N409+P409+Q409</f>
        <v>440138.78464056842</v>
      </c>
      <c r="U409">
        <f ca="1">S409-T409</f>
        <v>-248573.183333194</v>
      </c>
      <c r="AC409" s="6">
        <f ca="1">IF(Table1[[#This Row],[gender]]="men",1,0)</f>
        <v>1</v>
      </c>
      <c r="AD409">
        <f ca="1">IF(Table1[[#This Row],[gender]]="women",1,0)</f>
        <v>0</v>
      </c>
      <c r="AH409" s="5"/>
      <c r="AJ409" s="6">
        <f ca="1">IF(Table1[[#This Row],[Column1]]="Health",1,0)</f>
        <v>0</v>
      </c>
      <c r="AK409">
        <f ca="1">IF(Table1[[#This Row],[Column1]]="Construction",1,0)</f>
        <v>1</v>
      </c>
      <c r="AL409">
        <f ca="1">IF(Table1[[#This Row],[Column1]]="Technology",1,0)</f>
        <v>0</v>
      </c>
      <c r="AM409">
        <f ca="1">IF(Table1[[#This Row],[Column1]]="Education",1,0)</f>
        <v>0</v>
      </c>
      <c r="AN409">
        <f ca="1">IF(Table1[[#This Row],[Column1]]="Agriculture",1,0)</f>
        <v>0</v>
      </c>
      <c r="AO409">
        <f ca="1">IF(Table1[[#This Row],[Column1]]="Social Service", 1, 0)</f>
        <v>0</v>
      </c>
      <c r="AT409" s="5"/>
      <c r="AV409" s="17">
        <f t="shared" ca="1" si="18"/>
        <v>32906.740397399859</v>
      </c>
      <c r="AW409" s="5"/>
      <c r="AX409" s="6">
        <f ca="1">IF(Table1[[#This Row],[Value of Debts]]&gt;$AY$4,1,0)</f>
        <v>1</v>
      </c>
      <c r="AY409" s="20"/>
      <c r="AZ409" s="20"/>
      <c r="BA409" s="5"/>
      <c r="BB409" s="25">
        <f ca="1">Table1[[#This Row],[Mortage Left]]/Table1[[#This Row],[Value of House]]</f>
        <v>0.86807210912286548</v>
      </c>
      <c r="BC409" s="20">
        <f t="shared" ca="1" si="20"/>
        <v>0</v>
      </c>
      <c r="BD409" s="20"/>
      <c r="BE409" s="20"/>
      <c r="BF409" s="20"/>
      <c r="BG409" s="6">
        <f ca="1">IF(Table1[[#This Row],[County]]="Cumbria",Table1[[#This Row],[income]],0)</f>
        <v>0</v>
      </c>
      <c r="BH409" s="20">
        <f ca="1">IF(Table1[[#This Row],[County]]="Cheshire",Table1[[#This Row],[income]],0)</f>
        <v>0</v>
      </c>
      <c r="BI409" s="20">
        <f ca="1">IF(Table1[[#This Row],[County]]="Bristol",Table1[[#This Row],[income]],0)</f>
        <v>0</v>
      </c>
      <c r="BJ409" s="20">
        <f ca="1">IF(Table1[[#This Row],[County]]="Surrey",Table1[[#This Row],[income]],0)</f>
        <v>0</v>
      </c>
      <c r="BK409" s="20">
        <f ca="1">IF(Table1[[#This Row],[County]]="Norfolk",Table1[[#This Row],[income]],0)</f>
        <v>0</v>
      </c>
      <c r="BL409" s="20">
        <f ca="1">IF(Table1[[#This Row],[County]]="Lincolnshire",Table1[[#This Row],[income]],0)</f>
        <v>0</v>
      </c>
      <c r="BM409" s="20">
        <f ca="1">IF(Table1[[#This Row],[County]]="Somerset",Table1[[#This Row],[income]],0)</f>
        <v>0</v>
      </c>
      <c r="BN409" s="20">
        <f ca="1">IF(Table1[[#This Row],[County]]="Cambridgeshire",Table1[[#This Row],[income]],0)</f>
        <v>0</v>
      </c>
      <c r="BO409" s="20">
        <f ca="1">IF(Table1[[#This Row],[County]]="South Yorkshire",Table1[[#This Row],[income]],0)</f>
        <v>0</v>
      </c>
      <c r="BP409" s="20">
        <f ca="1">IF(Table1[[#This Row],[County]]="Greater London",Table1[[#This Row],[income]],0)</f>
        <v>0</v>
      </c>
      <c r="BQ409" s="20">
        <f ca="1">IF(Table1[[#This Row],[County]]="Hampshire",Table1[[#This Row],[income]],0)</f>
        <v>0</v>
      </c>
      <c r="BR409" s="20">
        <f ca="1">IF(Table1[[#This Row],[County]]="Gloucestershire",Table1[[#This Row],[income]],0)</f>
        <v>0</v>
      </c>
      <c r="BS409" s="20">
        <f ca="1">IF(Table1[[#This Row],[County]]="West Sussex",Table1[[#This Row],[income]],0)</f>
        <v>0</v>
      </c>
      <c r="BT409" s="20">
        <f ca="1">IF(Table1[[#This Row],[County]]="Devon",Table1[[#This Row],[income]],0)</f>
        <v>0</v>
      </c>
      <c r="BU409" s="20">
        <f ca="1">IF(Table1[[#This Row],[County]]="Berkshire",Table1[[#This Row],[income]],0)</f>
        <v>0</v>
      </c>
      <c r="BV409" s="20">
        <f ca="1">IF(Table1[[#This Row],[County]]="Staffordshire",Table1[[#This Row],[income]],0)</f>
        <v>0</v>
      </c>
      <c r="BW409" s="20">
        <f ca="1">IF(Table1[[#This Row],[County]]="Leicestershire",Table1[[#This Row],[income]],0)</f>
        <v>0</v>
      </c>
      <c r="BX409" s="20">
        <f ca="1">IF(Table1[[#This Row],[County]]="Cornwall",Table1[[#This Row],[income]],0)</f>
        <v>0</v>
      </c>
      <c r="BY409" s="20">
        <f ca="1">IF(Table1[[#This Row],[County]]="Isle of Wight",Table1[[#This Row],[income]],0)</f>
        <v>0</v>
      </c>
      <c r="BZ409" s="20">
        <f ca="1">IF(Table1[[#This Row],[County]]="Surrey",Table1[[#This Row],[income]],0)</f>
        <v>0</v>
      </c>
      <c r="CA409" s="20">
        <f ca="1">IF(Table1[[#This Row],[County]]="Derbyshire",Table1[[#This Row],[income]],0)</f>
        <v>0</v>
      </c>
      <c r="CB409" s="20">
        <f ca="1">IF(Table1[[#This Row],[County]]="City of London",Table1[[#This Row],[income]],0)</f>
        <v>0</v>
      </c>
      <c r="CC409" s="20">
        <f ca="1">IF(Table1[[#This Row],[County]]="Bedfordshire",Table1[[#This Row],[income]],0)</f>
        <v>0</v>
      </c>
      <c r="CD409" s="20">
        <f ca="1">IF(Table1[[#This Row],[County]]="County Durham",Table1[[#This Row],[income]],0)</f>
        <v>0</v>
      </c>
      <c r="CE409" s="20">
        <f ca="1">IF(Table1[[#This Row],[County]]="East Riding of Yorkshire",Table1[[#This Row],[income]],0)</f>
        <v>0</v>
      </c>
      <c r="CF409" s="20">
        <f ca="1">IF(Table1[[#This Row],[County]]="West Yorkshire",Table1[[#This Row],[income]],0)</f>
        <v>0</v>
      </c>
      <c r="CG409" s="20">
        <f ca="1">IF(Table1[[#This Row],[County]]="Essex",Table1[[#This Row],[income]],0)</f>
        <v>0</v>
      </c>
      <c r="CH409" s="20">
        <f ca="1">IF(Table1[[#This Row],[County]]="East Sussex",Table1[[#This Row],[income]],0)</f>
        <v>0</v>
      </c>
      <c r="CI409" s="20">
        <f ca="1">IF(Table1[[#This Row],[County]]="Greater Manchester",Table1[[#This Row],[income]],0)</f>
        <v>0</v>
      </c>
      <c r="CJ409" s="20">
        <f ca="1">IF(Table1[[#This Row],[County]]="Hertfordshire",Table1[[#This Row],[income]],0)</f>
        <v>0</v>
      </c>
      <c r="CK409" s="20">
        <f ca="1">IF(Table1[[#This Row],[County]]="Herefordshire",Table1[[#This Row],[income]],0)</f>
        <v>0</v>
      </c>
      <c r="CL409" s="20">
        <f ca="1">IF(Table1[[#This Row],[County]]="Lancashire",Table1[[#This Row],[income]],0)</f>
        <v>0</v>
      </c>
      <c r="CM409" s="20">
        <f ca="1">IF(Table1[[#This Row],[County]]="Merseyside",Table1[[#This Row],[income]],0)</f>
        <v>0</v>
      </c>
      <c r="CN409" s="20">
        <f ca="1">IF(Table1[[#This Row],[County]]="Northamptonshire",Table1[[#This Row],[income]],0)</f>
        <v>0</v>
      </c>
      <c r="CO409" s="20">
        <f ca="1">IF(Table1[[#This Row],[County]]="Northumberland",Table1[[#This Row],[income]],0)</f>
        <v>0</v>
      </c>
      <c r="CP409" s="20">
        <f ca="1">IF(Table1[[#This Row],[County]]="Wiltshire",Table1[[#This Row],[income]],0)</f>
        <v>0</v>
      </c>
      <c r="CQ409" s="20">
        <f ca="1">IF(Table1[[#This Row],[County]]="West Midlands",Table1[[#This Row],[income]],0)</f>
        <v>71439</v>
      </c>
      <c r="CR409" s="20">
        <f ca="1">IF(Table1[[#This Row],[County]]="Warwickshire",Table1[[#This Row],[income]],0)</f>
        <v>0</v>
      </c>
      <c r="CS409" s="20">
        <f ca="1">IF(Table1[[#This Row],[County]]="Tyne and Wear",Table1[[#This Row],[income]],0)</f>
        <v>0</v>
      </c>
      <c r="CT409" s="20">
        <f ca="1">IF(Table1[[#This Row],[County]]="Worcestershire",Table1[[#This Row],[income]],0)</f>
        <v>0</v>
      </c>
      <c r="CU409" s="20">
        <f ca="1">IF(Table1[[#This Row],[County]]="Rutland",Table1[[#This Row],[income]],0)</f>
        <v>0</v>
      </c>
      <c r="CV409" s="20">
        <f ca="1">IF(Table1[[#This Row],[County]]="Shropshire",Table1[[#This Row],[income]],0)</f>
        <v>0</v>
      </c>
      <c r="CW409" s="20">
        <f ca="1">IF(Table1[[#This Row],[County]]="Dorset",Table1[[#This Row],[income]],0)</f>
        <v>0</v>
      </c>
      <c r="CX409" s="20">
        <f ca="1">IF(Table1[[#This Row],[County]]="Buckinghamshire",Table1[[#This Row],[income]],0)</f>
        <v>0</v>
      </c>
      <c r="CY409" s="20">
        <f ca="1">IF(Table1[[#This Row],[County]]="Suffolk",Table1[[#This Row],[income]],0)</f>
        <v>0</v>
      </c>
      <c r="CZ409" s="20">
        <f ca="1">IF(Table1[[#This Row],[County]]="North Yorkshire",Table1[[#This Row],[income]],0)</f>
        <v>0</v>
      </c>
      <c r="DA409" s="20">
        <f ca="1">IF(Table1[[#This Row],[County]]="Kent",Table1[[#This Row],[income]],0)</f>
        <v>0</v>
      </c>
      <c r="DB409" s="5">
        <f ca="1">IF(Table1[[#This Row],[County]]="Derbyshire",Table1[[#This Row],[income]],0)</f>
        <v>0</v>
      </c>
      <c r="DD409" s="6">
        <f ca="1">IF(Table1[[#This Row],[Column1]]="Health",Table1[[#This Row],[income]],0)</f>
        <v>0</v>
      </c>
      <c r="DE409" s="20">
        <f ca="1">IF(Table1[[#This Row],[Column1]]="Agriculture",Table1[[#This Row],[income]],0)</f>
        <v>0</v>
      </c>
      <c r="DF409" s="20">
        <f ca="1">IF(Table1[[#This Row],[Column1]]="Technology",Table1[[#This Row],[income]],0)</f>
        <v>0</v>
      </c>
      <c r="DG409" s="20">
        <f ca="1">IF(Table1[[#This Row],[Column1]]="Social Service",Table1[[#This Row],[income]],0)</f>
        <v>0</v>
      </c>
      <c r="DH409" s="20">
        <f ca="1">IF(Table1[[#This Row],[Column1]]="Education",Table1[[#This Row],[income]],0)</f>
        <v>0</v>
      </c>
      <c r="DI409" s="5">
        <f ca="1">IF(Table1[[#This Row],[Column1]]="Construction",Table1[[#This Row],[income]],0)</f>
        <v>71439</v>
      </c>
      <c r="DK409" s="6">
        <f ca="1">IF(Table1[[#This Row],[Value of Debts]]&gt;Table1[[#This Row],[income]],1,0)</f>
        <v>1</v>
      </c>
      <c r="DL409" s="20"/>
      <c r="DM409" s="20"/>
      <c r="DN409" s="5"/>
      <c r="DP409" s="6">
        <f ca="1">IF(Table1[[#This Row],[Net Worth (£)]]&gt;$DS$5,C409,0)</f>
        <v>0</v>
      </c>
      <c r="DQ409" s="20"/>
      <c r="DR409" s="20"/>
      <c r="DS409" s="5"/>
    </row>
    <row r="410" spans="1:123" x14ac:dyDescent="0.2">
      <c r="A410">
        <f t="shared" ca="1" si="19"/>
        <v>1</v>
      </c>
      <c r="B410" s="1" t="str">
        <f ca="1">IF(A410=1, "men", "women")</f>
        <v>men</v>
      </c>
      <c r="C410" s="1">
        <f ca="1">RANDBETWEEN(25,50)</f>
        <v>42</v>
      </c>
      <c r="D410">
        <f ca="1">RANDBETWEEN(1,6)</f>
        <v>3</v>
      </c>
      <c r="E410" t="str">
        <f ca="1">VLOOKUP(D410,$W$5:$X$10,2)</f>
        <v>Education</v>
      </c>
      <c r="F410">
        <f ca="1">RANDBETWEEN(1,5)</f>
        <v>5</v>
      </c>
      <c r="G410" t="str">
        <f ca="1">VLOOKUP(F410,$Y$5:$Z$9,2)</f>
        <v>Other</v>
      </c>
      <c r="H410">
        <f ca="1">RANDBETWEEN(0,4)</f>
        <v>2</v>
      </c>
      <c r="I410">
        <f ca="1">RANDBETWEEN(1,3)</f>
        <v>3</v>
      </c>
      <c r="J410">
        <f ca="1">RANDBETWEEN(30000,100000)</f>
        <v>41518</v>
      </c>
      <c r="K410">
        <f ca="1">RANDBETWEEN(1,48)</f>
        <v>43</v>
      </c>
      <c r="L410" t="str">
        <f ca="1">VLOOKUP(K410,$AA$5:$AB$52,2)</f>
        <v>Warwickshire</v>
      </c>
      <c r="M410">
        <f ca="1">J410*(RANDBETWEEN(2,5))</f>
        <v>83036</v>
      </c>
      <c r="N410">
        <f ca="1">RAND()*M410</f>
        <v>45908.669479760792</v>
      </c>
      <c r="O410">
        <f ca="1">I410*RAND()*J410</f>
        <v>98720.221192199577</v>
      </c>
      <c r="P410">
        <f ca="1">RANDBETWEEN(0,O410)</f>
        <v>82815</v>
      </c>
      <c r="Q410">
        <f ca="1">RAND()*J410*2</f>
        <v>33125.362772539862</v>
      </c>
      <c r="R410">
        <f ca="1">RAND()*J410*1.5</f>
        <v>29972.334724680779</v>
      </c>
      <c r="S410">
        <f ca="1">J410+R410+O410</f>
        <v>170210.55591688037</v>
      </c>
      <c r="T410">
        <f ca="1">N410+P410+Q410</f>
        <v>161849.03225230065</v>
      </c>
      <c r="U410">
        <f ca="1">S410-T410</f>
        <v>8361.5236645797268</v>
      </c>
      <c r="AC410" s="6">
        <f ca="1">IF(Table1[[#This Row],[gender]]="men",1,0)</f>
        <v>1</v>
      </c>
      <c r="AD410">
        <f ca="1">IF(Table1[[#This Row],[gender]]="women",1,0)</f>
        <v>0</v>
      </c>
      <c r="AH410" s="5"/>
      <c r="AJ410" s="6">
        <f ca="1">IF(Table1[[#This Row],[Column1]]="Health",1,0)</f>
        <v>0</v>
      </c>
      <c r="AK410">
        <f ca="1">IF(Table1[[#This Row],[Column1]]="Construction",1,0)</f>
        <v>0</v>
      </c>
      <c r="AL410">
        <f ca="1">IF(Table1[[#This Row],[Column1]]="Technology",1,0)</f>
        <v>0</v>
      </c>
      <c r="AM410">
        <f ca="1">IF(Table1[[#This Row],[Column1]]="Education",1,0)</f>
        <v>1</v>
      </c>
      <c r="AN410">
        <f ca="1">IF(Table1[[#This Row],[Column1]]="Agriculture",1,0)</f>
        <v>0</v>
      </c>
      <c r="AO410">
        <f ca="1">IF(Table1[[#This Row],[Column1]]="Social Service", 1, 0)</f>
        <v>0</v>
      </c>
      <c r="AT410" s="5"/>
      <c r="AV410" s="17">
        <f t="shared" ca="1" si="18"/>
        <v>8807.774441137175</v>
      </c>
      <c r="AW410" s="5"/>
      <c r="AX410" s="6">
        <f ca="1">IF(Table1[[#This Row],[Value of Debts]]&gt;$AY$4,1,0)</f>
        <v>1</v>
      </c>
      <c r="AY410" s="20"/>
      <c r="AZ410" s="20"/>
      <c r="BA410" s="5"/>
      <c r="BB410" s="25">
        <f ca="1">Table1[[#This Row],[Mortage Left]]/Table1[[#This Row],[Value of House]]</f>
        <v>0.5528766978149332</v>
      </c>
      <c r="BC410" s="20">
        <f t="shared" ca="1" si="20"/>
        <v>0</v>
      </c>
      <c r="BD410" s="20"/>
      <c r="BE410" s="20"/>
      <c r="BF410" s="20"/>
      <c r="BG410" s="6">
        <f ca="1">IF(Table1[[#This Row],[County]]="Cumbria",Table1[[#This Row],[income]],0)</f>
        <v>0</v>
      </c>
      <c r="BH410" s="20">
        <f ca="1">IF(Table1[[#This Row],[County]]="Cheshire",Table1[[#This Row],[income]],0)</f>
        <v>0</v>
      </c>
      <c r="BI410" s="20">
        <f ca="1">IF(Table1[[#This Row],[County]]="Bristol",Table1[[#This Row],[income]],0)</f>
        <v>0</v>
      </c>
      <c r="BJ410" s="20">
        <f ca="1">IF(Table1[[#This Row],[County]]="Surrey",Table1[[#This Row],[income]],0)</f>
        <v>0</v>
      </c>
      <c r="BK410" s="20">
        <f ca="1">IF(Table1[[#This Row],[County]]="Norfolk",Table1[[#This Row],[income]],0)</f>
        <v>0</v>
      </c>
      <c r="BL410" s="20">
        <f ca="1">IF(Table1[[#This Row],[County]]="Lincolnshire",Table1[[#This Row],[income]],0)</f>
        <v>0</v>
      </c>
      <c r="BM410" s="20">
        <f ca="1">IF(Table1[[#This Row],[County]]="Somerset",Table1[[#This Row],[income]],0)</f>
        <v>0</v>
      </c>
      <c r="BN410" s="20">
        <f ca="1">IF(Table1[[#This Row],[County]]="Cambridgeshire",Table1[[#This Row],[income]],0)</f>
        <v>0</v>
      </c>
      <c r="BO410" s="20">
        <f ca="1">IF(Table1[[#This Row],[County]]="South Yorkshire",Table1[[#This Row],[income]],0)</f>
        <v>0</v>
      </c>
      <c r="BP410" s="20">
        <f ca="1">IF(Table1[[#This Row],[County]]="Greater London",Table1[[#This Row],[income]],0)</f>
        <v>0</v>
      </c>
      <c r="BQ410" s="20">
        <f ca="1">IF(Table1[[#This Row],[County]]="Hampshire",Table1[[#This Row],[income]],0)</f>
        <v>0</v>
      </c>
      <c r="BR410" s="20">
        <f ca="1">IF(Table1[[#This Row],[County]]="Gloucestershire",Table1[[#This Row],[income]],0)</f>
        <v>0</v>
      </c>
      <c r="BS410" s="20">
        <f ca="1">IF(Table1[[#This Row],[County]]="West Sussex",Table1[[#This Row],[income]],0)</f>
        <v>0</v>
      </c>
      <c r="BT410" s="20">
        <f ca="1">IF(Table1[[#This Row],[County]]="Devon",Table1[[#This Row],[income]],0)</f>
        <v>0</v>
      </c>
      <c r="BU410" s="20">
        <f ca="1">IF(Table1[[#This Row],[County]]="Berkshire",Table1[[#This Row],[income]],0)</f>
        <v>0</v>
      </c>
      <c r="BV410" s="20">
        <f ca="1">IF(Table1[[#This Row],[County]]="Staffordshire",Table1[[#This Row],[income]],0)</f>
        <v>0</v>
      </c>
      <c r="BW410" s="20">
        <f ca="1">IF(Table1[[#This Row],[County]]="Leicestershire",Table1[[#This Row],[income]],0)</f>
        <v>0</v>
      </c>
      <c r="BX410" s="20">
        <f ca="1">IF(Table1[[#This Row],[County]]="Cornwall",Table1[[#This Row],[income]],0)</f>
        <v>0</v>
      </c>
      <c r="BY410" s="20">
        <f ca="1">IF(Table1[[#This Row],[County]]="Isle of Wight",Table1[[#This Row],[income]],0)</f>
        <v>0</v>
      </c>
      <c r="BZ410" s="20">
        <f ca="1">IF(Table1[[#This Row],[County]]="Surrey",Table1[[#This Row],[income]],0)</f>
        <v>0</v>
      </c>
      <c r="CA410" s="20">
        <f ca="1">IF(Table1[[#This Row],[County]]="Derbyshire",Table1[[#This Row],[income]],0)</f>
        <v>0</v>
      </c>
      <c r="CB410" s="20">
        <f ca="1">IF(Table1[[#This Row],[County]]="City of London",Table1[[#This Row],[income]],0)</f>
        <v>0</v>
      </c>
      <c r="CC410" s="20">
        <f ca="1">IF(Table1[[#This Row],[County]]="Bedfordshire",Table1[[#This Row],[income]],0)</f>
        <v>0</v>
      </c>
      <c r="CD410" s="20">
        <f ca="1">IF(Table1[[#This Row],[County]]="County Durham",Table1[[#This Row],[income]],0)</f>
        <v>0</v>
      </c>
      <c r="CE410" s="20">
        <f ca="1">IF(Table1[[#This Row],[County]]="East Riding of Yorkshire",Table1[[#This Row],[income]],0)</f>
        <v>0</v>
      </c>
      <c r="CF410" s="20">
        <f ca="1">IF(Table1[[#This Row],[County]]="West Yorkshire",Table1[[#This Row],[income]],0)</f>
        <v>0</v>
      </c>
      <c r="CG410" s="20">
        <f ca="1">IF(Table1[[#This Row],[County]]="Essex",Table1[[#This Row],[income]],0)</f>
        <v>0</v>
      </c>
      <c r="CH410" s="20">
        <f ca="1">IF(Table1[[#This Row],[County]]="East Sussex",Table1[[#This Row],[income]],0)</f>
        <v>0</v>
      </c>
      <c r="CI410" s="20">
        <f ca="1">IF(Table1[[#This Row],[County]]="Greater Manchester",Table1[[#This Row],[income]],0)</f>
        <v>0</v>
      </c>
      <c r="CJ410" s="20">
        <f ca="1">IF(Table1[[#This Row],[County]]="Hertfordshire",Table1[[#This Row],[income]],0)</f>
        <v>0</v>
      </c>
      <c r="CK410" s="20">
        <f ca="1">IF(Table1[[#This Row],[County]]="Herefordshire",Table1[[#This Row],[income]],0)</f>
        <v>0</v>
      </c>
      <c r="CL410" s="20">
        <f ca="1">IF(Table1[[#This Row],[County]]="Lancashire",Table1[[#This Row],[income]],0)</f>
        <v>0</v>
      </c>
      <c r="CM410" s="20">
        <f ca="1">IF(Table1[[#This Row],[County]]="Merseyside",Table1[[#This Row],[income]],0)</f>
        <v>0</v>
      </c>
      <c r="CN410" s="20">
        <f ca="1">IF(Table1[[#This Row],[County]]="Northamptonshire",Table1[[#This Row],[income]],0)</f>
        <v>0</v>
      </c>
      <c r="CO410" s="20">
        <f ca="1">IF(Table1[[#This Row],[County]]="Northumberland",Table1[[#This Row],[income]],0)</f>
        <v>0</v>
      </c>
      <c r="CP410" s="20">
        <f ca="1">IF(Table1[[#This Row],[County]]="Wiltshire",Table1[[#This Row],[income]],0)</f>
        <v>0</v>
      </c>
      <c r="CQ410" s="20">
        <f ca="1">IF(Table1[[#This Row],[County]]="West Midlands",Table1[[#This Row],[income]],0)</f>
        <v>0</v>
      </c>
      <c r="CR410" s="20">
        <f ca="1">IF(Table1[[#This Row],[County]]="Warwickshire",Table1[[#This Row],[income]],0)</f>
        <v>41518</v>
      </c>
      <c r="CS410" s="20">
        <f ca="1">IF(Table1[[#This Row],[County]]="Tyne and Wear",Table1[[#This Row],[income]],0)</f>
        <v>0</v>
      </c>
      <c r="CT410" s="20">
        <f ca="1">IF(Table1[[#This Row],[County]]="Worcestershire",Table1[[#This Row],[income]],0)</f>
        <v>0</v>
      </c>
      <c r="CU410" s="20">
        <f ca="1">IF(Table1[[#This Row],[County]]="Rutland",Table1[[#This Row],[income]],0)</f>
        <v>0</v>
      </c>
      <c r="CV410" s="20">
        <f ca="1">IF(Table1[[#This Row],[County]]="Shropshire",Table1[[#This Row],[income]],0)</f>
        <v>0</v>
      </c>
      <c r="CW410" s="20">
        <f ca="1">IF(Table1[[#This Row],[County]]="Dorset",Table1[[#This Row],[income]],0)</f>
        <v>0</v>
      </c>
      <c r="CX410" s="20">
        <f ca="1">IF(Table1[[#This Row],[County]]="Buckinghamshire",Table1[[#This Row],[income]],0)</f>
        <v>0</v>
      </c>
      <c r="CY410" s="20">
        <f ca="1">IF(Table1[[#This Row],[County]]="Suffolk",Table1[[#This Row],[income]],0)</f>
        <v>0</v>
      </c>
      <c r="CZ410" s="20">
        <f ca="1">IF(Table1[[#This Row],[County]]="North Yorkshire",Table1[[#This Row],[income]],0)</f>
        <v>0</v>
      </c>
      <c r="DA410" s="20">
        <f ca="1">IF(Table1[[#This Row],[County]]="Kent",Table1[[#This Row],[income]],0)</f>
        <v>0</v>
      </c>
      <c r="DB410" s="5">
        <f ca="1">IF(Table1[[#This Row],[County]]="Derbyshire",Table1[[#This Row],[income]],0)</f>
        <v>0</v>
      </c>
      <c r="DD410" s="6">
        <f ca="1">IF(Table1[[#This Row],[Column1]]="Health",Table1[[#This Row],[income]],0)</f>
        <v>0</v>
      </c>
      <c r="DE410" s="20">
        <f ca="1">IF(Table1[[#This Row],[Column1]]="Agriculture",Table1[[#This Row],[income]],0)</f>
        <v>0</v>
      </c>
      <c r="DF410" s="20">
        <f ca="1">IF(Table1[[#This Row],[Column1]]="Technology",Table1[[#This Row],[income]],0)</f>
        <v>0</v>
      </c>
      <c r="DG410" s="20">
        <f ca="1">IF(Table1[[#This Row],[Column1]]="Social Service",Table1[[#This Row],[income]],0)</f>
        <v>0</v>
      </c>
      <c r="DH410" s="20">
        <f ca="1">IF(Table1[[#This Row],[Column1]]="Education",Table1[[#This Row],[income]],0)</f>
        <v>41518</v>
      </c>
      <c r="DI410" s="5">
        <f ca="1">IF(Table1[[#This Row],[Column1]]="Construction",Table1[[#This Row],[income]],0)</f>
        <v>0</v>
      </c>
      <c r="DK410" s="6">
        <f ca="1">IF(Table1[[#This Row],[Value of Debts]]&gt;Table1[[#This Row],[income]],1,0)</f>
        <v>1</v>
      </c>
      <c r="DL410" s="20"/>
      <c r="DM410" s="20"/>
      <c r="DN410" s="5"/>
      <c r="DP410" s="6">
        <f ca="1">IF(Table1[[#This Row],[Net Worth (£)]]&gt;$DS$5,C410,0)</f>
        <v>0</v>
      </c>
      <c r="DQ410" s="20"/>
      <c r="DR410" s="20"/>
      <c r="DS410" s="5"/>
    </row>
    <row r="411" spans="1:123" x14ac:dyDescent="0.2">
      <c r="A411">
        <f t="shared" ca="1" si="19"/>
        <v>1</v>
      </c>
      <c r="B411" s="1" t="str">
        <f ca="1">IF(A411=1, "men", "women")</f>
        <v>men</v>
      </c>
      <c r="C411" s="1">
        <f ca="1">RANDBETWEEN(25,50)</f>
        <v>31</v>
      </c>
      <c r="D411">
        <f ca="1">RANDBETWEEN(1,6)</f>
        <v>2</v>
      </c>
      <c r="E411" t="str">
        <f ca="1">VLOOKUP(D411,$W$5:$X$10,2)</f>
        <v>Construction</v>
      </c>
      <c r="F411">
        <f ca="1">RANDBETWEEN(1,5)</f>
        <v>3</v>
      </c>
      <c r="G411" t="str">
        <f ca="1">VLOOKUP(F411,$Y$5:$Z$9,2)</f>
        <v>University</v>
      </c>
      <c r="H411">
        <f ca="1">RANDBETWEEN(0,4)</f>
        <v>3</v>
      </c>
      <c r="I411">
        <f ca="1">RANDBETWEEN(1,3)</f>
        <v>3</v>
      </c>
      <c r="J411">
        <f ca="1">RANDBETWEEN(30000,100000)</f>
        <v>45939</v>
      </c>
      <c r="K411">
        <f ca="1">RANDBETWEEN(1,48)</f>
        <v>43</v>
      </c>
      <c r="L411" t="str">
        <f ca="1">VLOOKUP(K411,$AA$5:$AB$52,2)</f>
        <v>Warwickshire</v>
      </c>
      <c r="M411">
        <f ca="1">J411*(RANDBETWEEN(2,5))</f>
        <v>91878</v>
      </c>
      <c r="N411">
        <f ca="1">RAND()*M411</f>
        <v>9541.0814467883829</v>
      </c>
      <c r="O411">
        <f ca="1">I411*RAND()*J411</f>
        <v>26423.323323411525</v>
      </c>
      <c r="P411">
        <f ca="1">RANDBETWEEN(0,O411)</f>
        <v>8582</v>
      </c>
      <c r="Q411">
        <f ca="1">RAND()*J411*2</f>
        <v>18675.036913917764</v>
      </c>
      <c r="R411">
        <f ca="1">RAND()*J411*1.5</f>
        <v>21550.146256031261</v>
      </c>
      <c r="S411">
        <f ca="1">J411+R411+O411</f>
        <v>93912.469579442783</v>
      </c>
      <c r="T411">
        <f ca="1">N411+P411+Q411</f>
        <v>36798.118360706147</v>
      </c>
      <c r="U411">
        <f ca="1">S411-T411</f>
        <v>57114.351218736636</v>
      </c>
      <c r="AC411" s="6">
        <f ca="1">IF(Table1[[#This Row],[gender]]="men",1,0)</f>
        <v>1</v>
      </c>
      <c r="AD411">
        <f ca="1">IF(Table1[[#This Row],[gender]]="women",1,0)</f>
        <v>0</v>
      </c>
      <c r="AH411" s="5"/>
      <c r="AJ411" s="6">
        <f ca="1">IF(Table1[[#This Row],[Column1]]="Health",1,0)</f>
        <v>0</v>
      </c>
      <c r="AK411">
        <f ca="1">IF(Table1[[#This Row],[Column1]]="Construction",1,0)</f>
        <v>1</v>
      </c>
      <c r="AL411">
        <f ca="1">IF(Table1[[#This Row],[Column1]]="Technology",1,0)</f>
        <v>0</v>
      </c>
      <c r="AM411">
        <f ca="1">IF(Table1[[#This Row],[Column1]]="Education",1,0)</f>
        <v>0</v>
      </c>
      <c r="AN411">
        <f ca="1">IF(Table1[[#This Row],[Column1]]="Agriculture",1,0)</f>
        <v>0</v>
      </c>
      <c r="AO411">
        <f ca="1">IF(Table1[[#This Row],[Column1]]="Social Service", 1, 0)</f>
        <v>0</v>
      </c>
      <c r="AT411" s="5"/>
      <c r="AV411" s="17">
        <f t="shared" ca="1" si="18"/>
        <v>29550.948141985678</v>
      </c>
      <c r="AW411" s="5"/>
      <c r="AX411" s="6">
        <f ca="1">IF(Table1[[#This Row],[Value of Debts]]&gt;$AY$4,1,0)</f>
        <v>0</v>
      </c>
      <c r="AY411" s="20"/>
      <c r="AZ411" s="20"/>
      <c r="BA411" s="5"/>
      <c r="BB411" s="25">
        <f ca="1">Table1[[#This Row],[Mortage Left]]/Table1[[#This Row],[Value of House]]</f>
        <v>0.10384511468238733</v>
      </c>
      <c r="BC411" s="20">
        <f t="shared" ca="1" si="20"/>
        <v>1</v>
      </c>
      <c r="BD411" s="20"/>
      <c r="BE411" s="20"/>
      <c r="BF411" s="20"/>
      <c r="BG411" s="6">
        <f ca="1">IF(Table1[[#This Row],[County]]="Cumbria",Table1[[#This Row],[income]],0)</f>
        <v>0</v>
      </c>
      <c r="BH411" s="20">
        <f ca="1">IF(Table1[[#This Row],[County]]="Cheshire",Table1[[#This Row],[income]],0)</f>
        <v>0</v>
      </c>
      <c r="BI411" s="20">
        <f ca="1">IF(Table1[[#This Row],[County]]="Bristol",Table1[[#This Row],[income]],0)</f>
        <v>0</v>
      </c>
      <c r="BJ411" s="20">
        <f ca="1">IF(Table1[[#This Row],[County]]="Surrey",Table1[[#This Row],[income]],0)</f>
        <v>0</v>
      </c>
      <c r="BK411" s="20">
        <f ca="1">IF(Table1[[#This Row],[County]]="Norfolk",Table1[[#This Row],[income]],0)</f>
        <v>0</v>
      </c>
      <c r="BL411" s="20">
        <f ca="1">IF(Table1[[#This Row],[County]]="Lincolnshire",Table1[[#This Row],[income]],0)</f>
        <v>0</v>
      </c>
      <c r="BM411" s="20">
        <f ca="1">IF(Table1[[#This Row],[County]]="Somerset",Table1[[#This Row],[income]],0)</f>
        <v>0</v>
      </c>
      <c r="BN411" s="20">
        <f ca="1">IF(Table1[[#This Row],[County]]="Cambridgeshire",Table1[[#This Row],[income]],0)</f>
        <v>0</v>
      </c>
      <c r="BO411" s="20">
        <f ca="1">IF(Table1[[#This Row],[County]]="South Yorkshire",Table1[[#This Row],[income]],0)</f>
        <v>0</v>
      </c>
      <c r="BP411" s="20">
        <f ca="1">IF(Table1[[#This Row],[County]]="Greater London",Table1[[#This Row],[income]],0)</f>
        <v>0</v>
      </c>
      <c r="BQ411" s="20">
        <f ca="1">IF(Table1[[#This Row],[County]]="Hampshire",Table1[[#This Row],[income]],0)</f>
        <v>0</v>
      </c>
      <c r="BR411" s="20">
        <f ca="1">IF(Table1[[#This Row],[County]]="Gloucestershire",Table1[[#This Row],[income]],0)</f>
        <v>0</v>
      </c>
      <c r="BS411" s="20">
        <f ca="1">IF(Table1[[#This Row],[County]]="West Sussex",Table1[[#This Row],[income]],0)</f>
        <v>0</v>
      </c>
      <c r="BT411" s="20">
        <f ca="1">IF(Table1[[#This Row],[County]]="Devon",Table1[[#This Row],[income]],0)</f>
        <v>0</v>
      </c>
      <c r="BU411" s="20">
        <f ca="1">IF(Table1[[#This Row],[County]]="Berkshire",Table1[[#This Row],[income]],0)</f>
        <v>0</v>
      </c>
      <c r="BV411" s="20">
        <f ca="1">IF(Table1[[#This Row],[County]]="Staffordshire",Table1[[#This Row],[income]],0)</f>
        <v>0</v>
      </c>
      <c r="BW411" s="20">
        <f ca="1">IF(Table1[[#This Row],[County]]="Leicestershire",Table1[[#This Row],[income]],0)</f>
        <v>0</v>
      </c>
      <c r="BX411" s="20">
        <f ca="1">IF(Table1[[#This Row],[County]]="Cornwall",Table1[[#This Row],[income]],0)</f>
        <v>0</v>
      </c>
      <c r="BY411" s="20">
        <f ca="1">IF(Table1[[#This Row],[County]]="Isle of Wight",Table1[[#This Row],[income]],0)</f>
        <v>0</v>
      </c>
      <c r="BZ411" s="20">
        <f ca="1">IF(Table1[[#This Row],[County]]="Surrey",Table1[[#This Row],[income]],0)</f>
        <v>0</v>
      </c>
      <c r="CA411" s="20">
        <f ca="1">IF(Table1[[#This Row],[County]]="Derbyshire",Table1[[#This Row],[income]],0)</f>
        <v>0</v>
      </c>
      <c r="CB411" s="20">
        <f ca="1">IF(Table1[[#This Row],[County]]="City of London",Table1[[#This Row],[income]],0)</f>
        <v>0</v>
      </c>
      <c r="CC411" s="20">
        <f ca="1">IF(Table1[[#This Row],[County]]="Bedfordshire",Table1[[#This Row],[income]],0)</f>
        <v>0</v>
      </c>
      <c r="CD411" s="20">
        <f ca="1">IF(Table1[[#This Row],[County]]="County Durham",Table1[[#This Row],[income]],0)</f>
        <v>0</v>
      </c>
      <c r="CE411" s="20">
        <f ca="1">IF(Table1[[#This Row],[County]]="East Riding of Yorkshire",Table1[[#This Row],[income]],0)</f>
        <v>0</v>
      </c>
      <c r="CF411" s="20">
        <f ca="1">IF(Table1[[#This Row],[County]]="West Yorkshire",Table1[[#This Row],[income]],0)</f>
        <v>0</v>
      </c>
      <c r="CG411" s="20">
        <f ca="1">IF(Table1[[#This Row],[County]]="Essex",Table1[[#This Row],[income]],0)</f>
        <v>0</v>
      </c>
      <c r="CH411" s="20">
        <f ca="1">IF(Table1[[#This Row],[County]]="East Sussex",Table1[[#This Row],[income]],0)</f>
        <v>0</v>
      </c>
      <c r="CI411" s="20">
        <f ca="1">IF(Table1[[#This Row],[County]]="Greater Manchester",Table1[[#This Row],[income]],0)</f>
        <v>0</v>
      </c>
      <c r="CJ411" s="20">
        <f ca="1">IF(Table1[[#This Row],[County]]="Hertfordshire",Table1[[#This Row],[income]],0)</f>
        <v>0</v>
      </c>
      <c r="CK411" s="20">
        <f ca="1">IF(Table1[[#This Row],[County]]="Herefordshire",Table1[[#This Row],[income]],0)</f>
        <v>0</v>
      </c>
      <c r="CL411" s="20">
        <f ca="1">IF(Table1[[#This Row],[County]]="Lancashire",Table1[[#This Row],[income]],0)</f>
        <v>0</v>
      </c>
      <c r="CM411" s="20">
        <f ca="1">IF(Table1[[#This Row],[County]]="Merseyside",Table1[[#This Row],[income]],0)</f>
        <v>0</v>
      </c>
      <c r="CN411" s="20">
        <f ca="1">IF(Table1[[#This Row],[County]]="Northamptonshire",Table1[[#This Row],[income]],0)</f>
        <v>0</v>
      </c>
      <c r="CO411" s="20">
        <f ca="1">IF(Table1[[#This Row],[County]]="Northumberland",Table1[[#This Row],[income]],0)</f>
        <v>0</v>
      </c>
      <c r="CP411" s="20">
        <f ca="1">IF(Table1[[#This Row],[County]]="Wiltshire",Table1[[#This Row],[income]],0)</f>
        <v>0</v>
      </c>
      <c r="CQ411" s="20">
        <f ca="1">IF(Table1[[#This Row],[County]]="West Midlands",Table1[[#This Row],[income]],0)</f>
        <v>0</v>
      </c>
      <c r="CR411" s="20">
        <f ca="1">IF(Table1[[#This Row],[County]]="Warwickshire",Table1[[#This Row],[income]],0)</f>
        <v>45939</v>
      </c>
      <c r="CS411" s="20">
        <f ca="1">IF(Table1[[#This Row],[County]]="Tyne and Wear",Table1[[#This Row],[income]],0)</f>
        <v>0</v>
      </c>
      <c r="CT411" s="20">
        <f ca="1">IF(Table1[[#This Row],[County]]="Worcestershire",Table1[[#This Row],[income]],0)</f>
        <v>0</v>
      </c>
      <c r="CU411" s="20">
        <f ca="1">IF(Table1[[#This Row],[County]]="Rutland",Table1[[#This Row],[income]],0)</f>
        <v>0</v>
      </c>
      <c r="CV411" s="20">
        <f ca="1">IF(Table1[[#This Row],[County]]="Shropshire",Table1[[#This Row],[income]],0)</f>
        <v>0</v>
      </c>
      <c r="CW411" s="20">
        <f ca="1">IF(Table1[[#This Row],[County]]="Dorset",Table1[[#This Row],[income]],0)</f>
        <v>0</v>
      </c>
      <c r="CX411" s="20">
        <f ca="1">IF(Table1[[#This Row],[County]]="Buckinghamshire",Table1[[#This Row],[income]],0)</f>
        <v>0</v>
      </c>
      <c r="CY411" s="20">
        <f ca="1">IF(Table1[[#This Row],[County]]="Suffolk",Table1[[#This Row],[income]],0)</f>
        <v>0</v>
      </c>
      <c r="CZ411" s="20">
        <f ca="1">IF(Table1[[#This Row],[County]]="North Yorkshire",Table1[[#This Row],[income]],0)</f>
        <v>0</v>
      </c>
      <c r="DA411" s="20">
        <f ca="1">IF(Table1[[#This Row],[County]]="Kent",Table1[[#This Row],[income]],0)</f>
        <v>0</v>
      </c>
      <c r="DB411" s="5">
        <f ca="1">IF(Table1[[#This Row],[County]]="Derbyshire",Table1[[#This Row],[income]],0)</f>
        <v>0</v>
      </c>
      <c r="DD411" s="6">
        <f ca="1">IF(Table1[[#This Row],[Column1]]="Health",Table1[[#This Row],[income]],0)</f>
        <v>0</v>
      </c>
      <c r="DE411" s="20">
        <f ca="1">IF(Table1[[#This Row],[Column1]]="Agriculture",Table1[[#This Row],[income]],0)</f>
        <v>0</v>
      </c>
      <c r="DF411" s="20">
        <f ca="1">IF(Table1[[#This Row],[Column1]]="Technology",Table1[[#This Row],[income]],0)</f>
        <v>0</v>
      </c>
      <c r="DG411" s="20">
        <f ca="1">IF(Table1[[#This Row],[Column1]]="Social Service",Table1[[#This Row],[income]],0)</f>
        <v>0</v>
      </c>
      <c r="DH411" s="20">
        <f ca="1">IF(Table1[[#This Row],[Column1]]="Education",Table1[[#This Row],[income]],0)</f>
        <v>0</v>
      </c>
      <c r="DI411" s="5">
        <f ca="1">IF(Table1[[#This Row],[Column1]]="Construction",Table1[[#This Row],[income]],0)</f>
        <v>45939</v>
      </c>
      <c r="DK411" s="6">
        <f ca="1">IF(Table1[[#This Row],[Value of Debts]]&gt;Table1[[#This Row],[income]],1,0)</f>
        <v>0</v>
      </c>
      <c r="DL411" s="20"/>
      <c r="DM411" s="20"/>
      <c r="DN411" s="5"/>
      <c r="DP411" s="6">
        <f ca="1">IF(Table1[[#This Row],[Net Worth (£)]]&gt;$DS$5,C411,0)</f>
        <v>31</v>
      </c>
      <c r="DQ411" s="20"/>
      <c r="DR411" s="20"/>
      <c r="DS411" s="5"/>
    </row>
    <row r="412" spans="1:123" x14ac:dyDescent="0.2">
      <c r="A412">
        <f t="shared" ca="1" si="19"/>
        <v>1</v>
      </c>
      <c r="B412" s="1" t="str">
        <f ca="1">IF(A412=1, "men", "women")</f>
        <v>men</v>
      </c>
      <c r="C412" s="1">
        <f ca="1">RANDBETWEEN(25,50)</f>
        <v>34</v>
      </c>
      <c r="D412">
        <f ca="1">RANDBETWEEN(1,6)</f>
        <v>1</v>
      </c>
      <c r="E412" t="str">
        <f ca="1">VLOOKUP(D412,$W$5:$X$10,2)</f>
        <v>Health</v>
      </c>
      <c r="F412">
        <f ca="1">RANDBETWEEN(1,5)</f>
        <v>2</v>
      </c>
      <c r="G412" t="str">
        <f ca="1">VLOOKUP(F412,$Y$5:$Z$9,2)</f>
        <v>College</v>
      </c>
      <c r="H412">
        <f ca="1">RANDBETWEEN(0,4)</f>
        <v>4</v>
      </c>
      <c r="I412">
        <f ca="1">RANDBETWEEN(1,3)</f>
        <v>3</v>
      </c>
      <c r="J412">
        <f ca="1">RANDBETWEEN(30000,100000)</f>
        <v>45443</v>
      </c>
      <c r="K412">
        <f ca="1">RANDBETWEEN(1,48)</f>
        <v>16</v>
      </c>
      <c r="L412" t="str">
        <f ca="1">VLOOKUP(K412,$AA$5:$AB$52,2)</f>
        <v>Essex</v>
      </c>
      <c r="M412">
        <f ca="1">J412*(RANDBETWEEN(2,5))</f>
        <v>90886</v>
      </c>
      <c r="N412">
        <f ca="1">RAND()*M412</f>
        <v>5368.0287972819087</v>
      </c>
      <c r="O412">
        <f ca="1">I412*RAND()*J412</f>
        <v>88652.844425957039</v>
      </c>
      <c r="P412">
        <f ca="1">RANDBETWEEN(0,O412)</f>
        <v>6085</v>
      </c>
      <c r="Q412">
        <f ca="1">RAND()*J412*2</f>
        <v>7450.6961423040293</v>
      </c>
      <c r="R412">
        <f ca="1">RAND()*J412*1.5</f>
        <v>53105.210524405491</v>
      </c>
      <c r="S412">
        <f ca="1">J412+R412+O412</f>
        <v>187201.05495036254</v>
      </c>
      <c r="T412">
        <f ca="1">N412+P412+Q412</f>
        <v>18903.72493958594</v>
      </c>
      <c r="U412">
        <f ca="1">S412-T412</f>
        <v>168297.33001077658</v>
      </c>
      <c r="AC412" s="6">
        <f ca="1">IF(Table1[[#This Row],[gender]]="men",1,0)</f>
        <v>1</v>
      </c>
      <c r="AD412">
        <f ca="1">IF(Table1[[#This Row],[gender]]="women",1,0)</f>
        <v>0</v>
      </c>
      <c r="AH412" s="5"/>
      <c r="AJ412" s="6">
        <f ca="1">IF(Table1[[#This Row],[Column1]]="Health",1,0)</f>
        <v>1</v>
      </c>
      <c r="AK412">
        <f ca="1">IF(Table1[[#This Row],[Column1]]="Construction",1,0)</f>
        <v>0</v>
      </c>
      <c r="AL412">
        <f ca="1">IF(Table1[[#This Row],[Column1]]="Technology",1,0)</f>
        <v>0</v>
      </c>
      <c r="AM412">
        <f ca="1">IF(Table1[[#This Row],[Column1]]="Education",1,0)</f>
        <v>0</v>
      </c>
      <c r="AN412">
        <f ca="1">IF(Table1[[#This Row],[Column1]]="Agriculture",1,0)</f>
        <v>0</v>
      </c>
      <c r="AO412">
        <f ca="1">IF(Table1[[#This Row],[Column1]]="Social Service", 1, 0)</f>
        <v>0</v>
      </c>
      <c r="AT412" s="5"/>
      <c r="AV412" s="17">
        <f t="shared" ca="1" si="18"/>
        <v>69030.721555830431</v>
      </c>
      <c r="AW412" s="5"/>
      <c r="AX412" s="6">
        <f ca="1">IF(Table1[[#This Row],[Value of Debts]]&gt;$AY$4,1,0)</f>
        <v>0</v>
      </c>
      <c r="AY412" s="20"/>
      <c r="AZ412" s="20"/>
      <c r="BA412" s="5"/>
      <c r="BB412" s="25">
        <f ca="1">Table1[[#This Row],[Mortage Left]]/Table1[[#This Row],[Value of House]]</f>
        <v>5.9063318853089679E-2</v>
      </c>
      <c r="BC412" s="20">
        <f t="shared" ca="1" si="20"/>
        <v>1</v>
      </c>
      <c r="BD412" s="20"/>
      <c r="BE412" s="20"/>
      <c r="BF412" s="20"/>
      <c r="BG412" s="6">
        <f ca="1">IF(Table1[[#This Row],[County]]="Cumbria",Table1[[#This Row],[income]],0)</f>
        <v>0</v>
      </c>
      <c r="BH412" s="20">
        <f ca="1">IF(Table1[[#This Row],[County]]="Cheshire",Table1[[#This Row],[income]],0)</f>
        <v>0</v>
      </c>
      <c r="BI412" s="20">
        <f ca="1">IF(Table1[[#This Row],[County]]="Bristol",Table1[[#This Row],[income]],0)</f>
        <v>0</v>
      </c>
      <c r="BJ412" s="20">
        <f ca="1">IF(Table1[[#This Row],[County]]="Surrey",Table1[[#This Row],[income]],0)</f>
        <v>0</v>
      </c>
      <c r="BK412" s="20">
        <f ca="1">IF(Table1[[#This Row],[County]]="Norfolk",Table1[[#This Row],[income]],0)</f>
        <v>0</v>
      </c>
      <c r="BL412" s="20">
        <f ca="1">IF(Table1[[#This Row],[County]]="Lincolnshire",Table1[[#This Row],[income]],0)</f>
        <v>0</v>
      </c>
      <c r="BM412" s="20">
        <f ca="1">IF(Table1[[#This Row],[County]]="Somerset",Table1[[#This Row],[income]],0)</f>
        <v>0</v>
      </c>
      <c r="BN412" s="20">
        <f ca="1">IF(Table1[[#This Row],[County]]="Cambridgeshire",Table1[[#This Row],[income]],0)</f>
        <v>0</v>
      </c>
      <c r="BO412" s="20">
        <f ca="1">IF(Table1[[#This Row],[County]]="South Yorkshire",Table1[[#This Row],[income]],0)</f>
        <v>0</v>
      </c>
      <c r="BP412" s="20">
        <f ca="1">IF(Table1[[#This Row],[County]]="Greater London",Table1[[#This Row],[income]],0)</f>
        <v>0</v>
      </c>
      <c r="BQ412" s="20">
        <f ca="1">IF(Table1[[#This Row],[County]]="Hampshire",Table1[[#This Row],[income]],0)</f>
        <v>0</v>
      </c>
      <c r="BR412" s="20">
        <f ca="1">IF(Table1[[#This Row],[County]]="Gloucestershire",Table1[[#This Row],[income]],0)</f>
        <v>0</v>
      </c>
      <c r="BS412" s="20">
        <f ca="1">IF(Table1[[#This Row],[County]]="West Sussex",Table1[[#This Row],[income]],0)</f>
        <v>0</v>
      </c>
      <c r="BT412" s="20">
        <f ca="1">IF(Table1[[#This Row],[County]]="Devon",Table1[[#This Row],[income]],0)</f>
        <v>0</v>
      </c>
      <c r="BU412" s="20">
        <f ca="1">IF(Table1[[#This Row],[County]]="Berkshire",Table1[[#This Row],[income]],0)</f>
        <v>0</v>
      </c>
      <c r="BV412" s="20">
        <f ca="1">IF(Table1[[#This Row],[County]]="Staffordshire",Table1[[#This Row],[income]],0)</f>
        <v>0</v>
      </c>
      <c r="BW412" s="20">
        <f ca="1">IF(Table1[[#This Row],[County]]="Leicestershire",Table1[[#This Row],[income]],0)</f>
        <v>0</v>
      </c>
      <c r="BX412" s="20">
        <f ca="1">IF(Table1[[#This Row],[County]]="Cornwall",Table1[[#This Row],[income]],0)</f>
        <v>0</v>
      </c>
      <c r="BY412" s="20">
        <f ca="1">IF(Table1[[#This Row],[County]]="Isle of Wight",Table1[[#This Row],[income]],0)</f>
        <v>0</v>
      </c>
      <c r="BZ412" s="20">
        <f ca="1">IF(Table1[[#This Row],[County]]="Surrey",Table1[[#This Row],[income]],0)</f>
        <v>0</v>
      </c>
      <c r="CA412" s="20">
        <f ca="1">IF(Table1[[#This Row],[County]]="Derbyshire",Table1[[#This Row],[income]],0)</f>
        <v>0</v>
      </c>
      <c r="CB412" s="20">
        <f ca="1">IF(Table1[[#This Row],[County]]="City of London",Table1[[#This Row],[income]],0)</f>
        <v>0</v>
      </c>
      <c r="CC412" s="20">
        <f ca="1">IF(Table1[[#This Row],[County]]="Bedfordshire",Table1[[#This Row],[income]],0)</f>
        <v>0</v>
      </c>
      <c r="CD412" s="20">
        <f ca="1">IF(Table1[[#This Row],[County]]="County Durham",Table1[[#This Row],[income]],0)</f>
        <v>0</v>
      </c>
      <c r="CE412" s="20">
        <f ca="1">IF(Table1[[#This Row],[County]]="East Riding of Yorkshire",Table1[[#This Row],[income]],0)</f>
        <v>0</v>
      </c>
      <c r="CF412" s="20">
        <f ca="1">IF(Table1[[#This Row],[County]]="West Yorkshire",Table1[[#This Row],[income]],0)</f>
        <v>0</v>
      </c>
      <c r="CG412" s="20">
        <f ca="1">IF(Table1[[#This Row],[County]]="Essex",Table1[[#This Row],[income]],0)</f>
        <v>45443</v>
      </c>
      <c r="CH412" s="20">
        <f ca="1">IF(Table1[[#This Row],[County]]="East Sussex",Table1[[#This Row],[income]],0)</f>
        <v>0</v>
      </c>
      <c r="CI412" s="20">
        <f ca="1">IF(Table1[[#This Row],[County]]="Greater Manchester",Table1[[#This Row],[income]],0)</f>
        <v>0</v>
      </c>
      <c r="CJ412" s="20">
        <f ca="1">IF(Table1[[#This Row],[County]]="Hertfordshire",Table1[[#This Row],[income]],0)</f>
        <v>0</v>
      </c>
      <c r="CK412" s="20">
        <f ca="1">IF(Table1[[#This Row],[County]]="Herefordshire",Table1[[#This Row],[income]],0)</f>
        <v>0</v>
      </c>
      <c r="CL412" s="20">
        <f ca="1">IF(Table1[[#This Row],[County]]="Lancashire",Table1[[#This Row],[income]],0)</f>
        <v>0</v>
      </c>
      <c r="CM412" s="20">
        <f ca="1">IF(Table1[[#This Row],[County]]="Merseyside",Table1[[#This Row],[income]],0)</f>
        <v>0</v>
      </c>
      <c r="CN412" s="20">
        <f ca="1">IF(Table1[[#This Row],[County]]="Northamptonshire",Table1[[#This Row],[income]],0)</f>
        <v>0</v>
      </c>
      <c r="CO412" s="20">
        <f ca="1">IF(Table1[[#This Row],[County]]="Northumberland",Table1[[#This Row],[income]],0)</f>
        <v>0</v>
      </c>
      <c r="CP412" s="20">
        <f ca="1">IF(Table1[[#This Row],[County]]="Wiltshire",Table1[[#This Row],[income]],0)</f>
        <v>0</v>
      </c>
      <c r="CQ412" s="20">
        <f ca="1">IF(Table1[[#This Row],[County]]="West Midlands",Table1[[#This Row],[income]],0)</f>
        <v>0</v>
      </c>
      <c r="CR412" s="20">
        <f ca="1">IF(Table1[[#This Row],[County]]="Warwickshire",Table1[[#This Row],[income]],0)</f>
        <v>0</v>
      </c>
      <c r="CS412" s="20">
        <f ca="1">IF(Table1[[#This Row],[County]]="Tyne and Wear",Table1[[#This Row],[income]],0)</f>
        <v>0</v>
      </c>
      <c r="CT412" s="20">
        <f ca="1">IF(Table1[[#This Row],[County]]="Worcestershire",Table1[[#This Row],[income]],0)</f>
        <v>0</v>
      </c>
      <c r="CU412" s="20">
        <f ca="1">IF(Table1[[#This Row],[County]]="Rutland",Table1[[#This Row],[income]],0)</f>
        <v>0</v>
      </c>
      <c r="CV412" s="20">
        <f ca="1">IF(Table1[[#This Row],[County]]="Shropshire",Table1[[#This Row],[income]],0)</f>
        <v>0</v>
      </c>
      <c r="CW412" s="20">
        <f ca="1">IF(Table1[[#This Row],[County]]="Dorset",Table1[[#This Row],[income]],0)</f>
        <v>0</v>
      </c>
      <c r="CX412" s="20">
        <f ca="1">IF(Table1[[#This Row],[County]]="Buckinghamshire",Table1[[#This Row],[income]],0)</f>
        <v>0</v>
      </c>
      <c r="CY412" s="20">
        <f ca="1">IF(Table1[[#This Row],[County]]="Suffolk",Table1[[#This Row],[income]],0)</f>
        <v>0</v>
      </c>
      <c r="CZ412" s="20">
        <f ca="1">IF(Table1[[#This Row],[County]]="North Yorkshire",Table1[[#This Row],[income]],0)</f>
        <v>0</v>
      </c>
      <c r="DA412" s="20">
        <f ca="1">IF(Table1[[#This Row],[County]]="Kent",Table1[[#This Row],[income]],0)</f>
        <v>0</v>
      </c>
      <c r="DB412" s="5">
        <f ca="1">IF(Table1[[#This Row],[County]]="Derbyshire",Table1[[#This Row],[income]],0)</f>
        <v>0</v>
      </c>
      <c r="DD412" s="6">
        <f ca="1">IF(Table1[[#This Row],[Column1]]="Health",Table1[[#This Row],[income]],0)</f>
        <v>45443</v>
      </c>
      <c r="DE412" s="20">
        <f ca="1">IF(Table1[[#This Row],[Column1]]="Agriculture",Table1[[#This Row],[income]],0)</f>
        <v>0</v>
      </c>
      <c r="DF412" s="20">
        <f ca="1">IF(Table1[[#This Row],[Column1]]="Technology",Table1[[#This Row],[income]],0)</f>
        <v>0</v>
      </c>
      <c r="DG412" s="20">
        <f ca="1">IF(Table1[[#This Row],[Column1]]="Social Service",Table1[[#This Row],[income]],0)</f>
        <v>0</v>
      </c>
      <c r="DH412" s="20">
        <f ca="1">IF(Table1[[#This Row],[Column1]]="Education",Table1[[#This Row],[income]],0)</f>
        <v>0</v>
      </c>
      <c r="DI412" s="5">
        <f ca="1">IF(Table1[[#This Row],[Column1]]="Construction",Table1[[#This Row],[income]],0)</f>
        <v>0</v>
      </c>
      <c r="DK412" s="6">
        <f ca="1">IF(Table1[[#This Row],[Value of Debts]]&gt;Table1[[#This Row],[income]],1,0)</f>
        <v>0</v>
      </c>
      <c r="DL412" s="20"/>
      <c r="DM412" s="20"/>
      <c r="DN412" s="5"/>
      <c r="DP412" s="6">
        <f ca="1">IF(Table1[[#This Row],[Net Worth (£)]]&gt;$DS$5,C412,0)</f>
        <v>34</v>
      </c>
      <c r="DQ412" s="20"/>
      <c r="DR412" s="20"/>
      <c r="DS412" s="5"/>
    </row>
    <row r="413" spans="1:123" x14ac:dyDescent="0.2">
      <c r="A413">
        <f t="shared" ca="1" si="19"/>
        <v>2</v>
      </c>
      <c r="B413" s="1" t="str">
        <f ca="1">IF(A413=1, "men", "women")</f>
        <v>women</v>
      </c>
      <c r="C413" s="1">
        <f ca="1">RANDBETWEEN(25,50)</f>
        <v>39</v>
      </c>
      <c r="D413">
        <f ca="1">RANDBETWEEN(1,6)</f>
        <v>3</v>
      </c>
      <c r="E413" t="str">
        <f ca="1">VLOOKUP(D413,$W$5:$X$10,2)</f>
        <v>Education</v>
      </c>
      <c r="F413">
        <f ca="1">RANDBETWEEN(1,5)</f>
        <v>1</v>
      </c>
      <c r="G413" t="str">
        <f ca="1">VLOOKUP(F413,$Y$5:$Z$9,2)</f>
        <v>High School</v>
      </c>
      <c r="H413">
        <f ca="1">RANDBETWEEN(0,4)</f>
        <v>2</v>
      </c>
      <c r="I413">
        <f ca="1">RANDBETWEEN(1,3)</f>
        <v>3</v>
      </c>
      <c r="J413">
        <f ca="1">RANDBETWEEN(30000,100000)</f>
        <v>74274</v>
      </c>
      <c r="K413">
        <f ca="1">RANDBETWEEN(1,48)</f>
        <v>41</v>
      </c>
      <c r="L413" t="str">
        <f ca="1">VLOOKUP(K413,$AA$5:$AB$52,2)</f>
        <v>Surrey</v>
      </c>
      <c r="M413">
        <f ca="1">J413*(RANDBETWEEN(2,5))</f>
        <v>371370</v>
      </c>
      <c r="N413">
        <f ca="1">RAND()*M413</f>
        <v>355240.27739046252</v>
      </c>
      <c r="O413">
        <f ca="1">I413*RAND()*J413</f>
        <v>207092.16466749128</v>
      </c>
      <c r="P413">
        <f ca="1">RANDBETWEEN(0,O413)</f>
        <v>1909</v>
      </c>
      <c r="Q413">
        <f ca="1">RAND()*J413*2</f>
        <v>45155.868738099038</v>
      </c>
      <c r="R413">
        <f ca="1">RAND()*J413*1.5</f>
        <v>109333.31204710731</v>
      </c>
      <c r="S413">
        <f ca="1">J413+R413+O413</f>
        <v>390699.4767145986</v>
      </c>
      <c r="T413">
        <f ca="1">N413+P413+Q413</f>
        <v>402305.14612856158</v>
      </c>
      <c r="U413">
        <f ca="1">S413-T413</f>
        <v>-11605.669413962984</v>
      </c>
      <c r="AC413" s="6">
        <f ca="1">IF(Table1[[#This Row],[gender]]="men",1,0)</f>
        <v>0</v>
      </c>
      <c r="AD413">
        <f ca="1">IF(Table1[[#This Row],[gender]]="women",1,0)</f>
        <v>1</v>
      </c>
      <c r="AH413" s="5"/>
      <c r="AJ413" s="6">
        <f ca="1">IF(Table1[[#This Row],[Column1]]="Health",1,0)</f>
        <v>0</v>
      </c>
      <c r="AK413">
        <f ca="1">IF(Table1[[#This Row],[Column1]]="Construction",1,0)</f>
        <v>0</v>
      </c>
      <c r="AL413">
        <f ca="1">IF(Table1[[#This Row],[Column1]]="Technology",1,0)</f>
        <v>0</v>
      </c>
      <c r="AM413">
        <f ca="1">IF(Table1[[#This Row],[Column1]]="Education",1,0)</f>
        <v>1</v>
      </c>
      <c r="AN413">
        <f ca="1">IF(Table1[[#This Row],[Column1]]="Agriculture",1,0)</f>
        <v>0</v>
      </c>
      <c r="AO413">
        <f ca="1">IF(Table1[[#This Row],[Column1]]="Social Service", 1, 0)</f>
        <v>0</v>
      </c>
      <c r="AT413" s="5"/>
      <c r="AV413" s="17">
        <f t="shared" ca="1" si="18"/>
        <v>42816.362112886054</v>
      </c>
      <c r="AW413" s="5"/>
      <c r="AX413" s="6">
        <f ca="1">IF(Table1[[#This Row],[Value of Debts]]&gt;$AY$4,1,0)</f>
        <v>1</v>
      </c>
      <c r="AY413" s="20"/>
      <c r="AZ413" s="20"/>
      <c r="BA413" s="5"/>
      <c r="BB413" s="25">
        <f ca="1">Table1[[#This Row],[Mortage Left]]/Table1[[#This Row],[Value of House]]</f>
        <v>0.95656697468956164</v>
      </c>
      <c r="BC413" s="20">
        <f t="shared" ca="1" si="20"/>
        <v>0</v>
      </c>
      <c r="BD413" s="20"/>
      <c r="BE413" s="20"/>
      <c r="BF413" s="20"/>
      <c r="BG413" s="6">
        <f ca="1">IF(Table1[[#This Row],[County]]="Cumbria",Table1[[#This Row],[income]],0)</f>
        <v>0</v>
      </c>
      <c r="BH413" s="20">
        <f ca="1">IF(Table1[[#This Row],[County]]="Cheshire",Table1[[#This Row],[income]],0)</f>
        <v>0</v>
      </c>
      <c r="BI413" s="20">
        <f ca="1">IF(Table1[[#This Row],[County]]="Bristol",Table1[[#This Row],[income]],0)</f>
        <v>0</v>
      </c>
      <c r="BJ413" s="20">
        <f ca="1">IF(Table1[[#This Row],[County]]="Surrey",Table1[[#This Row],[income]],0)</f>
        <v>74274</v>
      </c>
      <c r="BK413" s="20">
        <f ca="1">IF(Table1[[#This Row],[County]]="Norfolk",Table1[[#This Row],[income]],0)</f>
        <v>0</v>
      </c>
      <c r="BL413" s="20">
        <f ca="1">IF(Table1[[#This Row],[County]]="Lincolnshire",Table1[[#This Row],[income]],0)</f>
        <v>0</v>
      </c>
      <c r="BM413" s="20">
        <f ca="1">IF(Table1[[#This Row],[County]]="Somerset",Table1[[#This Row],[income]],0)</f>
        <v>0</v>
      </c>
      <c r="BN413" s="20">
        <f ca="1">IF(Table1[[#This Row],[County]]="Cambridgeshire",Table1[[#This Row],[income]],0)</f>
        <v>0</v>
      </c>
      <c r="BO413" s="20">
        <f ca="1">IF(Table1[[#This Row],[County]]="South Yorkshire",Table1[[#This Row],[income]],0)</f>
        <v>0</v>
      </c>
      <c r="BP413" s="20">
        <f ca="1">IF(Table1[[#This Row],[County]]="Greater London",Table1[[#This Row],[income]],0)</f>
        <v>0</v>
      </c>
      <c r="BQ413" s="20">
        <f ca="1">IF(Table1[[#This Row],[County]]="Hampshire",Table1[[#This Row],[income]],0)</f>
        <v>0</v>
      </c>
      <c r="BR413" s="20">
        <f ca="1">IF(Table1[[#This Row],[County]]="Gloucestershire",Table1[[#This Row],[income]],0)</f>
        <v>0</v>
      </c>
      <c r="BS413" s="20">
        <f ca="1">IF(Table1[[#This Row],[County]]="West Sussex",Table1[[#This Row],[income]],0)</f>
        <v>0</v>
      </c>
      <c r="BT413" s="20">
        <f ca="1">IF(Table1[[#This Row],[County]]="Devon",Table1[[#This Row],[income]],0)</f>
        <v>0</v>
      </c>
      <c r="BU413" s="20">
        <f ca="1">IF(Table1[[#This Row],[County]]="Berkshire",Table1[[#This Row],[income]],0)</f>
        <v>0</v>
      </c>
      <c r="BV413" s="20">
        <f ca="1">IF(Table1[[#This Row],[County]]="Staffordshire",Table1[[#This Row],[income]],0)</f>
        <v>0</v>
      </c>
      <c r="BW413" s="20">
        <f ca="1">IF(Table1[[#This Row],[County]]="Leicestershire",Table1[[#This Row],[income]],0)</f>
        <v>0</v>
      </c>
      <c r="BX413" s="20">
        <f ca="1">IF(Table1[[#This Row],[County]]="Cornwall",Table1[[#This Row],[income]],0)</f>
        <v>0</v>
      </c>
      <c r="BY413" s="20">
        <f ca="1">IF(Table1[[#This Row],[County]]="Isle of Wight",Table1[[#This Row],[income]],0)</f>
        <v>0</v>
      </c>
      <c r="BZ413" s="20">
        <f ca="1">IF(Table1[[#This Row],[County]]="Surrey",Table1[[#This Row],[income]],0)</f>
        <v>74274</v>
      </c>
      <c r="CA413" s="20">
        <f ca="1">IF(Table1[[#This Row],[County]]="Derbyshire",Table1[[#This Row],[income]],0)</f>
        <v>0</v>
      </c>
      <c r="CB413" s="20">
        <f ca="1">IF(Table1[[#This Row],[County]]="City of London",Table1[[#This Row],[income]],0)</f>
        <v>0</v>
      </c>
      <c r="CC413" s="20">
        <f ca="1">IF(Table1[[#This Row],[County]]="Bedfordshire",Table1[[#This Row],[income]],0)</f>
        <v>0</v>
      </c>
      <c r="CD413" s="20">
        <f ca="1">IF(Table1[[#This Row],[County]]="County Durham",Table1[[#This Row],[income]],0)</f>
        <v>0</v>
      </c>
      <c r="CE413" s="20">
        <f ca="1">IF(Table1[[#This Row],[County]]="East Riding of Yorkshire",Table1[[#This Row],[income]],0)</f>
        <v>0</v>
      </c>
      <c r="CF413" s="20">
        <f ca="1">IF(Table1[[#This Row],[County]]="West Yorkshire",Table1[[#This Row],[income]],0)</f>
        <v>0</v>
      </c>
      <c r="CG413" s="20">
        <f ca="1">IF(Table1[[#This Row],[County]]="Essex",Table1[[#This Row],[income]],0)</f>
        <v>0</v>
      </c>
      <c r="CH413" s="20">
        <f ca="1">IF(Table1[[#This Row],[County]]="East Sussex",Table1[[#This Row],[income]],0)</f>
        <v>0</v>
      </c>
      <c r="CI413" s="20">
        <f ca="1">IF(Table1[[#This Row],[County]]="Greater Manchester",Table1[[#This Row],[income]],0)</f>
        <v>0</v>
      </c>
      <c r="CJ413" s="20">
        <f ca="1">IF(Table1[[#This Row],[County]]="Hertfordshire",Table1[[#This Row],[income]],0)</f>
        <v>0</v>
      </c>
      <c r="CK413" s="20">
        <f ca="1">IF(Table1[[#This Row],[County]]="Herefordshire",Table1[[#This Row],[income]],0)</f>
        <v>0</v>
      </c>
      <c r="CL413" s="20">
        <f ca="1">IF(Table1[[#This Row],[County]]="Lancashire",Table1[[#This Row],[income]],0)</f>
        <v>0</v>
      </c>
      <c r="CM413" s="20">
        <f ca="1">IF(Table1[[#This Row],[County]]="Merseyside",Table1[[#This Row],[income]],0)</f>
        <v>0</v>
      </c>
      <c r="CN413" s="20">
        <f ca="1">IF(Table1[[#This Row],[County]]="Northamptonshire",Table1[[#This Row],[income]],0)</f>
        <v>0</v>
      </c>
      <c r="CO413" s="20">
        <f ca="1">IF(Table1[[#This Row],[County]]="Northumberland",Table1[[#This Row],[income]],0)</f>
        <v>0</v>
      </c>
      <c r="CP413" s="20">
        <f ca="1">IF(Table1[[#This Row],[County]]="Wiltshire",Table1[[#This Row],[income]],0)</f>
        <v>0</v>
      </c>
      <c r="CQ413" s="20">
        <f ca="1">IF(Table1[[#This Row],[County]]="West Midlands",Table1[[#This Row],[income]],0)</f>
        <v>0</v>
      </c>
      <c r="CR413" s="20">
        <f ca="1">IF(Table1[[#This Row],[County]]="Warwickshire",Table1[[#This Row],[income]],0)</f>
        <v>0</v>
      </c>
      <c r="CS413" s="20">
        <f ca="1">IF(Table1[[#This Row],[County]]="Tyne and Wear",Table1[[#This Row],[income]],0)</f>
        <v>0</v>
      </c>
      <c r="CT413" s="20">
        <f ca="1">IF(Table1[[#This Row],[County]]="Worcestershire",Table1[[#This Row],[income]],0)</f>
        <v>0</v>
      </c>
      <c r="CU413" s="20">
        <f ca="1">IF(Table1[[#This Row],[County]]="Rutland",Table1[[#This Row],[income]],0)</f>
        <v>0</v>
      </c>
      <c r="CV413" s="20">
        <f ca="1">IF(Table1[[#This Row],[County]]="Shropshire",Table1[[#This Row],[income]],0)</f>
        <v>0</v>
      </c>
      <c r="CW413" s="20">
        <f ca="1">IF(Table1[[#This Row],[County]]="Dorset",Table1[[#This Row],[income]],0)</f>
        <v>0</v>
      </c>
      <c r="CX413" s="20">
        <f ca="1">IF(Table1[[#This Row],[County]]="Buckinghamshire",Table1[[#This Row],[income]],0)</f>
        <v>0</v>
      </c>
      <c r="CY413" s="20">
        <f ca="1">IF(Table1[[#This Row],[County]]="Suffolk",Table1[[#This Row],[income]],0)</f>
        <v>0</v>
      </c>
      <c r="CZ413" s="20">
        <f ca="1">IF(Table1[[#This Row],[County]]="North Yorkshire",Table1[[#This Row],[income]],0)</f>
        <v>0</v>
      </c>
      <c r="DA413" s="20">
        <f ca="1">IF(Table1[[#This Row],[County]]="Kent",Table1[[#This Row],[income]],0)</f>
        <v>0</v>
      </c>
      <c r="DB413" s="5">
        <f ca="1">IF(Table1[[#This Row],[County]]="Derbyshire",Table1[[#This Row],[income]],0)</f>
        <v>0</v>
      </c>
      <c r="DD413" s="6">
        <f ca="1">IF(Table1[[#This Row],[Column1]]="Health",Table1[[#This Row],[income]],0)</f>
        <v>0</v>
      </c>
      <c r="DE413" s="20">
        <f ca="1">IF(Table1[[#This Row],[Column1]]="Agriculture",Table1[[#This Row],[income]],0)</f>
        <v>0</v>
      </c>
      <c r="DF413" s="20">
        <f ca="1">IF(Table1[[#This Row],[Column1]]="Technology",Table1[[#This Row],[income]],0)</f>
        <v>0</v>
      </c>
      <c r="DG413" s="20">
        <f ca="1">IF(Table1[[#This Row],[Column1]]="Social Service",Table1[[#This Row],[income]],0)</f>
        <v>0</v>
      </c>
      <c r="DH413" s="20">
        <f ca="1">IF(Table1[[#This Row],[Column1]]="Education",Table1[[#This Row],[income]],0)</f>
        <v>74274</v>
      </c>
      <c r="DI413" s="5">
        <f ca="1">IF(Table1[[#This Row],[Column1]]="Construction",Table1[[#This Row],[income]],0)</f>
        <v>0</v>
      </c>
      <c r="DK413" s="6">
        <f ca="1">IF(Table1[[#This Row],[Value of Debts]]&gt;Table1[[#This Row],[income]],1,0)</f>
        <v>1</v>
      </c>
      <c r="DL413" s="20"/>
      <c r="DM413" s="20"/>
      <c r="DN413" s="5"/>
      <c r="DP413" s="6">
        <f ca="1">IF(Table1[[#This Row],[Net Worth (£)]]&gt;$DS$5,C413,0)</f>
        <v>0</v>
      </c>
      <c r="DQ413" s="20"/>
      <c r="DR413" s="20"/>
      <c r="DS413" s="5"/>
    </row>
    <row r="414" spans="1:123" x14ac:dyDescent="0.2">
      <c r="A414">
        <f t="shared" ca="1" si="19"/>
        <v>1</v>
      </c>
      <c r="B414" s="1" t="str">
        <f ca="1">IF(A414=1, "men", "women")</f>
        <v>men</v>
      </c>
      <c r="C414" s="1">
        <f ca="1">RANDBETWEEN(25,50)</f>
        <v>34</v>
      </c>
      <c r="D414">
        <f ca="1">RANDBETWEEN(1,6)</f>
        <v>6</v>
      </c>
      <c r="E414" t="str">
        <f ca="1">VLOOKUP(D414,$W$5:$X$10,2)</f>
        <v>Agriculture</v>
      </c>
      <c r="F414">
        <f ca="1">RANDBETWEEN(1,5)</f>
        <v>1</v>
      </c>
      <c r="G414" t="str">
        <f ca="1">VLOOKUP(F414,$Y$5:$Z$9,2)</f>
        <v>High School</v>
      </c>
      <c r="H414">
        <f ca="1">RANDBETWEEN(0,4)</f>
        <v>2</v>
      </c>
      <c r="I414">
        <f ca="1">RANDBETWEEN(1,3)</f>
        <v>3</v>
      </c>
      <c r="J414">
        <f ca="1">RANDBETWEEN(30000,100000)</f>
        <v>88118</v>
      </c>
      <c r="K414">
        <f ca="1">RANDBETWEEN(1,48)</f>
        <v>48</v>
      </c>
      <c r="L414" t="str">
        <f ca="1">VLOOKUP(K414,$AA$5:$AB$52,2)</f>
        <v>Worcestershire</v>
      </c>
      <c r="M414">
        <f ca="1">J414*(RANDBETWEEN(2,5))</f>
        <v>440590</v>
      </c>
      <c r="N414">
        <f ca="1">RAND()*M414</f>
        <v>256865.25695195646</v>
      </c>
      <c r="O414">
        <f ca="1">I414*RAND()*J414</f>
        <v>128449.08633865816</v>
      </c>
      <c r="P414">
        <f ca="1">RANDBETWEEN(0,O414)</f>
        <v>63486</v>
      </c>
      <c r="Q414">
        <f ca="1">RAND()*J414*2</f>
        <v>16838.630243029802</v>
      </c>
      <c r="R414">
        <f ca="1">RAND()*J414*1.5</f>
        <v>7536.3168845634764</v>
      </c>
      <c r="S414">
        <f ca="1">J414+R414+O414</f>
        <v>224103.40322322166</v>
      </c>
      <c r="T414">
        <f ca="1">N414+P414+Q414</f>
        <v>337189.88719498622</v>
      </c>
      <c r="U414">
        <f ca="1">S414-T414</f>
        <v>-113086.48397176457</v>
      </c>
      <c r="AC414" s="6">
        <f ca="1">IF(Table1[[#This Row],[gender]]="men",1,0)</f>
        <v>1</v>
      </c>
      <c r="AD414">
        <f ca="1">IF(Table1[[#This Row],[gender]]="women",1,0)</f>
        <v>0</v>
      </c>
      <c r="AH414" s="5"/>
      <c r="AJ414" s="6">
        <f ca="1">IF(Table1[[#This Row],[Column1]]="Health",1,0)</f>
        <v>0</v>
      </c>
      <c r="AK414">
        <f ca="1">IF(Table1[[#This Row],[Column1]]="Construction",1,0)</f>
        <v>0</v>
      </c>
      <c r="AL414">
        <f ca="1">IF(Table1[[#This Row],[Column1]]="Technology",1,0)</f>
        <v>0</v>
      </c>
      <c r="AM414">
        <f ca="1">IF(Table1[[#This Row],[Column1]]="Education",1,0)</f>
        <v>0</v>
      </c>
      <c r="AN414">
        <f ca="1">IF(Table1[[#This Row],[Column1]]="Agriculture",1,0)</f>
        <v>1</v>
      </c>
      <c r="AO414">
        <f ca="1">IF(Table1[[#This Row],[Column1]]="Social Service", 1, 0)</f>
        <v>0</v>
      </c>
      <c r="AT414" s="5"/>
      <c r="AV414" s="17">
        <f t="shared" ca="1" si="18"/>
        <v>42726.941611747978</v>
      </c>
      <c r="AW414" s="5"/>
      <c r="AX414" s="6">
        <f ca="1">IF(Table1[[#This Row],[Value of Debts]]&gt;$AY$4,1,0)</f>
        <v>1</v>
      </c>
      <c r="AY414" s="20"/>
      <c r="AZ414" s="20"/>
      <c r="BA414" s="5"/>
      <c r="BB414" s="25">
        <f ca="1">Table1[[#This Row],[Mortage Left]]/Table1[[#This Row],[Value of House]]</f>
        <v>0.58300292097404949</v>
      </c>
      <c r="BC414" s="20">
        <f t="shared" ca="1" si="20"/>
        <v>0</v>
      </c>
      <c r="BD414" s="20"/>
      <c r="BE414" s="20"/>
      <c r="BF414" s="20"/>
      <c r="BG414" s="6">
        <f ca="1">IF(Table1[[#This Row],[County]]="Cumbria",Table1[[#This Row],[income]],0)</f>
        <v>0</v>
      </c>
      <c r="BH414" s="20">
        <f ca="1">IF(Table1[[#This Row],[County]]="Cheshire",Table1[[#This Row],[income]],0)</f>
        <v>0</v>
      </c>
      <c r="BI414" s="20">
        <f ca="1">IF(Table1[[#This Row],[County]]="Bristol",Table1[[#This Row],[income]],0)</f>
        <v>0</v>
      </c>
      <c r="BJ414" s="20">
        <f ca="1">IF(Table1[[#This Row],[County]]="Surrey",Table1[[#This Row],[income]],0)</f>
        <v>0</v>
      </c>
      <c r="BK414" s="20">
        <f ca="1">IF(Table1[[#This Row],[County]]="Norfolk",Table1[[#This Row],[income]],0)</f>
        <v>0</v>
      </c>
      <c r="BL414" s="20">
        <f ca="1">IF(Table1[[#This Row],[County]]="Lincolnshire",Table1[[#This Row],[income]],0)</f>
        <v>0</v>
      </c>
      <c r="BM414" s="20">
        <f ca="1">IF(Table1[[#This Row],[County]]="Somerset",Table1[[#This Row],[income]],0)</f>
        <v>0</v>
      </c>
      <c r="BN414" s="20">
        <f ca="1">IF(Table1[[#This Row],[County]]="Cambridgeshire",Table1[[#This Row],[income]],0)</f>
        <v>0</v>
      </c>
      <c r="BO414" s="20">
        <f ca="1">IF(Table1[[#This Row],[County]]="South Yorkshire",Table1[[#This Row],[income]],0)</f>
        <v>0</v>
      </c>
      <c r="BP414" s="20">
        <f ca="1">IF(Table1[[#This Row],[County]]="Greater London",Table1[[#This Row],[income]],0)</f>
        <v>0</v>
      </c>
      <c r="BQ414" s="20">
        <f ca="1">IF(Table1[[#This Row],[County]]="Hampshire",Table1[[#This Row],[income]],0)</f>
        <v>0</v>
      </c>
      <c r="BR414" s="20">
        <f ca="1">IF(Table1[[#This Row],[County]]="Gloucestershire",Table1[[#This Row],[income]],0)</f>
        <v>0</v>
      </c>
      <c r="BS414" s="20">
        <f ca="1">IF(Table1[[#This Row],[County]]="West Sussex",Table1[[#This Row],[income]],0)</f>
        <v>0</v>
      </c>
      <c r="BT414" s="20">
        <f ca="1">IF(Table1[[#This Row],[County]]="Devon",Table1[[#This Row],[income]],0)</f>
        <v>0</v>
      </c>
      <c r="BU414" s="20">
        <f ca="1">IF(Table1[[#This Row],[County]]="Berkshire",Table1[[#This Row],[income]],0)</f>
        <v>0</v>
      </c>
      <c r="BV414" s="20">
        <f ca="1">IF(Table1[[#This Row],[County]]="Staffordshire",Table1[[#This Row],[income]],0)</f>
        <v>0</v>
      </c>
      <c r="BW414" s="20">
        <f ca="1">IF(Table1[[#This Row],[County]]="Leicestershire",Table1[[#This Row],[income]],0)</f>
        <v>0</v>
      </c>
      <c r="BX414" s="20">
        <f ca="1">IF(Table1[[#This Row],[County]]="Cornwall",Table1[[#This Row],[income]],0)</f>
        <v>0</v>
      </c>
      <c r="BY414" s="20">
        <f ca="1">IF(Table1[[#This Row],[County]]="Isle of Wight",Table1[[#This Row],[income]],0)</f>
        <v>0</v>
      </c>
      <c r="BZ414" s="20">
        <f ca="1">IF(Table1[[#This Row],[County]]="Surrey",Table1[[#This Row],[income]],0)</f>
        <v>0</v>
      </c>
      <c r="CA414" s="20">
        <f ca="1">IF(Table1[[#This Row],[County]]="Derbyshire",Table1[[#This Row],[income]],0)</f>
        <v>0</v>
      </c>
      <c r="CB414" s="20">
        <f ca="1">IF(Table1[[#This Row],[County]]="City of London",Table1[[#This Row],[income]],0)</f>
        <v>0</v>
      </c>
      <c r="CC414" s="20">
        <f ca="1">IF(Table1[[#This Row],[County]]="Bedfordshire",Table1[[#This Row],[income]],0)</f>
        <v>0</v>
      </c>
      <c r="CD414" s="20">
        <f ca="1">IF(Table1[[#This Row],[County]]="County Durham",Table1[[#This Row],[income]],0)</f>
        <v>0</v>
      </c>
      <c r="CE414" s="20">
        <f ca="1">IF(Table1[[#This Row],[County]]="East Riding of Yorkshire",Table1[[#This Row],[income]],0)</f>
        <v>0</v>
      </c>
      <c r="CF414" s="20">
        <f ca="1">IF(Table1[[#This Row],[County]]="West Yorkshire",Table1[[#This Row],[income]],0)</f>
        <v>0</v>
      </c>
      <c r="CG414" s="20">
        <f ca="1">IF(Table1[[#This Row],[County]]="Essex",Table1[[#This Row],[income]],0)</f>
        <v>0</v>
      </c>
      <c r="CH414" s="20">
        <f ca="1">IF(Table1[[#This Row],[County]]="East Sussex",Table1[[#This Row],[income]],0)</f>
        <v>0</v>
      </c>
      <c r="CI414" s="20">
        <f ca="1">IF(Table1[[#This Row],[County]]="Greater Manchester",Table1[[#This Row],[income]],0)</f>
        <v>0</v>
      </c>
      <c r="CJ414" s="20">
        <f ca="1">IF(Table1[[#This Row],[County]]="Hertfordshire",Table1[[#This Row],[income]],0)</f>
        <v>0</v>
      </c>
      <c r="CK414" s="20">
        <f ca="1">IF(Table1[[#This Row],[County]]="Herefordshire",Table1[[#This Row],[income]],0)</f>
        <v>0</v>
      </c>
      <c r="CL414" s="20">
        <f ca="1">IF(Table1[[#This Row],[County]]="Lancashire",Table1[[#This Row],[income]],0)</f>
        <v>0</v>
      </c>
      <c r="CM414" s="20">
        <f ca="1">IF(Table1[[#This Row],[County]]="Merseyside",Table1[[#This Row],[income]],0)</f>
        <v>0</v>
      </c>
      <c r="CN414" s="20">
        <f ca="1">IF(Table1[[#This Row],[County]]="Northamptonshire",Table1[[#This Row],[income]],0)</f>
        <v>0</v>
      </c>
      <c r="CO414" s="20">
        <f ca="1">IF(Table1[[#This Row],[County]]="Northumberland",Table1[[#This Row],[income]],0)</f>
        <v>0</v>
      </c>
      <c r="CP414" s="20">
        <f ca="1">IF(Table1[[#This Row],[County]]="Wiltshire",Table1[[#This Row],[income]],0)</f>
        <v>0</v>
      </c>
      <c r="CQ414" s="20">
        <f ca="1">IF(Table1[[#This Row],[County]]="West Midlands",Table1[[#This Row],[income]],0)</f>
        <v>0</v>
      </c>
      <c r="CR414" s="20">
        <f ca="1">IF(Table1[[#This Row],[County]]="Warwickshire",Table1[[#This Row],[income]],0)</f>
        <v>0</v>
      </c>
      <c r="CS414" s="20">
        <f ca="1">IF(Table1[[#This Row],[County]]="Tyne and Wear",Table1[[#This Row],[income]],0)</f>
        <v>0</v>
      </c>
      <c r="CT414" s="20">
        <f ca="1">IF(Table1[[#This Row],[County]]="Worcestershire",Table1[[#This Row],[income]],0)</f>
        <v>88118</v>
      </c>
      <c r="CU414" s="20">
        <f ca="1">IF(Table1[[#This Row],[County]]="Rutland",Table1[[#This Row],[income]],0)</f>
        <v>0</v>
      </c>
      <c r="CV414" s="20">
        <f ca="1">IF(Table1[[#This Row],[County]]="Shropshire",Table1[[#This Row],[income]],0)</f>
        <v>0</v>
      </c>
      <c r="CW414" s="20">
        <f ca="1">IF(Table1[[#This Row],[County]]="Dorset",Table1[[#This Row],[income]],0)</f>
        <v>0</v>
      </c>
      <c r="CX414" s="20">
        <f ca="1">IF(Table1[[#This Row],[County]]="Buckinghamshire",Table1[[#This Row],[income]],0)</f>
        <v>0</v>
      </c>
      <c r="CY414" s="20">
        <f ca="1">IF(Table1[[#This Row],[County]]="Suffolk",Table1[[#This Row],[income]],0)</f>
        <v>0</v>
      </c>
      <c r="CZ414" s="20">
        <f ca="1">IF(Table1[[#This Row],[County]]="North Yorkshire",Table1[[#This Row],[income]],0)</f>
        <v>0</v>
      </c>
      <c r="DA414" s="20">
        <f ca="1">IF(Table1[[#This Row],[County]]="Kent",Table1[[#This Row],[income]],0)</f>
        <v>0</v>
      </c>
      <c r="DB414" s="5">
        <f ca="1">IF(Table1[[#This Row],[County]]="Derbyshire",Table1[[#This Row],[income]],0)</f>
        <v>0</v>
      </c>
      <c r="DD414" s="6">
        <f ca="1">IF(Table1[[#This Row],[Column1]]="Health",Table1[[#This Row],[income]],0)</f>
        <v>0</v>
      </c>
      <c r="DE414" s="20">
        <f ca="1">IF(Table1[[#This Row],[Column1]]="Agriculture",Table1[[#This Row],[income]],0)</f>
        <v>88118</v>
      </c>
      <c r="DF414" s="20">
        <f ca="1">IF(Table1[[#This Row],[Column1]]="Technology",Table1[[#This Row],[income]],0)</f>
        <v>0</v>
      </c>
      <c r="DG414" s="20">
        <f ca="1">IF(Table1[[#This Row],[Column1]]="Social Service",Table1[[#This Row],[income]],0)</f>
        <v>0</v>
      </c>
      <c r="DH414" s="20">
        <f ca="1">IF(Table1[[#This Row],[Column1]]="Education",Table1[[#This Row],[income]],0)</f>
        <v>0</v>
      </c>
      <c r="DI414" s="5">
        <f ca="1">IF(Table1[[#This Row],[Column1]]="Construction",Table1[[#This Row],[income]],0)</f>
        <v>0</v>
      </c>
      <c r="DK414" s="6">
        <f ca="1">IF(Table1[[#This Row],[Value of Debts]]&gt;Table1[[#This Row],[income]],1,0)</f>
        <v>1</v>
      </c>
      <c r="DL414" s="20"/>
      <c r="DM414" s="20"/>
      <c r="DN414" s="5"/>
      <c r="DP414" s="6">
        <f ca="1">IF(Table1[[#This Row],[Net Worth (£)]]&gt;$DS$5,C414,0)</f>
        <v>0</v>
      </c>
      <c r="DQ414" s="20"/>
      <c r="DR414" s="20"/>
      <c r="DS414" s="5"/>
    </row>
    <row r="415" spans="1:123" x14ac:dyDescent="0.2">
      <c r="A415">
        <f t="shared" ca="1" si="19"/>
        <v>2</v>
      </c>
      <c r="B415" s="1" t="str">
        <f ca="1">IF(A415=1, "men", "women")</f>
        <v>women</v>
      </c>
      <c r="C415" s="1">
        <f ca="1">RANDBETWEEN(25,50)</f>
        <v>27</v>
      </c>
      <c r="D415">
        <f ca="1">RANDBETWEEN(1,6)</f>
        <v>5</v>
      </c>
      <c r="E415" t="str">
        <f ca="1">VLOOKUP(D415,$W$5:$X$10,2)</f>
        <v>Social Service</v>
      </c>
      <c r="F415">
        <f ca="1">RANDBETWEEN(1,5)</f>
        <v>4</v>
      </c>
      <c r="G415" t="str">
        <f ca="1">VLOOKUP(F415,$Y$5:$Z$9,2)</f>
        <v xml:space="preserve">Technical </v>
      </c>
      <c r="H415">
        <f ca="1">RANDBETWEEN(0,4)</f>
        <v>0</v>
      </c>
      <c r="I415">
        <f ca="1">RANDBETWEEN(1,3)</f>
        <v>3</v>
      </c>
      <c r="J415">
        <f ca="1">RANDBETWEEN(30000,100000)</f>
        <v>46568</v>
      </c>
      <c r="K415">
        <f ca="1">RANDBETWEEN(1,48)</f>
        <v>42</v>
      </c>
      <c r="L415" t="str">
        <f ca="1">VLOOKUP(K415,$AA$5:$AB$52,2)</f>
        <v>Tyne and Wear</v>
      </c>
      <c r="M415">
        <f ca="1">J415*(RANDBETWEEN(2,5))</f>
        <v>139704</v>
      </c>
      <c r="N415">
        <f ca="1">RAND()*M415</f>
        <v>133336.42431048313</v>
      </c>
      <c r="O415">
        <f ca="1">I415*RAND()*J415</f>
        <v>128180.82483524393</v>
      </c>
      <c r="P415">
        <f ca="1">RANDBETWEEN(0,O415)</f>
        <v>70777</v>
      </c>
      <c r="Q415">
        <f ca="1">RAND()*J415*2</f>
        <v>25680.162251589354</v>
      </c>
      <c r="R415">
        <f ca="1">RAND()*J415*1.5</f>
        <v>36333.898556870183</v>
      </c>
      <c r="S415">
        <f ca="1">J415+R415+O415</f>
        <v>211082.7233921141</v>
      </c>
      <c r="T415">
        <f ca="1">N415+P415+Q415</f>
        <v>229793.58656207248</v>
      </c>
      <c r="U415">
        <f ca="1">S415-T415</f>
        <v>-18710.863169958378</v>
      </c>
      <c r="AC415" s="6">
        <f ca="1">IF(Table1[[#This Row],[gender]]="men",1,0)</f>
        <v>0</v>
      </c>
      <c r="AD415">
        <f ca="1">IF(Table1[[#This Row],[gender]]="women",1,0)</f>
        <v>1</v>
      </c>
      <c r="AH415" s="5"/>
      <c r="AJ415" s="6">
        <f ca="1">IF(Table1[[#This Row],[Column1]]="Health",1,0)</f>
        <v>0</v>
      </c>
      <c r="AK415">
        <f ca="1">IF(Table1[[#This Row],[Column1]]="Construction",1,0)</f>
        <v>0</v>
      </c>
      <c r="AL415">
        <f ca="1">IF(Table1[[#This Row],[Column1]]="Technology",1,0)</f>
        <v>0</v>
      </c>
      <c r="AM415">
        <f ca="1">IF(Table1[[#This Row],[Column1]]="Education",1,0)</f>
        <v>0</v>
      </c>
      <c r="AN415">
        <f ca="1">IF(Table1[[#This Row],[Column1]]="Agriculture",1,0)</f>
        <v>0</v>
      </c>
      <c r="AO415">
        <f ca="1">IF(Table1[[#This Row],[Column1]]="Social Service", 1, 0)</f>
        <v>1</v>
      </c>
      <c r="AT415" s="5"/>
      <c r="AV415" s="17">
        <f t="shared" ca="1" si="18"/>
        <v>33600.259682952725</v>
      </c>
      <c r="AW415" s="5"/>
      <c r="AX415" s="6">
        <f ca="1">IF(Table1[[#This Row],[Value of Debts]]&gt;$AY$4,1,0)</f>
        <v>1</v>
      </c>
      <c r="AY415" s="20"/>
      <c r="AZ415" s="20"/>
      <c r="BA415" s="5"/>
      <c r="BB415" s="25">
        <f ca="1">Table1[[#This Row],[Mortage Left]]/Table1[[#This Row],[Value of House]]</f>
        <v>0.95442094936782862</v>
      </c>
      <c r="BC415" s="20">
        <f t="shared" ca="1" si="20"/>
        <v>0</v>
      </c>
      <c r="BD415" s="20"/>
      <c r="BE415" s="20"/>
      <c r="BF415" s="20"/>
      <c r="BG415" s="6">
        <f ca="1">IF(Table1[[#This Row],[County]]="Cumbria",Table1[[#This Row],[income]],0)</f>
        <v>0</v>
      </c>
      <c r="BH415" s="20">
        <f ca="1">IF(Table1[[#This Row],[County]]="Cheshire",Table1[[#This Row],[income]],0)</f>
        <v>0</v>
      </c>
      <c r="BI415" s="20">
        <f ca="1">IF(Table1[[#This Row],[County]]="Bristol",Table1[[#This Row],[income]],0)</f>
        <v>0</v>
      </c>
      <c r="BJ415" s="20">
        <f ca="1">IF(Table1[[#This Row],[County]]="Surrey",Table1[[#This Row],[income]],0)</f>
        <v>0</v>
      </c>
      <c r="BK415" s="20">
        <f ca="1">IF(Table1[[#This Row],[County]]="Norfolk",Table1[[#This Row],[income]],0)</f>
        <v>0</v>
      </c>
      <c r="BL415" s="20">
        <f ca="1">IF(Table1[[#This Row],[County]]="Lincolnshire",Table1[[#This Row],[income]],0)</f>
        <v>0</v>
      </c>
      <c r="BM415" s="20">
        <f ca="1">IF(Table1[[#This Row],[County]]="Somerset",Table1[[#This Row],[income]],0)</f>
        <v>0</v>
      </c>
      <c r="BN415" s="20">
        <f ca="1">IF(Table1[[#This Row],[County]]="Cambridgeshire",Table1[[#This Row],[income]],0)</f>
        <v>0</v>
      </c>
      <c r="BO415" s="20">
        <f ca="1">IF(Table1[[#This Row],[County]]="South Yorkshire",Table1[[#This Row],[income]],0)</f>
        <v>0</v>
      </c>
      <c r="BP415" s="20">
        <f ca="1">IF(Table1[[#This Row],[County]]="Greater London",Table1[[#This Row],[income]],0)</f>
        <v>0</v>
      </c>
      <c r="BQ415" s="20">
        <f ca="1">IF(Table1[[#This Row],[County]]="Hampshire",Table1[[#This Row],[income]],0)</f>
        <v>0</v>
      </c>
      <c r="BR415" s="20">
        <f ca="1">IF(Table1[[#This Row],[County]]="Gloucestershire",Table1[[#This Row],[income]],0)</f>
        <v>0</v>
      </c>
      <c r="BS415" s="20">
        <f ca="1">IF(Table1[[#This Row],[County]]="West Sussex",Table1[[#This Row],[income]],0)</f>
        <v>0</v>
      </c>
      <c r="BT415" s="20">
        <f ca="1">IF(Table1[[#This Row],[County]]="Devon",Table1[[#This Row],[income]],0)</f>
        <v>0</v>
      </c>
      <c r="BU415" s="20">
        <f ca="1">IF(Table1[[#This Row],[County]]="Berkshire",Table1[[#This Row],[income]],0)</f>
        <v>0</v>
      </c>
      <c r="BV415" s="20">
        <f ca="1">IF(Table1[[#This Row],[County]]="Staffordshire",Table1[[#This Row],[income]],0)</f>
        <v>0</v>
      </c>
      <c r="BW415" s="20">
        <f ca="1">IF(Table1[[#This Row],[County]]="Leicestershire",Table1[[#This Row],[income]],0)</f>
        <v>0</v>
      </c>
      <c r="BX415" s="20">
        <f ca="1">IF(Table1[[#This Row],[County]]="Cornwall",Table1[[#This Row],[income]],0)</f>
        <v>0</v>
      </c>
      <c r="BY415" s="20">
        <f ca="1">IF(Table1[[#This Row],[County]]="Isle of Wight",Table1[[#This Row],[income]],0)</f>
        <v>0</v>
      </c>
      <c r="BZ415" s="20">
        <f ca="1">IF(Table1[[#This Row],[County]]="Surrey",Table1[[#This Row],[income]],0)</f>
        <v>0</v>
      </c>
      <c r="CA415" s="20">
        <f ca="1">IF(Table1[[#This Row],[County]]="Derbyshire",Table1[[#This Row],[income]],0)</f>
        <v>0</v>
      </c>
      <c r="CB415" s="20">
        <f ca="1">IF(Table1[[#This Row],[County]]="City of London",Table1[[#This Row],[income]],0)</f>
        <v>0</v>
      </c>
      <c r="CC415" s="20">
        <f ca="1">IF(Table1[[#This Row],[County]]="Bedfordshire",Table1[[#This Row],[income]],0)</f>
        <v>0</v>
      </c>
      <c r="CD415" s="20">
        <f ca="1">IF(Table1[[#This Row],[County]]="County Durham",Table1[[#This Row],[income]],0)</f>
        <v>0</v>
      </c>
      <c r="CE415" s="20">
        <f ca="1">IF(Table1[[#This Row],[County]]="East Riding of Yorkshire",Table1[[#This Row],[income]],0)</f>
        <v>0</v>
      </c>
      <c r="CF415" s="20">
        <f ca="1">IF(Table1[[#This Row],[County]]="West Yorkshire",Table1[[#This Row],[income]],0)</f>
        <v>0</v>
      </c>
      <c r="CG415" s="20">
        <f ca="1">IF(Table1[[#This Row],[County]]="Essex",Table1[[#This Row],[income]],0)</f>
        <v>0</v>
      </c>
      <c r="CH415" s="20">
        <f ca="1">IF(Table1[[#This Row],[County]]="East Sussex",Table1[[#This Row],[income]],0)</f>
        <v>0</v>
      </c>
      <c r="CI415" s="20">
        <f ca="1">IF(Table1[[#This Row],[County]]="Greater Manchester",Table1[[#This Row],[income]],0)</f>
        <v>0</v>
      </c>
      <c r="CJ415" s="20">
        <f ca="1">IF(Table1[[#This Row],[County]]="Hertfordshire",Table1[[#This Row],[income]],0)</f>
        <v>0</v>
      </c>
      <c r="CK415" s="20">
        <f ca="1">IF(Table1[[#This Row],[County]]="Herefordshire",Table1[[#This Row],[income]],0)</f>
        <v>0</v>
      </c>
      <c r="CL415" s="20">
        <f ca="1">IF(Table1[[#This Row],[County]]="Lancashire",Table1[[#This Row],[income]],0)</f>
        <v>0</v>
      </c>
      <c r="CM415" s="20">
        <f ca="1">IF(Table1[[#This Row],[County]]="Merseyside",Table1[[#This Row],[income]],0)</f>
        <v>0</v>
      </c>
      <c r="CN415" s="20">
        <f ca="1">IF(Table1[[#This Row],[County]]="Northamptonshire",Table1[[#This Row],[income]],0)</f>
        <v>0</v>
      </c>
      <c r="CO415" s="20">
        <f ca="1">IF(Table1[[#This Row],[County]]="Northumberland",Table1[[#This Row],[income]],0)</f>
        <v>0</v>
      </c>
      <c r="CP415" s="20">
        <f ca="1">IF(Table1[[#This Row],[County]]="Wiltshire",Table1[[#This Row],[income]],0)</f>
        <v>0</v>
      </c>
      <c r="CQ415" s="20">
        <f ca="1">IF(Table1[[#This Row],[County]]="West Midlands",Table1[[#This Row],[income]],0)</f>
        <v>0</v>
      </c>
      <c r="CR415" s="20">
        <f ca="1">IF(Table1[[#This Row],[County]]="Warwickshire",Table1[[#This Row],[income]],0)</f>
        <v>0</v>
      </c>
      <c r="CS415" s="20">
        <f ca="1">IF(Table1[[#This Row],[County]]="Tyne and Wear",Table1[[#This Row],[income]],0)</f>
        <v>46568</v>
      </c>
      <c r="CT415" s="20">
        <f ca="1">IF(Table1[[#This Row],[County]]="Worcestershire",Table1[[#This Row],[income]],0)</f>
        <v>0</v>
      </c>
      <c r="CU415" s="20">
        <f ca="1">IF(Table1[[#This Row],[County]]="Rutland",Table1[[#This Row],[income]],0)</f>
        <v>0</v>
      </c>
      <c r="CV415" s="20">
        <f ca="1">IF(Table1[[#This Row],[County]]="Shropshire",Table1[[#This Row],[income]],0)</f>
        <v>0</v>
      </c>
      <c r="CW415" s="20">
        <f ca="1">IF(Table1[[#This Row],[County]]="Dorset",Table1[[#This Row],[income]],0)</f>
        <v>0</v>
      </c>
      <c r="CX415" s="20">
        <f ca="1">IF(Table1[[#This Row],[County]]="Buckinghamshire",Table1[[#This Row],[income]],0)</f>
        <v>0</v>
      </c>
      <c r="CY415" s="20">
        <f ca="1">IF(Table1[[#This Row],[County]]="Suffolk",Table1[[#This Row],[income]],0)</f>
        <v>0</v>
      </c>
      <c r="CZ415" s="20">
        <f ca="1">IF(Table1[[#This Row],[County]]="North Yorkshire",Table1[[#This Row],[income]],0)</f>
        <v>0</v>
      </c>
      <c r="DA415" s="20">
        <f ca="1">IF(Table1[[#This Row],[County]]="Kent",Table1[[#This Row],[income]],0)</f>
        <v>0</v>
      </c>
      <c r="DB415" s="5">
        <f ca="1">IF(Table1[[#This Row],[County]]="Derbyshire",Table1[[#This Row],[income]],0)</f>
        <v>0</v>
      </c>
      <c r="DD415" s="6">
        <f ca="1">IF(Table1[[#This Row],[Column1]]="Health",Table1[[#This Row],[income]],0)</f>
        <v>0</v>
      </c>
      <c r="DE415" s="20">
        <f ca="1">IF(Table1[[#This Row],[Column1]]="Agriculture",Table1[[#This Row],[income]],0)</f>
        <v>0</v>
      </c>
      <c r="DF415" s="20">
        <f ca="1">IF(Table1[[#This Row],[Column1]]="Technology",Table1[[#This Row],[income]],0)</f>
        <v>0</v>
      </c>
      <c r="DG415" s="20">
        <f ca="1">IF(Table1[[#This Row],[Column1]]="Social Service",Table1[[#This Row],[income]],0)</f>
        <v>46568</v>
      </c>
      <c r="DH415" s="20">
        <f ca="1">IF(Table1[[#This Row],[Column1]]="Education",Table1[[#This Row],[income]],0)</f>
        <v>0</v>
      </c>
      <c r="DI415" s="5">
        <f ca="1">IF(Table1[[#This Row],[Column1]]="Construction",Table1[[#This Row],[income]],0)</f>
        <v>0</v>
      </c>
      <c r="DK415" s="6">
        <f ca="1">IF(Table1[[#This Row],[Value of Debts]]&gt;Table1[[#This Row],[income]],1,0)</f>
        <v>1</v>
      </c>
      <c r="DL415" s="20"/>
      <c r="DM415" s="20"/>
      <c r="DN415" s="5"/>
      <c r="DP415" s="6">
        <f ca="1">IF(Table1[[#This Row],[Net Worth (£)]]&gt;$DS$5,C415,0)</f>
        <v>0</v>
      </c>
      <c r="DQ415" s="20"/>
      <c r="DR415" s="20"/>
      <c r="DS415" s="5"/>
    </row>
    <row r="416" spans="1:123" x14ac:dyDescent="0.2">
      <c r="A416">
        <f t="shared" ca="1" si="19"/>
        <v>1</v>
      </c>
      <c r="B416" s="1" t="str">
        <f ca="1">IF(A416=1, "men", "women")</f>
        <v>men</v>
      </c>
      <c r="C416" s="1">
        <f ca="1">RANDBETWEEN(25,50)</f>
        <v>47</v>
      </c>
      <c r="D416">
        <f ca="1">RANDBETWEEN(1,6)</f>
        <v>5</v>
      </c>
      <c r="E416" t="str">
        <f ca="1">VLOOKUP(D416,$W$5:$X$10,2)</f>
        <v>Social Service</v>
      </c>
      <c r="F416">
        <f ca="1">RANDBETWEEN(1,5)</f>
        <v>3</v>
      </c>
      <c r="G416" t="str">
        <f ca="1">VLOOKUP(F416,$Y$5:$Z$9,2)</f>
        <v>University</v>
      </c>
      <c r="H416">
        <f ca="1">RANDBETWEEN(0,4)</f>
        <v>4</v>
      </c>
      <c r="I416">
        <f ca="1">RANDBETWEEN(1,3)</f>
        <v>1</v>
      </c>
      <c r="J416">
        <f ca="1">RANDBETWEEN(30000,100000)</f>
        <v>86648</v>
      </c>
      <c r="K416">
        <f ca="1">RANDBETWEEN(1,48)</f>
        <v>35</v>
      </c>
      <c r="L416" t="str">
        <f ca="1">VLOOKUP(K416,$AA$5:$AB$52,2)</f>
        <v>Rutland</v>
      </c>
      <c r="M416">
        <f ca="1">J416*(RANDBETWEEN(2,5))</f>
        <v>173296</v>
      </c>
      <c r="N416">
        <f ca="1">RAND()*M416</f>
        <v>73478.701404657375</v>
      </c>
      <c r="O416">
        <f ca="1">I416*RAND()*J416</f>
        <v>33600.259682952725</v>
      </c>
      <c r="P416">
        <f ca="1">RANDBETWEEN(0,O416)</f>
        <v>31214</v>
      </c>
      <c r="Q416">
        <f ca="1">RAND()*J416*2</f>
        <v>30412.57361426187</v>
      </c>
      <c r="R416">
        <f ca="1">RAND()*J416*1.5</f>
        <v>127152.74551295469</v>
      </c>
      <c r="S416">
        <f ca="1">J416+R416+O416</f>
        <v>247401.0051959074</v>
      </c>
      <c r="T416">
        <f ca="1">N416+P416+Q416</f>
        <v>135105.27501891926</v>
      </c>
      <c r="U416">
        <f ca="1">S416-T416</f>
        <v>112295.73017698815</v>
      </c>
      <c r="AC416" s="6">
        <f ca="1">IF(Table1[[#This Row],[gender]]="men",1,0)</f>
        <v>1</v>
      </c>
      <c r="AD416">
        <f ca="1">IF(Table1[[#This Row],[gender]]="women",1,0)</f>
        <v>0</v>
      </c>
      <c r="AH416" s="5"/>
      <c r="AJ416" s="6">
        <f ca="1">IF(Table1[[#This Row],[Column1]]="Health",1,0)</f>
        <v>0</v>
      </c>
      <c r="AK416">
        <f ca="1">IF(Table1[[#This Row],[Column1]]="Construction",1,0)</f>
        <v>0</v>
      </c>
      <c r="AL416">
        <f ca="1">IF(Table1[[#This Row],[Column1]]="Technology",1,0)</f>
        <v>0</v>
      </c>
      <c r="AM416">
        <f ca="1">IF(Table1[[#This Row],[Column1]]="Education",1,0)</f>
        <v>0</v>
      </c>
      <c r="AN416">
        <f ca="1">IF(Table1[[#This Row],[Column1]]="Agriculture",1,0)</f>
        <v>0</v>
      </c>
      <c r="AO416">
        <f ca="1">IF(Table1[[#This Row],[Column1]]="Social Service", 1, 0)</f>
        <v>1</v>
      </c>
      <c r="AT416" s="5"/>
      <c r="AV416" s="17">
        <f t="shared" ca="1" si="18"/>
        <v>65385.506314944731</v>
      </c>
      <c r="AW416" s="5"/>
      <c r="AX416" s="6">
        <f ca="1">IF(Table1[[#This Row],[Value of Debts]]&gt;$AY$4,1,0)</f>
        <v>1</v>
      </c>
      <c r="AY416" s="20"/>
      <c r="AZ416" s="20"/>
      <c r="BA416" s="5"/>
      <c r="BB416" s="25">
        <f ca="1">Table1[[#This Row],[Mortage Left]]/Table1[[#This Row],[Value of House]]</f>
        <v>0.42400690959201237</v>
      </c>
      <c r="BC416" s="20">
        <f t="shared" ca="1" si="20"/>
        <v>0</v>
      </c>
      <c r="BD416" s="20"/>
      <c r="BE416" s="20"/>
      <c r="BF416" s="20"/>
      <c r="BG416" s="6">
        <f ca="1">IF(Table1[[#This Row],[County]]="Cumbria",Table1[[#This Row],[income]],0)</f>
        <v>0</v>
      </c>
      <c r="BH416" s="20">
        <f ca="1">IF(Table1[[#This Row],[County]]="Cheshire",Table1[[#This Row],[income]],0)</f>
        <v>0</v>
      </c>
      <c r="BI416" s="20">
        <f ca="1">IF(Table1[[#This Row],[County]]="Bristol",Table1[[#This Row],[income]],0)</f>
        <v>0</v>
      </c>
      <c r="BJ416" s="20">
        <f ca="1">IF(Table1[[#This Row],[County]]="Surrey",Table1[[#This Row],[income]],0)</f>
        <v>0</v>
      </c>
      <c r="BK416" s="20">
        <f ca="1">IF(Table1[[#This Row],[County]]="Norfolk",Table1[[#This Row],[income]],0)</f>
        <v>0</v>
      </c>
      <c r="BL416" s="20">
        <f ca="1">IF(Table1[[#This Row],[County]]="Lincolnshire",Table1[[#This Row],[income]],0)</f>
        <v>0</v>
      </c>
      <c r="BM416" s="20">
        <f ca="1">IF(Table1[[#This Row],[County]]="Somerset",Table1[[#This Row],[income]],0)</f>
        <v>0</v>
      </c>
      <c r="BN416" s="20">
        <f ca="1">IF(Table1[[#This Row],[County]]="Cambridgeshire",Table1[[#This Row],[income]],0)</f>
        <v>0</v>
      </c>
      <c r="BO416" s="20">
        <f ca="1">IF(Table1[[#This Row],[County]]="South Yorkshire",Table1[[#This Row],[income]],0)</f>
        <v>0</v>
      </c>
      <c r="BP416" s="20">
        <f ca="1">IF(Table1[[#This Row],[County]]="Greater London",Table1[[#This Row],[income]],0)</f>
        <v>0</v>
      </c>
      <c r="BQ416" s="20">
        <f ca="1">IF(Table1[[#This Row],[County]]="Hampshire",Table1[[#This Row],[income]],0)</f>
        <v>0</v>
      </c>
      <c r="BR416" s="20">
        <f ca="1">IF(Table1[[#This Row],[County]]="Gloucestershire",Table1[[#This Row],[income]],0)</f>
        <v>0</v>
      </c>
      <c r="BS416" s="20">
        <f ca="1">IF(Table1[[#This Row],[County]]="West Sussex",Table1[[#This Row],[income]],0)</f>
        <v>0</v>
      </c>
      <c r="BT416" s="20">
        <f ca="1">IF(Table1[[#This Row],[County]]="Devon",Table1[[#This Row],[income]],0)</f>
        <v>0</v>
      </c>
      <c r="BU416" s="20">
        <f ca="1">IF(Table1[[#This Row],[County]]="Berkshire",Table1[[#This Row],[income]],0)</f>
        <v>0</v>
      </c>
      <c r="BV416" s="20">
        <f ca="1">IF(Table1[[#This Row],[County]]="Staffordshire",Table1[[#This Row],[income]],0)</f>
        <v>0</v>
      </c>
      <c r="BW416" s="20">
        <f ca="1">IF(Table1[[#This Row],[County]]="Leicestershire",Table1[[#This Row],[income]],0)</f>
        <v>0</v>
      </c>
      <c r="BX416" s="20">
        <f ca="1">IF(Table1[[#This Row],[County]]="Cornwall",Table1[[#This Row],[income]],0)</f>
        <v>0</v>
      </c>
      <c r="BY416" s="20">
        <f ca="1">IF(Table1[[#This Row],[County]]="Isle of Wight",Table1[[#This Row],[income]],0)</f>
        <v>0</v>
      </c>
      <c r="BZ416" s="20">
        <f ca="1">IF(Table1[[#This Row],[County]]="Surrey",Table1[[#This Row],[income]],0)</f>
        <v>0</v>
      </c>
      <c r="CA416" s="20">
        <f ca="1">IF(Table1[[#This Row],[County]]="Derbyshire",Table1[[#This Row],[income]],0)</f>
        <v>0</v>
      </c>
      <c r="CB416" s="20">
        <f ca="1">IF(Table1[[#This Row],[County]]="City of London",Table1[[#This Row],[income]],0)</f>
        <v>0</v>
      </c>
      <c r="CC416" s="20">
        <f ca="1">IF(Table1[[#This Row],[County]]="Bedfordshire",Table1[[#This Row],[income]],0)</f>
        <v>0</v>
      </c>
      <c r="CD416" s="20">
        <f ca="1">IF(Table1[[#This Row],[County]]="County Durham",Table1[[#This Row],[income]],0)</f>
        <v>0</v>
      </c>
      <c r="CE416" s="20">
        <f ca="1">IF(Table1[[#This Row],[County]]="East Riding of Yorkshire",Table1[[#This Row],[income]],0)</f>
        <v>0</v>
      </c>
      <c r="CF416" s="20">
        <f ca="1">IF(Table1[[#This Row],[County]]="West Yorkshire",Table1[[#This Row],[income]],0)</f>
        <v>0</v>
      </c>
      <c r="CG416" s="20">
        <f ca="1">IF(Table1[[#This Row],[County]]="Essex",Table1[[#This Row],[income]],0)</f>
        <v>0</v>
      </c>
      <c r="CH416" s="20">
        <f ca="1">IF(Table1[[#This Row],[County]]="East Sussex",Table1[[#This Row],[income]],0)</f>
        <v>0</v>
      </c>
      <c r="CI416" s="20">
        <f ca="1">IF(Table1[[#This Row],[County]]="Greater Manchester",Table1[[#This Row],[income]],0)</f>
        <v>0</v>
      </c>
      <c r="CJ416" s="20">
        <f ca="1">IF(Table1[[#This Row],[County]]="Hertfordshire",Table1[[#This Row],[income]],0)</f>
        <v>0</v>
      </c>
      <c r="CK416" s="20">
        <f ca="1">IF(Table1[[#This Row],[County]]="Herefordshire",Table1[[#This Row],[income]],0)</f>
        <v>0</v>
      </c>
      <c r="CL416" s="20">
        <f ca="1">IF(Table1[[#This Row],[County]]="Lancashire",Table1[[#This Row],[income]],0)</f>
        <v>0</v>
      </c>
      <c r="CM416" s="20">
        <f ca="1">IF(Table1[[#This Row],[County]]="Merseyside",Table1[[#This Row],[income]],0)</f>
        <v>0</v>
      </c>
      <c r="CN416" s="20">
        <f ca="1">IF(Table1[[#This Row],[County]]="Northamptonshire",Table1[[#This Row],[income]],0)</f>
        <v>0</v>
      </c>
      <c r="CO416" s="20">
        <f ca="1">IF(Table1[[#This Row],[County]]="Northumberland",Table1[[#This Row],[income]],0)</f>
        <v>0</v>
      </c>
      <c r="CP416" s="20">
        <f ca="1">IF(Table1[[#This Row],[County]]="Wiltshire",Table1[[#This Row],[income]],0)</f>
        <v>0</v>
      </c>
      <c r="CQ416" s="20">
        <f ca="1">IF(Table1[[#This Row],[County]]="West Midlands",Table1[[#This Row],[income]],0)</f>
        <v>0</v>
      </c>
      <c r="CR416" s="20">
        <f ca="1">IF(Table1[[#This Row],[County]]="Warwickshire",Table1[[#This Row],[income]],0)</f>
        <v>0</v>
      </c>
      <c r="CS416" s="20">
        <f ca="1">IF(Table1[[#This Row],[County]]="Tyne and Wear",Table1[[#This Row],[income]],0)</f>
        <v>0</v>
      </c>
      <c r="CT416" s="20">
        <f ca="1">IF(Table1[[#This Row],[County]]="Worcestershire",Table1[[#This Row],[income]],0)</f>
        <v>0</v>
      </c>
      <c r="CU416" s="20">
        <f ca="1">IF(Table1[[#This Row],[County]]="Rutland",Table1[[#This Row],[income]],0)</f>
        <v>86648</v>
      </c>
      <c r="CV416" s="20">
        <f ca="1">IF(Table1[[#This Row],[County]]="Shropshire",Table1[[#This Row],[income]],0)</f>
        <v>0</v>
      </c>
      <c r="CW416" s="20">
        <f ca="1">IF(Table1[[#This Row],[County]]="Dorset",Table1[[#This Row],[income]],0)</f>
        <v>0</v>
      </c>
      <c r="CX416" s="20">
        <f ca="1">IF(Table1[[#This Row],[County]]="Buckinghamshire",Table1[[#This Row],[income]],0)</f>
        <v>0</v>
      </c>
      <c r="CY416" s="20">
        <f ca="1">IF(Table1[[#This Row],[County]]="Suffolk",Table1[[#This Row],[income]],0)</f>
        <v>0</v>
      </c>
      <c r="CZ416" s="20">
        <f ca="1">IF(Table1[[#This Row],[County]]="North Yorkshire",Table1[[#This Row],[income]],0)</f>
        <v>0</v>
      </c>
      <c r="DA416" s="20">
        <f ca="1">IF(Table1[[#This Row],[County]]="Kent",Table1[[#This Row],[income]],0)</f>
        <v>0</v>
      </c>
      <c r="DB416" s="5">
        <f ca="1">IF(Table1[[#This Row],[County]]="Derbyshire",Table1[[#This Row],[income]],0)</f>
        <v>0</v>
      </c>
      <c r="DD416" s="6">
        <f ca="1">IF(Table1[[#This Row],[Column1]]="Health",Table1[[#This Row],[income]],0)</f>
        <v>0</v>
      </c>
      <c r="DE416" s="20">
        <f ca="1">IF(Table1[[#This Row],[Column1]]="Agriculture",Table1[[#This Row],[income]],0)</f>
        <v>0</v>
      </c>
      <c r="DF416" s="20">
        <f ca="1">IF(Table1[[#This Row],[Column1]]="Technology",Table1[[#This Row],[income]],0)</f>
        <v>0</v>
      </c>
      <c r="DG416" s="20">
        <f ca="1">IF(Table1[[#This Row],[Column1]]="Social Service",Table1[[#This Row],[income]],0)</f>
        <v>86648</v>
      </c>
      <c r="DH416" s="20">
        <f ca="1">IF(Table1[[#This Row],[Column1]]="Education",Table1[[#This Row],[income]],0)</f>
        <v>0</v>
      </c>
      <c r="DI416" s="5">
        <f ca="1">IF(Table1[[#This Row],[Column1]]="Construction",Table1[[#This Row],[income]],0)</f>
        <v>0</v>
      </c>
      <c r="DK416" s="6">
        <f ca="1">IF(Table1[[#This Row],[Value of Debts]]&gt;Table1[[#This Row],[income]],1,0)</f>
        <v>1</v>
      </c>
      <c r="DL416" s="20"/>
      <c r="DM416" s="20"/>
      <c r="DN416" s="5"/>
      <c r="DP416" s="6">
        <f ca="1">IF(Table1[[#This Row],[Net Worth (£)]]&gt;$DS$5,C416,0)</f>
        <v>47</v>
      </c>
      <c r="DQ416" s="20"/>
      <c r="DR416" s="20"/>
      <c r="DS416" s="5"/>
    </row>
    <row r="417" spans="1:123" x14ac:dyDescent="0.2">
      <c r="A417">
        <f t="shared" ca="1" si="19"/>
        <v>1</v>
      </c>
      <c r="B417" s="1" t="str">
        <f ca="1">IF(A417=1, "men", "women")</f>
        <v>men</v>
      </c>
      <c r="C417" s="1">
        <f ca="1">RANDBETWEEN(25,50)</f>
        <v>27</v>
      </c>
      <c r="D417">
        <f ca="1">RANDBETWEEN(1,6)</f>
        <v>5</v>
      </c>
      <c r="E417" t="str">
        <f ca="1">VLOOKUP(D417,$W$5:$X$10,2)</f>
        <v>Social Service</v>
      </c>
      <c r="F417">
        <f ca="1">RANDBETWEEN(1,5)</f>
        <v>5</v>
      </c>
      <c r="G417" t="str">
        <f ca="1">VLOOKUP(F417,$Y$5:$Z$9,2)</f>
        <v>Other</v>
      </c>
      <c r="H417">
        <f ca="1">RANDBETWEEN(0,4)</f>
        <v>4</v>
      </c>
      <c r="I417">
        <f ca="1">RANDBETWEEN(1,3)</f>
        <v>2</v>
      </c>
      <c r="J417">
        <f ca="1">RANDBETWEEN(30000,100000)</f>
        <v>67994</v>
      </c>
      <c r="K417">
        <f ca="1">RANDBETWEEN(1,48)</f>
        <v>4</v>
      </c>
      <c r="L417" t="str">
        <f ca="1">VLOOKUP(K417,$AA$5:$AB$52,2)</f>
        <v>Buckinghamshire</v>
      </c>
      <c r="M417">
        <f ca="1">J417*(RANDBETWEEN(2,5))</f>
        <v>339970</v>
      </c>
      <c r="N417">
        <f ca="1">RAND()*M417</f>
        <v>175428.67043047521</v>
      </c>
      <c r="O417">
        <f ca="1">I417*RAND()*J417</f>
        <v>130771.01262988946</v>
      </c>
      <c r="P417">
        <f ca="1">RANDBETWEEN(0,O417)</f>
        <v>50338</v>
      </c>
      <c r="Q417">
        <f ca="1">RAND()*J417*2</f>
        <v>114394.73360196964</v>
      </c>
      <c r="R417">
        <f ca="1">RAND()*J417*1.5</f>
        <v>54906.293554539909</v>
      </c>
      <c r="S417">
        <f ca="1">J417+R417+O417</f>
        <v>253671.30618442938</v>
      </c>
      <c r="T417">
        <f ca="1">N417+P417+Q417</f>
        <v>340161.40403244481</v>
      </c>
      <c r="U417">
        <f ca="1">S417-T417</f>
        <v>-86490.09784801543</v>
      </c>
      <c r="AC417" s="6">
        <f ca="1">IF(Table1[[#This Row],[gender]]="men",1,0)</f>
        <v>1</v>
      </c>
      <c r="AD417">
        <f ca="1">IF(Table1[[#This Row],[gender]]="women",1,0)</f>
        <v>0</v>
      </c>
      <c r="AH417" s="5"/>
      <c r="AJ417" s="6">
        <f ca="1">IF(Table1[[#This Row],[Column1]]="Health",1,0)</f>
        <v>0</v>
      </c>
      <c r="AK417">
        <f ca="1">IF(Table1[[#This Row],[Column1]]="Construction",1,0)</f>
        <v>0</v>
      </c>
      <c r="AL417">
        <f ca="1">IF(Table1[[#This Row],[Column1]]="Technology",1,0)</f>
        <v>0</v>
      </c>
      <c r="AM417">
        <f ca="1">IF(Table1[[#This Row],[Column1]]="Education",1,0)</f>
        <v>0</v>
      </c>
      <c r="AN417">
        <f ca="1">IF(Table1[[#This Row],[Column1]]="Agriculture",1,0)</f>
        <v>0</v>
      </c>
      <c r="AO417">
        <f ca="1">IF(Table1[[#This Row],[Column1]]="Social Service", 1, 0)</f>
        <v>1</v>
      </c>
      <c r="AT417" s="5"/>
      <c r="AV417" s="17">
        <f t="shared" ca="1" si="18"/>
        <v>26898.642612825784</v>
      </c>
      <c r="AW417" s="5"/>
      <c r="AX417" s="6">
        <f ca="1">IF(Table1[[#This Row],[Value of Debts]]&gt;$AY$4,1,0)</f>
        <v>1</v>
      </c>
      <c r="AY417" s="20"/>
      <c r="AZ417" s="20"/>
      <c r="BA417" s="5"/>
      <c r="BB417" s="25">
        <f ca="1">Table1[[#This Row],[Mortage Left]]/Table1[[#This Row],[Value of House]]</f>
        <v>0.51601220822565286</v>
      </c>
      <c r="BC417" s="20">
        <f t="shared" ca="1" si="20"/>
        <v>0</v>
      </c>
      <c r="BD417" s="20"/>
      <c r="BE417" s="20"/>
      <c r="BF417" s="20"/>
      <c r="BG417" s="6">
        <f ca="1">IF(Table1[[#This Row],[County]]="Cumbria",Table1[[#This Row],[income]],0)</f>
        <v>0</v>
      </c>
      <c r="BH417" s="20">
        <f ca="1">IF(Table1[[#This Row],[County]]="Cheshire",Table1[[#This Row],[income]],0)</f>
        <v>0</v>
      </c>
      <c r="BI417" s="20">
        <f ca="1">IF(Table1[[#This Row],[County]]="Bristol",Table1[[#This Row],[income]],0)</f>
        <v>0</v>
      </c>
      <c r="BJ417" s="20">
        <f ca="1">IF(Table1[[#This Row],[County]]="Surrey",Table1[[#This Row],[income]],0)</f>
        <v>0</v>
      </c>
      <c r="BK417" s="20">
        <f ca="1">IF(Table1[[#This Row],[County]]="Norfolk",Table1[[#This Row],[income]],0)</f>
        <v>0</v>
      </c>
      <c r="BL417" s="20">
        <f ca="1">IF(Table1[[#This Row],[County]]="Lincolnshire",Table1[[#This Row],[income]],0)</f>
        <v>0</v>
      </c>
      <c r="BM417" s="20">
        <f ca="1">IF(Table1[[#This Row],[County]]="Somerset",Table1[[#This Row],[income]],0)</f>
        <v>0</v>
      </c>
      <c r="BN417" s="20">
        <f ca="1">IF(Table1[[#This Row],[County]]="Cambridgeshire",Table1[[#This Row],[income]],0)</f>
        <v>0</v>
      </c>
      <c r="BO417" s="20">
        <f ca="1">IF(Table1[[#This Row],[County]]="South Yorkshire",Table1[[#This Row],[income]],0)</f>
        <v>0</v>
      </c>
      <c r="BP417" s="20">
        <f ca="1">IF(Table1[[#This Row],[County]]="Greater London",Table1[[#This Row],[income]],0)</f>
        <v>0</v>
      </c>
      <c r="BQ417" s="20">
        <f ca="1">IF(Table1[[#This Row],[County]]="Hampshire",Table1[[#This Row],[income]],0)</f>
        <v>0</v>
      </c>
      <c r="BR417" s="20">
        <f ca="1">IF(Table1[[#This Row],[County]]="Gloucestershire",Table1[[#This Row],[income]],0)</f>
        <v>0</v>
      </c>
      <c r="BS417" s="20">
        <f ca="1">IF(Table1[[#This Row],[County]]="West Sussex",Table1[[#This Row],[income]],0)</f>
        <v>0</v>
      </c>
      <c r="BT417" s="20">
        <f ca="1">IF(Table1[[#This Row],[County]]="Devon",Table1[[#This Row],[income]],0)</f>
        <v>0</v>
      </c>
      <c r="BU417" s="20">
        <f ca="1">IF(Table1[[#This Row],[County]]="Berkshire",Table1[[#This Row],[income]],0)</f>
        <v>0</v>
      </c>
      <c r="BV417" s="20">
        <f ca="1">IF(Table1[[#This Row],[County]]="Staffordshire",Table1[[#This Row],[income]],0)</f>
        <v>0</v>
      </c>
      <c r="BW417" s="20">
        <f ca="1">IF(Table1[[#This Row],[County]]="Leicestershire",Table1[[#This Row],[income]],0)</f>
        <v>0</v>
      </c>
      <c r="BX417" s="20">
        <f ca="1">IF(Table1[[#This Row],[County]]="Cornwall",Table1[[#This Row],[income]],0)</f>
        <v>0</v>
      </c>
      <c r="BY417" s="20">
        <f ca="1">IF(Table1[[#This Row],[County]]="Isle of Wight",Table1[[#This Row],[income]],0)</f>
        <v>0</v>
      </c>
      <c r="BZ417" s="20">
        <f ca="1">IF(Table1[[#This Row],[County]]="Surrey",Table1[[#This Row],[income]],0)</f>
        <v>0</v>
      </c>
      <c r="CA417" s="20">
        <f ca="1">IF(Table1[[#This Row],[County]]="Derbyshire",Table1[[#This Row],[income]],0)</f>
        <v>0</v>
      </c>
      <c r="CB417" s="20">
        <f ca="1">IF(Table1[[#This Row],[County]]="City of London",Table1[[#This Row],[income]],0)</f>
        <v>0</v>
      </c>
      <c r="CC417" s="20">
        <f ca="1">IF(Table1[[#This Row],[County]]="Bedfordshire",Table1[[#This Row],[income]],0)</f>
        <v>0</v>
      </c>
      <c r="CD417" s="20">
        <f ca="1">IF(Table1[[#This Row],[County]]="County Durham",Table1[[#This Row],[income]],0)</f>
        <v>0</v>
      </c>
      <c r="CE417" s="20">
        <f ca="1">IF(Table1[[#This Row],[County]]="East Riding of Yorkshire",Table1[[#This Row],[income]],0)</f>
        <v>0</v>
      </c>
      <c r="CF417" s="20">
        <f ca="1">IF(Table1[[#This Row],[County]]="West Yorkshire",Table1[[#This Row],[income]],0)</f>
        <v>0</v>
      </c>
      <c r="CG417" s="20">
        <f ca="1">IF(Table1[[#This Row],[County]]="Essex",Table1[[#This Row],[income]],0)</f>
        <v>0</v>
      </c>
      <c r="CH417" s="20">
        <f ca="1">IF(Table1[[#This Row],[County]]="East Sussex",Table1[[#This Row],[income]],0)</f>
        <v>0</v>
      </c>
      <c r="CI417" s="20">
        <f ca="1">IF(Table1[[#This Row],[County]]="Greater Manchester",Table1[[#This Row],[income]],0)</f>
        <v>0</v>
      </c>
      <c r="CJ417" s="20">
        <f ca="1">IF(Table1[[#This Row],[County]]="Hertfordshire",Table1[[#This Row],[income]],0)</f>
        <v>0</v>
      </c>
      <c r="CK417" s="20">
        <f ca="1">IF(Table1[[#This Row],[County]]="Herefordshire",Table1[[#This Row],[income]],0)</f>
        <v>0</v>
      </c>
      <c r="CL417" s="20">
        <f ca="1">IF(Table1[[#This Row],[County]]="Lancashire",Table1[[#This Row],[income]],0)</f>
        <v>0</v>
      </c>
      <c r="CM417" s="20">
        <f ca="1">IF(Table1[[#This Row],[County]]="Merseyside",Table1[[#This Row],[income]],0)</f>
        <v>0</v>
      </c>
      <c r="CN417" s="20">
        <f ca="1">IF(Table1[[#This Row],[County]]="Northamptonshire",Table1[[#This Row],[income]],0)</f>
        <v>0</v>
      </c>
      <c r="CO417" s="20">
        <f ca="1">IF(Table1[[#This Row],[County]]="Northumberland",Table1[[#This Row],[income]],0)</f>
        <v>0</v>
      </c>
      <c r="CP417" s="20">
        <f ca="1">IF(Table1[[#This Row],[County]]="Wiltshire",Table1[[#This Row],[income]],0)</f>
        <v>0</v>
      </c>
      <c r="CQ417" s="20">
        <f ca="1">IF(Table1[[#This Row],[County]]="West Midlands",Table1[[#This Row],[income]],0)</f>
        <v>0</v>
      </c>
      <c r="CR417" s="20">
        <f ca="1">IF(Table1[[#This Row],[County]]="Warwickshire",Table1[[#This Row],[income]],0)</f>
        <v>0</v>
      </c>
      <c r="CS417" s="20">
        <f ca="1">IF(Table1[[#This Row],[County]]="Tyne and Wear",Table1[[#This Row],[income]],0)</f>
        <v>0</v>
      </c>
      <c r="CT417" s="20">
        <f ca="1">IF(Table1[[#This Row],[County]]="Worcestershire",Table1[[#This Row],[income]],0)</f>
        <v>0</v>
      </c>
      <c r="CU417" s="20">
        <f ca="1">IF(Table1[[#This Row],[County]]="Rutland",Table1[[#This Row],[income]],0)</f>
        <v>0</v>
      </c>
      <c r="CV417" s="20">
        <f ca="1">IF(Table1[[#This Row],[County]]="Shropshire",Table1[[#This Row],[income]],0)</f>
        <v>0</v>
      </c>
      <c r="CW417" s="20">
        <f ca="1">IF(Table1[[#This Row],[County]]="Dorset",Table1[[#This Row],[income]],0)</f>
        <v>0</v>
      </c>
      <c r="CX417" s="20">
        <f ca="1">IF(Table1[[#This Row],[County]]="Buckinghamshire",Table1[[#This Row],[income]],0)</f>
        <v>67994</v>
      </c>
      <c r="CY417" s="20">
        <f ca="1">IF(Table1[[#This Row],[County]]="Suffolk",Table1[[#This Row],[income]],0)</f>
        <v>0</v>
      </c>
      <c r="CZ417" s="20">
        <f ca="1">IF(Table1[[#This Row],[County]]="North Yorkshire",Table1[[#This Row],[income]],0)</f>
        <v>0</v>
      </c>
      <c r="DA417" s="20">
        <f ca="1">IF(Table1[[#This Row],[County]]="Kent",Table1[[#This Row],[income]],0)</f>
        <v>0</v>
      </c>
      <c r="DB417" s="5">
        <f ca="1">IF(Table1[[#This Row],[County]]="Derbyshire",Table1[[#This Row],[income]],0)</f>
        <v>0</v>
      </c>
      <c r="DD417" s="6">
        <f ca="1">IF(Table1[[#This Row],[Column1]]="Health",Table1[[#This Row],[income]],0)</f>
        <v>0</v>
      </c>
      <c r="DE417" s="20">
        <f ca="1">IF(Table1[[#This Row],[Column1]]="Agriculture",Table1[[#This Row],[income]],0)</f>
        <v>0</v>
      </c>
      <c r="DF417" s="20">
        <f ca="1">IF(Table1[[#This Row],[Column1]]="Technology",Table1[[#This Row],[income]],0)</f>
        <v>0</v>
      </c>
      <c r="DG417" s="20">
        <f ca="1">IF(Table1[[#This Row],[Column1]]="Social Service",Table1[[#This Row],[income]],0)</f>
        <v>67994</v>
      </c>
      <c r="DH417" s="20">
        <f ca="1">IF(Table1[[#This Row],[Column1]]="Education",Table1[[#This Row],[income]],0)</f>
        <v>0</v>
      </c>
      <c r="DI417" s="5">
        <f ca="1">IF(Table1[[#This Row],[Column1]]="Construction",Table1[[#This Row],[income]],0)</f>
        <v>0</v>
      </c>
      <c r="DK417" s="6">
        <f ca="1">IF(Table1[[#This Row],[Value of Debts]]&gt;Table1[[#This Row],[income]],1,0)</f>
        <v>1</v>
      </c>
      <c r="DL417" s="20"/>
      <c r="DM417" s="20"/>
      <c r="DN417" s="5"/>
      <c r="DP417" s="6">
        <f ca="1">IF(Table1[[#This Row],[Net Worth (£)]]&gt;$DS$5,C417,0)</f>
        <v>0</v>
      </c>
      <c r="DQ417" s="20"/>
      <c r="DR417" s="20"/>
      <c r="DS417" s="5"/>
    </row>
    <row r="418" spans="1:123" x14ac:dyDescent="0.2">
      <c r="A418">
        <f t="shared" ca="1" si="19"/>
        <v>1</v>
      </c>
      <c r="B418" s="1" t="str">
        <f ca="1">IF(A418=1, "men", "women")</f>
        <v>men</v>
      </c>
      <c r="C418" s="1">
        <f ca="1">RANDBETWEEN(25,50)</f>
        <v>44</v>
      </c>
      <c r="D418">
        <f ca="1">RANDBETWEEN(1,6)</f>
        <v>5</v>
      </c>
      <c r="E418" t="str">
        <f ca="1">VLOOKUP(D418,$W$5:$X$10,2)</f>
        <v>Social Service</v>
      </c>
      <c r="F418">
        <f ca="1">RANDBETWEEN(1,5)</f>
        <v>4</v>
      </c>
      <c r="G418" t="str">
        <f ca="1">VLOOKUP(F418,$Y$5:$Z$9,2)</f>
        <v xml:space="preserve">Technical </v>
      </c>
      <c r="H418">
        <f ca="1">RANDBETWEEN(0,4)</f>
        <v>4</v>
      </c>
      <c r="I418">
        <f ca="1">RANDBETWEEN(1,3)</f>
        <v>1</v>
      </c>
      <c r="J418">
        <f ca="1">RANDBETWEEN(30000,100000)</f>
        <v>46411</v>
      </c>
      <c r="K418">
        <f ca="1">RANDBETWEEN(1,48)</f>
        <v>15</v>
      </c>
      <c r="L418" t="str">
        <f ca="1">VLOOKUP(K418,$AA$5:$AB$52,2)</f>
        <v>East Sussex</v>
      </c>
      <c r="M418">
        <f ca="1">J418*(RANDBETWEEN(2,5))</f>
        <v>232055</v>
      </c>
      <c r="N418">
        <f ca="1">RAND()*M418</f>
        <v>49035.096670439401</v>
      </c>
      <c r="O418">
        <f ca="1">I418*RAND()*J418</f>
        <v>26898.642612825784</v>
      </c>
      <c r="P418">
        <f ca="1">RANDBETWEEN(0,O418)</f>
        <v>13716</v>
      </c>
      <c r="Q418">
        <f ca="1">RAND()*J418*2</f>
        <v>32386.980378601525</v>
      </c>
      <c r="R418">
        <f ca="1">RAND()*J418*1.5</f>
        <v>50924.419465280749</v>
      </c>
      <c r="S418">
        <f ca="1">J418+R418+O418</f>
        <v>124234.06207810654</v>
      </c>
      <c r="T418">
        <f ca="1">N418+P418+Q418</f>
        <v>95138.077049040934</v>
      </c>
      <c r="U418">
        <f ca="1">S418-T418</f>
        <v>29095.985029065603</v>
      </c>
      <c r="AC418" s="6">
        <f ca="1">IF(Table1[[#This Row],[gender]]="men",1,0)</f>
        <v>1</v>
      </c>
      <c r="AD418">
        <f ca="1">IF(Table1[[#This Row],[gender]]="women",1,0)</f>
        <v>0</v>
      </c>
      <c r="AH418" s="5"/>
      <c r="AJ418" s="6">
        <f ca="1">IF(Table1[[#This Row],[Column1]]="Health",1,0)</f>
        <v>0</v>
      </c>
      <c r="AK418">
        <f ca="1">IF(Table1[[#This Row],[Column1]]="Construction",1,0)</f>
        <v>0</v>
      </c>
      <c r="AL418">
        <f ca="1">IF(Table1[[#This Row],[Column1]]="Technology",1,0)</f>
        <v>0</v>
      </c>
      <c r="AM418">
        <f ca="1">IF(Table1[[#This Row],[Column1]]="Education",1,0)</f>
        <v>0</v>
      </c>
      <c r="AN418">
        <f ca="1">IF(Table1[[#This Row],[Column1]]="Agriculture",1,0)</f>
        <v>0</v>
      </c>
      <c r="AO418">
        <f ca="1">IF(Table1[[#This Row],[Column1]]="Social Service", 1, 0)</f>
        <v>1</v>
      </c>
      <c r="AT418" s="5"/>
      <c r="AV418" s="17">
        <f t="shared" ca="1" si="18"/>
        <v>42895.941356833595</v>
      </c>
      <c r="AW418" s="5"/>
      <c r="AX418" s="6">
        <f ca="1">IF(Table1[[#This Row],[Value of Debts]]&gt;$AY$4,1,0)</f>
        <v>0</v>
      </c>
      <c r="AY418" s="20"/>
      <c r="AZ418" s="20"/>
      <c r="BA418" s="5"/>
      <c r="BB418" s="25">
        <f ca="1">Table1[[#This Row],[Mortage Left]]/Table1[[#This Row],[Value of House]]</f>
        <v>0.21130808071551746</v>
      </c>
      <c r="BC418" s="20">
        <f t="shared" ca="1" si="20"/>
        <v>1</v>
      </c>
      <c r="BD418" s="20"/>
      <c r="BE418" s="20"/>
      <c r="BF418" s="20"/>
      <c r="BG418" s="6">
        <f ca="1">IF(Table1[[#This Row],[County]]="Cumbria",Table1[[#This Row],[income]],0)</f>
        <v>0</v>
      </c>
      <c r="BH418" s="20">
        <f ca="1">IF(Table1[[#This Row],[County]]="Cheshire",Table1[[#This Row],[income]],0)</f>
        <v>0</v>
      </c>
      <c r="BI418" s="20">
        <f ca="1">IF(Table1[[#This Row],[County]]="Bristol",Table1[[#This Row],[income]],0)</f>
        <v>0</v>
      </c>
      <c r="BJ418" s="20">
        <f ca="1">IF(Table1[[#This Row],[County]]="Surrey",Table1[[#This Row],[income]],0)</f>
        <v>0</v>
      </c>
      <c r="BK418" s="20">
        <f ca="1">IF(Table1[[#This Row],[County]]="Norfolk",Table1[[#This Row],[income]],0)</f>
        <v>0</v>
      </c>
      <c r="BL418" s="20">
        <f ca="1">IF(Table1[[#This Row],[County]]="Lincolnshire",Table1[[#This Row],[income]],0)</f>
        <v>0</v>
      </c>
      <c r="BM418" s="20">
        <f ca="1">IF(Table1[[#This Row],[County]]="Somerset",Table1[[#This Row],[income]],0)</f>
        <v>0</v>
      </c>
      <c r="BN418" s="20">
        <f ca="1">IF(Table1[[#This Row],[County]]="Cambridgeshire",Table1[[#This Row],[income]],0)</f>
        <v>0</v>
      </c>
      <c r="BO418" s="20">
        <f ca="1">IF(Table1[[#This Row],[County]]="South Yorkshire",Table1[[#This Row],[income]],0)</f>
        <v>0</v>
      </c>
      <c r="BP418" s="20">
        <f ca="1">IF(Table1[[#This Row],[County]]="Greater London",Table1[[#This Row],[income]],0)</f>
        <v>0</v>
      </c>
      <c r="BQ418" s="20">
        <f ca="1">IF(Table1[[#This Row],[County]]="Hampshire",Table1[[#This Row],[income]],0)</f>
        <v>0</v>
      </c>
      <c r="BR418" s="20">
        <f ca="1">IF(Table1[[#This Row],[County]]="Gloucestershire",Table1[[#This Row],[income]],0)</f>
        <v>0</v>
      </c>
      <c r="BS418" s="20">
        <f ca="1">IF(Table1[[#This Row],[County]]="West Sussex",Table1[[#This Row],[income]],0)</f>
        <v>0</v>
      </c>
      <c r="BT418" s="20">
        <f ca="1">IF(Table1[[#This Row],[County]]="Devon",Table1[[#This Row],[income]],0)</f>
        <v>0</v>
      </c>
      <c r="BU418" s="20">
        <f ca="1">IF(Table1[[#This Row],[County]]="Berkshire",Table1[[#This Row],[income]],0)</f>
        <v>0</v>
      </c>
      <c r="BV418" s="20">
        <f ca="1">IF(Table1[[#This Row],[County]]="Staffordshire",Table1[[#This Row],[income]],0)</f>
        <v>0</v>
      </c>
      <c r="BW418" s="20">
        <f ca="1">IF(Table1[[#This Row],[County]]="Leicestershire",Table1[[#This Row],[income]],0)</f>
        <v>0</v>
      </c>
      <c r="BX418" s="20">
        <f ca="1">IF(Table1[[#This Row],[County]]="Cornwall",Table1[[#This Row],[income]],0)</f>
        <v>0</v>
      </c>
      <c r="BY418" s="20">
        <f ca="1">IF(Table1[[#This Row],[County]]="Isle of Wight",Table1[[#This Row],[income]],0)</f>
        <v>0</v>
      </c>
      <c r="BZ418" s="20">
        <f ca="1">IF(Table1[[#This Row],[County]]="Surrey",Table1[[#This Row],[income]],0)</f>
        <v>0</v>
      </c>
      <c r="CA418" s="20">
        <f ca="1">IF(Table1[[#This Row],[County]]="Derbyshire",Table1[[#This Row],[income]],0)</f>
        <v>0</v>
      </c>
      <c r="CB418" s="20">
        <f ca="1">IF(Table1[[#This Row],[County]]="City of London",Table1[[#This Row],[income]],0)</f>
        <v>0</v>
      </c>
      <c r="CC418" s="20">
        <f ca="1">IF(Table1[[#This Row],[County]]="Bedfordshire",Table1[[#This Row],[income]],0)</f>
        <v>0</v>
      </c>
      <c r="CD418" s="20">
        <f ca="1">IF(Table1[[#This Row],[County]]="County Durham",Table1[[#This Row],[income]],0)</f>
        <v>0</v>
      </c>
      <c r="CE418" s="20">
        <f ca="1">IF(Table1[[#This Row],[County]]="East Riding of Yorkshire",Table1[[#This Row],[income]],0)</f>
        <v>0</v>
      </c>
      <c r="CF418" s="20">
        <f ca="1">IF(Table1[[#This Row],[County]]="West Yorkshire",Table1[[#This Row],[income]],0)</f>
        <v>0</v>
      </c>
      <c r="CG418" s="20">
        <f ca="1">IF(Table1[[#This Row],[County]]="Essex",Table1[[#This Row],[income]],0)</f>
        <v>0</v>
      </c>
      <c r="CH418" s="20">
        <f ca="1">IF(Table1[[#This Row],[County]]="East Sussex",Table1[[#This Row],[income]],0)</f>
        <v>46411</v>
      </c>
      <c r="CI418" s="20">
        <f ca="1">IF(Table1[[#This Row],[County]]="Greater Manchester",Table1[[#This Row],[income]],0)</f>
        <v>0</v>
      </c>
      <c r="CJ418" s="20">
        <f ca="1">IF(Table1[[#This Row],[County]]="Hertfordshire",Table1[[#This Row],[income]],0)</f>
        <v>0</v>
      </c>
      <c r="CK418" s="20">
        <f ca="1">IF(Table1[[#This Row],[County]]="Herefordshire",Table1[[#This Row],[income]],0)</f>
        <v>0</v>
      </c>
      <c r="CL418" s="20">
        <f ca="1">IF(Table1[[#This Row],[County]]="Lancashire",Table1[[#This Row],[income]],0)</f>
        <v>0</v>
      </c>
      <c r="CM418" s="20">
        <f ca="1">IF(Table1[[#This Row],[County]]="Merseyside",Table1[[#This Row],[income]],0)</f>
        <v>0</v>
      </c>
      <c r="CN418" s="20">
        <f ca="1">IF(Table1[[#This Row],[County]]="Northamptonshire",Table1[[#This Row],[income]],0)</f>
        <v>0</v>
      </c>
      <c r="CO418" s="20">
        <f ca="1">IF(Table1[[#This Row],[County]]="Northumberland",Table1[[#This Row],[income]],0)</f>
        <v>0</v>
      </c>
      <c r="CP418" s="20">
        <f ca="1">IF(Table1[[#This Row],[County]]="Wiltshire",Table1[[#This Row],[income]],0)</f>
        <v>0</v>
      </c>
      <c r="CQ418" s="20">
        <f ca="1">IF(Table1[[#This Row],[County]]="West Midlands",Table1[[#This Row],[income]],0)</f>
        <v>0</v>
      </c>
      <c r="CR418" s="20">
        <f ca="1">IF(Table1[[#This Row],[County]]="Warwickshire",Table1[[#This Row],[income]],0)</f>
        <v>0</v>
      </c>
      <c r="CS418" s="20">
        <f ca="1">IF(Table1[[#This Row],[County]]="Tyne and Wear",Table1[[#This Row],[income]],0)</f>
        <v>0</v>
      </c>
      <c r="CT418" s="20">
        <f ca="1">IF(Table1[[#This Row],[County]]="Worcestershire",Table1[[#This Row],[income]],0)</f>
        <v>0</v>
      </c>
      <c r="CU418" s="20">
        <f ca="1">IF(Table1[[#This Row],[County]]="Rutland",Table1[[#This Row],[income]],0)</f>
        <v>0</v>
      </c>
      <c r="CV418" s="20">
        <f ca="1">IF(Table1[[#This Row],[County]]="Shropshire",Table1[[#This Row],[income]],0)</f>
        <v>0</v>
      </c>
      <c r="CW418" s="20">
        <f ca="1">IF(Table1[[#This Row],[County]]="Dorset",Table1[[#This Row],[income]],0)</f>
        <v>0</v>
      </c>
      <c r="CX418" s="20">
        <f ca="1">IF(Table1[[#This Row],[County]]="Buckinghamshire",Table1[[#This Row],[income]],0)</f>
        <v>0</v>
      </c>
      <c r="CY418" s="20">
        <f ca="1">IF(Table1[[#This Row],[County]]="Suffolk",Table1[[#This Row],[income]],0)</f>
        <v>0</v>
      </c>
      <c r="CZ418" s="20">
        <f ca="1">IF(Table1[[#This Row],[County]]="North Yorkshire",Table1[[#This Row],[income]],0)</f>
        <v>0</v>
      </c>
      <c r="DA418" s="20">
        <f ca="1">IF(Table1[[#This Row],[County]]="Kent",Table1[[#This Row],[income]],0)</f>
        <v>0</v>
      </c>
      <c r="DB418" s="5">
        <f ca="1">IF(Table1[[#This Row],[County]]="Derbyshire",Table1[[#This Row],[income]],0)</f>
        <v>0</v>
      </c>
      <c r="DD418" s="6">
        <f ca="1">IF(Table1[[#This Row],[Column1]]="Health",Table1[[#This Row],[income]],0)</f>
        <v>0</v>
      </c>
      <c r="DE418" s="20">
        <f ca="1">IF(Table1[[#This Row],[Column1]]="Agriculture",Table1[[#This Row],[income]],0)</f>
        <v>0</v>
      </c>
      <c r="DF418" s="20">
        <f ca="1">IF(Table1[[#This Row],[Column1]]="Technology",Table1[[#This Row],[income]],0)</f>
        <v>0</v>
      </c>
      <c r="DG418" s="20">
        <f ca="1">IF(Table1[[#This Row],[Column1]]="Social Service",Table1[[#This Row],[income]],0)</f>
        <v>46411</v>
      </c>
      <c r="DH418" s="20">
        <f ca="1">IF(Table1[[#This Row],[Column1]]="Education",Table1[[#This Row],[income]],0)</f>
        <v>0</v>
      </c>
      <c r="DI418" s="5">
        <f ca="1">IF(Table1[[#This Row],[Column1]]="Construction",Table1[[#This Row],[income]],0)</f>
        <v>0</v>
      </c>
      <c r="DK418" s="6">
        <f ca="1">IF(Table1[[#This Row],[Value of Debts]]&gt;Table1[[#This Row],[income]],1,0)</f>
        <v>1</v>
      </c>
      <c r="DL418" s="20"/>
      <c r="DM418" s="20"/>
      <c r="DN418" s="5"/>
      <c r="DP418" s="6">
        <f ca="1">IF(Table1[[#This Row],[Net Worth (£)]]&gt;$DS$5,C418,0)</f>
        <v>0</v>
      </c>
      <c r="DQ418" s="20"/>
      <c r="DR418" s="20"/>
      <c r="DS418" s="5"/>
    </row>
    <row r="419" spans="1:123" x14ac:dyDescent="0.2">
      <c r="A419">
        <f t="shared" ca="1" si="19"/>
        <v>1</v>
      </c>
      <c r="B419" s="1" t="str">
        <f ca="1">IF(A419=1, "men", "women")</f>
        <v>men</v>
      </c>
      <c r="C419" s="1">
        <f ca="1">RANDBETWEEN(25,50)</f>
        <v>42</v>
      </c>
      <c r="D419">
        <f ca="1">RANDBETWEEN(1,6)</f>
        <v>4</v>
      </c>
      <c r="E419" t="str">
        <f ca="1">VLOOKUP(D419,$W$5:$X$10,2)</f>
        <v>Technology</v>
      </c>
      <c r="F419">
        <f ca="1">RANDBETWEEN(1,5)</f>
        <v>5</v>
      </c>
      <c r="G419" t="str">
        <f ca="1">VLOOKUP(F419,$Y$5:$Z$9,2)</f>
        <v>Other</v>
      </c>
      <c r="H419">
        <f ca="1">RANDBETWEEN(0,4)</f>
        <v>4</v>
      </c>
      <c r="I419">
        <f ca="1">RANDBETWEEN(1,3)</f>
        <v>3</v>
      </c>
      <c r="J419">
        <f ca="1">RANDBETWEEN(30000,100000)</f>
        <v>88273</v>
      </c>
      <c r="K419">
        <f ca="1">RANDBETWEEN(1,48)</f>
        <v>25</v>
      </c>
      <c r="L419" t="str">
        <f ca="1">VLOOKUP(K419,$AA$5:$AB$52,2)</f>
        <v>Lancashire</v>
      </c>
      <c r="M419">
        <f ca="1">J419*(RANDBETWEEN(2,5))</f>
        <v>353092</v>
      </c>
      <c r="N419">
        <f ca="1">RAND()*M419</f>
        <v>272813.04902930016</v>
      </c>
      <c r="O419">
        <f ca="1">I419*RAND()*J419</f>
        <v>128687.82407050078</v>
      </c>
      <c r="P419">
        <f ca="1">RANDBETWEEN(0,O419)</f>
        <v>93817</v>
      </c>
      <c r="Q419">
        <f ca="1">RAND()*J419*2</f>
        <v>111215.78630902864</v>
      </c>
      <c r="R419">
        <f ca="1">RAND()*J419*1.5</f>
        <v>114148.36395100513</v>
      </c>
      <c r="S419">
        <f ca="1">J419+R419+O419</f>
        <v>331109.18802150589</v>
      </c>
      <c r="T419">
        <f ca="1">N419+P419+Q419</f>
        <v>477845.83533832879</v>
      </c>
      <c r="U419">
        <f ca="1">S419-T419</f>
        <v>-146736.6473168229</v>
      </c>
      <c r="AC419" s="6">
        <f ca="1">IF(Table1[[#This Row],[gender]]="men",1,0)</f>
        <v>1</v>
      </c>
      <c r="AD419">
        <f ca="1">IF(Table1[[#This Row],[gender]]="women",1,0)</f>
        <v>0</v>
      </c>
      <c r="AH419" s="5"/>
      <c r="AJ419" s="6">
        <f ca="1">IF(Table1[[#This Row],[Column1]]="Health",1,0)</f>
        <v>0</v>
      </c>
      <c r="AK419">
        <f ca="1">IF(Table1[[#This Row],[Column1]]="Construction",1,0)</f>
        <v>0</v>
      </c>
      <c r="AL419">
        <f ca="1">IF(Table1[[#This Row],[Column1]]="Technology",1,0)</f>
        <v>1</v>
      </c>
      <c r="AM419">
        <f ca="1">IF(Table1[[#This Row],[Column1]]="Education",1,0)</f>
        <v>0</v>
      </c>
      <c r="AN419">
        <f ca="1">IF(Table1[[#This Row],[Column1]]="Agriculture",1,0)</f>
        <v>0</v>
      </c>
      <c r="AO419">
        <f ca="1">IF(Table1[[#This Row],[Column1]]="Social Service", 1, 0)</f>
        <v>0</v>
      </c>
      <c r="AT419" s="5"/>
      <c r="AV419" s="17">
        <f t="shared" ca="1" si="18"/>
        <v>42545.78113241645</v>
      </c>
      <c r="AW419" s="5"/>
      <c r="AX419" s="6">
        <f ca="1">IF(Table1[[#This Row],[Value of Debts]]&gt;$AY$4,1,0)</f>
        <v>1</v>
      </c>
      <c r="AY419" s="20"/>
      <c r="AZ419" s="20"/>
      <c r="BA419" s="5"/>
      <c r="BB419" s="25">
        <f ca="1">Table1[[#This Row],[Mortage Left]]/Table1[[#This Row],[Value of House]]</f>
        <v>0.77264013070049775</v>
      </c>
      <c r="BC419" s="20">
        <f t="shared" ca="1" si="20"/>
        <v>0</v>
      </c>
      <c r="BD419" s="20"/>
      <c r="BE419" s="20"/>
      <c r="BF419" s="20"/>
      <c r="BG419" s="6">
        <f ca="1">IF(Table1[[#This Row],[County]]="Cumbria",Table1[[#This Row],[income]],0)</f>
        <v>0</v>
      </c>
      <c r="BH419" s="20">
        <f ca="1">IF(Table1[[#This Row],[County]]="Cheshire",Table1[[#This Row],[income]],0)</f>
        <v>0</v>
      </c>
      <c r="BI419" s="20">
        <f ca="1">IF(Table1[[#This Row],[County]]="Bristol",Table1[[#This Row],[income]],0)</f>
        <v>0</v>
      </c>
      <c r="BJ419" s="20">
        <f ca="1">IF(Table1[[#This Row],[County]]="Surrey",Table1[[#This Row],[income]],0)</f>
        <v>0</v>
      </c>
      <c r="BK419" s="20">
        <f ca="1">IF(Table1[[#This Row],[County]]="Norfolk",Table1[[#This Row],[income]],0)</f>
        <v>0</v>
      </c>
      <c r="BL419" s="20">
        <f ca="1">IF(Table1[[#This Row],[County]]="Lincolnshire",Table1[[#This Row],[income]],0)</f>
        <v>0</v>
      </c>
      <c r="BM419" s="20">
        <f ca="1">IF(Table1[[#This Row],[County]]="Somerset",Table1[[#This Row],[income]],0)</f>
        <v>0</v>
      </c>
      <c r="BN419" s="20">
        <f ca="1">IF(Table1[[#This Row],[County]]="Cambridgeshire",Table1[[#This Row],[income]],0)</f>
        <v>0</v>
      </c>
      <c r="BO419" s="20">
        <f ca="1">IF(Table1[[#This Row],[County]]="South Yorkshire",Table1[[#This Row],[income]],0)</f>
        <v>0</v>
      </c>
      <c r="BP419" s="20">
        <f ca="1">IF(Table1[[#This Row],[County]]="Greater London",Table1[[#This Row],[income]],0)</f>
        <v>0</v>
      </c>
      <c r="BQ419" s="20">
        <f ca="1">IF(Table1[[#This Row],[County]]="Hampshire",Table1[[#This Row],[income]],0)</f>
        <v>0</v>
      </c>
      <c r="BR419" s="20">
        <f ca="1">IF(Table1[[#This Row],[County]]="Gloucestershire",Table1[[#This Row],[income]],0)</f>
        <v>0</v>
      </c>
      <c r="BS419" s="20">
        <f ca="1">IF(Table1[[#This Row],[County]]="West Sussex",Table1[[#This Row],[income]],0)</f>
        <v>0</v>
      </c>
      <c r="BT419" s="20">
        <f ca="1">IF(Table1[[#This Row],[County]]="Devon",Table1[[#This Row],[income]],0)</f>
        <v>0</v>
      </c>
      <c r="BU419" s="20">
        <f ca="1">IF(Table1[[#This Row],[County]]="Berkshire",Table1[[#This Row],[income]],0)</f>
        <v>0</v>
      </c>
      <c r="BV419" s="20">
        <f ca="1">IF(Table1[[#This Row],[County]]="Staffordshire",Table1[[#This Row],[income]],0)</f>
        <v>0</v>
      </c>
      <c r="BW419" s="20">
        <f ca="1">IF(Table1[[#This Row],[County]]="Leicestershire",Table1[[#This Row],[income]],0)</f>
        <v>0</v>
      </c>
      <c r="BX419" s="20">
        <f ca="1">IF(Table1[[#This Row],[County]]="Cornwall",Table1[[#This Row],[income]],0)</f>
        <v>0</v>
      </c>
      <c r="BY419" s="20">
        <f ca="1">IF(Table1[[#This Row],[County]]="Isle of Wight",Table1[[#This Row],[income]],0)</f>
        <v>0</v>
      </c>
      <c r="BZ419" s="20">
        <f ca="1">IF(Table1[[#This Row],[County]]="Surrey",Table1[[#This Row],[income]],0)</f>
        <v>0</v>
      </c>
      <c r="CA419" s="20">
        <f ca="1">IF(Table1[[#This Row],[County]]="Derbyshire",Table1[[#This Row],[income]],0)</f>
        <v>0</v>
      </c>
      <c r="CB419" s="20">
        <f ca="1">IF(Table1[[#This Row],[County]]="City of London",Table1[[#This Row],[income]],0)</f>
        <v>0</v>
      </c>
      <c r="CC419" s="20">
        <f ca="1">IF(Table1[[#This Row],[County]]="Bedfordshire",Table1[[#This Row],[income]],0)</f>
        <v>0</v>
      </c>
      <c r="CD419" s="20">
        <f ca="1">IF(Table1[[#This Row],[County]]="County Durham",Table1[[#This Row],[income]],0)</f>
        <v>0</v>
      </c>
      <c r="CE419" s="20">
        <f ca="1">IF(Table1[[#This Row],[County]]="East Riding of Yorkshire",Table1[[#This Row],[income]],0)</f>
        <v>0</v>
      </c>
      <c r="CF419" s="20">
        <f ca="1">IF(Table1[[#This Row],[County]]="West Yorkshire",Table1[[#This Row],[income]],0)</f>
        <v>0</v>
      </c>
      <c r="CG419" s="20">
        <f ca="1">IF(Table1[[#This Row],[County]]="Essex",Table1[[#This Row],[income]],0)</f>
        <v>0</v>
      </c>
      <c r="CH419" s="20">
        <f ca="1">IF(Table1[[#This Row],[County]]="East Sussex",Table1[[#This Row],[income]],0)</f>
        <v>0</v>
      </c>
      <c r="CI419" s="20">
        <f ca="1">IF(Table1[[#This Row],[County]]="Greater Manchester",Table1[[#This Row],[income]],0)</f>
        <v>0</v>
      </c>
      <c r="CJ419" s="20">
        <f ca="1">IF(Table1[[#This Row],[County]]="Hertfordshire",Table1[[#This Row],[income]],0)</f>
        <v>0</v>
      </c>
      <c r="CK419" s="20">
        <f ca="1">IF(Table1[[#This Row],[County]]="Herefordshire",Table1[[#This Row],[income]],0)</f>
        <v>0</v>
      </c>
      <c r="CL419" s="20">
        <f ca="1">IF(Table1[[#This Row],[County]]="Lancashire",Table1[[#This Row],[income]],0)</f>
        <v>88273</v>
      </c>
      <c r="CM419" s="20">
        <f ca="1">IF(Table1[[#This Row],[County]]="Merseyside",Table1[[#This Row],[income]],0)</f>
        <v>0</v>
      </c>
      <c r="CN419" s="20">
        <f ca="1">IF(Table1[[#This Row],[County]]="Northamptonshire",Table1[[#This Row],[income]],0)</f>
        <v>0</v>
      </c>
      <c r="CO419" s="20">
        <f ca="1">IF(Table1[[#This Row],[County]]="Northumberland",Table1[[#This Row],[income]],0)</f>
        <v>0</v>
      </c>
      <c r="CP419" s="20">
        <f ca="1">IF(Table1[[#This Row],[County]]="Wiltshire",Table1[[#This Row],[income]],0)</f>
        <v>0</v>
      </c>
      <c r="CQ419" s="20">
        <f ca="1">IF(Table1[[#This Row],[County]]="West Midlands",Table1[[#This Row],[income]],0)</f>
        <v>0</v>
      </c>
      <c r="CR419" s="20">
        <f ca="1">IF(Table1[[#This Row],[County]]="Warwickshire",Table1[[#This Row],[income]],0)</f>
        <v>0</v>
      </c>
      <c r="CS419" s="20">
        <f ca="1">IF(Table1[[#This Row],[County]]="Tyne and Wear",Table1[[#This Row],[income]],0)</f>
        <v>0</v>
      </c>
      <c r="CT419" s="20">
        <f ca="1">IF(Table1[[#This Row],[County]]="Worcestershire",Table1[[#This Row],[income]],0)</f>
        <v>0</v>
      </c>
      <c r="CU419" s="20">
        <f ca="1">IF(Table1[[#This Row],[County]]="Rutland",Table1[[#This Row],[income]],0)</f>
        <v>0</v>
      </c>
      <c r="CV419" s="20">
        <f ca="1">IF(Table1[[#This Row],[County]]="Shropshire",Table1[[#This Row],[income]],0)</f>
        <v>0</v>
      </c>
      <c r="CW419" s="20">
        <f ca="1">IF(Table1[[#This Row],[County]]="Dorset",Table1[[#This Row],[income]],0)</f>
        <v>0</v>
      </c>
      <c r="CX419" s="20">
        <f ca="1">IF(Table1[[#This Row],[County]]="Buckinghamshire",Table1[[#This Row],[income]],0)</f>
        <v>0</v>
      </c>
      <c r="CY419" s="20">
        <f ca="1">IF(Table1[[#This Row],[County]]="Suffolk",Table1[[#This Row],[income]],0)</f>
        <v>0</v>
      </c>
      <c r="CZ419" s="20">
        <f ca="1">IF(Table1[[#This Row],[County]]="North Yorkshire",Table1[[#This Row],[income]],0)</f>
        <v>0</v>
      </c>
      <c r="DA419" s="20">
        <f ca="1">IF(Table1[[#This Row],[County]]="Kent",Table1[[#This Row],[income]],0)</f>
        <v>0</v>
      </c>
      <c r="DB419" s="5">
        <f ca="1">IF(Table1[[#This Row],[County]]="Derbyshire",Table1[[#This Row],[income]],0)</f>
        <v>0</v>
      </c>
      <c r="DD419" s="6">
        <f ca="1">IF(Table1[[#This Row],[Column1]]="Health",Table1[[#This Row],[income]],0)</f>
        <v>0</v>
      </c>
      <c r="DE419" s="20">
        <f ca="1">IF(Table1[[#This Row],[Column1]]="Agriculture",Table1[[#This Row],[income]],0)</f>
        <v>0</v>
      </c>
      <c r="DF419" s="20">
        <f ca="1">IF(Table1[[#This Row],[Column1]]="Technology",Table1[[#This Row],[income]],0)</f>
        <v>88273</v>
      </c>
      <c r="DG419" s="20">
        <f ca="1">IF(Table1[[#This Row],[Column1]]="Social Service",Table1[[#This Row],[income]],0)</f>
        <v>0</v>
      </c>
      <c r="DH419" s="20">
        <f ca="1">IF(Table1[[#This Row],[Column1]]="Education",Table1[[#This Row],[income]],0)</f>
        <v>0</v>
      </c>
      <c r="DI419" s="5">
        <f ca="1">IF(Table1[[#This Row],[Column1]]="Construction",Table1[[#This Row],[income]],0)</f>
        <v>0</v>
      </c>
      <c r="DK419" s="6">
        <f ca="1">IF(Table1[[#This Row],[Value of Debts]]&gt;Table1[[#This Row],[income]],1,0)</f>
        <v>1</v>
      </c>
      <c r="DL419" s="20"/>
      <c r="DM419" s="20"/>
      <c r="DN419" s="5"/>
      <c r="DP419" s="6">
        <f ca="1">IF(Table1[[#This Row],[Net Worth (£)]]&gt;$DS$5,C419,0)</f>
        <v>0</v>
      </c>
      <c r="DQ419" s="20"/>
      <c r="DR419" s="20"/>
      <c r="DS419" s="5"/>
    </row>
    <row r="420" spans="1:123" x14ac:dyDescent="0.2">
      <c r="A420">
        <f t="shared" ca="1" si="19"/>
        <v>2</v>
      </c>
      <c r="B420" s="1" t="str">
        <f ca="1">IF(A420=1, "men", "women")</f>
        <v>women</v>
      </c>
      <c r="C420" s="1">
        <f ca="1">RANDBETWEEN(25,50)</f>
        <v>25</v>
      </c>
      <c r="D420">
        <f ca="1">RANDBETWEEN(1,6)</f>
        <v>5</v>
      </c>
      <c r="E420" t="str">
        <f ca="1">VLOOKUP(D420,$W$5:$X$10,2)</f>
        <v>Social Service</v>
      </c>
      <c r="F420">
        <f ca="1">RANDBETWEEN(1,5)</f>
        <v>1</v>
      </c>
      <c r="G420" t="str">
        <f ca="1">VLOOKUP(F420,$Y$5:$Z$9,2)</f>
        <v>High School</v>
      </c>
      <c r="H420">
        <f ca="1">RANDBETWEEN(0,4)</f>
        <v>2</v>
      </c>
      <c r="I420">
        <f ca="1">RANDBETWEEN(1,3)</f>
        <v>3</v>
      </c>
      <c r="J420">
        <f ca="1">RANDBETWEEN(30000,100000)</f>
        <v>48745</v>
      </c>
      <c r="K420">
        <f ca="1">RANDBETWEEN(1,48)</f>
        <v>46</v>
      </c>
      <c r="L420" t="str">
        <f ca="1">VLOOKUP(K420,$AA$5:$AB$52,2)</f>
        <v>West Yorkshire</v>
      </c>
      <c r="M420">
        <f ca="1">J420*(RANDBETWEEN(2,5))</f>
        <v>194980</v>
      </c>
      <c r="N420">
        <f ca="1">RAND()*M420</f>
        <v>126710.03149982393</v>
      </c>
      <c r="O420">
        <f ca="1">I420*RAND()*J420</f>
        <v>127637.34339724935</v>
      </c>
      <c r="P420">
        <f ca="1">RANDBETWEEN(0,O420)</f>
        <v>4583</v>
      </c>
      <c r="Q420">
        <f ca="1">RAND()*J420*2</f>
        <v>81932.109957627094</v>
      </c>
      <c r="R420">
        <f ca="1">RAND()*J420*1.5</f>
        <v>18924.040031676002</v>
      </c>
      <c r="S420">
        <f ca="1">J420+R420+O420</f>
        <v>195306.38342892536</v>
      </c>
      <c r="T420">
        <f ca="1">N420+P420+Q420</f>
        <v>213225.14145745104</v>
      </c>
      <c r="U420">
        <f ca="1">S420-T420</f>
        <v>-17918.758028525684</v>
      </c>
      <c r="AC420" s="6">
        <f ca="1">IF(Table1[[#This Row],[gender]]="men",1,0)</f>
        <v>0</v>
      </c>
      <c r="AD420">
        <f ca="1">IF(Table1[[#This Row],[gender]]="women",1,0)</f>
        <v>1</v>
      </c>
      <c r="AH420" s="5"/>
      <c r="AJ420" s="6">
        <f ca="1">IF(Table1[[#This Row],[Column1]]="Health",1,0)</f>
        <v>0</v>
      </c>
      <c r="AK420">
        <f ca="1">IF(Table1[[#This Row],[Column1]]="Construction",1,0)</f>
        <v>0</v>
      </c>
      <c r="AL420">
        <f ca="1">IF(Table1[[#This Row],[Column1]]="Technology",1,0)</f>
        <v>0</v>
      </c>
      <c r="AM420">
        <f ca="1">IF(Table1[[#This Row],[Column1]]="Education",1,0)</f>
        <v>0</v>
      </c>
      <c r="AN420">
        <f ca="1">IF(Table1[[#This Row],[Column1]]="Agriculture",1,0)</f>
        <v>0</v>
      </c>
      <c r="AO420">
        <f ca="1">IF(Table1[[#This Row],[Column1]]="Social Service", 1, 0)</f>
        <v>1</v>
      </c>
      <c r="AT420" s="5"/>
      <c r="AV420" s="17">
        <f t="shared" ca="1" si="18"/>
        <v>14883.063054654005</v>
      </c>
      <c r="AW420" s="5"/>
      <c r="AX420" s="6">
        <f ca="1">IF(Table1[[#This Row],[Value of Debts]]&gt;$AY$4,1,0)</f>
        <v>1</v>
      </c>
      <c r="AY420" s="20"/>
      <c r="AZ420" s="20"/>
      <c r="BA420" s="5"/>
      <c r="BB420" s="25">
        <f ca="1">Table1[[#This Row],[Mortage Left]]/Table1[[#This Row],[Value of House]]</f>
        <v>0.64986168581302661</v>
      </c>
      <c r="BC420" s="20">
        <f t="shared" ca="1" si="20"/>
        <v>0</v>
      </c>
      <c r="BD420" s="20"/>
      <c r="BE420" s="20"/>
      <c r="BF420" s="20"/>
      <c r="BG420" s="6">
        <f ca="1">IF(Table1[[#This Row],[County]]="Cumbria",Table1[[#This Row],[income]],0)</f>
        <v>0</v>
      </c>
      <c r="BH420" s="20">
        <f ca="1">IF(Table1[[#This Row],[County]]="Cheshire",Table1[[#This Row],[income]],0)</f>
        <v>0</v>
      </c>
      <c r="BI420" s="20">
        <f ca="1">IF(Table1[[#This Row],[County]]="Bristol",Table1[[#This Row],[income]],0)</f>
        <v>0</v>
      </c>
      <c r="BJ420" s="20">
        <f ca="1">IF(Table1[[#This Row],[County]]="Surrey",Table1[[#This Row],[income]],0)</f>
        <v>0</v>
      </c>
      <c r="BK420" s="20">
        <f ca="1">IF(Table1[[#This Row],[County]]="Norfolk",Table1[[#This Row],[income]],0)</f>
        <v>0</v>
      </c>
      <c r="BL420" s="20">
        <f ca="1">IF(Table1[[#This Row],[County]]="Lincolnshire",Table1[[#This Row],[income]],0)</f>
        <v>0</v>
      </c>
      <c r="BM420" s="20">
        <f ca="1">IF(Table1[[#This Row],[County]]="Somerset",Table1[[#This Row],[income]],0)</f>
        <v>0</v>
      </c>
      <c r="BN420" s="20">
        <f ca="1">IF(Table1[[#This Row],[County]]="Cambridgeshire",Table1[[#This Row],[income]],0)</f>
        <v>0</v>
      </c>
      <c r="BO420" s="20">
        <f ca="1">IF(Table1[[#This Row],[County]]="South Yorkshire",Table1[[#This Row],[income]],0)</f>
        <v>0</v>
      </c>
      <c r="BP420" s="20">
        <f ca="1">IF(Table1[[#This Row],[County]]="Greater London",Table1[[#This Row],[income]],0)</f>
        <v>0</v>
      </c>
      <c r="BQ420" s="20">
        <f ca="1">IF(Table1[[#This Row],[County]]="Hampshire",Table1[[#This Row],[income]],0)</f>
        <v>0</v>
      </c>
      <c r="BR420" s="20">
        <f ca="1">IF(Table1[[#This Row],[County]]="Gloucestershire",Table1[[#This Row],[income]],0)</f>
        <v>0</v>
      </c>
      <c r="BS420" s="20">
        <f ca="1">IF(Table1[[#This Row],[County]]="West Sussex",Table1[[#This Row],[income]],0)</f>
        <v>0</v>
      </c>
      <c r="BT420" s="20">
        <f ca="1">IF(Table1[[#This Row],[County]]="Devon",Table1[[#This Row],[income]],0)</f>
        <v>0</v>
      </c>
      <c r="BU420" s="20">
        <f ca="1">IF(Table1[[#This Row],[County]]="Berkshire",Table1[[#This Row],[income]],0)</f>
        <v>0</v>
      </c>
      <c r="BV420" s="20">
        <f ca="1">IF(Table1[[#This Row],[County]]="Staffordshire",Table1[[#This Row],[income]],0)</f>
        <v>0</v>
      </c>
      <c r="BW420" s="20">
        <f ca="1">IF(Table1[[#This Row],[County]]="Leicestershire",Table1[[#This Row],[income]],0)</f>
        <v>0</v>
      </c>
      <c r="BX420" s="20">
        <f ca="1">IF(Table1[[#This Row],[County]]="Cornwall",Table1[[#This Row],[income]],0)</f>
        <v>0</v>
      </c>
      <c r="BY420" s="20">
        <f ca="1">IF(Table1[[#This Row],[County]]="Isle of Wight",Table1[[#This Row],[income]],0)</f>
        <v>0</v>
      </c>
      <c r="BZ420" s="20">
        <f ca="1">IF(Table1[[#This Row],[County]]="Surrey",Table1[[#This Row],[income]],0)</f>
        <v>0</v>
      </c>
      <c r="CA420" s="20">
        <f ca="1">IF(Table1[[#This Row],[County]]="Derbyshire",Table1[[#This Row],[income]],0)</f>
        <v>0</v>
      </c>
      <c r="CB420" s="20">
        <f ca="1">IF(Table1[[#This Row],[County]]="City of London",Table1[[#This Row],[income]],0)</f>
        <v>0</v>
      </c>
      <c r="CC420" s="20">
        <f ca="1">IF(Table1[[#This Row],[County]]="Bedfordshire",Table1[[#This Row],[income]],0)</f>
        <v>0</v>
      </c>
      <c r="CD420" s="20">
        <f ca="1">IF(Table1[[#This Row],[County]]="County Durham",Table1[[#This Row],[income]],0)</f>
        <v>0</v>
      </c>
      <c r="CE420" s="20">
        <f ca="1">IF(Table1[[#This Row],[County]]="East Riding of Yorkshire",Table1[[#This Row],[income]],0)</f>
        <v>0</v>
      </c>
      <c r="CF420" s="20">
        <f ca="1">IF(Table1[[#This Row],[County]]="West Yorkshire",Table1[[#This Row],[income]],0)</f>
        <v>48745</v>
      </c>
      <c r="CG420" s="20">
        <f ca="1">IF(Table1[[#This Row],[County]]="Essex",Table1[[#This Row],[income]],0)</f>
        <v>0</v>
      </c>
      <c r="CH420" s="20">
        <f ca="1">IF(Table1[[#This Row],[County]]="East Sussex",Table1[[#This Row],[income]],0)</f>
        <v>0</v>
      </c>
      <c r="CI420" s="20">
        <f ca="1">IF(Table1[[#This Row],[County]]="Greater Manchester",Table1[[#This Row],[income]],0)</f>
        <v>0</v>
      </c>
      <c r="CJ420" s="20">
        <f ca="1">IF(Table1[[#This Row],[County]]="Hertfordshire",Table1[[#This Row],[income]],0)</f>
        <v>0</v>
      </c>
      <c r="CK420" s="20">
        <f ca="1">IF(Table1[[#This Row],[County]]="Herefordshire",Table1[[#This Row],[income]],0)</f>
        <v>0</v>
      </c>
      <c r="CL420" s="20">
        <f ca="1">IF(Table1[[#This Row],[County]]="Lancashire",Table1[[#This Row],[income]],0)</f>
        <v>0</v>
      </c>
      <c r="CM420" s="20">
        <f ca="1">IF(Table1[[#This Row],[County]]="Merseyside",Table1[[#This Row],[income]],0)</f>
        <v>0</v>
      </c>
      <c r="CN420" s="20">
        <f ca="1">IF(Table1[[#This Row],[County]]="Northamptonshire",Table1[[#This Row],[income]],0)</f>
        <v>0</v>
      </c>
      <c r="CO420" s="20">
        <f ca="1">IF(Table1[[#This Row],[County]]="Northumberland",Table1[[#This Row],[income]],0)</f>
        <v>0</v>
      </c>
      <c r="CP420" s="20">
        <f ca="1">IF(Table1[[#This Row],[County]]="Wiltshire",Table1[[#This Row],[income]],0)</f>
        <v>0</v>
      </c>
      <c r="CQ420" s="20">
        <f ca="1">IF(Table1[[#This Row],[County]]="West Midlands",Table1[[#This Row],[income]],0)</f>
        <v>0</v>
      </c>
      <c r="CR420" s="20">
        <f ca="1">IF(Table1[[#This Row],[County]]="Warwickshire",Table1[[#This Row],[income]],0)</f>
        <v>0</v>
      </c>
      <c r="CS420" s="20">
        <f ca="1">IF(Table1[[#This Row],[County]]="Tyne and Wear",Table1[[#This Row],[income]],0)</f>
        <v>0</v>
      </c>
      <c r="CT420" s="20">
        <f ca="1">IF(Table1[[#This Row],[County]]="Worcestershire",Table1[[#This Row],[income]],0)</f>
        <v>0</v>
      </c>
      <c r="CU420" s="20">
        <f ca="1">IF(Table1[[#This Row],[County]]="Rutland",Table1[[#This Row],[income]],0)</f>
        <v>0</v>
      </c>
      <c r="CV420" s="20">
        <f ca="1">IF(Table1[[#This Row],[County]]="Shropshire",Table1[[#This Row],[income]],0)</f>
        <v>0</v>
      </c>
      <c r="CW420" s="20">
        <f ca="1">IF(Table1[[#This Row],[County]]="Dorset",Table1[[#This Row],[income]],0)</f>
        <v>0</v>
      </c>
      <c r="CX420" s="20">
        <f ca="1">IF(Table1[[#This Row],[County]]="Buckinghamshire",Table1[[#This Row],[income]],0)</f>
        <v>0</v>
      </c>
      <c r="CY420" s="20">
        <f ca="1">IF(Table1[[#This Row],[County]]="Suffolk",Table1[[#This Row],[income]],0)</f>
        <v>0</v>
      </c>
      <c r="CZ420" s="20">
        <f ca="1">IF(Table1[[#This Row],[County]]="North Yorkshire",Table1[[#This Row],[income]],0)</f>
        <v>0</v>
      </c>
      <c r="DA420" s="20">
        <f ca="1">IF(Table1[[#This Row],[County]]="Kent",Table1[[#This Row],[income]],0)</f>
        <v>0</v>
      </c>
      <c r="DB420" s="5">
        <f ca="1">IF(Table1[[#This Row],[County]]="Derbyshire",Table1[[#This Row],[income]],0)</f>
        <v>0</v>
      </c>
      <c r="DD420" s="6">
        <f ca="1">IF(Table1[[#This Row],[Column1]]="Health",Table1[[#This Row],[income]],0)</f>
        <v>0</v>
      </c>
      <c r="DE420" s="20">
        <f ca="1">IF(Table1[[#This Row],[Column1]]="Agriculture",Table1[[#This Row],[income]],0)</f>
        <v>0</v>
      </c>
      <c r="DF420" s="20">
        <f ca="1">IF(Table1[[#This Row],[Column1]]="Technology",Table1[[#This Row],[income]],0)</f>
        <v>0</v>
      </c>
      <c r="DG420" s="20">
        <f ca="1">IF(Table1[[#This Row],[Column1]]="Social Service",Table1[[#This Row],[income]],0)</f>
        <v>48745</v>
      </c>
      <c r="DH420" s="20">
        <f ca="1">IF(Table1[[#This Row],[Column1]]="Education",Table1[[#This Row],[income]],0)</f>
        <v>0</v>
      </c>
      <c r="DI420" s="5">
        <f ca="1">IF(Table1[[#This Row],[Column1]]="Construction",Table1[[#This Row],[income]],0)</f>
        <v>0</v>
      </c>
      <c r="DK420" s="6">
        <f ca="1">IF(Table1[[#This Row],[Value of Debts]]&gt;Table1[[#This Row],[income]],1,0)</f>
        <v>1</v>
      </c>
      <c r="DL420" s="20"/>
      <c r="DM420" s="20"/>
      <c r="DN420" s="5"/>
      <c r="DP420" s="6">
        <f ca="1">IF(Table1[[#This Row],[Net Worth (£)]]&gt;$DS$5,C420,0)</f>
        <v>0</v>
      </c>
      <c r="DQ420" s="20"/>
      <c r="DR420" s="20"/>
      <c r="DS420" s="5"/>
    </row>
    <row r="421" spans="1:123" x14ac:dyDescent="0.2">
      <c r="A421">
        <f t="shared" ca="1" si="19"/>
        <v>2</v>
      </c>
      <c r="B421" s="1" t="str">
        <f ca="1">IF(A421=1, "men", "women")</f>
        <v>women</v>
      </c>
      <c r="C421" s="1">
        <f ca="1">RANDBETWEEN(25,50)</f>
        <v>35</v>
      </c>
      <c r="D421">
        <f ca="1">RANDBETWEEN(1,6)</f>
        <v>6</v>
      </c>
      <c r="E421" t="str">
        <f ca="1">VLOOKUP(D421,$W$5:$X$10,2)</f>
        <v>Agriculture</v>
      </c>
      <c r="F421">
        <f ca="1">RANDBETWEEN(1,5)</f>
        <v>5</v>
      </c>
      <c r="G421" t="str">
        <f ca="1">VLOOKUP(F421,$Y$5:$Z$9,2)</f>
        <v>Other</v>
      </c>
      <c r="H421">
        <f ca="1">RANDBETWEEN(0,4)</f>
        <v>0</v>
      </c>
      <c r="I421">
        <f ca="1">RANDBETWEEN(1,3)</f>
        <v>1</v>
      </c>
      <c r="J421">
        <f ca="1">RANDBETWEEN(30000,100000)</f>
        <v>54490</v>
      </c>
      <c r="K421">
        <f ca="1">RANDBETWEEN(1,48)</f>
        <v>6</v>
      </c>
      <c r="L421" t="str">
        <f ca="1">VLOOKUP(K421,$AA$5:$AB$52,2)</f>
        <v>Cheshire</v>
      </c>
      <c r="M421">
        <f ca="1">J421*(RANDBETWEEN(2,5))</f>
        <v>108980</v>
      </c>
      <c r="N421">
        <f ca="1">RAND()*M421</f>
        <v>10213.186591754813</v>
      </c>
      <c r="O421">
        <f ca="1">I421*RAND()*J421</f>
        <v>14883.063054654005</v>
      </c>
      <c r="P421">
        <f ca="1">RANDBETWEEN(0,O421)</f>
        <v>7091</v>
      </c>
      <c r="Q421">
        <f ca="1">RAND()*J421*2</f>
        <v>16904.483962599847</v>
      </c>
      <c r="R421">
        <f ca="1">RAND()*J421*1.5</f>
        <v>11582.955243010023</v>
      </c>
      <c r="S421">
        <f ca="1">J421+R421+O421</f>
        <v>80956.018297664021</v>
      </c>
      <c r="T421">
        <f ca="1">N421+P421+Q421</f>
        <v>34208.670554354656</v>
      </c>
      <c r="U421">
        <f ca="1">S421-T421</f>
        <v>46747.347743309365</v>
      </c>
      <c r="AC421" s="6">
        <f ca="1">IF(Table1[[#This Row],[gender]]="men",1,0)</f>
        <v>0</v>
      </c>
      <c r="AD421">
        <f ca="1">IF(Table1[[#This Row],[gender]]="women",1,0)</f>
        <v>1</v>
      </c>
      <c r="AH421" s="5"/>
      <c r="AJ421" s="6">
        <f ca="1">IF(Table1[[#This Row],[Column1]]="Health",1,0)</f>
        <v>0</v>
      </c>
      <c r="AK421">
        <f ca="1">IF(Table1[[#This Row],[Column1]]="Construction",1,0)</f>
        <v>0</v>
      </c>
      <c r="AL421">
        <f ca="1">IF(Table1[[#This Row],[Column1]]="Technology",1,0)</f>
        <v>0</v>
      </c>
      <c r="AM421">
        <f ca="1">IF(Table1[[#This Row],[Column1]]="Education",1,0)</f>
        <v>0</v>
      </c>
      <c r="AN421">
        <f ca="1">IF(Table1[[#This Row],[Column1]]="Agriculture",1,0)</f>
        <v>1</v>
      </c>
      <c r="AO421">
        <f ca="1">IF(Table1[[#This Row],[Column1]]="Social Service", 1, 0)</f>
        <v>0</v>
      </c>
      <c r="AT421" s="5"/>
      <c r="AV421" s="17">
        <f t="shared" ca="1" si="18"/>
        <v>448.48187609066395</v>
      </c>
      <c r="AW421" s="5"/>
      <c r="AX421" s="6">
        <f ca="1">IF(Table1[[#This Row],[Value of Debts]]&gt;$AY$4,1,0)</f>
        <v>0</v>
      </c>
      <c r="AY421" s="20"/>
      <c r="AZ421" s="20"/>
      <c r="BA421" s="5"/>
      <c r="BB421" s="25">
        <f ca="1">Table1[[#This Row],[Mortage Left]]/Table1[[#This Row],[Value of House]]</f>
        <v>9.3716155182187677E-2</v>
      </c>
      <c r="BC421" s="20">
        <f t="shared" ca="1" si="20"/>
        <v>1</v>
      </c>
      <c r="BD421" s="20"/>
      <c r="BE421" s="20"/>
      <c r="BF421" s="20"/>
      <c r="BG421" s="6">
        <f ca="1">IF(Table1[[#This Row],[County]]="Cumbria",Table1[[#This Row],[income]],0)</f>
        <v>0</v>
      </c>
      <c r="BH421" s="20">
        <f ca="1">IF(Table1[[#This Row],[County]]="Cheshire",Table1[[#This Row],[income]],0)</f>
        <v>54490</v>
      </c>
      <c r="BI421" s="20">
        <f ca="1">IF(Table1[[#This Row],[County]]="Bristol",Table1[[#This Row],[income]],0)</f>
        <v>0</v>
      </c>
      <c r="BJ421" s="20">
        <f ca="1">IF(Table1[[#This Row],[County]]="Surrey",Table1[[#This Row],[income]],0)</f>
        <v>0</v>
      </c>
      <c r="BK421" s="20">
        <f ca="1">IF(Table1[[#This Row],[County]]="Norfolk",Table1[[#This Row],[income]],0)</f>
        <v>0</v>
      </c>
      <c r="BL421" s="20">
        <f ca="1">IF(Table1[[#This Row],[County]]="Lincolnshire",Table1[[#This Row],[income]],0)</f>
        <v>0</v>
      </c>
      <c r="BM421" s="20">
        <f ca="1">IF(Table1[[#This Row],[County]]="Somerset",Table1[[#This Row],[income]],0)</f>
        <v>0</v>
      </c>
      <c r="BN421" s="20">
        <f ca="1">IF(Table1[[#This Row],[County]]="Cambridgeshire",Table1[[#This Row],[income]],0)</f>
        <v>0</v>
      </c>
      <c r="BO421" s="20">
        <f ca="1">IF(Table1[[#This Row],[County]]="South Yorkshire",Table1[[#This Row],[income]],0)</f>
        <v>0</v>
      </c>
      <c r="BP421" s="20">
        <f ca="1">IF(Table1[[#This Row],[County]]="Greater London",Table1[[#This Row],[income]],0)</f>
        <v>0</v>
      </c>
      <c r="BQ421" s="20">
        <f ca="1">IF(Table1[[#This Row],[County]]="Hampshire",Table1[[#This Row],[income]],0)</f>
        <v>0</v>
      </c>
      <c r="BR421" s="20">
        <f ca="1">IF(Table1[[#This Row],[County]]="Gloucestershire",Table1[[#This Row],[income]],0)</f>
        <v>0</v>
      </c>
      <c r="BS421" s="20">
        <f ca="1">IF(Table1[[#This Row],[County]]="West Sussex",Table1[[#This Row],[income]],0)</f>
        <v>0</v>
      </c>
      <c r="BT421" s="20">
        <f ca="1">IF(Table1[[#This Row],[County]]="Devon",Table1[[#This Row],[income]],0)</f>
        <v>0</v>
      </c>
      <c r="BU421" s="20">
        <f ca="1">IF(Table1[[#This Row],[County]]="Berkshire",Table1[[#This Row],[income]],0)</f>
        <v>0</v>
      </c>
      <c r="BV421" s="20">
        <f ca="1">IF(Table1[[#This Row],[County]]="Staffordshire",Table1[[#This Row],[income]],0)</f>
        <v>0</v>
      </c>
      <c r="BW421" s="20">
        <f ca="1">IF(Table1[[#This Row],[County]]="Leicestershire",Table1[[#This Row],[income]],0)</f>
        <v>0</v>
      </c>
      <c r="BX421" s="20">
        <f ca="1">IF(Table1[[#This Row],[County]]="Cornwall",Table1[[#This Row],[income]],0)</f>
        <v>0</v>
      </c>
      <c r="BY421" s="20">
        <f ca="1">IF(Table1[[#This Row],[County]]="Isle of Wight",Table1[[#This Row],[income]],0)</f>
        <v>0</v>
      </c>
      <c r="BZ421" s="20">
        <f ca="1">IF(Table1[[#This Row],[County]]="Surrey",Table1[[#This Row],[income]],0)</f>
        <v>0</v>
      </c>
      <c r="CA421" s="20">
        <f ca="1">IF(Table1[[#This Row],[County]]="Derbyshire",Table1[[#This Row],[income]],0)</f>
        <v>0</v>
      </c>
      <c r="CB421" s="20">
        <f ca="1">IF(Table1[[#This Row],[County]]="City of London",Table1[[#This Row],[income]],0)</f>
        <v>0</v>
      </c>
      <c r="CC421" s="20">
        <f ca="1">IF(Table1[[#This Row],[County]]="Bedfordshire",Table1[[#This Row],[income]],0)</f>
        <v>0</v>
      </c>
      <c r="CD421" s="20">
        <f ca="1">IF(Table1[[#This Row],[County]]="County Durham",Table1[[#This Row],[income]],0)</f>
        <v>0</v>
      </c>
      <c r="CE421" s="20">
        <f ca="1">IF(Table1[[#This Row],[County]]="East Riding of Yorkshire",Table1[[#This Row],[income]],0)</f>
        <v>0</v>
      </c>
      <c r="CF421" s="20">
        <f ca="1">IF(Table1[[#This Row],[County]]="West Yorkshire",Table1[[#This Row],[income]],0)</f>
        <v>0</v>
      </c>
      <c r="CG421" s="20">
        <f ca="1">IF(Table1[[#This Row],[County]]="Essex",Table1[[#This Row],[income]],0)</f>
        <v>0</v>
      </c>
      <c r="CH421" s="20">
        <f ca="1">IF(Table1[[#This Row],[County]]="East Sussex",Table1[[#This Row],[income]],0)</f>
        <v>0</v>
      </c>
      <c r="CI421" s="20">
        <f ca="1">IF(Table1[[#This Row],[County]]="Greater Manchester",Table1[[#This Row],[income]],0)</f>
        <v>0</v>
      </c>
      <c r="CJ421" s="20">
        <f ca="1">IF(Table1[[#This Row],[County]]="Hertfordshire",Table1[[#This Row],[income]],0)</f>
        <v>0</v>
      </c>
      <c r="CK421" s="20">
        <f ca="1">IF(Table1[[#This Row],[County]]="Herefordshire",Table1[[#This Row],[income]],0)</f>
        <v>0</v>
      </c>
      <c r="CL421" s="20">
        <f ca="1">IF(Table1[[#This Row],[County]]="Lancashire",Table1[[#This Row],[income]],0)</f>
        <v>0</v>
      </c>
      <c r="CM421" s="20">
        <f ca="1">IF(Table1[[#This Row],[County]]="Merseyside",Table1[[#This Row],[income]],0)</f>
        <v>0</v>
      </c>
      <c r="CN421" s="20">
        <f ca="1">IF(Table1[[#This Row],[County]]="Northamptonshire",Table1[[#This Row],[income]],0)</f>
        <v>0</v>
      </c>
      <c r="CO421" s="20">
        <f ca="1">IF(Table1[[#This Row],[County]]="Northumberland",Table1[[#This Row],[income]],0)</f>
        <v>0</v>
      </c>
      <c r="CP421" s="20">
        <f ca="1">IF(Table1[[#This Row],[County]]="Wiltshire",Table1[[#This Row],[income]],0)</f>
        <v>0</v>
      </c>
      <c r="CQ421" s="20">
        <f ca="1">IF(Table1[[#This Row],[County]]="West Midlands",Table1[[#This Row],[income]],0)</f>
        <v>0</v>
      </c>
      <c r="CR421" s="20">
        <f ca="1">IF(Table1[[#This Row],[County]]="Warwickshire",Table1[[#This Row],[income]],0)</f>
        <v>0</v>
      </c>
      <c r="CS421" s="20">
        <f ca="1">IF(Table1[[#This Row],[County]]="Tyne and Wear",Table1[[#This Row],[income]],0)</f>
        <v>0</v>
      </c>
      <c r="CT421" s="20">
        <f ca="1">IF(Table1[[#This Row],[County]]="Worcestershire",Table1[[#This Row],[income]],0)</f>
        <v>0</v>
      </c>
      <c r="CU421" s="20">
        <f ca="1">IF(Table1[[#This Row],[County]]="Rutland",Table1[[#This Row],[income]],0)</f>
        <v>0</v>
      </c>
      <c r="CV421" s="20">
        <f ca="1">IF(Table1[[#This Row],[County]]="Shropshire",Table1[[#This Row],[income]],0)</f>
        <v>0</v>
      </c>
      <c r="CW421" s="20">
        <f ca="1">IF(Table1[[#This Row],[County]]="Dorset",Table1[[#This Row],[income]],0)</f>
        <v>0</v>
      </c>
      <c r="CX421" s="20">
        <f ca="1">IF(Table1[[#This Row],[County]]="Buckinghamshire",Table1[[#This Row],[income]],0)</f>
        <v>0</v>
      </c>
      <c r="CY421" s="20">
        <f ca="1">IF(Table1[[#This Row],[County]]="Suffolk",Table1[[#This Row],[income]],0)</f>
        <v>0</v>
      </c>
      <c r="CZ421" s="20">
        <f ca="1">IF(Table1[[#This Row],[County]]="North Yorkshire",Table1[[#This Row],[income]],0)</f>
        <v>0</v>
      </c>
      <c r="DA421" s="20">
        <f ca="1">IF(Table1[[#This Row],[County]]="Kent",Table1[[#This Row],[income]],0)</f>
        <v>0</v>
      </c>
      <c r="DB421" s="5">
        <f ca="1">IF(Table1[[#This Row],[County]]="Derbyshire",Table1[[#This Row],[income]],0)</f>
        <v>0</v>
      </c>
      <c r="DD421" s="6">
        <f ca="1">IF(Table1[[#This Row],[Column1]]="Health",Table1[[#This Row],[income]],0)</f>
        <v>0</v>
      </c>
      <c r="DE421" s="20">
        <f ca="1">IF(Table1[[#This Row],[Column1]]="Agriculture",Table1[[#This Row],[income]],0)</f>
        <v>54490</v>
      </c>
      <c r="DF421" s="20">
        <f ca="1">IF(Table1[[#This Row],[Column1]]="Technology",Table1[[#This Row],[income]],0)</f>
        <v>0</v>
      </c>
      <c r="DG421" s="20">
        <f ca="1">IF(Table1[[#This Row],[Column1]]="Social Service",Table1[[#This Row],[income]],0)</f>
        <v>0</v>
      </c>
      <c r="DH421" s="20">
        <f ca="1">IF(Table1[[#This Row],[Column1]]="Education",Table1[[#This Row],[income]],0)</f>
        <v>0</v>
      </c>
      <c r="DI421" s="5">
        <f ca="1">IF(Table1[[#This Row],[Column1]]="Construction",Table1[[#This Row],[income]],0)</f>
        <v>0</v>
      </c>
      <c r="DK421" s="6">
        <f ca="1">IF(Table1[[#This Row],[Value of Debts]]&gt;Table1[[#This Row],[income]],1,0)</f>
        <v>0</v>
      </c>
      <c r="DL421" s="20"/>
      <c r="DM421" s="20"/>
      <c r="DN421" s="5"/>
      <c r="DP421" s="6">
        <f ca="1">IF(Table1[[#This Row],[Net Worth (£)]]&gt;$DS$5,C421,0)</f>
        <v>0</v>
      </c>
      <c r="DQ421" s="20"/>
      <c r="DR421" s="20"/>
      <c r="DS421" s="5"/>
    </row>
    <row r="422" spans="1:123" x14ac:dyDescent="0.2">
      <c r="A422">
        <f t="shared" ca="1" si="19"/>
        <v>2</v>
      </c>
      <c r="B422" s="1" t="str">
        <f ca="1">IF(A422=1, "men", "women")</f>
        <v>women</v>
      </c>
      <c r="C422" s="1">
        <f ca="1">RANDBETWEEN(25,50)</f>
        <v>38</v>
      </c>
      <c r="D422">
        <f ca="1">RANDBETWEEN(1,6)</f>
        <v>3</v>
      </c>
      <c r="E422" t="str">
        <f ca="1">VLOOKUP(D422,$W$5:$X$10,2)</f>
        <v>Education</v>
      </c>
      <c r="F422">
        <f ca="1">RANDBETWEEN(1,5)</f>
        <v>3</v>
      </c>
      <c r="G422" t="str">
        <f ca="1">VLOOKUP(F422,$Y$5:$Z$9,2)</f>
        <v>University</v>
      </c>
      <c r="H422">
        <f ca="1">RANDBETWEEN(0,4)</f>
        <v>4</v>
      </c>
      <c r="I422">
        <f ca="1">RANDBETWEEN(1,3)</f>
        <v>3</v>
      </c>
      <c r="J422">
        <f ca="1">RANDBETWEEN(30000,100000)</f>
        <v>91733</v>
      </c>
      <c r="K422">
        <f ca="1">RANDBETWEEN(1,48)</f>
        <v>35</v>
      </c>
      <c r="L422" t="str">
        <f ca="1">VLOOKUP(K422,$AA$5:$AB$52,2)</f>
        <v>Rutland</v>
      </c>
      <c r="M422">
        <f ca="1">J422*(RANDBETWEEN(2,5))</f>
        <v>275199</v>
      </c>
      <c r="N422">
        <f ca="1">RAND()*M422</f>
        <v>54097.981753598579</v>
      </c>
      <c r="O422">
        <f ca="1">I422*RAND()*J422</f>
        <v>1345.4456282719918</v>
      </c>
      <c r="P422">
        <f ca="1">RANDBETWEEN(0,O422)</f>
        <v>174</v>
      </c>
      <c r="Q422">
        <f ca="1">RAND()*J422*2</f>
        <v>88404.614523822704</v>
      </c>
      <c r="R422">
        <f ca="1">RAND()*J422*1.5</f>
        <v>24674.227141216979</v>
      </c>
      <c r="S422">
        <f ca="1">J422+R422+O422</f>
        <v>117752.67276948897</v>
      </c>
      <c r="T422">
        <f ca="1">N422+P422+Q422</f>
        <v>142676.59627742128</v>
      </c>
      <c r="U422">
        <f ca="1">S422-T422</f>
        <v>-24923.923507932312</v>
      </c>
      <c r="AC422" s="6">
        <f ca="1">IF(Table1[[#This Row],[gender]]="men",1,0)</f>
        <v>0</v>
      </c>
      <c r="AD422">
        <f ca="1">IF(Table1[[#This Row],[gender]]="women",1,0)</f>
        <v>1</v>
      </c>
      <c r="AH422" s="5"/>
      <c r="AJ422" s="6">
        <f ca="1">IF(Table1[[#This Row],[Column1]]="Health",1,0)</f>
        <v>0</v>
      </c>
      <c r="AK422">
        <f ca="1">IF(Table1[[#This Row],[Column1]]="Construction",1,0)</f>
        <v>0</v>
      </c>
      <c r="AL422">
        <f ca="1">IF(Table1[[#This Row],[Column1]]="Technology",1,0)</f>
        <v>0</v>
      </c>
      <c r="AM422">
        <f ca="1">IF(Table1[[#This Row],[Column1]]="Education",1,0)</f>
        <v>1</v>
      </c>
      <c r="AN422">
        <f ca="1">IF(Table1[[#This Row],[Column1]]="Agriculture",1,0)</f>
        <v>0</v>
      </c>
      <c r="AO422">
        <f ca="1">IF(Table1[[#This Row],[Column1]]="Social Service", 1, 0)</f>
        <v>0</v>
      </c>
      <c r="AT422" s="5"/>
      <c r="AV422" s="17">
        <f t="shared" ca="1" si="18"/>
        <v>33094.651363078148</v>
      </c>
      <c r="AW422" s="5"/>
      <c r="AX422" s="6">
        <f ca="1">IF(Table1[[#This Row],[Value of Debts]]&gt;$AY$4,1,0)</f>
        <v>1</v>
      </c>
      <c r="AY422" s="20"/>
      <c r="AZ422" s="20"/>
      <c r="BA422" s="5"/>
      <c r="BB422" s="25">
        <f ca="1">Table1[[#This Row],[Mortage Left]]/Table1[[#This Row],[Value of House]]</f>
        <v>0.19657768288983091</v>
      </c>
      <c r="BC422" s="20">
        <f t="shared" ca="1" si="20"/>
        <v>1</v>
      </c>
      <c r="BD422" s="20"/>
      <c r="BE422" s="20"/>
      <c r="BF422" s="20"/>
      <c r="BG422" s="6">
        <f ca="1">IF(Table1[[#This Row],[County]]="Cumbria",Table1[[#This Row],[income]],0)</f>
        <v>0</v>
      </c>
      <c r="BH422" s="20">
        <f ca="1">IF(Table1[[#This Row],[County]]="Cheshire",Table1[[#This Row],[income]],0)</f>
        <v>0</v>
      </c>
      <c r="BI422" s="20">
        <f ca="1">IF(Table1[[#This Row],[County]]="Bristol",Table1[[#This Row],[income]],0)</f>
        <v>0</v>
      </c>
      <c r="BJ422" s="20">
        <f ca="1">IF(Table1[[#This Row],[County]]="Surrey",Table1[[#This Row],[income]],0)</f>
        <v>0</v>
      </c>
      <c r="BK422" s="20">
        <f ca="1">IF(Table1[[#This Row],[County]]="Norfolk",Table1[[#This Row],[income]],0)</f>
        <v>0</v>
      </c>
      <c r="BL422" s="20">
        <f ca="1">IF(Table1[[#This Row],[County]]="Lincolnshire",Table1[[#This Row],[income]],0)</f>
        <v>0</v>
      </c>
      <c r="BM422" s="20">
        <f ca="1">IF(Table1[[#This Row],[County]]="Somerset",Table1[[#This Row],[income]],0)</f>
        <v>0</v>
      </c>
      <c r="BN422" s="20">
        <f ca="1">IF(Table1[[#This Row],[County]]="Cambridgeshire",Table1[[#This Row],[income]],0)</f>
        <v>0</v>
      </c>
      <c r="BO422" s="20">
        <f ca="1">IF(Table1[[#This Row],[County]]="South Yorkshire",Table1[[#This Row],[income]],0)</f>
        <v>0</v>
      </c>
      <c r="BP422" s="20">
        <f ca="1">IF(Table1[[#This Row],[County]]="Greater London",Table1[[#This Row],[income]],0)</f>
        <v>0</v>
      </c>
      <c r="BQ422" s="20">
        <f ca="1">IF(Table1[[#This Row],[County]]="Hampshire",Table1[[#This Row],[income]],0)</f>
        <v>0</v>
      </c>
      <c r="BR422" s="20">
        <f ca="1">IF(Table1[[#This Row],[County]]="Gloucestershire",Table1[[#This Row],[income]],0)</f>
        <v>0</v>
      </c>
      <c r="BS422" s="20">
        <f ca="1">IF(Table1[[#This Row],[County]]="West Sussex",Table1[[#This Row],[income]],0)</f>
        <v>0</v>
      </c>
      <c r="BT422" s="20">
        <f ca="1">IF(Table1[[#This Row],[County]]="Devon",Table1[[#This Row],[income]],0)</f>
        <v>0</v>
      </c>
      <c r="BU422" s="20">
        <f ca="1">IF(Table1[[#This Row],[County]]="Berkshire",Table1[[#This Row],[income]],0)</f>
        <v>0</v>
      </c>
      <c r="BV422" s="20">
        <f ca="1">IF(Table1[[#This Row],[County]]="Staffordshire",Table1[[#This Row],[income]],0)</f>
        <v>0</v>
      </c>
      <c r="BW422" s="20">
        <f ca="1">IF(Table1[[#This Row],[County]]="Leicestershire",Table1[[#This Row],[income]],0)</f>
        <v>0</v>
      </c>
      <c r="BX422" s="20">
        <f ca="1">IF(Table1[[#This Row],[County]]="Cornwall",Table1[[#This Row],[income]],0)</f>
        <v>0</v>
      </c>
      <c r="BY422" s="20">
        <f ca="1">IF(Table1[[#This Row],[County]]="Isle of Wight",Table1[[#This Row],[income]],0)</f>
        <v>0</v>
      </c>
      <c r="BZ422" s="20">
        <f ca="1">IF(Table1[[#This Row],[County]]="Surrey",Table1[[#This Row],[income]],0)</f>
        <v>0</v>
      </c>
      <c r="CA422" s="20">
        <f ca="1">IF(Table1[[#This Row],[County]]="Derbyshire",Table1[[#This Row],[income]],0)</f>
        <v>0</v>
      </c>
      <c r="CB422" s="20">
        <f ca="1">IF(Table1[[#This Row],[County]]="City of London",Table1[[#This Row],[income]],0)</f>
        <v>0</v>
      </c>
      <c r="CC422" s="20">
        <f ca="1">IF(Table1[[#This Row],[County]]="Bedfordshire",Table1[[#This Row],[income]],0)</f>
        <v>0</v>
      </c>
      <c r="CD422" s="20">
        <f ca="1">IF(Table1[[#This Row],[County]]="County Durham",Table1[[#This Row],[income]],0)</f>
        <v>0</v>
      </c>
      <c r="CE422" s="20">
        <f ca="1">IF(Table1[[#This Row],[County]]="East Riding of Yorkshire",Table1[[#This Row],[income]],0)</f>
        <v>0</v>
      </c>
      <c r="CF422" s="20">
        <f ca="1">IF(Table1[[#This Row],[County]]="West Yorkshire",Table1[[#This Row],[income]],0)</f>
        <v>0</v>
      </c>
      <c r="CG422" s="20">
        <f ca="1">IF(Table1[[#This Row],[County]]="Essex",Table1[[#This Row],[income]],0)</f>
        <v>0</v>
      </c>
      <c r="CH422" s="20">
        <f ca="1">IF(Table1[[#This Row],[County]]="East Sussex",Table1[[#This Row],[income]],0)</f>
        <v>0</v>
      </c>
      <c r="CI422" s="20">
        <f ca="1">IF(Table1[[#This Row],[County]]="Greater Manchester",Table1[[#This Row],[income]],0)</f>
        <v>0</v>
      </c>
      <c r="CJ422" s="20">
        <f ca="1">IF(Table1[[#This Row],[County]]="Hertfordshire",Table1[[#This Row],[income]],0)</f>
        <v>0</v>
      </c>
      <c r="CK422" s="20">
        <f ca="1">IF(Table1[[#This Row],[County]]="Herefordshire",Table1[[#This Row],[income]],0)</f>
        <v>0</v>
      </c>
      <c r="CL422" s="20">
        <f ca="1">IF(Table1[[#This Row],[County]]="Lancashire",Table1[[#This Row],[income]],0)</f>
        <v>0</v>
      </c>
      <c r="CM422" s="20">
        <f ca="1">IF(Table1[[#This Row],[County]]="Merseyside",Table1[[#This Row],[income]],0)</f>
        <v>0</v>
      </c>
      <c r="CN422" s="20">
        <f ca="1">IF(Table1[[#This Row],[County]]="Northamptonshire",Table1[[#This Row],[income]],0)</f>
        <v>0</v>
      </c>
      <c r="CO422" s="20">
        <f ca="1">IF(Table1[[#This Row],[County]]="Northumberland",Table1[[#This Row],[income]],0)</f>
        <v>0</v>
      </c>
      <c r="CP422" s="20">
        <f ca="1">IF(Table1[[#This Row],[County]]="Wiltshire",Table1[[#This Row],[income]],0)</f>
        <v>0</v>
      </c>
      <c r="CQ422" s="20">
        <f ca="1">IF(Table1[[#This Row],[County]]="West Midlands",Table1[[#This Row],[income]],0)</f>
        <v>0</v>
      </c>
      <c r="CR422" s="20">
        <f ca="1">IF(Table1[[#This Row],[County]]="Warwickshire",Table1[[#This Row],[income]],0)</f>
        <v>0</v>
      </c>
      <c r="CS422" s="20">
        <f ca="1">IF(Table1[[#This Row],[County]]="Tyne and Wear",Table1[[#This Row],[income]],0)</f>
        <v>0</v>
      </c>
      <c r="CT422" s="20">
        <f ca="1">IF(Table1[[#This Row],[County]]="Worcestershire",Table1[[#This Row],[income]],0)</f>
        <v>0</v>
      </c>
      <c r="CU422" s="20">
        <f ca="1">IF(Table1[[#This Row],[County]]="Rutland",Table1[[#This Row],[income]],0)</f>
        <v>91733</v>
      </c>
      <c r="CV422" s="20">
        <f ca="1">IF(Table1[[#This Row],[County]]="Shropshire",Table1[[#This Row],[income]],0)</f>
        <v>0</v>
      </c>
      <c r="CW422" s="20">
        <f ca="1">IF(Table1[[#This Row],[County]]="Dorset",Table1[[#This Row],[income]],0)</f>
        <v>0</v>
      </c>
      <c r="CX422" s="20">
        <f ca="1">IF(Table1[[#This Row],[County]]="Buckinghamshire",Table1[[#This Row],[income]],0)</f>
        <v>0</v>
      </c>
      <c r="CY422" s="20">
        <f ca="1">IF(Table1[[#This Row],[County]]="Suffolk",Table1[[#This Row],[income]],0)</f>
        <v>0</v>
      </c>
      <c r="CZ422" s="20">
        <f ca="1">IF(Table1[[#This Row],[County]]="North Yorkshire",Table1[[#This Row],[income]],0)</f>
        <v>0</v>
      </c>
      <c r="DA422" s="20">
        <f ca="1">IF(Table1[[#This Row],[County]]="Kent",Table1[[#This Row],[income]],0)</f>
        <v>0</v>
      </c>
      <c r="DB422" s="5">
        <f ca="1">IF(Table1[[#This Row],[County]]="Derbyshire",Table1[[#This Row],[income]],0)</f>
        <v>0</v>
      </c>
      <c r="DD422" s="6">
        <f ca="1">IF(Table1[[#This Row],[Column1]]="Health",Table1[[#This Row],[income]],0)</f>
        <v>0</v>
      </c>
      <c r="DE422" s="20">
        <f ca="1">IF(Table1[[#This Row],[Column1]]="Agriculture",Table1[[#This Row],[income]],0)</f>
        <v>0</v>
      </c>
      <c r="DF422" s="20">
        <f ca="1">IF(Table1[[#This Row],[Column1]]="Technology",Table1[[#This Row],[income]],0)</f>
        <v>0</v>
      </c>
      <c r="DG422" s="20">
        <f ca="1">IF(Table1[[#This Row],[Column1]]="Social Service",Table1[[#This Row],[income]],0)</f>
        <v>0</v>
      </c>
      <c r="DH422" s="20">
        <f ca="1">IF(Table1[[#This Row],[Column1]]="Education",Table1[[#This Row],[income]],0)</f>
        <v>91733</v>
      </c>
      <c r="DI422" s="5">
        <f ca="1">IF(Table1[[#This Row],[Column1]]="Construction",Table1[[#This Row],[income]],0)</f>
        <v>0</v>
      </c>
      <c r="DK422" s="6">
        <f ca="1">IF(Table1[[#This Row],[Value of Debts]]&gt;Table1[[#This Row],[income]],1,0)</f>
        <v>1</v>
      </c>
      <c r="DL422" s="20"/>
      <c r="DM422" s="20"/>
      <c r="DN422" s="5"/>
      <c r="DP422" s="6">
        <f ca="1">IF(Table1[[#This Row],[Net Worth (£)]]&gt;$DS$5,C422,0)</f>
        <v>0</v>
      </c>
      <c r="DQ422" s="20"/>
      <c r="DR422" s="20"/>
      <c r="DS422" s="5"/>
    </row>
    <row r="423" spans="1:123" x14ac:dyDescent="0.2">
      <c r="A423">
        <f t="shared" ca="1" si="19"/>
        <v>2</v>
      </c>
      <c r="B423" s="1" t="str">
        <f ca="1">IF(A423=1, "men", "women")</f>
        <v>women</v>
      </c>
      <c r="C423" s="1">
        <f ca="1">RANDBETWEEN(25,50)</f>
        <v>47</v>
      </c>
      <c r="D423">
        <f ca="1">RANDBETWEEN(1,6)</f>
        <v>2</v>
      </c>
      <c r="E423" t="str">
        <f ca="1">VLOOKUP(D423,$W$5:$X$10,2)</f>
        <v>Construction</v>
      </c>
      <c r="F423">
        <f ca="1">RANDBETWEEN(1,5)</f>
        <v>2</v>
      </c>
      <c r="G423" t="str">
        <f ca="1">VLOOKUP(F423,$Y$5:$Z$9,2)</f>
        <v>College</v>
      </c>
      <c r="H423">
        <f ca="1">RANDBETWEEN(0,4)</f>
        <v>3</v>
      </c>
      <c r="I423">
        <f ca="1">RANDBETWEEN(1,3)</f>
        <v>3</v>
      </c>
      <c r="J423">
        <f ca="1">RANDBETWEEN(30000,100000)</f>
        <v>61084</v>
      </c>
      <c r="K423">
        <f ca="1">RANDBETWEEN(1,48)</f>
        <v>31</v>
      </c>
      <c r="L423" t="str">
        <f ca="1">VLOOKUP(K423,$AA$5:$AB$52,2)</f>
        <v>Northamptonshire</v>
      </c>
      <c r="M423">
        <f ca="1">J423*(RANDBETWEEN(2,5))</f>
        <v>183252</v>
      </c>
      <c r="N423">
        <f ca="1">RAND()*M423</f>
        <v>8068.1047910707657</v>
      </c>
      <c r="O423">
        <f ca="1">I423*RAND()*J423</f>
        <v>99283.954089234438</v>
      </c>
      <c r="P423">
        <f ca="1">RANDBETWEEN(0,O423)</f>
        <v>31874</v>
      </c>
      <c r="Q423">
        <f ca="1">RAND()*J423*2</f>
        <v>2288.3084530510446</v>
      </c>
      <c r="R423">
        <f ca="1">RAND()*J423*1.5</f>
        <v>74111.235853100385</v>
      </c>
      <c r="S423">
        <f ca="1">J423+R423+O423</f>
        <v>234479.18994233481</v>
      </c>
      <c r="T423">
        <f ca="1">N423+P423+Q423</f>
        <v>42230.41324412181</v>
      </c>
      <c r="U423">
        <f ca="1">S423-T423</f>
        <v>192248.77669821301</v>
      </c>
      <c r="AC423" s="6">
        <f ca="1">IF(Table1[[#This Row],[gender]]="men",1,0)</f>
        <v>0</v>
      </c>
      <c r="AD423">
        <f ca="1">IF(Table1[[#This Row],[gender]]="women",1,0)</f>
        <v>1</v>
      </c>
      <c r="AH423" s="5"/>
      <c r="AJ423" s="6">
        <f ca="1">IF(Table1[[#This Row],[Column1]]="Health",1,0)</f>
        <v>0</v>
      </c>
      <c r="AK423">
        <f ca="1">IF(Table1[[#This Row],[Column1]]="Construction",1,0)</f>
        <v>1</v>
      </c>
      <c r="AL423">
        <f ca="1">IF(Table1[[#This Row],[Column1]]="Technology",1,0)</f>
        <v>0</v>
      </c>
      <c r="AM423">
        <f ca="1">IF(Table1[[#This Row],[Column1]]="Education",1,0)</f>
        <v>0</v>
      </c>
      <c r="AN423">
        <f ca="1">IF(Table1[[#This Row],[Column1]]="Agriculture",1,0)</f>
        <v>0</v>
      </c>
      <c r="AO423">
        <f ca="1">IF(Table1[[#This Row],[Column1]]="Social Service", 1, 0)</f>
        <v>0</v>
      </c>
      <c r="AT423" s="5"/>
      <c r="AV423" s="17">
        <f t="shared" ca="1" si="18"/>
        <v>7023.3602772721379</v>
      </c>
      <c r="AW423" s="5"/>
      <c r="AX423" s="6">
        <f ca="1">IF(Table1[[#This Row],[Value of Debts]]&gt;$AY$4,1,0)</f>
        <v>0</v>
      </c>
      <c r="AY423" s="20"/>
      <c r="AZ423" s="20"/>
      <c r="BA423" s="5"/>
      <c r="BB423" s="25">
        <f ca="1">Table1[[#This Row],[Mortage Left]]/Table1[[#This Row],[Value of House]]</f>
        <v>4.4027376460124668E-2</v>
      </c>
      <c r="BC423" s="20">
        <f t="shared" ca="1" si="20"/>
        <v>1</v>
      </c>
      <c r="BD423" s="20"/>
      <c r="BE423" s="20"/>
      <c r="BF423" s="20"/>
      <c r="BG423" s="6">
        <f ca="1">IF(Table1[[#This Row],[County]]="Cumbria",Table1[[#This Row],[income]],0)</f>
        <v>0</v>
      </c>
      <c r="BH423" s="20">
        <f ca="1">IF(Table1[[#This Row],[County]]="Cheshire",Table1[[#This Row],[income]],0)</f>
        <v>0</v>
      </c>
      <c r="BI423" s="20">
        <f ca="1">IF(Table1[[#This Row],[County]]="Bristol",Table1[[#This Row],[income]],0)</f>
        <v>0</v>
      </c>
      <c r="BJ423" s="20">
        <f ca="1">IF(Table1[[#This Row],[County]]="Surrey",Table1[[#This Row],[income]],0)</f>
        <v>0</v>
      </c>
      <c r="BK423" s="20">
        <f ca="1">IF(Table1[[#This Row],[County]]="Norfolk",Table1[[#This Row],[income]],0)</f>
        <v>0</v>
      </c>
      <c r="BL423" s="20">
        <f ca="1">IF(Table1[[#This Row],[County]]="Lincolnshire",Table1[[#This Row],[income]],0)</f>
        <v>0</v>
      </c>
      <c r="BM423" s="20">
        <f ca="1">IF(Table1[[#This Row],[County]]="Somerset",Table1[[#This Row],[income]],0)</f>
        <v>0</v>
      </c>
      <c r="BN423" s="20">
        <f ca="1">IF(Table1[[#This Row],[County]]="Cambridgeshire",Table1[[#This Row],[income]],0)</f>
        <v>0</v>
      </c>
      <c r="BO423" s="20">
        <f ca="1">IF(Table1[[#This Row],[County]]="South Yorkshire",Table1[[#This Row],[income]],0)</f>
        <v>0</v>
      </c>
      <c r="BP423" s="20">
        <f ca="1">IF(Table1[[#This Row],[County]]="Greater London",Table1[[#This Row],[income]],0)</f>
        <v>0</v>
      </c>
      <c r="BQ423" s="20">
        <f ca="1">IF(Table1[[#This Row],[County]]="Hampshire",Table1[[#This Row],[income]],0)</f>
        <v>0</v>
      </c>
      <c r="BR423" s="20">
        <f ca="1">IF(Table1[[#This Row],[County]]="Gloucestershire",Table1[[#This Row],[income]],0)</f>
        <v>0</v>
      </c>
      <c r="BS423" s="20">
        <f ca="1">IF(Table1[[#This Row],[County]]="West Sussex",Table1[[#This Row],[income]],0)</f>
        <v>0</v>
      </c>
      <c r="BT423" s="20">
        <f ca="1">IF(Table1[[#This Row],[County]]="Devon",Table1[[#This Row],[income]],0)</f>
        <v>0</v>
      </c>
      <c r="BU423" s="20">
        <f ca="1">IF(Table1[[#This Row],[County]]="Berkshire",Table1[[#This Row],[income]],0)</f>
        <v>0</v>
      </c>
      <c r="BV423" s="20">
        <f ca="1">IF(Table1[[#This Row],[County]]="Staffordshire",Table1[[#This Row],[income]],0)</f>
        <v>0</v>
      </c>
      <c r="BW423" s="20">
        <f ca="1">IF(Table1[[#This Row],[County]]="Leicestershire",Table1[[#This Row],[income]],0)</f>
        <v>0</v>
      </c>
      <c r="BX423" s="20">
        <f ca="1">IF(Table1[[#This Row],[County]]="Cornwall",Table1[[#This Row],[income]],0)</f>
        <v>0</v>
      </c>
      <c r="BY423" s="20">
        <f ca="1">IF(Table1[[#This Row],[County]]="Isle of Wight",Table1[[#This Row],[income]],0)</f>
        <v>0</v>
      </c>
      <c r="BZ423" s="20">
        <f ca="1">IF(Table1[[#This Row],[County]]="Surrey",Table1[[#This Row],[income]],0)</f>
        <v>0</v>
      </c>
      <c r="CA423" s="20">
        <f ca="1">IF(Table1[[#This Row],[County]]="Derbyshire",Table1[[#This Row],[income]],0)</f>
        <v>0</v>
      </c>
      <c r="CB423" s="20">
        <f ca="1">IF(Table1[[#This Row],[County]]="City of London",Table1[[#This Row],[income]],0)</f>
        <v>0</v>
      </c>
      <c r="CC423" s="20">
        <f ca="1">IF(Table1[[#This Row],[County]]="Bedfordshire",Table1[[#This Row],[income]],0)</f>
        <v>0</v>
      </c>
      <c r="CD423" s="20">
        <f ca="1">IF(Table1[[#This Row],[County]]="County Durham",Table1[[#This Row],[income]],0)</f>
        <v>0</v>
      </c>
      <c r="CE423" s="20">
        <f ca="1">IF(Table1[[#This Row],[County]]="East Riding of Yorkshire",Table1[[#This Row],[income]],0)</f>
        <v>0</v>
      </c>
      <c r="CF423" s="20">
        <f ca="1">IF(Table1[[#This Row],[County]]="West Yorkshire",Table1[[#This Row],[income]],0)</f>
        <v>0</v>
      </c>
      <c r="CG423" s="20">
        <f ca="1">IF(Table1[[#This Row],[County]]="Essex",Table1[[#This Row],[income]],0)</f>
        <v>0</v>
      </c>
      <c r="CH423" s="20">
        <f ca="1">IF(Table1[[#This Row],[County]]="East Sussex",Table1[[#This Row],[income]],0)</f>
        <v>0</v>
      </c>
      <c r="CI423" s="20">
        <f ca="1">IF(Table1[[#This Row],[County]]="Greater Manchester",Table1[[#This Row],[income]],0)</f>
        <v>0</v>
      </c>
      <c r="CJ423" s="20">
        <f ca="1">IF(Table1[[#This Row],[County]]="Hertfordshire",Table1[[#This Row],[income]],0)</f>
        <v>0</v>
      </c>
      <c r="CK423" s="20">
        <f ca="1">IF(Table1[[#This Row],[County]]="Herefordshire",Table1[[#This Row],[income]],0)</f>
        <v>0</v>
      </c>
      <c r="CL423" s="20">
        <f ca="1">IF(Table1[[#This Row],[County]]="Lancashire",Table1[[#This Row],[income]],0)</f>
        <v>0</v>
      </c>
      <c r="CM423" s="20">
        <f ca="1">IF(Table1[[#This Row],[County]]="Merseyside",Table1[[#This Row],[income]],0)</f>
        <v>0</v>
      </c>
      <c r="CN423" s="20">
        <f ca="1">IF(Table1[[#This Row],[County]]="Northamptonshire",Table1[[#This Row],[income]],0)</f>
        <v>61084</v>
      </c>
      <c r="CO423" s="20">
        <f ca="1">IF(Table1[[#This Row],[County]]="Northumberland",Table1[[#This Row],[income]],0)</f>
        <v>0</v>
      </c>
      <c r="CP423" s="20">
        <f ca="1">IF(Table1[[#This Row],[County]]="Wiltshire",Table1[[#This Row],[income]],0)</f>
        <v>0</v>
      </c>
      <c r="CQ423" s="20">
        <f ca="1">IF(Table1[[#This Row],[County]]="West Midlands",Table1[[#This Row],[income]],0)</f>
        <v>0</v>
      </c>
      <c r="CR423" s="20">
        <f ca="1">IF(Table1[[#This Row],[County]]="Warwickshire",Table1[[#This Row],[income]],0)</f>
        <v>0</v>
      </c>
      <c r="CS423" s="20">
        <f ca="1">IF(Table1[[#This Row],[County]]="Tyne and Wear",Table1[[#This Row],[income]],0)</f>
        <v>0</v>
      </c>
      <c r="CT423" s="20">
        <f ca="1">IF(Table1[[#This Row],[County]]="Worcestershire",Table1[[#This Row],[income]],0)</f>
        <v>0</v>
      </c>
      <c r="CU423" s="20">
        <f ca="1">IF(Table1[[#This Row],[County]]="Rutland",Table1[[#This Row],[income]],0)</f>
        <v>0</v>
      </c>
      <c r="CV423" s="20">
        <f ca="1">IF(Table1[[#This Row],[County]]="Shropshire",Table1[[#This Row],[income]],0)</f>
        <v>0</v>
      </c>
      <c r="CW423" s="20">
        <f ca="1">IF(Table1[[#This Row],[County]]="Dorset",Table1[[#This Row],[income]],0)</f>
        <v>0</v>
      </c>
      <c r="CX423" s="20">
        <f ca="1">IF(Table1[[#This Row],[County]]="Buckinghamshire",Table1[[#This Row],[income]],0)</f>
        <v>0</v>
      </c>
      <c r="CY423" s="20">
        <f ca="1">IF(Table1[[#This Row],[County]]="Suffolk",Table1[[#This Row],[income]],0)</f>
        <v>0</v>
      </c>
      <c r="CZ423" s="20">
        <f ca="1">IF(Table1[[#This Row],[County]]="North Yorkshire",Table1[[#This Row],[income]],0)</f>
        <v>0</v>
      </c>
      <c r="DA423" s="20">
        <f ca="1">IF(Table1[[#This Row],[County]]="Kent",Table1[[#This Row],[income]],0)</f>
        <v>0</v>
      </c>
      <c r="DB423" s="5">
        <f ca="1">IF(Table1[[#This Row],[County]]="Derbyshire",Table1[[#This Row],[income]],0)</f>
        <v>0</v>
      </c>
      <c r="DD423" s="6">
        <f ca="1">IF(Table1[[#This Row],[Column1]]="Health",Table1[[#This Row],[income]],0)</f>
        <v>0</v>
      </c>
      <c r="DE423" s="20">
        <f ca="1">IF(Table1[[#This Row],[Column1]]="Agriculture",Table1[[#This Row],[income]],0)</f>
        <v>0</v>
      </c>
      <c r="DF423" s="20">
        <f ca="1">IF(Table1[[#This Row],[Column1]]="Technology",Table1[[#This Row],[income]],0)</f>
        <v>0</v>
      </c>
      <c r="DG423" s="20">
        <f ca="1">IF(Table1[[#This Row],[Column1]]="Social Service",Table1[[#This Row],[income]],0)</f>
        <v>0</v>
      </c>
      <c r="DH423" s="20">
        <f ca="1">IF(Table1[[#This Row],[Column1]]="Education",Table1[[#This Row],[income]],0)</f>
        <v>0</v>
      </c>
      <c r="DI423" s="5">
        <f ca="1">IF(Table1[[#This Row],[Column1]]="Construction",Table1[[#This Row],[income]],0)</f>
        <v>61084</v>
      </c>
      <c r="DK423" s="6">
        <f ca="1">IF(Table1[[#This Row],[Value of Debts]]&gt;Table1[[#This Row],[income]],1,0)</f>
        <v>0</v>
      </c>
      <c r="DL423" s="20"/>
      <c r="DM423" s="20"/>
      <c r="DN423" s="5"/>
      <c r="DP423" s="6">
        <f ca="1">IF(Table1[[#This Row],[Net Worth (£)]]&gt;$DS$5,C423,0)</f>
        <v>47</v>
      </c>
      <c r="DQ423" s="20"/>
      <c r="DR423" s="20"/>
      <c r="DS423" s="5"/>
    </row>
    <row r="424" spans="1:123" hidden="1" x14ac:dyDescent="0.2">
      <c r="A424">
        <f t="shared" ca="1" si="19"/>
        <v>1</v>
      </c>
      <c r="B424" s="1" t="str">
        <f ca="1">IF(A424=1, "men", "women")</f>
        <v>men</v>
      </c>
      <c r="C424" s="1">
        <f ca="1">RANDBETWEEN(25,50)</f>
        <v>50</v>
      </c>
      <c r="D424">
        <f ca="1">RANDBETWEEN(1,6)</f>
        <v>6</v>
      </c>
      <c r="E424" t="str">
        <f ca="1">VLOOKUP(D424,$W$5:$X$10,2)</f>
        <v>Agriculture</v>
      </c>
      <c r="F424">
        <f ca="1">RANDBETWEEN(1,5)</f>
        <v>1</v>
      </c>
      <c r="G424" t="str">
        <f ca="1">VLOOKUP(F424,$Y$5:$Z$9,2)</f>
        <v>High School</v>
      </c>
      <c r="H424">
        <f ca="1">RANDBETWEEN(0,4)</f>
        <v>0</v>
      </c>
      <c r="I424">
        <f ca="1">RANDBETWEEN(1,3)</f>
        <v>3</v>
      </c>
      <c r="J424">
        <f ca="1">RANDBETWEEN(30000,100000)</f>
        <v>79839</v>
      </c>
      <c r="K424">
        <f ca="1">RANDBETWEEN(1,48)</f>
        <v>25</v>
      </c>
      <c r="L424" t="str">
        <f ca="1">VLOOKUP(K424,$AA$5:$AB$52,2)</f>
        <v>Lancashire</v>
      </c>
      <c r="M424">
        <f ca="1">J424*(RANDBETWEEN(2,5))</f>
        <v>319356</v>
      </c>
      <c r="N424">
        <f ca="1">RAND()*M424</f>
        <v>237395.10672910634</v>
      </c>
      <c r="O424">
        <f ca="1">I424*RAND()*J424</f>
        <v>21070.080831816413</v>
      </c>
      <c r="P424">
        <f ca="1">RANDBETWEEN(0,O424)</f>
        <v>5521</v>
      </c>
      <c r="Q424">
        <f ca="1">RAND()*J424*2</f>
        <v>138568.77387243966</v>
      </c>
      <c r="R424">
        <f ca="1">RAND()*J424*1.5</f>
        <v>963.13578511656647</v>
      </c>
      <c r="S424">
        <f ca="1">J424+R424+O424</f>
        <v>101872.21661693297</v>
      </c>
      <c r="T424">
        <f ca="1">N424+P424+Q424</f>
        <v>381484.88060154603</v>
      </c>
      <c r="U424">
        <f ca="1">S424-T424</f>
        <v>-279612.66398461303</v>
      </c>
      <c r="AC424" s="6">
        <f ca="1">IF(Table1[[#This Row],[gender]]="men",1,0)</f>
        <v>1</v>
      </c>
      <c r="AD424">
        <f ca="1">IF(Table1[[#This Row],[gender]]="women",1,0)</f>
        <v>0</v>
      </c>
      <c r="AH424" s="5"/>
      <c r="AJ424" s="6">
        <f ca="1">IF(Table1[[#This Row],[Column1]]="Health",1,0)</f>
        <v>0</v>
      </c>
      <c r="AK424">
        <f ca="1">IF(Table1[[#This Row],[Column1]]="Construction",1,0)</f>
        <v>0</v>
      </c>
      <c r="AL424">
        <f ca="1">IF(Table1[[#This Row],[Column1]]="Technology",1,0)</f>
        <v>0</v>
      </c>
      <c r="AM424">
        <f ca="1">IF(Table1[[#This Row],[Column1]]="Education",1,0)</f>
        <v>0</v>
      </c>
      <c r="AN424">
        <f ca="1">IF(Table1[[#This Row],[Column1]]="Agriculture",1,0)</f>
        <v>1</v>
      </c>
      <c r="AO424">
        <f ca="1">IF(Table1[[#This Row],[Column1]]="Social Service", 1, 0)</f>
        <v>0</v>
      </c>
      <c r="AT424" s="5"/>
      <c r="AV424" s="17">
        <f t="shared" ca="1" si="18"/>
        <v>28470.658957681851</v>
      </c>
      <c r="AW424" s="5"/>
      <c r="AX424" s="6">
        <f ca="1">IF(Table1[[#This Row],[Value of Debts]]&gt;$AY$4,1,0)</f>
        <v>1</v>
      </c>
      <c r="AY424" s="20"/>
      <c r="AZ424" s="20"/>
      <c r="BA424" s="5"/>
      <c r="BB424" s="25">
        <f ca="1">Table1[[#This Row],[Mortage Left]]/Table1[[#This Row],[Value of House]]</f>
        <v>0.74335571189865335</v>
      </c>
      <c r="BC424" s="20">
        <f t="shared" ca="1" si="20"/>
        <v>0</v>
      </c>
      <c r="BD424" s="20"/>
      <c r="BE424" s="20"/>
      <c r="BF424" s="20"/>
      <c r="BG424" s="6">
        <f ca="1">IF(Table1[[#This Row],[County]]="Cumbria",Table1[[#This Row],[income]],0)</f>
        <v>0</v>
      </c>
      <c r="BH424" s="20">
        <f ca="1">IF(Table1[[#This Row],[County]]="Cheshire",Table1[[#This Row],[income]],0)</f>
        <v>0</v>
      </c>
      <c r="BI424" s="20">
        <f ca="1">IF(Table1[[#This Row],[County]]="Bristol",Table1[[#This Row],[income]],0)</f>
        <v>0</v>
      </c>
      <c r="BJ424" s="20">
        <f ca="1">IF(Table1[[#This Row],[County]]="Surrey",Table1[[#This Row],[income]],0)</f>
        <v>0</v>
      </c>
      <c r="BK424" s="20">
        <f ca="1">IF(Table1[[#This Row],[County]]="Norfolk",Table1[[#This Row],[income]],0)</f>
        <v>0</v>
      </c>
      <c r="BL424" s="20">
        <f ca="1">IF(Table1[[#This Row],[County]]="Lincolnshire",Table1[[#This Row],[income]],0)</f>
        <v>0</v>
      </c>
      <c r="BM424" s="20">
        <f ca="1">IF(Table1[[#This Row],[County]]="Somerset",Table1[[#This Row],[income]],0)</f>
        <v>0</v>
      </c>
      <c r="BN424" s="20">
        <f ca="1">IF(Table1[[#This Row],[County]]="Cambridgeshire",Table1[[#This Row],[income]],0)</f>
        <v>0</v>
      </c>
      <c r="BO424" s="20">
        <f ca="1">IF(Table1[[#This Row],[County]]="South Yorkshire",Table1[[#This Row],[income]],0)</f>
        <v>0</v>
      </c>
      <c r="BP424" s="20">
        <f ca="1">IF(Table1[[#This Row],[County]]="Greater London",Table1[[#This Row],[income]],0)</f>
        <v>0</v>
      </c>
      <c r="BQ424" s="20">
        <f ca="1">IF(Table1[[#This Row],[County]]="Hampshire",Table1[[#This Row],[income]],0)</f>
        <v>0</v>
      </c>
      <c r="BR424" s="20">
        <f ca="1">IF(Table1[[#This Row],[County]]="Gloucestershire",Table1[[#This Row],[income]],0)</f>
        <v>0</v>
      </c>
      <c r="BS424" s="20">
        <f ca="1">IF(Table1[[#This Row],[County]]="West Sussex",Table1[[#This Row],[income]],0)</f>
        <v>0</v>
      </c>
      <c r="BT424" s="20">
        <f ca="1">IF(Table1[[#This Row],[County]]="Devon",Table1[[#This Row],[income]],0)</f>
        <v>0</v>
      </c>
      <c r="BU424" s="20">
        <f ca="1">IF(Table1[[#This Row],[County]]="Berkshire",Table1[[#This Row],[income]],0)</f>
        <v>0</v>
      </c>
      <c r="BV424" s="20">
        <f ca="1">IF(Table1[[#This Row],[County]]="Staffordshire",Table1[[#This Row],[income]],0)</f>
        <v>0</v>
      </c>
      <c r="BW424" s="20">
        <f ca="1">IF(Table1[[#This Row],[County]]="Leicestershire",Table1[[#This Row],[income]],0)</f>
        <v>0</v>
      </c>
      <c r="BX424" s="20">
        <f ca="1">IF(Table1[[#This Row],[County]]="Cornwall",Table1[[#This Row],[income]],0)</f>
        <v>0</v>
      </c>
      <c r="BY424" s="20">
        <f ca="1">IF(Table1[[#This Row],[County]]="Isle of Wight",Table1[[#This Row],[income]],0)</f>
        <v>0</v>
      </c>
      <c r="BZ424" s="20">
        <f ca="1">IF(Table1[[#This Row],[County]]="Surrey",Table1[[#This Row],[income]],0)</f>
        <v>0</v>
      </c>
      <c r="CA424" s="20">
        <f ca="1">IF(Table1[[#This Row],[County]]="Derbyshire",Table1[[#This Row],[income]],0)</f>
        <v>0</v>
      </c>
      <c r="CB424" s="20">
        <f ca="1">IF(Table1[[#This Row],[County]]="City of London",Table1[[#This Row],[income]],0)</f>
        <v>0</v>
      </c>
      <c r="CC424" s="20">
        <f ca="1">IF(Table1[[#This Row],[County]]="Bedfordshire",Table1[[#This Row],[income]],0)</f>
        <v>0</v>
      </c>
      <c r="CD424" s="20">
        <f ca="1">IF(Table1[[#This Row],[County]]="County Durham",Table1[[#This Row],[income]],0)</f>
        <v>0</v>
      </c>
      <c r="CE424" s="20">
        <f ca="1">IF(Table1[[#This Row],[County]]="East Riding of Yorkshire",Table1[[#This Row],[income]],0)</f>
        <v>0</v>
      </c>
      <c r="CF424" s="20">
        <f ca="1">IF(Table1[[#This Row],[County]]="West Yorkshire",Table1[[#This Row],[income]],0)</f>
        <v>0</v>
      </c>
      <c r="CG424" s="20">
        <f ca="1">IF(Table1[[#This Row],[County]]="Essex",Table1[[#This Row],[income]],0)</f>
        <v>0</v>
      </c>
      <c r="CH424" s="20">
        <f ca="1">IF(Table1[[#This Row],[County]]="East Sussex",Table1[[#This Row],[income]],0)</f>
        <v>0</v>
      </c>
      <c r="CI424" s="20">
        <f ca="1">IF(Table1[[#This Row],[County]]="Greater Manchester",Table1[[#This Row],[income]],0)</f>
        <v>0</v>
      </c>
      <c r="CJ424" s="20">
        <f ca="1">IF(Table1[[#This Row],[County]]="Hertfordshire",Table1[[#This Row],[income]],0)</f>
        <v>0</v>
      </c>
      <c r="CK424" s="20">
        <f ca="1">IF(Table1[[#This Row],[County]]="Herefordshire",Table1[[#This Row],[income]],0)</f>
        <v>0</v>
      </c>
      <c r="CL424" s="20">
        <f ca="1">IF(Table1[[#This Row],[County]]="Lancashire",Table1[[#This Row],[income]],0)</f>
        <v>79839</v>
      </c>
      <c r="CM424" s="20">
        <f ca="1">IF(Table1[[#This Row],[County]]="Merseyside",Table1[[#This Row],[income]],0)</f>
        <v>0</v>
      </c>
      <c r="CN424" s="20">
        <f ca="1">IF(Table1[[#This Row],[County]]="Northamptonshire",Table1[[#This Row],[income]],0)</f>
        <v>0</v>
      </c>
      <c r="CO424" s="20">
        <f ca="1">IF(Table1[[#This Row],[County]]="Northumberland",Table1[[#This Row],[income]],0)</f>
        <v>0</v>
      </c>
      <c r="CP424" s="20">
        <f ca="1">IF(Table1[[#This Row],[County]]="Wiltshire",Table1[[#This Row],[income]],0)</f>
        <v>0</v>
      </c>
      <c r="CQ424" s="20">
        <f ca="1">IF(Table1[[#This Row],[County]]="West Midlands",Table1[[#This Row],[income]],0)</f>
        <v>0</v>
      </c>
      <c r="CR424" s="20">
        <f ca="1">IF(Table1[[#This Row],[County]]="Warwickshire",Table1[[#This Row],[income]],0)</f>
        <v>0</v>
      </c>
      <c r="CS424" s="20">
        <f ca="1">IF(Table1[[#This Row],[County]]="Tyne and Wear",Table1[[#This Row],[income]],0)</f>
        <v>0</v>
      </c>
      <c r="CT424" s="20">
        <f ca="1">IF(Table1[[#This Row],[County]]="Worcestershire",Table1[[#This Row],[income]],0)</f>
        <v>0</v>
      </c>
      <c r="CU424" s="20">
        <f ca="1">IF(Table1[[#This Row],[County]]="Rutland",Table1[[#This Row],[income]],0)</f>
        <v>0</v>
      </c>
      <c r="CV424" s="20">
        <f ca="1">IF(Table1[[#This Row],[County]]="Shropshire",Table1[[#This Row],[income]],0)</f>
        <v>0</v>
      </c>
      <c r="CW424" s="20">
        <f ca="1">IF(Table1[[#This Row],[County]]="Dorset",Table1[[#This Row],[income]],0)</f>
        <v>0</v>
      </c>
      <c r="CX424" s="20">
        <f ca="1">IF(Table1[[#This Row],[County]]="Buckinghamshire",Table1[[#This Row],[income]],0)</f>
        <v>0</v>
      </c>
      <c r="CY424" s="20">
        <f ca="1">IF(Table1[[#This Row],[County]]="Suffolk",Table1[[#This Row],[income]],0)</f>
        <v>0</v>
      </c>
      <c r="CZ424" s="20">
        <f ca="1">IF(Table1[[#This Row],[County]]="North Yorkshire",Table1[[#This Row],[income]],0)</f>
        <v>0</v>
      </c>
      <c r="DA424" s="20">
        <f ca="1">IF(Table1[[#This Row],[County]]="Kent",Table1[[#This Row],[income]],0)</f>
        <v>0</v>
      </c>
      <c r="DB424" s="5">
        <f ca="1">IF(Table1[[#This Row],[County]]="Derbyshire",Table1[[#This Row],[income]],0)</f>
        <v>0</v>
      </c>
      <c r="DD424" s="6">
        <f ca="1">IF(Table1[[#This Row],[Column1]]="Health",Table1[[#This Row],[income]],0)</f>
        <v>0</v>
      </c>
      <c r="DE424" s="20">
        <f ca="1">IF(Table1[[#This Row],[Column1]]="Agriculture",Table1[[#This Row],[income]],0)</f>
        <v>79839</v>
      </c>
      <c r="DF424" s="20">
        <f ca="1">IF(Table1[[#This Row],[Column1]]="Technology",Table1[[#This Row],[income]],0)</f>
        <v>0</v>
      </c>
      <c r="DG424" s="20">
        <f ca="1">IF(Table1[[#This Row],[Column1]]="Social Service",Table1[[#This Row],[income]],0)</f>
        <v>0</v>
      </c>
      <c r="DH424" s="20">
        <f ca="1">IF(Table1[[#This Row],[Column1]]="Education",Table1[[#This Row],[income]],0)</f>
        <v>0</v>
      </c>
      <c r="DI424" s="5">
        <f ca="1">IF(Table1[[#This Row],[Column1]]="Construction",Table1[[#This Row],[income]],0)</f>
        <v>0</v>
      </c>
      <c r="DK424" s="6">
        <f ca="1">IF(Table1[[#This Row],[Value of Debts]]&gt;Table1[[#This Row],[income]],1,0)</f>
        <v>1</v>
      </c>
      <c r="DL424" s="20"/>
      <c r="DM424" s="20"/>
      <c r="DN424" s="5"/>
      <c r="DP424" s="6">
        <f ca="1">IF(Table1[[#This Row],[Net Worth (£)]]&gt;$DS$5,C424,0)</f>
        <v>0</v>
      </c>
      <c r="DQ424" s="20"/>
      <c r="DR424" s="20"/>
      <c r="DS424" s="5"/>
    </row>
    <row r="425" spans="1:123" x14ac:dyDescent="0.2">
      <c r="A425">
        <f t="shared" ca="1" si="19"/>
        <v>2</v>
      </c>
      <c r="B425" s="1" t="str">
        <f ca="1">IF(A425=1, "men", "women")</f>
        <v>women</v>
      </c>
      <c r="C425" s="1">
        <f ca="1">RANDBETWEEN(25,50)</f>
        <v>37</v>
      </c>
      <c r="D425">
        <f ca="1">RANDBETWEEN(1,6)</f>
        <v>4</v>
      </c>
      <c r="E425" t="str">
        <f ca="1">VLOOKUP(D425,$W$5:$X$10,2)</f>
        <v>Technology</v>
      </c>
      <c r="F425">
        <f ca="1">RANDBETWEEN(1,5)</f>
        <v>1</v>
      </c>
      <c r="G425" t="str">
        <f ca="1">VLOOKUP(F425,$Y$5:$Z$9,2)</f>
        <v>High School</v>
      </c>
      <c r="H425">
        <f ca="1">RANDBETWEEN(0,4)</f>
        <v>1</v>
      </c>
      <c r="I425">
        <f ca="1">RANDBETWEEN(1,3)</f>
        <v>2</v>
      </c>
      <c r="J425">
        <f ca="1">RANDBETWEEN(30000,100000)</f>
        <v>40919</v>
      </c>
      <c r="K425">
        <f ca="1">RANDBETWEEN(1,48)</f>
        <v>46</v>
      </c>
      <c r="L425" t="str">
        <f ca="1">VLOOKUP(K425,$AA$5:$AB$52,2)</f>
        <v>West Yorkshire</v>
      </c>
      <c r="M425">
        <f ca="1">J425*(RANDBETWEEN(2,5))</f>
        <v>122757</v>
      </c>
      <c r="N425">
        <f ca="1">RAND()*M425</f>
        <v>73423.652502949786</v>
      </c>
      <c r="O425">
        <f ca="1">I425*RAND()*J425</f>
        <v>56941.317915363703</v>
      </c>
      <c r="P425">
        <f ca="1">RANDBETWEEN(0,O425)</f>
        <v>45268</v>
      </c>
      <c r="Q425">
        <f ca="1">RAND()*J425*2</f>
        <v>28908.859737335672</v>
      </c>
      <c r="R425">
        <f ca="1">RAND()*J425*1.5</f>
        <v>51721.766425981303</v>
      </c>
      <c r="S425">
        <f ca="1">J425+R425+O425</f>
        <v>149582.08434134501</v>
      </c>
      <c r="T425">
        <f ca="1">N425+P425+Q425</f>
        <v>147600.51224028546</v>
      </c>
      <c r="U425">
        <f ca="1">S425-T425</f>
        <v>1981.5721010595444</v>
      </c>
      <c r="AC425" s="6">
        <f ca="1">IF(Table1[[#This Row],[gender]]="men",1,0)</f>
        <v>0</v>
      </c>
      <c r="AD425">
        <f ca="1">IF(Table1[[#This Row],[gender]]="women",1,0)</f>
        <v>1</v>
      </c>
      <c r="AH425" s="5"/>
      <c r="AJ425" s="6">
        <f ca="1">IF(Table1[[#This Row],[Column1]]="Health",1,0)</f>
        <v>0</v>
      </c>
      <c r="AK425">
        <f ca="1">IF(Table1[[#This Row],[Column1]]="Construction",1,0)</f>
        <v>0</v>
      </c>
      <c r="AL425">
        <f ca="1">IF(Table1[[#This Row],[Column1]]="Technology",1,0)</f>
        <v>1</v>
      </c>
      <c r="AM425">
        <f ca="1">IF(Table1[[#This Row],[Column1]]="Education",1,0)</f>
        <v>0</v>
      </c>
      <c r="AN425">
        <f ca="1">IF(Table1[[#This Row],[Column1]]="Agriculture",1,0)</f>
        <v>0</v>
      </c>
      <c r="AO425">
        <f ca="1">IF(Table1[[#This Row],[Column1]]="Social Service", 1, 0)</f>
        <v>0</v>
      </c>
      <c r="AT425" s="5"/>
      <c r="AV425" s="17">
        <f t="shared" ca="1" si="18"/>
        <v>31680.451535811681</v>
      </c>
      <c r="AW425" s="5"/>
      <c r="AX425" s="6">
        <f ca="1">IF(Table1[[#This Row],[Value of Debts]]&gt;$AY$4,1,0)</f>
        <v>1</v>
      </c>
      <c r="AY425" s="20"/>
      <c r="AZ425" s="20"/>
      <c r="BA425" s="5"/>
      <c r="BB425" s="25">
        <f ca="1">Table1[[#This Row],[Mortage Left]]/Table1[[#This Row],[Value of House]]</f>
        <v>0.59812191975162143</v>
      </c>
      <c r="BC425" s="20">
        <f t="shared" ca="1" si="20"/>
        <v>0</v>
      </c>
      <c r="BD425" s="20"/>
      <c r="BE425" s="20"/>
      <c r="BF425" s="20"/>
      <c r="BG425" s="6">
        <f ca="1">IF(Table1[[#This Row],[County]]="Cumbria",Table1[[#This Row],[income]],0)</f>
        <v>0</v>
      </c>
      <c r="BH425" s="20">
        <f ca="1">IF(Table1[[#This Row],[County]]="Cheshire",Table1[[#This Row],[income]],0)</f>
        <v>0</v>
      </c>
      <c r="BI425" s="20">
        <f ca="1">IF(Table1[[#This Row],[County]]="Bristol",Table1[[#This Row],[income]],0)</f>
        <v>0</v>
      </c>
      <c r="BJ425" s="20">
        <f ca="1">IF(Table1[[#This Row],[County]]="Surrey",Table1[[#This Row],[income]],0)</f>
        <v>0</v>
      </c>
      <c r="BK425" s="20">
        <f ca="1">IF(Table1[[#This Row],[County]]="Norfolk",Table1[[#This Row],[income]],0)</f>
        <v>0</v>
      </c>
      <c r="BL425" s="20">
        <f ca="1">IF(Table1[[#This Row],[County]]="Lincolnshire",Table1[[#This Row],[income]],0)</f>
        <v>0</v>
      </c>
      <c r="BM425" s="20">
        <f ca="1">IF(Table1[[#This Row],[County]]="Somerset",Table1[[#This Row],[income]],0)</f>
        <v>0</v>
      </c>
      <c r="BN425" s="20">
        <f ca="1">IF(Table1[[#This Row],[County]]="Cambridgeshire",Table1[[#This Row],[income]],0)</f>
        <v>0</v>
      </c>
      <c r="BO425" s="20">
        <f ca="1">IF(Table1[[#This Row],[County]]="South Yorkshire",Table1[[#This Row],[income]],0)</f>
        <v>0</v>
      </c>
      <c r="BP425" s="20">
        <f ca="1">IF(Table1[[#This Row],[County]]="Greater London",Table1[[#This Row],[income]],0)</f>
        <v>0</v>
      </c>
      <c r="BQ425" s="20">
        <f ca="1">IF(Table1[[#This Row],[County]]="Hampshire",Table1[[#This Row],[income]],0)</f>
        <v>0</v>
      </c>
      <c r="BR425" s="20">
        <f ca="1">IF(Table1[[#This Row],[County]]="Gloucestershire",Table1[[#This Row],[income]],0)</f>
        <v>0</v>
      </c>
      <c r="BS425" s="20">
        <f ca="1">IF(Table1[[#This Row],[County]]="West Sussex",Table1[[#This Row],[income]],0)</f>
        <v>0</v>
      </c>
      <c r="BT425" s="20">
        <f ca="1">IF(Table1[[#This Row],[County]]="Devon",Table1[[#This Row],[income]],0)</f>
        <v>0</v>
      </c>
      <c r="BU425" s="20">
        <f ca="1">IF(Table1[[#This Row],[County]]="Berkshire",Table1[[#This Row],[income]],0)</f>
        <v>0</v>
      </c>
      <c r="BV425" s="20">
        <f ca="1">IF(Table1[[#This Row],[County]]="Staffordshire",Table1[[#This Row],[income]],0)</f>
        <v>0</v>
      </c>
      <c r="BW425" s="20">
        <f ca="1">IF(Table1[[#This Row],[County]]="Leicestershire",Table1[[#This Row],[income]],0)</f>
        <v>0</v>
      </c>
      <c r="BX425" s="20">
        <f ca="1">IF(Table1[[#This Row],[County]]="Cornwall",Table1[[#This Row],[income]],0)</f>
        <v>0</v>
      </c>
      <c r="BY425" s="20">
        <f ca="1">IF(Table1[[#This Row],[County]]="Isle of Wight",Table1[[#This Row],[income]],0)</f>
        <v>0</v>
      </c>
      <c r="BZ425" s="20">
        <f ca="1">IF(Table1[[#This Row],[County]]="Surrey",Table1[[#This Row],[income]],0)</f>
        <v>0</v>
      </c>
      <c r="CA425" s="20">
        <f ca="1">IF(Table1[[#This Row],[County]]="Derbyshire",Table1[[#This Row],[income]],0)</f>
        <v>0</v>
      </c>
      <c r="CB425" s="20">
        <f ca="1">IF(Table1[[#This Row],[County]]="City of London",Table1[[#This Row],[income]],0)</f>
        <v>0</v>
      </c>
      <c r="CC425" s="20">
        <f ca="1">IF(Table1[[#This Row],[County]]="Bedfordshire",Table1[[#This Row],[income]],0)</f>
        <v>0</v>
      </c>
      <c r="CD425" s="20">
        <f ca="1">IF(Table1[[#This Row],[County]]="County Durham",Table1[[#This Row],[income]],0)</f>
        <v>0</v>
      </c>
      <c r="CE425" s="20">
        <f ca="1">IF(Table1[[#This Row],[County]]="East Riding of Yorkshire",Table1[[#This Row],[income]],0)</f>
        <v>0</v>
      </c>
      <c r="CF425" s="20">
        <f ca="1">IF(Table1[[#This Row],[County]]="West Yorkshire",Table1[[#This Row],[income]],0)</f>
        <v>40919</v>
      </c>
      <c r="CG425" s="20">
        <f ca="1">IF(Table1[[#This Row],[County]]="Essex",Table1[[#This Row],[income]],0)</f>
        <v>0</v>
      </c>
      <c r="CH425" s="20">
        <f ca="1">IF(Table1[[#This Row],[County]]="East Sussex",Table1[[#This Row],[income]],0)</f>
        <v>0</v>
      </c>
      <c r="CI425" s="20">
        <f ca="1">IF(Table1[[#This Row],[County]]="Greater Manchester",Table1[[#This Row],[income]],0)</f>
        <v>0</v>
      </c>
      <c r="CJ425" s="20">
        <f ca="1">IF(Table1[[#This Row],[County]]="Hertfordshire",Table1[[#This Row],[income]],0)</f>
        <v>0</v>
      </c>
      <c r="CK425" s="20">
        <f ca="1">IF(Table1[[#This Row],[County]]="Herefordshire",Table1[[#This Row],[income]],0)</f>
        <v>0</v>
      </c>
      <c r="CL425" s="20">
        <f ca="1">IF(Table1[[#This Row],[County]]="Lancashire",Table1[[#This Row],[income]],0)</f>
        <v>0</v>
      </c>
      <c r="CM425" s="20">
        <f ca="1">IF(Table1[[#This Row],[County]]="Merseyside",Table1[[#This Row],[income]],0)</f>
        <v>0</v>
      </c>
      <c r="CN425" s="20">
        <f ca="1">IF(Table1[[#This Row],[County]]="Northamptonshire",Table1[[#This Row],[income]],0)</f>
        <v>0</v>
      </c>
      <c r="CO425" s="20">
        <f ca="1">IF(Table1[[#This Row],[County]]="Northumberland",Table1[[#This Row],[income]],0)</f>
        <v>0</v>
      </c>
      <c r="CP425" s="20">
        <f ca="1">IF(Table1[[#This Row],[County]]="Wiltshire",Table1[[#This Row],[income]],0)</f>
        <v>0</v>
      </c>
      <c r="CQ425" s="20">
        <f ca="1">IF(Table1[[#This Row],[County]]="West Midlands",Table1[[#This Row],[income]],0)</f>
        <v>0</v>
      </c>
      <c r="CR425" s="20">
        <f ca="1">IF(Table1[[#This Row],[County]]="Warwickshire",Table1[[#This Row],[income]],0)</f>
        <v>0</v>
      </c>
      <c r="CS425" s="20">
        <f ca="1">IF(Table1[[#This Row],[County]]="Tyne and Wear",Table1[[#This Row],[income]],0)</f>
        <v>0</v>
      </c>
      <c r="CT425" s="20">
        <f ca="1">IF(Table1[[#This Row],[County]]="Worcestershire",Table1[[#This Row],[income]],0)</f>
        <v>0</v>
      </c>
      <c r="CU425" s="20">
        <f ca="1">IF(Table1[[#This Row],[County]]="Rutland",Table1[[#This Row],[income]],0)</f>
        <v>0</v>
      </c>
      <c r="CV425" s="20">
        <f ca="1">IF(Table1[[#This Row],[County]]="Shropshire",Table1[[#This Row],[income]],0)</f>
        <v>0</v>
      </c>
      <c r="CW425" s="20">
        <f ca="1">IF(Table1[[#This Row],[County]]="Dorset",Table1[[#This Row],[income]],0)</f>
        <v>0</v>
      </c>
      <c r="CX425" s="20">
        <f ca="1">IF(Table1[[#This Row],[County]]="Buckinghamshire",Table1[[#This Row],[income]],0)</f>
        <v>0</v>
      </c>
      <c r="CY425" s="20">
        <f ca="1">IF(Table1[[#This Row],[County]]="Suffolk",Table1[[#This Row],[income]],0)</f>
        <v>0</v>
      </c>
      <c r="CZ425" s="20">
        <f ca="1">IF(Table1[[#This Row],[County]]="North Yorkshire",Table1[[#This Row],[income]],0)</f>
        <v>0</v>
      </c>
      <c r="DA425" s="20">
        <f ca="1">IF(Table1[[#This Row],[County]]="Kent",Table1[[#This Row],[income]],0)</f>
        <v>0</v>
      </c>
      <c r="DB425" s="5">
        <f ca="1">IF(Table1[[#This Row],[County]]="Derbyshire",Table1[[#This Row],[income]],0)</f>
        <v>0</v>
      </c>
      <c r="DD425" s="6">
        <f ca="1">IF(Table1[[#This Row],[Column1]]="Health",Table1[[#This Row],[income]],0)</f>
        <v>0</v>
      </c>
      <c r="DE425" s="20">
        <f ca="1">IF(Table1[[#This Row],[Column1]]="Agriculture",Table1[[#This Row],[income]],0)</f>
        <v>0</v>
      </c>
      <c r="DF425" s="20">
        <f ca="1">IF(Table1[[#This Row],[Column1]]="Technology",Table1[[#This Row],[income]],0)</f>
        <v>40919</v>
      </c>
      <c r="DG425" s="20">
        <f ca="1">IF(Table1[[#This Row],[Column1]]="Social Service",Table1[[#This Row],[income]],0)</f>
        <v>0</v>
      </c>
      <c r="DH425" s="20">
        <f ca="1">IF(Table1[[#This Row],[Column1]]="Education",Table1[[#This Row],[income]],0)</f>
        <v>0</v>
      </c>
      <c r="DI425" s="5">
        <f ca="1">IF(Table1[[#This Row],[Column1]]="Construction",Table1[[#This Row],[income]],0)</f>
        <v>0</v>
      </c>
      <c r="DK425" s="6">
        <f ca="1">IF(Table1[[#This Row],[Value of Debts]]&gt;Table1[[#This Row],[income]],1,0)</f>
        <v>1</v>
      </c>
      <c r="DL425" s="20"/>
      <c r="DM425" s="20"/>
      <c r="DN425" s="5"/>
      <c r="DP425" s="6">
        <f ca="1">IF(Table1[[#This Row],[Net Worth (£)]]&gt;$DS$5,C425,0)</f>
        <v>0</v>
      </c>
      <c r="DQ425" s="20"/>
      <c r="DR425" s="20"/>
      <c r="DS425" s="5"/>
    </row>
    <row r="426" spans="1:123" x14ac:dyDescent="0.2">
      <c r="A426">
        <f t="shared" ca="1" si="19"/>
        <v>1</v>
      </c>
      <c r="B426" s="1" t="str">
        <f ca="1">IF(A426=1, "men", "women")</f>
        <v>men</v>
      </c>
      <c r="C426" s="1">
        <f ca="1">RANDBETWEEN(25,50)</f>
        <v>48</v>
      </c>
      <c r="D426">
        <f ca="1">RANDBETWEEN(1,6)</f>
        <v>2</v>
      </c>
      <c r="E426" t="str">
        <f ca="1">VLOOKUP(D426,$W$5:$X$10,2)</f>
        <v>Construction</v>
      </c>
      <c r="F426">
        <f ca="1">RANDBETWEEN(1,5)</f>
        <v>2</v>
      </c>
      <c r="G426" t="str">
        <f ca="1">VLOOKUP(F426,$Y$5:$Z$9,2)</f>
        <v>College</v>
      </c>
      <c r="H426">
        <f ca="1">RANDBETWEEN(0,4)</f>
        <v>0</v>
      </c>
      <c r="I426">
        <f ca="1">RANDBETWEEN(1,3)</f>
        <v>2</v>
      </c>
      <c r="J426">
        <f ca="1">RANDBETWEEN(30000,100000)</f>
        <v>97178</v>
      </c>
      <c r="K426">
        <f ca="1">RANDBETWEEN(1,48)</f>
        <v>25</v>
      </c>
      <c r="L426" t="str">
        <f ca="1">VLOOKUP(K426,$AA$5:$AB$52,2)</f>
        <v>Lancashire</v>
      </c>
      <c r="M426">
        <f ca="1">J426*(RANDBETWEEN(2,5))</f>
        <v>194356</v>
      </c>
      <c r="N426">
        <f ca="1">RAND()*M426</f>
        <v>53174.981852976205</v>
      </c>
      <c r="O426">
        <f ca="1">I426*RAND()*J426</f>
        <v>63360.903071623361</v>
      </c>
      <c r="P426">
        <f ca="1">RANDBETWEEN(0,O426)</f>
        <v>62014</v>
      </c>
      <c r="Q426">
        <f ca="1">RAND()*J426*2</f>
        <v>102080.70811500728</v>
      </c>
      <c r="R426">
        <f ca="1">RAND()*J426*1.5</f>
        <v>25095.986083375457</v>
      </c>
      <c r="S426">
        <f ca="1">J426+R426+O426</f>
        <v>185634.88915499882</v>
      </c>
      <c r="T426">
        <f ca="1">N426+P426+Q426</f>
        <v>217269.68996798346</v>
      </c>
      <c r="U426">
        <f ca="1">S426-T426</f>
        <v>-31634.800812984642</v>
      </c>
      <c r="AC426" s="6">
        <f ca="1">IF(Table1[[#This Row],[gender]]="men",1,0)</f>
        <v>1</v>
      </c>
      <c r="AD426">
        <f ca="1">IF(Table1[[#This Row],[gender]]="women",1,0)</f>
        <v>0</v>
      </c>
      <c r="AH426" s="5"/>
      <c r="AJ426" s="6">
        <f ca="1">IF(Table1[[#This Row],[Column1]]="Health",1,0)</f>
        <v>0</v>
      </c>
      <c r="AK426">
        <f ca="1">IF(Table1[[#This Row],[Column1]]="Construction",1,0)</f>
        <v>1</v>
      </c>
      <c r="AL426">
        <f ca="1">IF(Table1[[#This Row],[Column1]]="Technology",1,0)</f>
        <v>0</v>
      </c>
      <c r="AM426">
        <f ca="1">IF(Table1[[#This Row],[Column1]]="Education",1,0)</f>
        <v>0</v>
      </c>
      <c r="AN426">
        <f ca="1">IF(Table1[[#This Row],[Column1]]="Agriculture",1,0)</f>
        <v>0</v>
      </c>
      <c r="AO426">
        <f ca="1">IF(Table1[[#This Row],[Column1]]="Social Service", 1, 0)</f>
        <v>0</v>
      </c>
      <c r="AT426" s="5"/>
      <c r="AV426" s="17">
        <f t="shared" ca="1" si="18"/>
        <v>64721.84798917552</v>
      </c>
      <c r="AW426" s="5"/>
      <c r="AX426" s="6">
        <f ca="1">IF(Table1[[#This Row],[Value of Debts]]&gt;$AY$4,1,0)</f>
        <v>1</v>
      </c>
      <c r="AY426" s="20"/>
      <c r="AZ426" s="20"/>
      <c r="BA426" s="5"/>
      <c r="BB426" s="25">
        <f ca="1">Table1[[#This Row],[Mortage Left]]/Table1[[#This Row],[Value of House]]</f>
        <v>0.27359578223968495</v>
      </c>
      <c r="BC426" s="20">
        <f t="shared" ca="1" si="20"/>
        <v>1</v>
      </c>
      <c r="BD426" s="20"/>
      <c r="BE426" s="20"/>
      <c r="BF426" s="20"/>
      <c r="BG426" s="6">
        <f ca="1">IF(Table1[[#This Row],[County]]="Cumbria",Table1[[#This Row],[income]],0)</f>
        <v>0</v>
      </c>
      <c r="BH426" s="20">
        <f ca="1">IF(Table1[[#This Row],[County]]="Cheshire",Table1[[#This Row],[income]],0)</f>
        <v>0</v>
      </c>
      <c r="BI426" s="20">
        <f ca="1">IF(Table1[[#This Row],[County]]="Bristol",Table1[[#This Row],[income]],0)</f>
        <v>0</v>
      </c>
      <c r="BJ426" s="20">
        <f ca="1">IF(Table1[[#This Row],[County]]="Surrey",Table1[[#This Row],[income]],0)</f>
        <v>0</v>
      </c>
      <c r="BK426" s="20">
        <f ca="1">IF(Table1[[#This Row],[County]]="Norfolk",Table1[[#This Row],[income]],0)</f>
        <v>0</v>
      </c>
      <c r="BL426" s="20">
        <f ca="1">IF(Table1[[#This Row],[County]]="Lincolnshire",Table1[[#This Row],[income]],0)</f>
        <v>0</v>
      </c>
      <c r="BM426" s="20">
        <f ca="1">IF(Table1[[#This Row],[County]]="Somerset",Table1[[#This Row],[income]],0)</f>
        <v>0</v>
      </c>
      <c r="BN426" s="20">
        <f ca="1">IF(Table1[[#This Row],[County]]="Cambridgeshire",Table1[[#This Row],[income]],0)</f>
        <v>0</v>
      </c>
      <c r="BO426" s="20">
        <f ca="1">IF(Table1[[#This Row],[County]]="South Yorkshire",Table1[[#This Row],[income]],0)</f>
        <v>0</v>
      </c>
      <c r="BP426" s="20">
        <f ca="1">IF(Table1[[#This Row],[County]]="Greater London",Table1[[#This Row],[income]],0)</f>
        <v>0</v>
      </c>
      <c r="BQ426" s="20">
        <f ca="1">IF(Table1[[#This Row],[County]]="Hampshire",Table1[[#This Row],[income]],0)</f>
        <v>0</v>
      </c>
      <c r="BR426" s="20">
        <f ca="1">IF(Table1[[#This Row],[County]]="Gloucestershire",Table1[[#This Row],[income]],0)</f>
        <v>0</v>
      </c>
      <c r="BS426" s="20">
        <f ca="1">IF(Table1[[#This Row],[County]]="West Sussex",Table1[[#This Row],[income]],0)</f>
        <v>0</v>
      </c>
      <c r="BT426" s="20">
        <f ca="1">IF(Table1[[#This Row],[County]]="Devon",Table1[[#This Row],[income]],0)</f>
        <v>0</v>
      </c>
      <c r="BU426" s="20">
        <f ca="1">IF(Table1[[#This Row],[County]]="Berkshire",Table1[[#This Row],[income]],0)</f>
        <v>0</v>
      </c>
      <c r="BV426" s="20">
        <f ca="1">IF(Table1[[#This Row],[County]]="Staffordshire",Table1[[#This Row],[income]],0)</f>
        <v>0</v>
      </c>
      <c r="BW426" s="20">
        <f ca="1">IF(Table1[[#This Row],[County]]="Leicestershire",Table1[[#This Row],[income]],0)</f>
        <v>0</v>
      </c>
      <c r="BX426" s="20">
        <f ca="1">IF(Table1[[#This Row],[County]]="Cornwall",Table1[[#This Row],[income]],0)</f>
        <v>0</v>
      </c>
      <c r="BY426" s="20">
        <f ca="1">IF(Table1[[#This Row],[County]]="Isle of Wight",Table1[[#This Row],[income]],0)</f>
        <v>0</v>
      </c>
      <c r="BZ426" s="20">
        <f ca="1">IF(Table1[[#This Row],[County]]="Surrey",Table1[[#This Row],[income]],0)</f>
        <v>0</v>
      </c>
      <c r="CA426" s="20">
        <f ca="1">IF(Table1[[#This Row],[County]]="Derbyshire",Table1[[#This Row],[income]],0)</f>
        <v>0</v>
      </c>
      <c r="CB426" s="20">
        <f ca="1">IF(Table1[[#This Row],[County]]="City of London",Table1[[#This Row],[income]],0)</f>
        <v>0</v>
      </c>
      <c r="CC426" s="20">
        <f ca="1">IF(Table1[[#This Row],[County]]="Bedfordshire",Table1[[#This Row],[income]],0)</f>
        <v>0</v>
      </c>
      <c r="CD426" s="20">
        <f ca="1">IF(Table1[[#This Row],[County]]="County Durham",Table1[[#This Row],[income]],0)</f>
        <v>0</v>
      </c>
      <c r="CE426" s="20">
        <f ca="1">IF(Table1[[#This Row],[County]]="East Riding of Yorkshire",Table1[[#This Row],[income]],0)</f>
        <v>0</v>
      </c>
      <c r="CF426" s="20">
        <f ca="1">IF(Table1[[#This Row],[County]]="West Yorkshire",Table1[[#This Row],[income]],0)</f>
        <v>0</v>
      </c>
      <c r="CG426" s="20">
        <f ca="1">IF(Table1[[#This Row],[County]]="Essex",Table1[[#This Row],[income]],0)</f>
        <v>0</v>
      </c>
      <c r="CH426" s="20">
        <f ca="1">IF(Table1[[#This Row],[County]]="East Sussex",Table1[[#This Row],[income]],0)</f>
        <v>0</v>
      </c>
      <c r="CI426" s="20">
        <f ca="1">IF(Table1[[#This Row],[County]]="Greater Manchester",Table1[[#This Row],[income]],0)</f>
        <v>0</v>
      </c>
      <c r="CJ426" s="20">
        <f ca="1">IF(Table1[[#This Row],[County]]="Hertfordshire",Table1[[#This Row],[income]],0)</f>
        <v>0</v>
      </c>
      <c r="CK426" s="20">
        <f ca="1">IF(Table1[[#This Row],[County]]="Herefordshire",Table1[[#This Row],[income]],0)</f>
        <v>0</v>
      </c>
      <c r="CL426" s="20">
        <f ca="1">IF(Table1[[#This Row],[County]]="Lancashire",Table1[[#This Row],[income]],0)</f>
        <v>97178</v>
      </c>
      <c r="CM426" s="20">
        <f ca="1">IF(Table1[[#This Row],[County]]="Merseyside",Table1[[#This Row],[income]],0)</f>
        <v>0</v>
      </c>
      <c r="CN426" s="20">
        <f ca="1">IF(Table1[[#This Row],[County]]="Northamptonshire",Table1[[#This Row],[income]],0)</f>
        <v>0</v>
      </c>
      <c r="CO426" s="20">
        <f ca="1">IF(Table1[[#This Row],[County]]="Northumberland",Table1[[#This Row],[income]],0)</f>
        <v>0</v>
      </c>
      <c r="CP426" s="20">
        <f ca="1">IF(Table1[[#This Row],[County]]="Wiltshire",Table1[[#This Row],[income]],0)</f>
        <v>0</v>
      </c>
      <c r="CQ426" s="20">
        <f ca="1">IF(Table1[[#This Row],[County]]="West Midlands",Table1[[#This Row],[income]],0)</f>
        <v>0</v>
      </c>
      <c r="CR426" s="20">
        <f ca="1">IF(Table1[[#This Row],[County]]="Warwickshire",Table1[[#This Row],[income]],0)</f>
        <v>0</v>
      </c>
      <c r="CS426" s="20">
        <f ca="1">IF(Table1[[#This Row],[County]]="Tyne and Wear",Table1[[#This Row],[income]],0)</f>
        <v>0</v>
      </c>
      <c r="CT426" s="20">
        <f ca="1">IF(Table1[[#This Row],[County]]="Worcestershire",Table1[[#This Row],[income]],0)</f>
        <v>0</v>
      </c>
      <c r="CU426" s="20">
        <f ca="1">IF(Table1[[#This Row],[County]]="Rutland",Table1[[#This Row],[income]],0)</f>
        <v>0</v>
      </c>
      <c r="CV426" s="20">
        <f ca="1">IF(Table1[[#This Row],[County]]="Shropshire",Table1[[#This Row],[income]],0)</f>
        <v>0</v>
      </c>
      <c r="CW426" s="20">
        <f ca="1">IF(Table1[[#This Row],[County]]="Dorset",Table1[[#This Row],[income]],0)</f>
        <v>0</v>
      </c>
      <c r="CX426" s="20">
        <f ca="1">IF(Table1[[#This Row],[County]]="Buckinghamshire",Table1[[#This Row],[income]],0)</f>
        <v>0</v>
      </c>
      <c r="CY426" s="20">
        <f ca="1">IF(Table1[[#This Row],[County]]="Suffolk",Table1[[#This Row],[income]],0)</f>
        <v>0</v>
      </c>
      <c r="CZ426" s="20">
        <f ca="1">IF(Table1[[#This Row],[County]]="North Yorkshire",Table1[[#This Row],[income]],0)</f>
        <v>0</v>
      </c>
      <c r="DA426" s="20">
        <f ca="1">IF(Table1[[#This Row],[County]]="Kent",Table1[[#This Row],[income]],0)</f>
        <v>0</v>
      </c>
      <c r="DB426" s="5">
        <f ca="1">IF(Table1[[#This Row],[County]]="Derbyshire",Table1[[#This Row],[income]],0)</f>
        <v>0</v>
      </c>
      <c r="DD426" s="6">
        <f ca="1">IF(Table1[[#This Row],[Column1]]="Health",Table1[[#This Row],[income]],0)</f>
        <v>0</v>
      </c>
      <c r="DE426" s="20">
        <f ca="1">IF(Table1[[#This Row],[Column1]]="Agriculture",Table1[[#This Row],[income]],0)</f>
        <v>0</v>
      </c>
      <c r="DF426" s="20">
        <f ca="1">IF(Table1[[#This Row],[Column1]]="Technology",Table1[[#This Row],[income]],0)</f>
        <v>0</v>
      </c>
      <c r="DG426" s="20">
        <f ca="1">IF(Table1[[#This Row],[Column1]]="Social Service",Table1[[#This Row],[income]],0)</f>
        <v>0</v>
      </c>
      <c r="DH426" s="20">
        <f ca="1">IF(Table1[[#This Row],[Column1]]="Education",Table1[[#This Row],[income]],0)</f>
        <v>0</v>
      </c>
      <c r="DI426" s="5">
        <f ca="1">IF(Table1[[#This Row],[Column1]]="Construction",Table1[[#This Row],[income]],0)</f>
        <v>97178</v>
      </c>
      <c r="DK426" s="6">
        <f ca="1">IF(Table1[[#This Row],[Value of Debts]]&gt;Table1[[#This Row],[income]],1,0)</f>
        <v>1</v>
      </c>
      <c r="DL426" s="20"/>
      <c r="DM426" s="20"/>
      <c r="DN426" s="5"/>
      <c r="DP426" s="6">
        <f ca="1">IF(Table1[[#This Row],[Net Worth (£)]]&gt;$DS$5,C426,0)</f>
        <v>0</v>
      </c>
      <c r="DQ426" s="20"/>
      <c r="DR426" s="20"/>
      <c r="DS426" s="5"/>
    </row>
    <row r="427" spans="1:123" x14ac:dyDescent="0.2">
      <c r="A427">
        <f t="shared" ca="1" si="19"/>
        <v>2</v>
      </c>
      <c r="B427" s="1" t="str">
        <f ca="1">IF(A427=1, "men", "women")</f>
        <v>women</v>
      </c>
      <c r="C427" s="1">
        <f ca="1">RANDBETWEEN(25,50)</f>
        <v>34</v>
      </c>
      <c r="D427">
        <f ca="1">RANDBETWEEN(1,6)</f>
        <v>1</v>
      </c>
      <c r="E427" t="str">
        <f ca="1">VLOOKUP(D427,$W$5:$X$10,2)</f>
        <v>Health</v>
      </c>
      <c r="F427">
        <f ca="1">RANDBETWEEN(1,5)</f>
        <v>3</v>
      </c>
      <c r="G427" t="str">
        <f ca="1">VLOOKUP(F427,$Y$5:$Z$9,2)</f>
        <v>University</v>
      </c>
      <c r="H427">
        <f ca="1">RANDBETWEEN(0,4)</f>
        <v>2</v>
      </c>
      <c r="I427">
        <f ca="1">RANDBETWEEN(1,3)</f>
        <v>1</v>
      </c>
      <c r="J427">
        <f ca="1">RANDBETWEEN(30000,100000)</f>
        <v>85469</v>
      </c>
      <c r="K427">
        <f ca="1">RANDBETWEEN(1,48)</f>
        <v>6</v>
      </c>
      <c r="L427" t="str">
        <f ca="1">VLOOKUP(K427,$AA$5:$AB$52,2)</f>
        <v>Cheshire</v>
      </c>
      <c r="M427">
        <f ca="1">J427*(RANDBETWEEN(2,5))</f>
        <v>341876</v>
      </c>
      <c r="N427">
        <f ca="1">RAND()*M427</f>
        <v>104576.96108556498</v>
      </c>
      <c r="O427">
        <f ca="1">I427*RAND()*J427</f>
        <v>64721.84798917552</v>
      </c>
      <c r="P427">
        <f ca="1">RANDBETWEEN(0,O427)</f>
        <v>46133</v>
      </c>
      <c r="Q427">
        <f ca="1">RAND()*J427*2</f>
        <v>19835.091062799849</v>
      </c>
      <c r="R427">
        <f ca="1">RAND()*J427*1.5</f>
        <v>51408.099904727962</v>
      </c>
      <c r="S427">
        <f ca="1">J427+R427+O427</f>
        <v>201598.94789390347</v>
      </c>
      <c r="T427">
        <f ca="1">N427+P427+Q427</f>
        <v>170545.05214836483</v>
      </c>
      <c r="U427">
        <f ca="1">S427-T427</f>
        <v>31053.895745538641</v>
      </c>
      <c r="AC427" s="6">
        <f ca="1">IF(Table1[[#This Row],[gender]]="men",1,0)</f>
        <v>0</v>
      </c>
      <c r="AD427">
        <f ca="1">IF(Table1[[#This Row],[gender]]="women",1,0)</f>
        <v>1</v>
      </c>
      <c r="AH427" s="5"/>
      <c r="AJ427" s="6">
        <f ca="1">IF(Table1[[#This Row],[Column1]]="Health",1,0)</f>
        <v>1</v>
      </c>
      <c r="AK427">
        <f ca="1">IF(Table1[[#This Row],[Column1]]="Construction",1,0)</f>
        <v>0</v>
      </c>
      <c r="AL427">
        <f ca="1">IF(Table1[[#This Row],[Column1]]="Technology",1,0)</f>
        <v>0</v>
      </c>
      <c r="AM427">
        <f ca="1">IF(Table1[[#This Row],[Column1]]="Education",1,0)</f>
        <v>0</v>
      </c>
      <c r="AN427">
        <f ca="1">IF(Table1[[#This Row],[Column1]]="Agriculture",1,0)</f>
        <v>0</v>
      </c>
      <c r="AO427">
        <f ca="1">IF(Table1[[#This Row],[Column1]]="Social Service", 1, 0)</f>
        <v>0</v>
      </c>
      <c r="AT427" s="5"/>
      <c r="AV427" s="17">
        <f t="shared" ca="1" si="18"/>
        <v>52614.173840752541</v>
      </c>
      <c r="AW427" s="5"/>
      <c r="AX427" s="6">
        <f ca="1">IF(Table1[[#This Row],[Value of Debts]]&gt;$AY$4,1,0)</f>
        <v>1</v>
      </c>
      <c r="AY427" s="20"/>
      <c r="AZ427" s="20"/>
      <c r="BA427" s="5"/>
      <c r="BB427" s="25">
        <f ca="1">Table1[[#This Row],[Mortage Left]]/Table1[[#This Row],[Value of House]]</f>
        <v>0.30589149599727672</v>
      </c>
      <c r="BC427" s="20">
        <f t="shared" ca="1" si="20"/>
        <v>0</v>
      </c>
      <c r="BD427" s="20"/>
      <c r="BE427" s="20"/>
      <c r="BF427" s="20"/>
      <c r="BG427" s="6">
        <f ca="1">IF(Table1[[#This Row],[County]]="Cumbria",Table1[[#This Row],[income]],0)</f>
        <v>0</v>
      </c>
      <c r="BH427" s="20">
        <f ca="1">IF(Table1[[#This Row],[County]]="Cheshire",Table1[[#This Row],[income]],0)</f>
        <v>85469</v>
      </c>
      <c r="BI427" s="20">
        <f ca="1">IF(Table1[[#This Row],[County]]="Bristol",Table1[[#This Row],[income]],0)</f>
        <v>0</v>
      </c>
      <c r="BJ427" s="20">
        <f ca="1">IF(Table1[[#This Row],[County]]="Surrey",Table1[[#This Row],[income]],0)</f>
        <v>0</v>
      </c>
      <c r="BK427" s="20">
        <f ca="1">IF(Table1[[#This Row],[County]]="Norfolk",Table1[[#This Row],[income]],0)</f>
        <v>0</v>
      </c>
      <c r="BL427" s="20">
        <f ca="1">IF(Table1[[#This Row],[County]]="Lincolnshire",Table1[[#This Row],[income]],0)</f>
        <v>0</v>
      </c>
      <c r="BM427" s="20">
        <f ca="1">IF(Table1[[#This Row],[County]]="Somerset",Table1[[#This Row],[income]],0)</f>
        <v>0</v>
      </c>
      <c r="BN427" s="20">
        <f ca="1">IF(Table1[[#This Row],[County]]="Cambridgeshire",Table1[[#This Row],[income]],0)</f>
        <v>0</v>
      </c>
      <c r="BO427" s="20">
        <f ca="1">IF(Table1[[#This Row],[County]]="South Yorkshire",Table1[[#This Row],[income]],0)</f>
        <v>0</v>
      </c>
      <c r="BP427" s="20">
        <f ca="1">IF(Table1[[#This Row],[County]]="Greater London",Table1[[#This Row],[income]],0)</f>
        <v>0</v>
      </c>
      <c r="BQ427" s="20">
        <f ca="1">IF(Table1[[#This Row],[County]]="Hampshire",Table1[[#This Row],[income]],0)</f>
        <v>0</v>
      </c>
      <c r="BR427" s="20">
        <f ca="1">IF(Table1[[#This Row],[County]]="Gloucestershire",Table1[[#This Row],[income]],0)</f>
        <v>0</v>
      </c>
      <c r="BS427" s="20">
        <f ca="1">IF(Table1[[#This Row],[County]]="West Sussex",Table1[[#This Row],[income]],0)</f>
        <v>0</v>
      </c>
      <c r="BT427" s="20">
        <f ca="1">IF(Table1[[#This Row],[County]]="Devon",Table1[[#This Row],[income]],0)</f>
        <v>0</v>
      </c>
      <c r="BU427" s="20">
        <f ca="1">IF(Table1[[#This Row],[County]]="Berkshire",Table1[[#This Row],[income]],0)</f>
        <v>0</v>
      </c>
      <c r="BV427" s="20">
        <f ca="1">IF(Table1[[#This Row],[County]]="Staffordshire",Table1[[#This Row],[income]],0)</f>
        <v>0</v>
      </c>
      <c r="BW427" s="20">
        <f ca="1">IF(Table1[[#This Row],[County]]="Leicestershire",Table1[[#This Row],[income]],0)</f>
        <v>0</v>
      </c>
      <c r="BX427" s="20">
        <f ca="1">IF(Table1[[#This Row],[County]]="Cornwall",Table1[[#This Row],[income]],0)</f>
        <v>0</v>
      </c>
      <c r="BY427" s="20">
        <f ca="1">IF(Table1[[#This Row],[County]]="Isle of Wight",Table1[[#This Row],[income]],0)</f>
        <v>0</v>
      </c>
      <c r="BZ427" s="20">
        <f ca="1">IF(Table1[[#This Row],[County]]="Surrey",Table1[[#This Row],[income]],0)</f>
        <v>0</v>
      </c>
      <c r="CA427" s="20">
        <f ca="1">IF(Table1[[#This Row],[County]]="Derbyshire",Table1[[#This Row],[income]],0)</f>
        <v>0</v>
      </c>
      <c r="CB427" s="20">
        <f ca="1">IF(Table1[[#This Row],[County]]="City of London",Table1[[#This Row],[income]],0)</f>
        <v>0</v>
      </c>
      <c r="CC427" s="20">
        <f ca="1">IF(Table1[[#This Row],[County]]="Bedfordshire",Table1[[#This Row],[income]],0)</f>
        <v>0</v>
      </c>
      <c r="CD427" s="20">
        <f ca="1">IF(Table1[[#This Row],[County]]="County Durham",Table1[[#This Row],[income]],0)</f>
        <v>0</v>
      </c>
      <c r="CE427" s="20">
        <f ca="1">IF(Table1[[#This Row],[County]]="East Riding of Yorkshire",Table1[[#This Row],[income]],0)</f>
        <v>0</v>
      </c>
      <c r="CF427" s="20">
        <f ca="1">IF(Table1[[#This Row],[County]]="West Yorkshire",Table1[[#This Row],[income]],0)</f>
        <v>0</v>
      </c>
      <c r="CG427" s="20">
        <f ca="1">IF(Table1[[#This Row],[County]]="Essex",Table1[[#This Row],[income]],0)</f>
        <v>0</v>
      </c>
      <c r="CH427" s="20">
        <f ca="1">IF(Table1[[#This Row],[County]]="East Sussex",Table1[[#This Row],[income]],0)</f>
        <v>0</v>
      </c>
      <c r="CI427" s="20">
        <f ca="1">IF(Table1[[#This Row],[County]]="Greater Manchester",Table1[[#This Row],[income]],0)</f>
        <v>0</v>
      </c>
      <c r="CJ427" s="20">
        <f ca="1">IF(Table1[[#This Row],[County]]="Hertfordshire",Table1[[#This Row],[income]],0)</f>
        <v>0</v>
      </c>
      <c r="CK427" s="20">
        <f ca="1">IF(Table1[[#This Row],[County]]="Herefordshire",Table1[[#This Row],[income]],0)</f>
        <v>0</v>
      </c>
      <c r="CL427" s="20">
        <f ca="1">IF(Table1[[#This Row],[County]]="Lancashire",Table1[[#This Row],[income]],0)</f>
        <v>0</v>
      </c>
      <c r="CM427" s="20">
        <f ca="1">IF(Table1[[#This Row],[County]]="Merseyside",Table1[[#This Row],[income]],0)</f>
        <v>0</v>
      </c>
      <c r="CN427" s="20">
        <f ca="1">IF(Table1[[#This Row],[County]]="Northamptonshire",Table1[[#This Row],[income]],0)</f>
        <v>0</v>
      </c>
      <c r="CO427" s="20">
        <f ca="1">IF(Table1[[#This Row],[County]]="Northumberland",Table1[[#This Row],[income]],0)</f>
        <v>0</v>
      </c>
      <c r="CP427" s="20">
        <f ca="1">IF(Table1[[#This Row],[County]]="Wiltshire",Table1[[#This Row],[income]],0)</f>
        <v>0</v>
      </c>
      <c r="CQ427" s="20">
        <f ca="1">IF(Table1[[#This Row],[County]]="West Midlands",Table1[[#This Row],[income]],0)</f>
        <v>0</v>
      </c>
      <c r="CR427" s="20">
        <f ca="1">IF(Table1[[#This Row],[County]]="Warwickshire",Table1[[#This Row],[income]],0)</f>
        <v>0</v>
      </c>
      <c r="CS427" s="20">
        <f ca="1">IF(Table1[[#This Row],[County]]="Tyne and Wear",Table1[[#This Row],[income]],0)</f>
        <v>0</v>
      </c>
      <c r="CT427" s="20">
        <f ca="1">IF(Table1[[#This Row],[County]]="Worcestershire",Table1[[#This Row],[income]],0)</f>
        <v>0</v>
      </c>
      <c r="CU427" s="20">
        <f ca="1">IF(Table1[[#This Row],[County]]="Rutland",Table1[[#This Row],[income]],0)</f>
        <v>0</v>
      </c>
      <c r="CV427" s="20">
        <f ca="1">IF(Table1[[#This Row],[County]]="Shropshire",Table1[[#This Row],[income]],0)</f>
        <v>0</v>
      </c>
      <c r="CW427" s="20">
        <f ca="1">IF(Table1[[#This Row],[County]]="Dorset",Table1[[#This Row],[income]],0)</f>
        <v>0</v>
      </c>
      <c r="CX427" s="20">
        <f ca="1">IF(Table1[[#This Row],[County]]="Buckinghamshire",Table1[[#This Row],[income]],0)</f>
        <v>0</v>
      </c>
      <c r="CY427" s="20">
        <f ca="1">IF(Table1[[#This Row],[County]]="Suffolk",Table1[[#This Row],[income]],0)</f>
        <v>0</v>
      </c>
      <c r="CZ427" s="20">
        <f ca="1">IF(Table1[[#This Row],[County]]="North Yorkshire",Table1[[#This Row],[income]],0)</f>
        <v>0</v>
      </c>
      <c r="DA427" s="20">
        <f ca="1">IF(Table1[[#This Row],[County]]="Kent",Table1[[#This Row],[income]],0)</f>
        <v>0</v>
      </c>
      <c r="DB427" s="5">
        <f ca="1">IF(Table1[[#This Row],[County]]="Derbyshire",Table1[[#This Row],[income]],0)</f>
        <v>0</v>
      </c>
      <c r="DD427" s="6">
        <f ca="1">IF(Table1[[#This Row],[Column1]]="Health",Table1[[#This Row],[income]],0)</f>
        <v>85469</v>
      </c>
      <c r="DE427" s="20">
        <f ca="1">IF(Table1[[#This Row],[Column1]]="Agriculture",Table1[[#This Row],[income]],0)</f>
        <v>0</v>
      </c>
      <c r="DF427" s="20">
        <f ca="1">IF(Table1[[#This Row],[Column1]]="Technology",Table1[[#This Row],[income]],0)</f>
        <v>0</v>
      </c>
      <c r="DG427" s="20">
        <f ca="1">IF(Table1[[#This Row],[Column1]]="Social Service",Table1[[#This Row],[income]],0)</f>
        <v>0</v>
      </c>
      <c r="DH427" s="20">
        <f ca="1">IF(Table1[[#This Row],[Column1]]="Education",Table1[[#This Row],[income]],0)</f>
        <v>0</v>
      </c>
      <c r="DI427" s="5">
        <f ca="1">IF(Table1[[#This Row],[Column1]]="Construction",Table1[[#This Row],[income]],0)</f>
        <v>0</v>
      </c>
      <c r="DK427" s="6">
        <f ca="1">IF(Table1[[#This Row],[Value of Debts]]&gt;Table1[[#This Row],[income]],1,0)</f>
        <v>1</v>
      </c>
      <c r="DL427" s="20"/>
      <c r="DM427" s="20"/>
      <c r="DN427" s="5"/>
      <c r="DP427" s="6">
        <f ca="1">IF(Table1[[#This Row],[Net Worth (£)]]&gt;$DS$5,C427,0)</f>
        <v>0</v>
      </c>
      <c r="DQ427" s="20"/>
      <c r="DR427" s="20"/>
      <c r="DS427" s="5"/>
    </row>
    <row r="428" spans="1:123" x14ac:dyDescent="0.2">
      <c r="A428">
        <f t="shared" ca="1" si="19"/>
        <v>2</v>
      </c>
      <c r="B428" s="1" t="str">
        <f ca="1">IF(A428=1, "men", "women")</f>
        <v>women</v>
      </c>
      <c r="C428" s="1">
        <f ca="1">RANDBETWEEN(25,50)</f>
        <v>26</v>
      </c>
      <c r="D428">
        <f ca="1">RANDBETWEEN(1,6)</f>
        <v>2</v>
      </c>
      <c r="E428" t="str">
        <f ca="1">VLOOKUP(D428,$W$5:$X$10,2)</f>
        <v>Construction</v>
      </c>
      <c r="F428">
        <f ca="1">RANDBETWEEN(1,5)</f>
        <v>2</v>
      </c>
      <c r="G428" t="str">
        <f ca="1">VLOOKUP(F428,$Y$5:$Z$9,2)</f>
        <v>College</v>
      </c>
      <c r="H428">
        <f ca="1">RANDBETWEEN(0,4)</f>
        <v>4</v>
      </c>
      <c r="I428">
        <f ca="1">RANDBETWEEN(1,3)</f>
        <v>2</v>
      </c>
      <c r="J428">
        <f ca="1">RANDBETWEEN(30000,100000)</f>
        <v>59631</v>
      </c>
      <c r="K428">
        <f ca="1">RANDBETWEEN(1,48)</f>
        <v>35</v>
      </c>
      <c r="L428" t="str">
        <f ca="1">VLOOKUP(K428,$AA$5:$AB$52,2)</f>
        <v>Rutland</v>
      </c>
      <c r="M428">
        <f ca="1">J428*(RANDBETWEEN(2,5))</f>
        <v>238524</v>
      </c>
      <c r="N428">
        <f ca="1">RAND()*M428</f>
        <v>55999.908255401169</v>
      </c>
      <c r="O428">
        <f ca="1">I428*RAND()*J428</f>
        <v>105228.34768150508</v>
      </c>
      <c r="P428">
        <f ca="1">RANDBETWEEN(0,O428)</f>
        <v>53724</v>
      </c>
      <c r="Q428">
        <f ca="1">RAND()*J428*2</f>
        <v>20519.835782213278</v>
      </c>
      <c r="R428">
        <f ca="1">RAND()*J428*1.5</f>
        <v>32619.387578977727</v>
      </c>
      <c r="S428">
        <f ca="1">J428+R428+O428</f>
        <v>197478.73526048282</v>
      </c>
      <c r="T428">
        <f ca="1">N428+P428+Q428</f>
        <v>130243.74403761445</v>
      </c>
      <c r="U428">
        <f ca="1">S428-T428</f>
        <v>67234.991222868368</v>
      </c>
      <c r="AC428" s="6">
        <f ca="1">IF(Table1[[#This Row],[gender]]="men",1,0)</f>
        <v>0</v>
      </c>
      <c r="AD428">
        <f ca="1">IF(Table1[[#This Row],[gender]]="women",1,0)</f>
        <v>1</v>
      </c>
      <c r="AH428" s="5"/>
      <c r="AJ428" s="6">
        <f ca="1">IF(Table1[[#This Row],[Column1]]="Health",1,0)</f>
        <v>0</v>
      </c>
      <c r="AK428">
        <f ca="1">IF(Table1[[#This Row],[Column1]]="Construction",1,0)</f>
        <v>1</v>
      </c>
      <c r="AL428">
        <f ca="1">IF(Table1[[#This Row],[Column1]]="Technology",1,0)</f>
        <v>0</v>
      </c>
      <c r="AM428">
        <f ca="1">IF(Table1[[#This Row],[Column1]]="Education",1,0)</f>
        <v>0</v>
      </c>
      <c r="AN428">
        <f ca="1">IF(Table1[[#This Row],[Column1]]="Agriculture",1,0)</f>
        <v>0</v>
      </c>
      <c r="AO428">
        <f ca="1">IF(Table1[[#This Row],[Column1]]="Social Service", 1, 0)</f>
        <v>0</v>
      </c>
      <c r="AT428" s="5"/>
      <c r="AV428" s="17">
        <f t="shared" ca="1" si="18"/>
        <v>30629.134074056714</v>
      </c>
      <c r="AW428" s="5"/>
      <c r="AX428" s="6">
        <f ca="1">IF(Table1[[#This Row],[Value of Debts]]&gt;$AY$4,1,0)</f>
        <v>1</v>
      </c>
      <c r="AY428" s="20"/>
      <c r="AZ428" s="20"/>
      <c r="BA428" s="5"/>
      <c r="BB428" s="25">
        <f ca="1">Table1[[#This Row],[Mortage Left]]/Table1[[#This Row],[Value of House]]</f>
        <v>0.23477682855981441</v>
      </c>
      <c r="BC428" s="20">
        <f t="shared" ca="1" si="20"/>
        <v>1</v>
      </c>
      <c r="BD428" s="20"/>
      <c r="BE428" s="20"/>
      <c r="BF428" s="20"/>
      <c r="BG428" s="6">
        <f ca="1">IF(Table1[[#This Row],[County]]="Cumbria",Table1[[#This Row],[income]],0)</f>
        <v>0</v>
      </c>
      <c r="BH428" s="20">
        <f ca="1">IF(Table1[[#This Row],[County]]="Cheshire",Table1[[#This Row],[income]],0)</f>
        <v>0</v>
      </c>
      <c r="BI428" s="20">
        <f ca="1">IF(Table1[[#This Row],[County]]="Bristol",Table1[[#This Row],[income]],0)</f>
        <v>0</v>
      </c>
      <c r="BJ428" s="20">
        <f ca="1">IF(Table1[[#This Row],[County]]="Surrey",Table1[[#This Row],[income]],0)</f>
        <v>0</v>
      </c>
      <c r="BK428" s="20">
        <f ca="1">IF(Table1[[#This Row],[County]]="Norfolk",Table1[[#This Row],[income]],0)</f>
        <v>0</v>
      </c>
      <c r="BL428" s="20">
        <f ca="1">IF(Table1[[#This Row],[County]]="Lincolnshire",Table1[[#This Row],[income]],0)</f>
        <v>0</v>
      </c>
      <c r="BM428" s="20">
        <f ca="1">IF(Table1[[#This Row],[County]]="Somerset",Table1[[#This Row],[income]],0)</f>
        <v>0</v>
      </c>
      <c r="BN428" s="20">
        <f ca="1">IF(Table1[[#This Row],[County]]="Cambridgeshire",Table1[[#This Row],[income]],0)</f>
        <v>0</v>
      </c>
      <c r="BO428" s="20">
        <f ca="1">IF(Table1[[#This Row],[County]]="South Yorkshire",Table1[[#This Row],[income]],0)</f>
        <v>0</v>
      </c>
      <c r="BP428" s="20">
        <f ca="1">IF(Table1[[#This Row],[County]]="Greater London",Table1[[#This Row],[income]],0)</f>
        <v>0</v>
      </c>
      <c r="BQ428" s="20">
        <f ca="1">IF(Table1[[#This Row],[County]]="Hampshire",Table1[[#This Row],[income]],0)</f>
        <v>0</v>
      </c>
      <c r="BR428" s="20">
        <f ca="1">IF(Table1[[#This Row],[County]]="Gloucestershire",Table1[[#This Row],[income]],0)</f>
        <v>0</v>
      </c>
      <c r="BS428" s="20">
        <f ca="1">IF(Table1[[#This Row],[County]]="West Sussex",Table1[[#This Row],[income]],0)</f>
        <v>0</v>
      </c>
      <c r="BT428" s="20">
        <f ca="1">IF(Table1[[#This Row],[County]]="Devon",Table1[[#This Row],[income]],0)</f>
        <v>0</v>
      </c>
      <c r="BU428" s="20">
        <f ca="1">IF(Table1[[#This Row],[County]]="Berkshire",Table1[[#This Row],[income]],0)</f>
        <v>0</v>
      </c>
      <c r="BV428" s="20">
        <f ca="1">IF(Table1[[#This Row],[County]]="Staffordshire",Table1[[#This Row],[income]],0)</f>
        <v>0</v>
      </c>
      <c r="BW428" s="20">
        <f ca="1">IF(Table1[[#This Row],[County]]="Leicestershire",Table1[[#This Row],[income]],0)</f>
        <v>0</v>
      </c>
      <c r="BX428" s="20">
        <f ca="1">IF(Table1[[#This Row],[County]]="Cornwall",Table1[[#This Row],[income]],0)</f>
        <v>0</v>
      </c>
      <c r="BY428" s="20">
        <f ca="1">IF(Table1[[#This Row],[County]]="Isle of Wight",Table1[[#This Row],[income]],0)</f>
        <v>0</v>
      </c>
      <c r="BZ428" s="20">
        <f ca="1">IF(Table1[[#This Row],[County]]="Surrey",Table1[[#This Row],[income]],0)</f>
        <v>0</v>
      </c>
      <c r="CA428" s="20">
        <f ca="1">IF(Table1[[#This Row],[County]]="Derbyshire",Table1[[#This Row],[income]],0)</f>
        <v>0</v>
      </c>
      <c r="CB428" s="20">
        <f ca="1">IF(Table1[[#This Row],[County]]="City of London",Table1[[#This Row],[income]],0)</f>
        <v>0</v>
      </c>
      <c r="CC428" s="20">
        <f ca="1">IF(Table1[[#This Row],[County]]="Bedfordshire",Table1[[#This Row],[income]],0)</f>
        <v>0</v>
      </c>
      <c r="CD428" s="20">
        <f ca="1">IF(Table1[[#This Row],[County]]="County Durham",Table1[[#This Row],[income]],0)</f>
        <v>0</v>
      </c>
      <c r="CE428" s="20">
        <f ca="1">IF(Table1[[#This Row],[County]]="East Riding of Yorkshire",Table1[[#This Row],[income]],0)</f>
        <v>0</v>
      </c>
      <c r="CF428" s="20">
        <f ca="1">IF(Table1[[#This Row],[County]]="West Yorkshire",Table1[[#This Row],[income]],0)</f>
        <v>0</v>
      </c>
      <c r="CG428" s="20">
        <f ca="1">IF(Table1[[#This Row],[County]]="Essex",Table1[[#This Row],[income]],0)</f>
        <v>0</v>
      </c>
      <c r="CH428" s="20">
        <f ca="1">IF(Table1[[#This Row],[County]]="East Sussex",Table1[[#This Row],[income]],0)</f>
        <v>0</v>
      </c>
      <c r="CI428" s="20">
        <f ca="1">IF(Table1[[#This Row],[County]]="Greater Manchester",Table1[[#This Row],[income]],0)</f>
        <v>0</v>
      </c>
      <c r="CJ428" s="20">
        <f ca="1">IF(Table1[[#This Row],[County]]="Hertfordshire",Table1[[#This Row],[income]],0)</f>
        <v>0</v>
      </c>
      <c r="CK428" s="20">
        <f ca="1">IF(Table1[[#This Row],[County]]="Herefordshire",Table1[[#This Row],[income]],0)</f>
        <v>0</v>
      </c>
      <c r="CL428" s="20">
        <f ca="1">IF(Table1[[#This Row],[County]]="Lancashire",Table1[[#This Row],[income]],0)</f>
        <v>0</v>
      </c>
      <c r="CM428" s="20">
        <f ca="1">IF(Table1[[#This Row],[County]]="Merseyside",Table1[[#This Row],[income]],0)</f>
        <v>0</v>
      </c>
      <c r="CN428" s="20">
        <f ca="1">IF(Table1[[#This Row],[County]]="Northamptonshire",Table1[[#This Row],[income]],0)</f>
        <v>0</v>
      </c>
      <c r="CO428" s="20">
        <f ca="1">IF(Table1[[#This Row],[County]]="Northumberland",Table1[[#This Row],[income]],0)</f>
        <v>0</v>
      </c>
      <c r="CP428" s="20">
        <f ca="1">IF(Table1[[#This Row],[County]]="Wiltshire",Table1[[#This Row],[income]],0)</f>
        <v>0</v>
      </c>
      <c r="CQ428" s="20">
        <f ca="1">IF(Table1[[#This Row],[County]]="West Midlands",Table1[[#This Row],[income]],0)</f>
        <v>0</v>
      </c>
      <c r="CR428" s="20">
        <f ca="1">IF(Table1[[#This Row],[County]]="Warwickshire",Table1[[#This Row],[income]],0)</f>
        <v>0</v>
      </c>
      <c r="CS428" s="20">
        <f ca="1">IF(Table1[[#This Row],[County]]="Tyne and Wear",Table1[[#This Row],[income]],0)</f>
        <v>0</v>
      </c>
      <c r="CT428" s="20">
        <f ca="1">IF(Table1[[#This Row],[County]]="Worcestershire",Table1[[#This Row],[income]],0)</f>
        <v>0</v>
      </c>
      <c r="CU428" s="20">
        <f ca="1">IF(Table1[[#This Row],[County]]="Rutland",Table1[[#This Row],[income]],0)</f>
        <v>59631</v>
      </c>
      <c r="CV428" s="20">
        <f ca="1">IF(Table1[[#This Row],[County]]="Shropshire",Table1[[#This Row],[income]],0)</f>
        <v>0</v>
      </c>
      <c r="CW428" s="20">
        <f ca="1">IF(Table1[[#This Row],[County]]="Dorset",Table1[[#This Row],[income]],0)</f>
        <v>0</v>
      </c>
      <c r="CX428" s="20">
        <f ca="1">IF(Table1[[#This Row],[County]]="Buckinghamshire",Table1[[#This Row],[income]],0)</f>
        <v>0</v>
      </c>
      <c r="CY428" s="20">
        <f ca="1">IF(Table1[[#This Row],[County]]="Suffolk",Table1[[#This Row],[income]],0)</f>
        <v>0</v>
      </c>
      <c r="CZ428" s="20">
        <f ca="1">IF(Table1[[#This Row],[County]]="North Yorkshire",Table1[[#This Row],[income]],0)</f>
        <v>0</v>
      </c>
      <c r="DA428" s="20">
        <f ca="1">IF(Table1[[#This Row],[County]]="Kent",Table1[[#This Row],[income]],0)</f>
        <v>0</v>
      </c>
      <c r="DB428" s="5">
        <f ca="1">IF(Table1[[#This Row],[County]]="Derbyshire",Table1[[#This Row],[income]],0)</f>
        <v>0</v>
      </c>
      <c r="DD428" s="6">
        <f ca="1">IF(Table1[[#This Row],[Column1]]="Health",Table1[[#This Row],[income]],0)</f>
        <v>0</v>
      </c>
      <c r="DE428" s="20">
        <f ca="1">IF(Table1[[#This Row],[Column1]]="Agriculture",Table1[[#This Row],[income]],0)</f>
        <v>0</v>
      </c>
      <c r="DF428" s="20">
        <f ca="1">IF(Table1[[#This Row],[Column1]]="Technology",Table1[[#This Row],[income]],0)</f>
        <v>0</v>
      </c>
      <c r="DG428" s="20">
        <f ca="1">IF(Table1[[#This Row],[Column1]]="Social Service",Table1[[#This Row],[income]],0)</f>
        <v>0</v>
      </c>
      <c r="DH428" s="20">
        <f ca="1">IF(Table1[[#This Row],[Column1]]="Education",Table1[[#This Row],[income]],0)</f>
        <v>0</v>
      </c>
      <c r="DI428" s="5">
        <f ca="1">IF(Table1[[#This Row],[Column1]]="Construction",Table1[[#This Row],[income]],0)</f>
        <v>59631</v>
      </c>
      <c r="DK428" s="6">
        <f ca="1">IF(Table1[[#This Row],[Value of Debts]]&gt;Table1[[#This Row],[income]],1,0)</f>
        <v>1</v>
      </c>
      <c r="DL428" s="20"/>
      <c r="DM428" s="20"/>
      <c r="DN428" s="5"/>
      <c r="DP428" s="6">
        <f ca="1">IF(Table1[[#This Row],[Net Worth (£)]]&gt;$DS$5,C428,0)</f>
        <v>26</v>
      </c>
      <c r="DQ428" s="20"/>
      <c r="DR428" s="20"/>
      <c r="DS428" s="5"/>
    </row>
    <row r="429" spans="1:123" x14ac:dyDescent="0.2">
      <c r="A429">
        <f t="shared" ca="1" si="19"/>
        <v>1</v>
      </c>
      <c r="B429" s="1" t="str">
        <f ca="1">IF(A429=1, "men", "women")</f>
        <v>men</v>
      </c>
      <c r="C429" s="1">
        <f ca="1">RANDBETWEEN(25,50)</f>
        <v>30</v>
      </c>
      <c r="D429">
        <f ca="1">RANDBETWEEN(1,6)</f>
        <v>3</v>
      </c>
      <c r="E429" t="str">
        <f ca="1">VLOOKUP(D429,$W$5:$X$10,2)</f>
        <v>Education</v>
      </c>
      <c r="F429">
        <f ca="1">RANDBETWEEN(1,5)</f>
        <v>1</v>
      </c>
      <c r="G429" t="str">
        <f ca="1">VLOOKUP(F429,$Y$5:$Z$9,2)</f>
        <v>High School</v>
      </c>
      <c r="H429">
        <f ca="1">RANDBETWEEN(0,4)</f>
        <v>2</v>
      </c>
      <c r="I429">
        <f ca="1">RANDBETWEEN(1,3)</f>
        <v>2</v>
      </c>
      <c r="J429">
        <f ca="1">RANDBETWEEN(30000,100000)</f>
        <v>40563</v>
      </c>
      <c r="K429">
        <f ca="1">RANDBETWEEN(1,48)</f>
        <v>28</v>
      </c>
      <c r="L429" t="str">
        <f ca="1">VLOOKUP(K429,$AA$5:$AB$52,2)</f>
        <v>Lincolnshire</v>
      </c>
      <c r="M429">
        <f ca="1">J429*(RANDBETWEEN(2,5))</f>
        <v>121689</v>
      </c>
      <c r="N429">
        <f ca="1">RAND()*M429</f>
        <v>48056.542211976739</v>
      </c>
      <c r="O429">
        <f ca="1">I429*RAND()*J429</f>
        <v>61258.268148113428</v>
      </c>
      <c r="P429">
        <f ca="1">RANDBETWEEN(0,O429)</f>
        <v>59749</v>
      </c>
      <c r="Q429">
        <f ca="1">RAND()*J429*2</f>
        <v>21933.375512365328</v>
      </c>
      <c r="R429">
        <f ca="1">RAND()*J429*1.5</f>
        <v>15743.357028970611</v>
      </c>
      <c r="S429">
        <f ca="1">J429+R429+O429</f>
        <v>117564.62517708403</v>
      </c>
      <c r="T429">
        <f ca="1">N429+P429+Q429</f>
        <v>129738.91772434207</v>
      </c>
      <c r="U429">
        <f ca="1">S429-T429</f>
        <v>-12174.292547258039</v>
      </c>
      <c r="AC429" s="6">
        <f ca="1">IF(Table1[[#This Row],[gender]]="men",1,0)</f>
        <v>1</v>
      </c>
      <c r="AD429">
        <f ca="1">IF(Table1[[#This Row],[gender]]="women",1,0)</f>
        <v>0</v>
      </c>
      <c r="AH429" s="5"/>
      <c r="AJ429" s="6">
        <f ca="1">IF(Table1[[#This Row],[Column1]]="Health",1,0)</f>
        <v>0</v>
      </c>
      <c r="AK429">
        <f ca="1">IF(Table1[[#This Row],[Column1]]="Construction",1,0)</f>
        <v>0</v>
      </c>
      <c r="AL429">
        <f ca="1">IF(Table1[[#This Row],[Column1]]="Technology",1,0)</f>
        <v>0</v>
      </c>
      <c r="AM429">
        <f ca="1">IF(Table1[[#This Row],[Column1]]="Education",1,0)</f>
        <v>1</v>
      </c>
      <c r="AN429">
        <f ca="1">IF(Table1[[#This Row],[Column1]]="Agriculture",1,0)</f>
        <v>0</v>
      </c>
      <c r="AO429">
        <f ca="1">IF(Table1[[#This Row],[Column1]]="Social Service", 1, 0)</f>
        <v>0</v>
      </c>
      <c r="AT429" s="5"/>
      <c r="AV429" s="17">
        <f t="shared" ca="1" si="18"/>
        <v>41363.685494561039</v>
      </c>
      <c r="AW429" s="5"/>
      <c r="AX429" s="6">
        <f ca="1">IF(Table1[[#This Row],[Value of Debts]]&gt;$AY$4,1,0)</f>
        <v>1</v>
      </c>
      <c r="AY429" s="20"/>
      <c r="AZ429" s="20"/>
      <c r="BA429" s="5"/>
      <c r="BB429" s="25">
        <f ca="1">Table1[[#This Row],[Mortage Left]]/Table1[[#This Row],[Value of House]]</f>
        <v>0.39491278761413717</v>
      </c>
      <c r="BC429" s="20">
        <f t="shared" ca="1" si="20"/>
        <v>0</v>
      </c>
      <c r="BD429" s="20"/>
      <c r="BE429" s="20"/>
      <c r="BF429" s="20"/>
      <c r="BG429" s="6">
        <f ca="1">IF(Table1[[#This Row],[County]]="Cumbria",Table1[[#This Row],[income]],0)</f>
        <v>0</v>
      </c>
      <c r="BH429" s="20">
        <f ca="1">IF(Table1[[#This Row],[County]]="Cheshire",Table1[[#This Row],[income]],0)</f>
        <v>0</v>
      </c>
      <c r="BI429" s="20">
        <f ca="1">IF(Table1[[#This Row],[County]]="Bristol",Table1[[#This Row],[income]],0)</f>
        <v>0</v>
      </c>
      <c r="BJ429" s="20">
        <f ca="1">IF(Table1[[#This Row],[County]]="Surrey",Table1[[#This Row],[income]],0)</f>
        <v>0</v>
      </c>
      <c r="BK429" s="20">
        <f ca="1">IF(Table1[[#This Row],[County]]="Norfolk",Table1[[#This Row],[income]],0)</f>
        <v>0</v>
      </c>
      <c r="BL429" s="20">
        <f ca="1">IF(Table1[[#This Row],[County]]="Lincolnshire",Table1[[#This Row],[income]],0)</f>
        <v>40563</v>
      </c>
      <c r="BM429" s="20">
        <f ca="1">IF(Table1[[#This Row],[County]]="Somerset",Table1[[#This Row],[income]],0)</f>
        <v>0</v>
      </c>
      <c r="BN429" s="20">
        <f ca="1">IF(Table1[[#This Row],[County]]="Cambridgeshire",Table1[[#This Row],[income]],0)</f>
        <v>0</v>
      </c>
      <c r="BO429" s="20">
        <f ca="1">IF(Table1[[#This Row],[County]]="South Yorkshire",Table1[[#This Row],[income]],0)</f>
        <v>0</v>
      </c>
      <c r="BP429" s="20">
        <f ca="1">IF(Table1[[#This Row],[County]]="Greater London",Table1[[#This Row],[income]],0)</f>
        <v>0</v>
      </c>
      <c r="BQ429" s="20">
        <f ca="1">IF(Table1[[#This Row],[County]]="Hampshire",Table1[[#This Row],[income]],0)</f>
        <v>0</v>
      </c>
      <c r="BR429" s="20">
        <f ca="1">IF(Table1[[#This Row],[County]]="Gloucestershire",Table1[[#This Row],[income]],0)</f>
        <v>0</v>
      </c>
      <c r="BS429" s="20">
        <f ca="1">IF(Table1[[#This Row],[County]]="West Sussex",Table1[[#This Row],[income]],0)</f>
        <v>0</v>
      </c>
      <c r="BT429" s="20">
        <f ca="1">IF(Table1[[#This Row],[County]]="Devon",Table1[[#This Row],[income]],0)</f>
        <v>0</v>
      </c>
      <c r="BU429" s="20">
        <f ca="1">IF(Table1[[#This Row],[County]]="Berkshire",Table1[[#This Row],[income]],0)</f>
        <v>0</v>
      </c>
      <c r="BV429" s="20">
        <f ca="1">IF(Table1[[#This Row],[County]]="Staffordshire",Table1[[#This Row],[income]],0)</f>
        <v>0</v>
      </c>
      <c r="BW429" s="20">
        <f ca="1">IF(Table1[[#This Row],[County]]="Leicestershire",Table1[[#This Row],[income]],0)</f>
        <v>0</v>
      </c>
      <c r="BX429" s="20">
        <f ca="1">IF(Table1[[#This Row],[County]]="Cornwall",Table1[[#This Row],[income]],0)</f>
        <v>0</v>
      </c>
      <c r="BY429" s="20">
        <f ca="1">IF(Table1[[#This Row],[County]]="Isle of Wight",Table1[[#This Row],[income]],0)</f>
        <v>0</v>
      </c>
      <c r="BZ429" s="20">
        <f ca="1">IF(Table1[[#This Row],[County]]="Surrey",Table1[[#This Row],[income]],0)</f>
        <v>0</v>
      </c>
      <c r="CA429" s="20">
        <f ca="1">IF(Table1[[#This Row],[County]]="Derbyshire",Table1[[#This Row],[income]],0)</f>
        <v>0</v>
      </c>
      <c r="CB429" s="20">
        <f ca="1">IF(Table1[[#This Row],[County]]="City of London",Table1[[#This Row],[income]],0)</f>
        <v>0</v>
      </c>
      <c r="CC429" s="20">
        <f ca="1">IF(Table1[[#This Row],[County]]="Bedfordshire",Table1[[#This Row],[income]],0)</f>
        <v>0</v>
      </c>
      <c r="CD429" s="20">
        <f ca="1">IF(Table1[[#This Row],[County]]="County Durham",Table1[[#This Row],[income]],0)</f>
        <v>0</v>
      </c>
      <c r="CE429" s="20">
        <f ca="1">IF(Table1[[#This Row],[County]]="East Riding of Yorkshire",Table1[[#This Row],[income]],0)</f>
        <v>0</v>
      </c>
      <c r="CF429" s="20">
        <f ca="1">IF(Table1[[#This Row],[County]]="West Yorkshire",Table1[[#This Row],[income]],0)</f>
        <v>0</v>
      </c>
      <c r="CG429" s="20">
        <f ca="1">IF(Table1[[#This Row],[County]]="Essex",Table1[[#This Row],[income]],0)</f>
        <v>0</v>
      </c>
      <c r="CH429" s="20">
        <f ca="1">IF(Table1[[#This Row],[County]]="East Sussex",Table1[[#This Row],[income]],0)</f>
        <v>0</v>
      </c>
      <c r="CI429" s="20">
        <f ca="1">IF(Table1[[#This Row],[County]]="Greater Manchester",Table1[[#This Row],[income]],0)</f>
        <v>0</v>
      </c>
      <c r="CJ429" s="20">
        <f ca="1">IF(Table1[[#This Row],[County]]="Hertfordshire",Table1[[#This Row],[income]],0)</f>
        <v>0</v>
      </c>
      <c r="CK429" s="20">
        <f ca="1">IF(Table1[[#This Row],[County]]="Herefordshire",Table1[[#This Row],[income]],0)</f>
        <v>0</v>
      </c>
      <c r="CL429" s="20">
        <f ca="1">IF(Table1[[#This Row],[County]]="Lancashire",Table1[[#This Row],[income]],0)</f>
        <v>0</v>
      </c>
      <c r="CM429" s="20">
        <f ca="1">IF(Table1[[#This Row],[County]]="Merseyside",Table1[[#This Row],[income]],0)</f>
        <v>0</v>
      </c>
      <c r="CN429" s="20">
        <f ca="1">IF(Table1[[#This Row],[County]]="Northamptonshire",Table1[[#This Row],[income]],0)</f>
        <v>0</v>
      </c>
      <c r="CO429" s="20">
        <f ca="1">IF(Table1[[#This Row],[County]]="Northumberland",Table1[[#This Row],[income]],0)</f>
        <v>0</v>
      </c>
      <c r="CP429" s="20">
        <f ca="1">IF(Table1[[#This Row],[County]]="Wiltshire",Table1[[#This Row],[income]],0)</f>
        <v>0</v>
      </c>
      <c r="CQ429" s="20">
        <f ca="1">IF(Table1[[#This Row],[County]]="West Midlands",Table1[[#This Row],[income]],0)</f>
        <v>0</v>
      </c>
      <c r="CR429" s="20">
        <f ca="1">IF(Table1[[#This Row],[County]]="Warwickshire",Table1[[#This Row],[income]],0)</f>
        <v>0</v>
      </c>
      <c r="CS429" s="20">
        <f ca="1">IF(Table1[[#This Row],[County]]="Tyne and Wear",Table1[[#This Row],[income]],0)</f>
        <v>0</v>
      </c>
      <c r="CT429" s="20">
        <f ca="1">IF(Table1[[#This Row],[County]]="Worcestershire",Table1[[#This Row],[income]],0)</f>
        <v>0</v>
      </c>
      <c r="CU429" s="20">
        <f ca="1">IF(Table1[[#This Row],[County]]="Rutland",Table1[[#This Row],[income]],0)</f>
        <v>0</v>
      </c>
      <c r="CV429" s="20">
        <f ca="1">IF(Table1[[#This Row],[County]]="Shropshire",Table1[[#This Row],[income]],0)</f>
        <v>0</v>
      </c>
      <c r="CW429" s="20">
        <f ca="1">IF(Table1[[#This Row],[County]]="Dorset",Table1[[#This Row],[income]],0)</f>
        <v>0</v>
      </c>
      <c r="CX429" s="20">
        <f ca="1">IF(Table1[[#This Row],[County]]="Buckinghamshire",Table1[[#This Row],[income]],0)</f>
        <v>0</v>
      </c>
      <c r="CY429" s="20">
        <f ca="1">IF(Table1[[#This Row],[County]]="Suffolk",Table1[[#This Row],[income]],0)</f>
        <v>0</v>
      </c>
      <c r="CZ429" s="20">
        <f ca="1">IF(Table1[[#This Row],[County]]="North Yorkshire",Table1[[#This Row],[income]],0)</f>
        <v>0</v>
      </c>
      <c r="DA429" s="20">
        <f ca="1">IF(Table1[[#This Row],[County]]="Kent",Table1[[#This Row],[income]],0)</f>
        <v>0</v>
      </c>
      <c r="DB429" s="5">
        <f ca="1">IF(Table1[[#This Row],[County]]="Derbyshire",Table1[[#This Row],[income]],0)</f>
        <v>0</v>
      </c>
      <c r="DD429" s="6">
        <f ca="1">IF(Table1[[#This Row],[Column1]]="Health",Table1[[#This Row],[income]],0)</f>
        <v>0</v>
      </c>
      <c r="DE429" s="20">
        <f ca="1">IF(Table1[[#This Row],[Column1]]="Agriculture",Table1[[#This Row],[income]],0)</f>
        <v>0</v>
      </c>
      <c r="DF429" s="20">
        <f ca="1">IF(Table1[[#This Row],[Column1]]="Technology",Table1[[#This Row],[income]],0)</f>
        <v>0</v>
      </c>
      <c r="DG429" s="20">
        <f ca="1">IF(Table1[[#This Row],[Column1]]="Social Service",Table1[[#This Row],[income]],0)</f>
        <v>0</v>
      </c>
      <c r="DH429" s="20">
        <f ca="1">IF(Table1[[#This Row],[Column1]]="Education",Table1[[#This Row],[income]],0)</f>
        <v>40563</v>
      </c>
      <c r="DI429" s="5">
        <f ca="1">IF(Table1[[#This Row],[Column1]]="Construction",Table1[[#This Row],[income]],0)</f>
        <v>0</v>
      </c>
      <c r="DK429" s="6">
        <f ca="1">IF(Table1[[#This Row],[Value of Debts]]&gt;Table1[[#This Row],[income]],1,0)</f>
        <v>1</v>
      </c>
      <c r="DL429" s="20"/>
      <c r="DM429" s="20"/>
      <c r="DN429" s="5"/>
      <c r="DP429" s="6">
        <f ca="1">IF(Table1[[#This Row],[Net Worth (£)]]&gt;$DS$5,C429,0)</f>
        <v>0</v>
      </c>
      <c r="DQ429" s="20"/>
      <c r="DR429" s="20"/>
      <c r="DS429" s="5"/>
    </row>
    <row r="430" spans="1:123" x14ac:dyDescent="0.2">
      <c r="A430">
        <f t="shared" ca="1" si="19"/>
        <v>1</v>
      </c>
      <c r="B430" s="1" t="str">
        <f ca="1">IF(A430=1, "men", "women")</f>
        <v>men</v>
      </c>
      <c r="C430" s="1">
        <f ca="1">RANDBETWEEN(25,50)</f>
        <v>32</v>
      </c>
      <c r="D430">
        <f ca="1">RANDBETWEEN(1,6)</f>
        <v>2</v>
      </c>
      <c r="E430" t="str">
        <f ca="1">VLOOKUP(D430,$W$5:$X$10,2)</f>
        <v>Construction</v>
      </c>
      <c r="F430">
        <f ca="1">RANDBETWEEN(1,5)</f>
        <v>5</v>
      </c>
      <c r="G430" t="str">
        <f ca="1">VLOOKUP(F430,$Y$5:$Z$9,2)</f>
        <v>Other</v>
      </c>
      <c r="H430">
        <f ca="1">RANDBETWEEN(0,4)</f>
        <v>3</v>
      </c>
      <c r="I430">
        <f ca="1">RANDBETWEEN(1,3)</f>
        <v>2</v>
      </c>
      <c r="J430">
        <f ca="1">RANDBETWEEN(30000,100000)</f>
        <v>97192</v>
      </c>
      <c r="K430">
        <f ca="1">RANDBETWEEN(1,48)</f>
        <v>8</v>
      </c>
      <c r="L430" t="str">
        <f ca="1">VLOOKUP(K430,$AA$5:$AB$52,2)</f>
        <v>Cornwall</v>
      </c>
      <c r="M430">
        <f ca="1">J430*(RANDBETWEEN(2,5))</f>
        <v>194384</v>
      </c>
      <c r="N430">
        <f ca="1">RAND()*M430</f>
        <v>153216.66401749788</v>
      </c>
      <c r="O430">
        <f ca="1">I430*RAND()*J430</f>
        <v>82727.370989122079</v>
      </c>
      <c r="P430">
        <f ca="1">RANDBETWEEN(0,O430)</f>
        <v>75133</v>
      </c>
      <c r="Q430">
        <f ca="1">RAND()*J430*2</f>
        <v>79594.961175196135</v>
      </c>
      <c r="R430">
        <f ca="1">RAND()*J430*1.5</f>
        <v>28974.507176515173</v>
      </c>
      <c r="S430">
        <f ca="1">J430+R430+O430</f>
        <v>208893.87816563726</v>
      </c>
      <c r="T430">
        <f ca="1">N430+P430+Q430</f>
        <v>307944.62519269402</v>
      </c>
      <c r="U430">
        <f ca="1">S430-T430</f>
        <v>-99050.747027056757</v>
      </c>
      <c r="AC430" s="6">
        <f ca="1">IF(Table1[[#This Row],[gender]]="men",1,0)</f>
        <v>1</v>
      </c>
      <c r="AD430">
        <f ca="1">IF(Table1[[#This Row],[gender]]="women",1,0)</f>
        <v>0</v>
      </c>
      <c r="AH430" s="5"/>
      <c r="AJ430" s="6">
        <f ca="1">IF(Table1[[#This Row],[Column1]]="Health",1,0)</f>
        <v>0</v>
      </c>
      <c r="AK430">
        <f ca="1">IF(Table1[[#This Row],[Column1]]="Construction",1,0)</f>
        <v>1</v>
      </c>
      <c r="AL430">
        <f ca="1">IF(Table1[[#This Row],[Column1]]="Technology",1,0)</f>
        <v>0</v>
      </c>
      <c r="AM430">
        <f ca="1">IF(Table1[[#This Row],[Column1]]="Education",1,0)</f>
        <v>0</v>
      </c>
      <c r="AN430">
        <f ca="1">IF(Table1[[#This Row],[Column1]]="Agriculture",1,0)</f>
        <v>0</v>
      </c>
      <c r="AO430">
        <f ca="1">IF(Table1[[#This Row],[Column1]]="Social Service", 1, 0)</f>
        <v>0</v>
      </c>
      <c r="AT430" s="5"/>
      <c r="AV430" s="17">
        <f t="shared" ca="1" si="18"/>
        <v>65618.232884681463</v>
      </c>
      <c r="AW430" s="5"/>
      <c r="AX430" s="6">
        <f ca="1">IF(Table1[[#This Row],[Value of Debts]]&gt;$AY$4,1,0)</f>
        <v>1</v>
      </c>
      <c r="AY430" s="20"/>
      <c r="AZ430" s="20"/>
      <c r="BA430" s="5"/>
      <c r="BB430" s="25">
        <f ca="1">Table1[[#This Row],[Mortage Left]]/Table1[[#This Row],[Value of House]]</f>
        <v>0.78821643765689497</v>
      </c>
      <c r="BC430" s="20">
        <f t="shared" ca="1" si="20"/>
        <v>0</v>
      </c>
      <c r="BD430" s="20"/>
      <c r="BE430" s="20"/>
      <c r="BF430" s="20"/>
      <c r="BG430" s="6">
        <f ca="1">IF(Table1[[#This Row],[County]]="Cumbria",Table1[[#This Row],[income]],0)</f>
        <v>0</v>
      </c>
      <c r="BH430" s="20">
        <f ca="1">IF(Table1[[#This Row],[County]]="Cheshire",Table1[[#This Row],[income]],0)</f>
        <v>0</v>
      </c>
      <c r="BI430" s="20">
        <f ca="1">IF(Table1[[#This Row],[County]]="Bristol",Table1[[#This Row],[income]],0)</f>
        <v>0</v>
      </c>
      <c r="BJ430" s="20">
        <f ca="1">IF(Table1[[#This Row],[County]]="Surrey",Table1[[#This Row],[income]],0)</f>
        <v>0</v>
      </c>
      <c r="BK430" s="20">
        <f ca="1">IF(Table1[[#This Row],[County]]="Norfolk",Table1[[#This Row],[income]],0)</f>
        <v>0</v>
      </c>
      <c r="BL430" s="20">
        <f ca="1">IF(Table1[[#This Row],[County]]="Lincolnshire",Table1[[#This Row],[income]],0)</f>
        <v>0</v>
      </c>
      <c r="BM430" s="20">
        <f ca="1">IF(Table1[[#This Row],[County]]="Somerset",Table1[[#This Row],[income]],0)</f>
        <v>0</v>
      </c>
      <c r="BN430" s="20">
        <f ca="1">IF(Table1[[#This Row],[County]]="Cambridgeshire",Table1[[#This Row],[income]],0)</f>
        <v>0</v>
      </c>
      <c r="BO430" s="20">
        <f ca="1">IF(Table1[[#This Row],[County]]="South Yorkshire",Table1[[#This Row],[income]],0)</f>
        <v>0</v>
      </c>
      <c r="BP430" s="20">
        <f ca="1">IF(Table1[[#This Row],[County]]="Greater London",Table1[[#This Row],[income]],0)</f>
        <v>0</v>
      </c>
      <c r="BQ430" s="20">
        <f ca="1">IF(Table1[[#This Row],[County]]="Hampshire",Table1[[#This Row],[income]],0)</f>
        <v>0</v>
      </c>
      <c r="BR430" s="20">
        <f ca="1">IF(Table1[[#This Row],[County]]="Gloucestershire",Table1[[#This Row],[income]],0)</f>
        <v>0</v>
      </c>
      <c r="BS430" s="20">
        <f ca="1">IF(Table1[[#This Row],[County]]="West Sussex",Table1[[#This Row],[income]],0)</f>
        <v>0</v>
      </c>
      <c r="BT430" s="20">
        <f ca="1">IF(Table1[[#This Row],[County]]="Devon",Table1[[#This Row],[income]],0)</f>
        <v>0</v>
      </c>
      <c r="BU430" s="20">
        <f ca="1">IF(Table1[[#This Row],[County]]="Berkshire",Table1[[#This Row],[income]],0)</f>
        <v>0</v>
      </c>
      <c r="BV430" s="20">
        <f ca="1">IF(Table1[[#This Row],[County]]="Staffordshire",Table1[[#This Row],[income]],0)</f>
        <v>0</v>
      </c>
      <c r="BW430" s="20">
        <f ca="1">IF(Table1[[#This Row],[County]]="Leicestershire",Table1[[#This Row],[income]],0)</f>
        <v>0</v>
      </c>
      <c r="BX430" s="20">
        <f ca="1">IF(Table1[[#This Row],[County]]="Cornwall",Table1[[#This Row],[income]],0)</f>
        <v>97192</v>
      </c>
      <c r="BY430" s="20">
        <f ca="1">IF(Table1[[#This Row],[County]]="Isle of Wight",Table1[[#This Row],[income]],0)</f>
        <v>0</v>
      </c>
      <c r="BZ430" s="20">
        <f ca="1">IF(Table1[[#This Row],[County]]="Surrey",Table1[[#This Row],[income]],0)</f>
        <v>0</v>
      </c>
      <c r="CA430" s="20">
        <f ca="1">IF(Table1[[#This Row],[County]]="Derbyshire",Table1[[#This Row],[income]],0)</f>
        <v>0</v>
      </c>
      <c r="CB430" s="20">
        <f ca="1">IF(Table1[[#This Row],[County]]="City of London",Table1[[#This Row],[income]],0)</f>
        <v>0</v>
      </c>
      <c r="CC430" s="20">
        <f ca="1">IF(Table1[[#This Row],[County]]="Bedfordshire",Table1[[#This Row],[income]],0)</f>
        <v>0</v>
      </c>
      <c r="CD430" s="20">
        <f ca="1">IF(Table1[[#This Row],[County]]="County Durham",Table1[[#This Row],[income]],0)</f>
        <v>0</v>
      </c>
      <c r="CE430" s="20">
        <f ca="1">IF(Table1[[#This Row],[County]]="East Riding of Yorkshire",Table1[[#This Row],[income]],0)</f>
        <v>0</v>
      </c>
      <c r="CF430" s="20">
        <f ca="1">IF(Table1[[#This Row],[County]]="West Yorkshire",Table1[[#This Row],[income]],0)</f>
        <v>0</v>
      </c>
      <c r="CG430" s="20">
        <f ca="1">IF(Table1[[#This Row],[County]]="Essex",Table1[[#This Row],[income]],0)</f>
        <v>0</v>
      </c>
      <c r="CH430" s="20">
        <f ca="1">IF(Table1[[#This Row],[County]]="East Sussex",Table1[[#This Row],[income]],0)</f>
        <v>0</v>
      </c>
      <c r="CI430" s="20">
        <f ca="1">IF(Table1[[#This Row],[County]]="Greater Manchester",Table1[[#This Row],[income]],0)</f>
        <v>0</v>
      </c>
      <c r="CJ430" s="20">
        <f ca="1">IF(Table1[[#This Row],[County]]="Hertfordshire",Table1[[#This Row],[income]],0)</f>
        <v>0</v>
      </c>
      <c r="CK430" s="20">
        <f ca="1">IF(Table1[[#This Row],[County]]="Herefordshire",Table1[[#This Row],[income]],0)</f>
        <v>0</v>
      </c>
      <c r="CL430" s="20">
        <f ca="1">IF(Table1[[#This Row],[County]]="Lancashire",Table1[[#This Row],[income]],0)</f>
        <v>0</v>
      </c>
      <c r="CM430" s="20">
        <f ca="1">IF(Table1[[#This Row],[County]]="Merseyside",Table1[[#This Row],[income]],0)</f>
        <v>0</v>
      </c>
      <c r="CN430" s="20">
        <f ca="1">IF(Table1[[#This Row],[County]]="Northamptonshire",Table1[[#This Row],[income]],0)</f>
        <v>0</v>
      </c>
      <c r="CO430" s="20">
        <f ca="1">IF(Table1[[#This Row],[County]]="Northumberland",Table1[[#This Row],[income]],0)</f>
        <v>0</v>
      </c>
      <c r="CP430" s="20">
        <f ca="1">IF(Table1[[#This Row],[County]]="Wiltshire",Table1[[#This Row],[income]],0)</f>
        <v>0</v>
      </c>
      <c r="CQ430" s="20">
        <f ca="1">IF(Table1[[#This Row],[County]]="West Midlands",Table1[[#This Row],[income]],0)</f>
        <v>0</v>
      </c>
      <c r="CR430" s="20">
        <f ca="1">IF(Table1[[#This Row],[County]]="Warwickshire",Table1[[#This Row],[income]],0)</f>
        <v>0</v>
      </c>
      <c r="CS430" s="20">
        <f ca="1">IF(Table1[[#This Row],[County]]="Tyne and Wear",Table1[[#This Row],[income]],0)</f>
        <v>0</v>
      </c>
      <c r="CT430" s="20">
        <f ca="1">IF(Table1[[#This Row],[County]]="Worcestershire",Table1[[#This Row],[income]],0)</f>
        <v>0</v>
      </c>
      <c r="CU430" s="20">
        <f ca="1">IF(Table1[[#This Row],[County]]="Rutland",Table1[[#This Row],[income]],0)</f>
        <v>0</v>
      </c>
      <c r="CV430" s="20">
        <f ca="1">IF(Table1[[#This Row],[County]]="Shropshire",Table1[[#This Row],[income]],0)</f>
        <v>0</v>
      </c>
      <c r="CW430" s="20">
        <f ca="1">IF(Table1[[#This Row],[County]]="Dorset",Table1[[#This Row],[income]],0)</f>
        <v>0</v>
      </c>
      <c r="CX430" s="20">
        <f ca="1">IF(Table1[[#This Row],[County]]="Buckinghamshire",Table1[[#This Row],[income]],0)</f>
        <v>0</v>
      </c>
      <c r="CY430" s="20">
        <f ca="1">IF(Table1[[#This Row],[County]]="Suffolk",Table1[[#This Row],[income]],0)</f>
        <v>0</v>
      </c>
      <c r="CZ430" s="20">
        <f ca="1">IF(Table1[[#This Row],[County]]="North Yorkshire",Table1[[#This Row],[income]],0)</f>
        <v>0</v>
      </c>
      <c r="DA430" s="20">
        <f ca="1">IF(Table1[[#This Row],[County]]="Kent",Table1[[#This Row],[income]],0)</f>
        <v>0</v>
      </c>
      <c r="DB430" s="5">
        <f ca="1">IF(Table1[[#This Row],[County]]="Derbyshire",Table1[[#This Row],[income]],0)</f>
        <v>0</v>
      </c>
      <c r="DD430" s="6">
        <f ca="1">IF(Table1[[#This Row],[Column1]]="Health",Table1[[#This Row],[income]],0)</f>
        <v>0</v>
      </c>
      <c r="DE430" s="20">
        <f ca="1">IF(Table1[[#This Row],[Column1]]="Agriculture",Table1[[#This Row],[income]],0)</f>
        <v>0</v>
      </c>
      <c r="DF430" s="20">
        <f ca="1">IF(Table1[[#This Row],[Column1]]="Technology",Table1[[#This Row],[income]],0)</f>
        <v>0</v>
      </c>
      <c r="DG430" s="20">
        <f ca="1">IF(Table1[[#This Row],[Column1]]="Social Service",Table1[[#This Row],[income]],0)</f>
        <v>0</v>
      </c>
      <c r="DH430" s="20">
        <f ca="1">IF(Table1[[#This Row],[Column1]]="Education",Table1[[#This Row],[income]],0)</f>
        <v>0</v>
      </c>
      <c r="DI430" s="5">
        <f ca="1">IF(Table1[[#This Row],[Column1]]="Construction",Table1[[#This Row],[income]],0)</f>
        <v>97192</v>
      </c>
      <c r="DK430" s="6">
        <f ca="1">IF(Table1[[#This Row],[Value of Debts]]&gt;Table1[[#This Row],[income]],1,0)</f>
        <v>1</v>
      </c>
      <c r="DL430" s="20"/>
      <c r="DM430" s="20"/>
      <c r="DN430" s="5"/>
      <c r="DP430" s="6">
        <f ca="1">IF(Table1[[#This Row],[Net Worth (£)]]&gt;$DS$5,C430,0)</f>
        <v>0</v>
      </c>
      <c r="DQ430" s="20"/>
      <c r="DR430" s="20"/>
      <c r="DS430" s="5"/>
    </row>
    <row r="431" spans="1:123" x14ac:dyDescent="0.2">
      <c r="A431">
        <f t="shared" ca="1" si="19"/>
        <v>2</v>
      </c>
      <c r="B431" s="1" t="str">
        <f ca="1">IF(A431=1, "men", "women")</f>
        <v>women</v>
      </c>
      <c r="C431" s="1">
        <f ca="1">RANDBETWEEN(25,50)</f>
        <v>48</v>
      </c>
      <c r="D431">
        <f ca="1">RANDBETWEEN(1,6)</f>
        <v>2</v>
      </c>
      <c r="E431" t="str">
        <f ca="1">VLOOKUP(D431,$W$5:$X$10,2)</f>
        <v>Construction</v>
      </c>
      <c r="F431">
        <f ca="1">RANDBETWEEN(1,5)</f>
        <v>2</v>
      </c>
      <c r="G431" t="str">
        <f ca="1">VLOOKUP(F431,$Y$5:$Z$9,2)</f>
        <v>College</v>
      </c>
      <c r="H431">
        <f ca="1">RANDBETWEEN(0,4)</f>
        <v>2</v>
      </c>
      <c r="I431">
        <f ca="1">RANDBETWEEN(1,3)</f>
        <v>1</v>
      </c>
      <c r="J431">
        <f ca="1">RANDBETWEEN(30000,100000)</f>
        <v>98855</v>
      </c>
      <c r="K431">
        <f ca="1">RANDBETWEEN(1,48)</f>
        <v>28</v>
      </c>
      <c r="L431" t="str">
        <f ca="1">VLOOKUP(K431,$AA$5:$AB$52,2)</f>
        <v>Lincolnshire</v>
      </c>
      <c r="M431">
        <f ca="1">J431*(RANDBETWEEN(2,5))</f>
        <v>395420</v>
      </c>
      <c r="N431">
        <f ca="1">RAND()*M431</f>
        <v>392667.55298910983</v>
      </c>
      <c r="O431">
        <f ca="1">I431*RAND()*J431</f>
        <v>65618.232884681463</v>
      </c>
      <c r="P431">
        <f ca="1">RANDBETWEEN(0,O431)</f>
        <v>39828</v>
      </c>
      <c r="Q431">
        <f ca="1">RAND()*J431*2</f>
        <v>65391.649246097077</v>
      </c>
      <c r="R431">
        <f ca="1">RAND()*J431*1.5</f>
        <v>121249.18116606021</v>
      </c>
      <c r="S431">
        <f ca="1">J431+R431+O431</f>
        <v>285722.4140507417</v>
      </c>
      <c r="T431">
        <f ca="1">N431+P431+Q431</f>
        <v>497887.2022352069</v>
      </c>
      <c r="U431">
        <f ca="1">S431-T431</f>
        <v>-212164.7881844652</v>
      </c>
      <c r="AC431" s="6">
        <f ca="1">IF(Table1[[#This Row],[gender]]="men",1,0)</f>
        <v>0</v>
      </c>
      <c r="AD431">
        <f ca="1">IF(Table1[[#This Row],[gender]]="women",1,0)</f>
        <v>1</v>
      </c>
      <c r="AH431" s="5"/>
      <c r="AJ431" s="6">
        <f ca="1">IF(Table1[[#This Row],[Column1]]="Health",1,0)</f>
        <v>0</v>
      </c>
      <c r="AK431">
        <f ca="1">IF(Table1[[#This Row],[Column1]]="Construction",1,0)</f>
        <v>1</v>
      </c>
      <c r="AL431">
        <f ca="1">IF(Table1[[#This Row],[Column1]]="Technology",1,0)</f>
        <v>0</v>
      </c>
      <c r="AM431">
        <f ca="1">IF(Table1[[#This Row],[Column1]]="Education",1,0)</f>
        <v>0</v>
      </c>
      <c r="AN431">
        <f ca="1">IF(Table1[[#This Row],[Column1]]="Agriculture",1,0)</f>
        <v>0</v>
      </c>
      <c r="AO431">
        <f ca="1">IF(Table1[[#This Row],[Column1]]="Social Service", 1, 0)</f>
        <v>0</v>
      </c>
      <c r="AT431" s="5"/>
      <c r="AV431" s="17">
        <f t="shared" ca="1" si="18"/>
        <v>34067.228376109837</v>
      </c>
      <c r="AW431" s="5"/>
      <c r="AX431" s="6">
        <f ca="1">IF(Table1[[#This Row],[Value of Debts]]&gt;$AY$4,1,0)</f>
        <v>1</v>
      </c>
      <c r="AY431" s="20"/>
      <c r="AZ431" s="20"/>
      <c r="BA431" s="5"/>
      <c r="BB431" s="25">
        <f ca="1">Table1[[#This Row],[Mortage Left]]/Table1[[#This Row],[Value of House]]</f>
        <v>0.99303918109632749</v>
      </c>
      <c r="BC431" s="20">
        <f t="shared" ca="1" si="20"/>
        <v>0</v>
      </c>
      <c r="BD431" s="20"/>
      <c r="BE431" s="20"/>
      <c r="BF431" s="20"/>
      <c r="BG431" s="6">
        <f ca="1">IF(Table1[[#This Row],[County]]="Cumbria",Table1[[#This Row],[income]],0)</f>
        <v>0</v>
      </c>
      <c r="BH431" s="20">
        <f ca="1">IF(Table1[[#This Row],[County]]="Cheshire",Table1[[#This Row],[income]],0)</f>
        <v>0</v>
      </c>
      <c r="BI431" s="20">
        <f ca="1">IF(Table1[[#This Row],[County]]="Bristol",Table1[[#This Row],[income]],0)</f>
        <v>0</v>
      </c>
      <c r="BJ431" s="20">
        <f ca="1">IF(Table1[[#This Row],[County]]="Surrey",Table1[[#This Row],[income]],0)</f>
        <v>0</v>
      </c>
      <c r="BK431" s="20">
        <f ca="1">IF(Table1[[#This Row],[County]]="Norfolk",Table1[[#This Row],[income]],0)</f>
        <v>0</v>
      </c>
      <c r="BL431" s="20">
        <f ca="1">IF(Table1[[#This Row],[County]]="Lincolnshire",Table1[[#This Row],[income]],0)</f>
        <v>98855</v>
      </c>
      <c r="BM431" s="20">
        <f ca="1">IF(Table1[[#This Row],[County]]="Somerset",Table1[[#This Row],[income]],0)</f>
        <v>0</v>
      </c>
      <c r="BN431" s="20">
        <f ca="1">IF(Table1[[#This Row],[County]]="Cambridgeshire",Table1[[#This Row],[income]],0)</f>
        <v>0</v>
      </c>
      <c r="BO431" s="20">
        <f ca="1">IF(Table1[[#This Row],[County]]="South Yorkshire",Table1[[#This Row],[income]],0)</f>
        <v>0</v>
      </c>
      <c r="BP431" s="20">
        <f ca="1">IF(Table1[[#This Row],[County]]="Greater London",Table1[[#This Row],[income]],0)</f>
        <v>0</v>
      </c>
      <c r="BQ431" s="20">
        <f ca="1">IF(Table1[[#This Row],[County]]="Hampshire",Table1[[#This Row],[income]],0)</f>
        <v>0</v>
      </c>
      <c r="BR431" s="20">
        <f ca="1">IF(Table1[[#This Row],[County]]="Gloucestershire",Table1[[#This Row],[income]],0)</f>
        <v>0</v>
      </c>
      <c r="BS431" s="20">
        <f ca="1">IF(Table1[[#This Row],[County]]="West Sussex",Table1[[#This Row],[income]],0)</f>
        <v>0</v>
      </c>
      <c r="BT431" s="20">
        <f ca="1">IF(Table1[[#This Row],[County]]="Devon",Table1[[#This Row],[income]],0)</f>
        <v>0</v>
      </c>
      <c r="BU431" s="20">
        <f ca="1">IF(Table1[[#This Row],[County]]="Berkshire",Table1[[#This Row],[income]],0)</f>
        <v>0</v>
      </c>
      <c r="BV431" s="20">
        <f ca="1">IF(Table1[[#This Row],[County]]="Staffordshire",Table1[[#This Row],[income]],0)</f>
        <v>0</v>
      </c>
      <c r="BW431" s="20">
        <f ca="1">IF(Table1[[#This Row],[County]]="Leicestershire",Table1[[#This Row],[income]],0)</f>
        <v>0</v>
      </c>
      <c r="BX431" s="20">
        <f ca="1">IF(Table1[[#This Row],[County]]="Cornwall",Table1[[#This Row],[income]],0)</f>
        <v>0</v>
      </c>
      <c r="BY431" s="20">
        <f ca="1">IF(Table1[[#This Row],[County]]="Isle of Wight",Table1[[#This Row],[income]],0)</f>
        <v>0</v>
      </c>
      <c r="BZ431" s="20">
        <f ca="1">IF(Table1[[#This Row],[County]]="Surrey",Table1[[#This Row],[income]],0)</f>
        <v>0</v>
      </c>
      <c r="CA431" s="20">
        <f ca="1">IF(Table1[[#This Row],[County]]="Derbyshire",Table1[[#This Row],[income]],0)</f>
        <v>0</v>
      </c>
      <c r="CB431" s="20">
        <f ca="1">IF(Table1[[#This Row],[County]]="City of London",Table1[[#This Row],[income]],0)</f>
        <v>0</v>
      </c>
      <c r="CC431" s="20">
        <f ca="1">IF(Table1[[#This Row],[County]]="Bedfordshire",Table1[[#This Row],[income]],0)</f>
        <v>0</v>
      </c>
      <c r="CD431" s="20">
        <f ca="1">IF(Table1[[#This Row],[County]]="County Durham",Table1[[#This Row],[income]],0)</f>
        <v>0</v>
      </c>
      <c r="CE431" s="20">
        <f ca="1">IF(Table1[[#This Row],[County]]="East Riding of Yorkshire",Table1[[#This Row],[income]],0)</f>
        <v>0</v>
      </c>
      <c r="CF431" s="20">
        <f ca="1">IF(Table1[[#This Row],[County]]="West Yorkshire",Table1[[#This Row],[income]],0)</f>
        <v>0</v>
      </c>
      <c r="CG431" s="20">
        <f ca="1">IF(Table1[[#This Row],[County]]="Essex",Table1[[#This Row],[income]],0)</f>
        <v>0</v>
      </c>
      <c r="CH431" s="20">
        <f ca="1">IF(Table1[[#This Row],[County]]="East Sussex",Table1[[#This Row],[income]],0)</f>
        <v>0</v>
      </c>
      <c r="CI431" s="20">
        <f ca="1">IF(Table1[[#This Row],[County]]="Greater Manchester",Table1[[#This Row],[income]],0)</f>
        <v>0</v>
      </c>
      <c r="CJ431" s="20">
        <f ca="1">IF(Table1[[#This Row],[County]]="Hertfordshire",Table1[[#This Row],[income]],0)</f>
        <v>0</v>
      </c>
      <c r="CK431" s="20">
        <f ca="1">IF(Table1[[#This Row],[County]]="Herefordshire",Table1[[#This Row],[income]],0)</f>
        <v>0</v>
      </c>
      <c r="CL431" s="20">
        <f ca="1">IF(Table1[[#This Row],[County]]="Lancashire",Table1[[#This Row],[income]],0)</f>
        <v>0</v>
      </c>
      <c r="CM431" s="20">
        <f ca="1">IF(Table1[[#This Row],[County]]="Merseyside",Table1[[#This Row],[income]],0)</f>
        <v>0</v>
      </c>
      <c r="CN431" s="20">
        <f ca="1">IF(Table1[[#This Row],[County]]="Northamptonshire",Table1[[#This Row],[income]],0)</f>
        <v>0</v>
      </c>
      <c r="CO431" s="20">
        <f ca="1">IF(Table1[[#This Row],[County]]="Northumberland",Table1[[#This Row],[income]],0)</f>
        <v>0</v>
      </c>
      <c r="CP431" s="20">
        <f ca="1">IF(Table1[[#This Row],[County]]="Wiltshire",Table1[[#This Row],[income]],0)</f>
        <v>0</v>
      </c>
      <c r="CQ431" s="20">
        <f ca="1">IF(Table1[[#This Row],[County]]="West Midlands",Table1[[#This Row],[income]],0)</f>
        <v>0</v>
      </c>
      <c r="CR431" s="20">
        <f ca="1">IF(Table1[[#This Row],[County]]="Warwickshire",Table1[[#This Row],[income]],0)</f>
        <v>0</v>
      </c>
      <c r="CS431" s="20">
        <f ca="1">IF(Table1[[#This Row],[County]]="Tyne and Wear",Table1[[#This Row],[income]],0)</f>
        <v>0</v>
      </c>
      <c r="CT431" s="20">
        <f ca="1">IF(Table1[[#This Row],[County]]="Worcestershire",Table1[[#This Row],[income]],0)</f>
        <v>0</v>
      </c>
      <c r="CU431" s="20">
        <f ca="1">IF(Table1[[#This Row],[County]]="Rutland",Table1[[#This Row],[income]],0)</f>
        <v>0</v>
      </c>
      <c r="CV431" s="20">
        <f ca="1">IF(Table1[[#This Row],[County]]="Shropshire",Table1[[#This Row],[income]],0)</f>
        <v>0</v>
      </c>
      <c r="CW431" s="20">
        <f ca="1">IF(Table1[[#This Row],[County]]="Dorset",Table1[[#This Row],[income]],0)</f>
        <v>0</v>
      </c>
      <c r="CX431" s="20">
        <f ca="1">IF(Table1[[#This Row],[County]]="Buckinghamshire",Table1[[#This Row],[income]],0)</f>
        <v>0</v>
      </c>
      <c r="CY431" s="20">
        <f ca="1">IF(Table1[[#This Row],[County]]="Suffolk",Table1[[#This Row],[income]],0)</f>
        <v>0</v>
      </c>
      <c r="CZ431" s="20">
        <f ca="1">IF(Table1[[#This Row],[County]]="North Yorkshire",Table1[[#This Row],[income]],0)</f>
        <v>0</v>
      </c>
      <c r="DA431" s="20">
        <f ca="1">IF(Table1[[#This Row],[County]]="Kent",Table1[[#This Row],[income]],0)</f>
        <v>0</v>
      </c>
      <c r="DB431" s="5">
        <f ca="1">IF(Table1[[#This Row],[County]]="Derbyshire",Table1[[#This Row],[income]],0)</f>
        <v>0</v>
      </c>
      <c r="DD431" s="6">
        <f ca="1">IF(Table1[[#This Row],[Column1]]="Health",Table1[[#This Row],[income]],0)</f>
        <v>0</v>
      </c>
      <c r="DE431" s="20">
        <f ca="1">IF(Table1[[#This Row],[Column1]]="Agriculture",Table1[[#This Row],[income]],0)</f>
        <v>0</v>
      </c>
      <c r="DF431" s="20">
        <f ca="1">IF(Table1[[#This Row],[Column1]]="Technology",Table1[[#This Row],[income]],0)</f>
        <v>0</v>
      </c>
      <c r="DG431" s="20">
        <f ca="1">IF(Table1[[#This Row],[Column1]]="Social Service",Table1[[#This Row],[income]],0)</f>
        <v>0</v>
      </c>
      <c r="DH431" s="20">
        <f ca="1">IF(Table1[[#This Row],[Column1]]="Education",Table1[[#This Row],[income]],0)</f>
        <v>0</v>
      </c>
      <c r="DI431" s="5">
        <f ca="1">IF(Table1[[#This Row],[Column1]]="Construction",Table1[[#This Row],[income]],0)</f>
        <v>98855</v>
      </c>
      <c r="DK431" s="6">
        <f ca="1">IF(Table1[[#This Row],[Value of Debts]]&gt;Table1[[#This Row],[income]],1,0)</f>
        <v>1</v>
      </c>
      <c r="DL431" s="20"/>
      <c r="DM431" s="20"/>
      <c r="DN431" s="5"/>
      <c r="DP431" s="6">
        <f ca="1">IF(Table1[[#This Row],[Net Worth (£)]]&gt;$DS$5,C431,0)</f>
        <v>0</v>
      </c>
      <c r="DQ431" s="20"/>
      <c r="DR431" s="20"/>
      <c r="DS431" s="5"/>
    </row>
    <row r="432" spans="1:123" x14ac:dyDescent="0.2">
      <c r="A432">
        <f t="shared" ca="1" si="19"/>
        <v>2</v>
      </c>
      <c r="B432" s="1" t="str">
        <f ca="1">IF(A432=1, "men", "women")</f>
        <v>women</v>
      </c>
      <c r="C432" s="1">
        <f ca="1">RANDBETWEEN(25,50)</f>
        <v>29</v>
      </c>
      <c r="D432">
        <f ca="1">RANDBETWEEN(1,6)</f>
        <v>1</v>
      </c>
      <c r="E432" t="str">
        <f ca="1">VLOOKUP(D432,$W$5:$X$10,2)</f>
        <v>Health</v>
      </c>
      <c r="F432">
        <f ca="1">RANDBETWEEN(1,5)</f>
        <v>5</v>
      </c>
      <c r="G432" t="str">
        <f ca="1">VLOOKUP(F432,$Y$5:$Z$9,2)</f>
        <v>Other</v>
      </c>
      <c r="H432">
        <f ca="1">RANDBETWEEN(0,4)</f>
        <v>2</v>
      </c>
      <c r="I432">
        <f ca="1">RANDBETWEEN(1,3)</f>
        <v>3</v>
      </c>
      <c r="J432">
        <f ca="1">RANDBETWEEN(30000,100000)</f>
        <v>36787</v>
      </c>
      <c r="K432">
        <f ca="1">RANDBETWEEN(1,48)</f>
        <v>4</v>
      </c>
      <c r="L432" t="str">
        <f ca="1">VLOOKUP(K432,$AA$5:$AB$52,2)</f>
        <v>Buckinghamshire</v>
      </c>
      <c r="M432">
        <f ca="1">J432*(RANDBETWEEN(2,5))</f>
        <v>110361</v>
      </c>
      <c r="N432">
        <f ca="1">RAND()*M432</f>
        <v>106782.30496441451</v>
      </c>
      <c r="O432">
        <f ca="1">I432*RAND()*J432</f>
        <v>102201.68512832951</v>
      </c>
      <c r="P432">
        <f ca="1">RANDBETWEEN(0,O432)</f>
        <v>74666</v>
      </c>
      <c r="Q432">
        <f ca="1">RAND()*J432*2</f>
        <v>10744.946437535607</v>
      </c>
      <c r="R432">
        <f ca="1">RAND()*J432*1.5</f>
        <v>36758.369578212449</v>
      </c>
      <c r="S432">
        <f ca="1">J432+R432+O432</f>
        <v>175747.05470654194</v>
      </c>
      <c r="T432">
        <f ca="1">N432+P432+Q432</f>
        <v>192193.25140195011</v>
      </c>
      <c r="U432">
        <f ca="1">S432-T432</f>
        <v>-16446.196695408173</v>
      </c>
      <c r="AC432" s="6">
        <f ca="1">IF(Table1[[#This Row],[gender]]="men",1,0)</f>
        <v>0</v>
      </c>
      <c r="AD432">
        <f ca="1">IF(Table1[[#This Row],[gender]]="women",1,0)</f>
        <v>1</v>
      </c>
      <c r="AH432" s="5"/>
      <c r="AJ432" s="6">
        <f ca="1">IF(Table1[[#This Row],[Column1]]="Health",1,0)</f>
        <v>1</v>
      </c>
      <c r="AK432">
        <f ca="1">IF(Table1[[#This Row],[Column1]]="Construction",1,0)</f>
        <v>0</v>
      </c>
      <c r="AL432">
        <f ca="1">IF(Table1[[#This Row],[Column1]]="Technology",1,0)</f>
        <v>0</v>
      </c>
      <c r="AM432">
        <f ca="1">IF(Table1[[#This Row],[Column1]]="Education",1,0)</f>
        <v>0</v>
      </c>
      <c r="AN432">
        <f ca="1">IF(Table1[[#This Row],[Column1]]="Agriculture",1,0)</f>
        <v>0</v>
      </c>
      <c r="AO432">
        <f ca="1">IF(Table1[[#This Row],[Column1]]="Social Service", 1, 0)</f>
        <v>0</v>
      </c>
      <c r="AT432" s="5"/>
      <c r="AV432" s="17">
        <f t="shared" ca="1" si="18"/>
        <v>20101.826639015228</v>
      </c>
      <c r="AW432" s="5"/>
      <c r="AX432" s="6">
        <f ca="1">IF(Table1[[#This Row],[Value of Debts]]&gt;$AY$4,1,0)</f>
        <v>1</v>
      </c>
      <c r="AY432" s="20"/>
      <c r="AZ432" s="20"/>
      <c r="BA432" s="5"/>
      <c r="BB432" s="25">
        <f ca="1">Table1[[#This Row],[Mortage Left]]/Table1[[#This Row],[Value of House]]</f>
        <v>0.96757282884727858</v>
      </c>
      <c r="BC432" s="20">
        <f t="shared" ca="1" si="20"/>
        <v>0</v>
      </c>
      <c r="BD432" s="20"/>
      <c r="BE432" s="20"/>
      <c r="BF432" s="20"/>
      <c r="BG432" s="6">
        <f ca="1">IF(Table1[[#This Row],[County]]="Cumbria",Table1[[#This Row],[income]],0)</f>
        <v>0</v>
      </c>
      <c r="BH432" s="20">
        <f ca="1">IF(Table1[[#This Row],[County]]="Cheshire",Table1[[#This Row],[income]],0)</f>
        <v>0</v>
      </c>
      <c r="BI432" s="20">
        <f ca="1">IF(Table1[[#This Row],[County]]="Bristol",Table1[[#This Row],[income]],0)</f>
        <v>0</v>
      </c>
      <c r="BJ432" s="20">
        <f ca="1">IF(Table1[[#This Row],[County]]="Surrey",Table1[[#This Row],[income]],0)</f>
        <v>0</v>
      </c>
      <c r="BK432" s="20">
        <f ca="1">IF(Table1[[#This Row],[County]]="Norfolk",Table1[[#This Row],[income]],0)</f>
        <v>0</v>
      </c>
      <c r="BL432" s="20">
        <f ca="1">IF(Table1[[#This Row],[County]]="Lincolnshire",Table1[[#This Row],[income]],0)</f>
        <v>0</v>
      </c>
      <c r="BM432" s="20">
        <f ca="1">IF(Table1[[#This Row],[County]]="Somerset",Table1[[#This Row],[income]],0)</f>
        <v>0</v>
      </c>
      <c r="BN432" s="20">
        <f ca="1">IF(Table1[[#This Row],[County]]="Cambridgeshire",Table1[[#This Row],[income]],0)</f>
        <v>0</v>
      </c>
      <c r="BO432" s="20">
        <f ca="1">IF(Table1[[#This Row],[County]]="South Yorkshire",Table1[[#This Row],[income]],0)</f>
        <v>0</v>
      </c>
      <c r="BP432" s="20">
        <f ca="1">IF(Table1[[#This Row],[County]]="Greater London",Table1[[#This Row],[income]],0)</f>
        <v>0</v>
      </c>
      <c r="BQ432" s="20">
        <f ca="1">IF(Table1[[#This Row],[County]]="Hampshire",Table1[[#This Row],[income]],0)</f>
        <v>0</v>
      </c>
      <c r="BR432" s="20">
        <f ca="1">IF(Table1[[#This Row],[County]]="Gloucestershire",Table1[[#This Row],[income]],0)</f>
        <v>0</v>
      </c>
      <c r="BS432" s="20">
        <f ca="1">IF(Table1[[#This Row],[County]]="West Sussex",Table1[[#This Row],[income]],0)</f>
        <v>0</v>
      </c>
      <c r="BT432" s="20">
        <f ca="1">IF(Table1[[#This Row],[County]]="Devon",Table1[[#This Row],[income]],0)</f>
        <v>0</v>
      </c>
      <c r="BU432" s="20">
        <f ca="1">IF(Table1[[#This Row],[County]]="Berkshire",Table1[[#This Row],[income]],0)</f>
        <v>0</v>
      </c>
      <c r="BV432" s="20">
        <f ca="1">IF(Table1[[#This Row],[County]]="Staffordshire",Table1[[#This Row],[income]],0)</f>
        <v>0</v>
      </c>
      <c r="BW432" s="20">
        <f ca="1">IF(Table1[[#This Row],[County]]="Leicestershire",Table1[[#This Row],[income]],0)</f>
        <v>0</v>
      </c>
      <c r="BX432" s="20">
        <f ca="1">IF(Table1[[#This Row],[County]]="Cornwall",Table1[[#This Row],[income]],0)</f>
        <v>0</v>
      </c>
      <c r="BY432" s="20">
        <f ca="1">IF(Table1[[#This Row],[County]]="Isle of Wight",Table1[[#This Row],[income]],0)</f>
        <v>0</v>
      </c>
      <c r="BZ432" s="20">
        <f ca="1">IF(Table1[[#This Row],[County]]="Surrey",Table1[[#This Row],[income]],0)</f>
        <v>0</v>
      </c>
      <c r="CA432" s="20">
        <f ca="1">IF(Table1[[#This Row],[County]]="Derbyshire",Table1[[#This Row],[income]],0)</f>
        <v>0</v>
      </c>
      <c r="CB432" s="20">
        <f ca="1">IF(Table1[[#This Row],[County]]="City of London",Table1[[#This Row],[income]],0)</f>
        <v>0</v>
      </c>
      <c r="CC432" s="20">
        <f ca="1">IF(Table1[[#This Row],[County]]="Bedfordshire",Table1[[#This Row],[income]],0)</f>
        <v>0</v>
      </c>
      <c r="CD432" s="20">
        <f ca="1">IF(Table1[[#This Row],[County]]="County Durham",Table1[[#This Row],[income]],0)</f>
        <v>0</v>
      </c>
      <c r="CE432" s="20">
        <f ca="1">IF(Table1[[#This Row],[County]]="East Riding of Yorkshire",Table1[[#This Row],[income]],0)</f>
        <v>0</v>
      </c>
      <c r="CF432" s="20">
        <f ca="1">IF(Table1[[#This Row],[County]]="West Yorkshire",Table1[[#This Row],[income]],0)</f>
        <v>0</v>
      </c>
      <c r="CG432" s="20">
        <f ca="1">IF(Table1[[#This Row],[County]]="Essex",Table1[[#This Row],[income]],0)</f>
        <v>0</v>
      </c>
      <c r="CH432" s="20">
        <f ca="1">IF(Table1[[#This Row],[County]]="East Sussex",Table1[[#This Row],[income]],0)</f>
        <v>0</v>
      </c>
      <c r="CI432" s="20">
        <f ca="1">IF(Table1[[#This Row],[County]]="Greater Manchester",Table1[[#This Row],[income]],0)</f>
        <v>0</v>
      </c>
      <c r="CJ432" s="20">
        <f ca="1">IF(Table1[[#This Row],[County]]="Hertfordshire",Table1[[#This Row],[income]],0)</f>
        <v>0</v>
      </c>
      <c r="CK432" s="20">
        <f ca="1">IF(Table1[[#This Row],[County]]="Herefordshire",Table1[[#This Row],[income]],0)</f>
        <v>0</v>
      </c>
      <c r="CL432" s="20">
        <f ca="1">IF(Table1[[#This Row],[County]]="Lancashire",Table1[[#This Row],[income]],0)</f>
        <v>0</v>
      </c>
      <c r="CM432" s="20">
        <f ca="1">IF(Table1[[#This Row],[County]]="Merseyside",Table1[[#This Row],[income]],0)</f>
        <v>0</v>
      </c>
      <c r="CN432" s="20">
        <f ca="1">IF(Table1[[#This Row],[County]]="Northamptonshire",Table1[[#This Row],[income]],0)</f>
        <v>0</v>
      </c>
      <c r="CO432" s="20">
        <f ca="1">IF(Table1[[#This Row],[County]]="Northumberland",Table1[[#This Row],[income]],0)</f>
        <v>0</v>
      </c>
      <c r="CP432" s="20">
        <f ca="1">IF(Table1[[#This Row],[County]]="Wiltshire",Table1[[#This Row],[income]],0)</f>
        <v>0</v>
      </c>
      <c r="CQ432" s="20">
        <f ca="1">IF(Table1[[#This Row],[County]]="West Midlands",Table1[[#This Row],[income]],0)</f>
        <v>0</v>
      </c>
      <c r="CR432" s="20">
        <f ca="1">IF(Table1[[#This Row],[County]]="Warwickshire",Table1[[#This Row],[income]],0)</f>
        <v>0</v>
      </c>
      <c r="CS432" s="20">
        <f ca="1">IF(Table1[[#This Row],[County]]="Tyne and Wear",Table1[[#This Row],[income]],0)</f>
        <v>0</v>
      </c>
      <c r="CT432" s="20">
        <f ca="1">IF(Table1[[#This Row],[County]]="Worcestershire",Table1[[#This Row],[income]],0)</f>
        <v>0</v>
      </c>
      <c r="CU432" s="20">
        <f ca="1">IF(Table1[[#This Row],[County]]="Rutland",Table1[[#This Row],[income]],0)</f>
        <v>0</v>
      </c>
      <c r="CV432" s="20">
        <f ca="1">IF(Table1[[#This Row],[County]]="Shropshire",Table1[[#This Row],[income]],0)</f>
        <v>0</v>
      </c>
      <c r="CW432" s="20">
        <f ca="1">IF(Table1[[#This Row],[County]]="Dorset",Table1[[#This Row],[income]],0)</f>
        <v>0</v>
      </c>
      <c r="CX432" s="20">
        <f ca="1">IF(Table1[[#This Row],[County]]="Buckinghamshire",Table1[[#This Row],[income]],0)</f>
        <v>36787</v>
      </c>
      <c r="CY432" s="20">
        <f ca="1">IF(Table1[[#This Row],[County]]="Suffolk",Table1[[#This Row],[income]],0)</f>
        <v>0</v>
      </c>
      <c r="CZ432" s="20">
        <f ca="1">IF(Table1[[#This Row],[County]]="North Yorkshire",Table1[[#This Row],[income]],0)</f>
        <v>0</v>
      </c>
      <c r="DA432" s="20">
        <f ca="1">IF(Table1[[#This Row],[County]]="Kent",Table1[[#This Row],[income]],0)</f>
        <v>0</v>
      </c>
      <c r="DB432" s="5">
        <f ca="1">IF(Table1[[#This Row],[County]]="Derbyshire",Table1[[#This Row],[income]],0)</f>
        <v>0</v>
      </c>
      <c r="DD432" s="6">
        <f ca="1">IF(Table1[[#This Row],[Column1]]="Health",Table1[[#This Row],[income]],0)</f>
        <v>36787</v>
      </c>
      <c r="DE432" s="20">
        <f ca="1">IF(Table1[[#This Row],[Column1]]="Agriculture",Table1[[#This Row],[income]],0)</f>
        <v>0</v>
      </c>
      <c r="DF432" s="20">
        <f ca="1">IF(Table1[[#This Row],[Column1]]="Technology",Table1[[#This Row],[income]],0)</f>
        <v>0</v>
      </c>
      <c r="DG432" s="20">
        <f ca="1">IF(Table1[[#This Row],[Column1]]="Social Service",Table1[[#This Row],[income]],0)</f>
        <v>0</v>
      </c>
      <c r="DH432" s="20">
        <f ca="1">IF(Table1[[#This Row],[Column1]]="Education",Table1[[#This Row],[income]],0)</f>
        <v>0</v>
      </c>
      <c r="DI432" s="5">
        <f ca="1">IF(Table1[[#This Row],[Column1]]="Construction",Table1[[#This Row],[income]],0)</f>
        <v>0</v>
      </c>
      <c r="DK432" s="6">
        <f ca="1">IF(Table1[[#This Row],[Value of Debts]]&gt;Table1[[#This Row],[income]],1,0)</f>
        <v>1</v>
      </c>
      <c r="DL432" s="20"/>
      <c r="DM432" s="20"/>
      <c r="DN432" s="5"/>
      <c r="DP432" s="6">
        <f ca="1">IF(Table1[[#This Row],[Net Worth (£)]]&gt;$DS$5,C432,0)</f>
        <v>0</v>
      </c>
      <c r="DQ432" s="20"/>
      <c r="DR432" s="20"/>
      <c r="DS432" s="5"/>
    </row>
    <row r="433" spans="1:123" x14ac:dyDescent="0.2">
      <c r="A433">
        <f t="shared" ca="1" si="19"/>
        <v>1</v>
      </c>
      <c r="B433" s="1" t="str">
        <f ca="1">IF(A433=1, "men", "women")</f>
        <v>men</v>
      </c>
      <c r="C433" s="1">
        <f ca="1">RANDBETWEEN(25,50)</f>
        <v>27</v>
      </c>
      <c r="D433">
        <f ca="1">RANDBETWEEN(1,6)</f>
        <v>5</v>
      </c>
      <c r="E433" t="str">
        <f ca="1">VLOOKUP(D433,$W$5:$X$10,2)</f>
        <v>Social Service</v>
      </c>
      <c r="F433">
        <f ca="1">RANDBETWEEN(1,5)</f>
        <v>5</v>
      </c>
      <c r="G433" t="str">
        <f ca="1">VLOOKUP(F433,$Y$5:$Z$9,2)</f>
        <v>Other</v>
      </c>
      <c r="H433">
        <f ca="1">RANDBETWEEN(0,4)</f>
        <v>4</v>
      </c>
      <c r="I433">
        <f ca="1">RANDBETWEEN(1,3)</f>
        <v>2</v>
      </c>
      <c r="J433">
        <f ca="1">RANDBETWEEN(30000,100000)</f>
        <v>67472</v>
      </c>
      <c r="K433">
        <f ca="1">RANDBETWEEN(1,48)</f>
        <v>19</v>
      </c>
      <c r="L433" t="str">
        <f ca="1">VLOOKUP(K433,$AA$5:$AB$52,2)</f>
        <v>Greater Manchester</v>
      </c>
      <c r="M433">
        <f ca="1">J433*(RANDBETWEEN(2,5))</f>
        <v>202416</v>
      </c>
      <c r="N433">
        <f ca="1">RAND()*M433</f>
        <v>41894.70010902395</v>
      </c>
      <c r="O433">
        <f ca="1">I433*RAND()*J433</f>
        <v>40203.653278030455</v>
      </c>
      <c r="P433">
        <f ca="1">RANDBETWEEN(0,O433)</f>
        <v>21777</v>
      </c>
      <c r="Q433">
        <f ca="1">RAND()*J433*2</f>
        <v>42570.284165192126</v>
      </c>
      <c r="R433">
        <f ca="1">RAND()*J433*1.5</f>
        <v>93804.489846891011</v>
      </c>
      <c r="S433">
        <f ca="1">J433+R433+O433</f>
        <v>201480.14312492148</v>
      </c>
      <c r="T433">
        <f ca="1">N433+P433+Q433</f>
        <v>106241.98427421608</v>
      </c>
      <c r="U433">
        <f ca="1">S433-T433</f>
        <v>95238.158850705397</v>
      </c>
      <c r="AC433" s="6">
        <f ca="1">IF(Table1[[#This Row],[gender]]="men",1,0)</f>
        <v>1</v>
      </c>
      <c r="AD433">
        <f ca="1">IF(Table1[[#This Row],[gender]]="women",1,0)</f>
        <v>0</v>
      </c>
      <c r="AH433" s="5"/>
      <c r="AJ433" s="6">
        <f ca="1">IF(Table1[[#This Row],[Column1]]="Health",1,0)</f>
        <v>0</v>
      </c>
      <c r="AK433">
        <f ca="1">IF(Table1[[#This Row],[Column1]]="Construction",1,0)</f>
        <v>0</v>
      </c>
      <c r="AL433">
        <f ca="1">IF(Table1[[#This Row],[Column1]]="Technology",1,0)</f>
        <v>0</v>
      </c>
      <c r="AM433">
        <f ca="1">IF(Table1[[#This Row],[Column1]]="Education",1,0)</f>
        <v>0</v>
      </c>
      <c r="AN433">
        <f ca="1">IF(Table1[[#This Row],[Column1]]="Agriculture",1,0)</f>
        <v>0</v>
      </c>
      <c r="AO433">
        <f ca="1">IF(Table1[[#This Row],[Column1]]="Social Service", 1, 0)</f>
        <v>1</v>
      </c>
      <c r="AT433" s="5"/>
      <c r="AV433" s="17">
        <f t="shared" ca="1" si="18"/>
        <v>63475.223011186899</v>
      </c>
      <c r="AW433" s="5"/>
      <c r="AX433" s="6">
        <f ca="1">IF(Table1[[#This Row],[Value of Debts]]&gt;$AY$4,1,0)</f>
        <v>1</v>
      </c>
      <c r="AY433" s="20"/>
      <c r="AZ433" s="20"/>
      <c r="BA433" s="5"/>
      <c r="BB433" s="25">
        <f ca="1">Table1[[#This Row],[Mortage Left]]/Table1[[#This Row],[Value of House]]</f>
        <v>0.2069732635217767</v>
      </c>
      <c r="BC433" s="20">
        <f t="shared" ca="1" si="20"/>
        <v>1</v>
      </c>
      <c r="BD433" s="20"/>
      <c r="BE433" s="20"/>
      <c r="BF433" s="20"/>
      <c r="BG433" s="6">
        <f ca="1">IF(Table1[[#This Row],[County]]="Cumbria",Table1[[#This Row],[income]],0)</f>
        <v>0</v>
      </c>
      <c r="BH433" s="20">
        <f ca="1">IF(Table1[[#This Row],[County]]="Cheshire",Table1[[#This Row],[income]],0)</f>
        <v>0</v>
      </c>
      <c r="BI433" s="20">
        <f ca="1">IF(Table1[[#This Row],[County]]="Bristol",Table1[[#This Row],[income]],0)</f>
        <v>0</v>
      </c>
      <c r="BJ433" s="20">
        <f ca="1">IF(Table1[[#This Row],[County]]="Surrey",Table1[[#This Row],[income]],0)</f>
        <v>0</v>
      </c>
      <c r="BK433" s="20">
        <f ca="1">IF(Table1[[#This Row],[County]]="Norfolk",Table1[[#This Row],[income]],0)</f>
        <v>0</v>
      </c>
      <c r="BL433" s="20">
        <f ca="1">IF(Table1[[#This Row],[County]]="Lincolnshire",Table1[[#This Row],[income]],0)</f>
        <v>0</v>
      </c>
      <c r="BM433" s="20">
        <f ca="1">IF(Table1[[#This Row],[County]]="Somerset",Table1[[#This Row],[income]],0)</f>
        <v>0</v>
      </c>
      <c r="BN433" s="20">
        <f ca="1">IF(Table1[[#This Row],[County]]="Cambridgeshire",Table1[[#This Row],[income]],0)</f>
        <v>0</v>
      </c>
      <c r="BO433" s="20">
        <f ca="1">IF(Table1[[#This Row],[County]]="South Yorkshire",Table1[[#This Row],[income]],0)</f>
        <v>0</v>
      </c>
      <c r="BP433" s="20">
        <f ca="1">IF(Table1[[#This Row],[County]]="Greater London",Table1[[#This Row],[income]],0)</f>
        <v>0</v>
      </c>
      <c r="BQ433" s="20">
        <f ca="1">IF(Table1[[#This Row],[County]]="Hampshire",Table1[[#This Row],[income]],0)</f>
        <v>0</v>
      </c>
      <c r="BR433" s="20">
        <f ca="1">IF(Table1[[#This Row],[County]]="Gloucestershire",Table1[[#This Row],[income]],0)</f>
        <v>0</v>
      </c>
      <c r="BS433" s="20">
        <f ca="1">IF(Table1[[#This Row],[County]]="West Sussex",Table1[[#This Row],[income]],0)</f>
        <v>0</v>
      </c>
      <c r="BT433" s="20">
        <f ca="1">IF(Table1[[#This Row],[County]]="Devon",Table1[[#This Row],[income]],0)</f>
        <v>0</v>
      </c>
      <c r="BU433" s="20">
        <f ca="1">IF(Table1[[#This Row],[County]]="Berkshire",Table1[[#This Row],[income]],0)</f>
        <v>0</v>
      </c>
      <c r="BV433" s="20">
        <f ca="1">IF(Table1[[#This Row],[County]]="Staffordshire",Table1[[#This Row],[income]],0)</f>
        <v>0</v>
      </c>
      <c r="BW433" s="20">
        <f ca="1">IF(Table1[[#This Row],[County]]="Leicestershire",Table1[[#This Row],[income]],0)</f>
        <v>0</v>
      </c>
      <c r="BX433" s="20">
        <f ca="1">IF(Table1[[#This Row],[County]]="Cornwall",Table1[[#This Row],[income]],0)</f>
        <v>0</v>
      </c>
      <c r="BY433" s="20">
        <f ca="1">IF(Table1[[#This Row],[County]]="Isle of Wight",Table1[[#This Row],[income]],0)</f>
        <v>0</v>
      </c>
      <c r="BZ433" s="20">
        <f ca="1">IF(Table1[[#This Row],[County]]="Surrey",Table1[[#This Row],[income]],0)</f>
        <v>0</v>
      </c>
      <c r="CA433" s="20">
        <f ca="1">IF(Table1[[#This Row],[County]]="Derbyshire",Table1[[#This Row],[income]],0)</f>
        <v>0</v>
      </c>
      <c r="CB433" s="20">
        <f ca="1">IF(Table1[[#This Row],[County]]="City of London",Table1[[#This Row],[income]],0)</f>
        <v>0</v>
      </c>
      <c r="CC433" s="20">
        <f ca="1">IF(Table1[[#This Row],[County]]="Bedfordshire",Table1[[#This Row],[income]],0)</f>
        <v>0</v>
      </c>
      <c r="CD433" s="20">
        <f ca="1">IF(Table1[[#This Row],[County]]="County Durham",Table1[[#This Row],[income]],0)</f>
        <v>0</v>
      </c>
      <c r="CE433" s="20">
        <f ca="1">IF(Table1[[#This Row],[County]]="East Riding of Yorkshire",Table1[[#This Row],[income]],0)</f>
        <v>0</v>
      </c>
      <c r="CF433" s="20">
        <f ca="1">IF(Table1[[#This Row],[County]]="West Yorkshire",Table1[[#This Row],[income]],0)</f>
        <v>0</v>
      </c>
      <c r="CG433" s="20">
        <f ca="1">IF(Table1[[#This Row],[County]]="Essex",Table1[[#This Row],[income]],0)</f>
        <v>0</v>
      </c>
      <c r="CH433" s="20">
        <f ca="1">IF(Table1[[#This Row],[County]]="East Sussex",Table1[[#This Row],[income]],0)</f>
        <v>0</v>
      </c>
      <c r="CI433" s="20">
        <f ca="1">IF(Table1[[#This Row],[County]]="Greater Manchester",Table1[[#This Row],[income]],0)</f>
        <v>67472</v>
      </c>
      <c r="CJ433" s="20">
        <f ca="1">IF(Table1[[#This Row],[County]]="Hertfordshire",Table1[[#This Row],[income]],0)</f>
        <v>0</v>
      </c>
      <c r="CK433" s="20">
        <f ca="1">IF(Table1[[#This Row],[County]]="Herefordshire",Table1[[#This Row],[income]],0)</f>
        <v>0</v>
      </c>
      <c r="CL433" s="20">
        <f ca="1">IF(Table1[[#This Row],[County]]="Lancashire",Table1[[#This Row],[income]],0)</f>
        <v>0</v>
      </c>
      <c r="CM433" s="20">
        <f ca="1">IF(Table1[[#This Row],[County]]="Merseyside",Table1[[#This Row],[income]],0)</f>
        <v>0</v>
      </c>
      <c r="CN433" s="20">
        <f ca="1">IF(Table1[[#This Row],[County]]="Northamptonshire",Table1[[#This Row],[income]],0)</f>
        <v>0</v>
      </c>
      <c r="CO433" s="20">
        <f ca="1">IF(Table1[[#This Row],[County]]="Northumberland",Table1[[#This Row],[income]],0)</f>
        <v>0</v>
      </c>
      <c r="CP433" s="20">
        <f ca="1">IF(Table1[[#This Row],[County]]="Wiltshire",Table1[[#This Row],[income]],0)</f>
        <v>0</v>
      </c>
      <c r="CQ433" s="20">
        <f ca="1">IF(Table1[[#This Row],[County]]="West Midlands",Table1[[#This Row],[income]],0)</f>
        <v>0</v>
      </c>
      <c r="CR433" s="20">
        <f ca="1">IF(Table1[[#This Row],[County]]="Warwickshire",Table1[[#This Row],[income]],0)</f>
        <v>0</v>
      </c>
      <c r="CS433" s="20">
        <f ca="1">IF(Table1[[#This Row],[County]]="Tyne and Wear",Table1[[#This Row],[income]],0)</f>
        <v>0</v>
      </c>
      <c r="CT433" s="20">
        <f ca="1">IF(Table1[[#This Row],[County]]="Worcestershire",Table1[[#This Row],[income]],0)</f>
        <v>0</v>
      </c>
      <c r="CU433" s="20">
        <f ca="1">IF(Table1[[#This Row],[County]]="Rutland",Table1[[#This Row],[income]],0)</f>
        <v>0</v>
      </c>
      <c r="CV433" s="20">
        <f ca="1">IF(Table1[[#This Row],[County]]="Shropshire",Table1[[#This Row],[income]],0)</f>
        <v>0</v>
      </c>
      <c r="CW433" s="20">
        <f ca="1">IF(Table1[[#This Row],[County]]="Dorset",Table1[[#This Row],[income]],0)</f>
        <v>0</v>
      </c>
      <c r="CX433" s="20">
        <f ca="1">IF(Table1[[#This Row],[County]]="Buckinghamshire",Table1[[#This Row],[income]],0)</f>
        <v>0</v>
      </c>
      <c r="CY433" s="20">
        <f ca="1">IF(Table1[[#This Row],[County]]="Suffolk",Table1[[#This Row],[income]],0)</f>
        <v>0</v>
      </c>
      <c r="CZ433" s="20">
        <f ca="1">IF(Table1[[#This Row],[County]]="North Yorkshire",Table1[[#This Row],[income]],0)</f>
        <v>0</v>
      </c>
      <c r="DA433" s="20">
        <f ca="1">IF(Table1[[#This Row],[County]]="Kent",Table1[[#This Row],[income]],0)</f>
        <v>0</v>
      </c>
      <c r="DB433" s="5">
        <f ca="1">IF(Table1[[#This Row],[County]]="Derbyshire",Table1[[#This Row],[income]],0)</f>
        <v>0</v>
      </c>
      <c r="DD433" s="6">
        <f ca="1">IF(Table1[[#This Row],[Column1]]="Health",Table1[[#This Row],[income]],0)</f>
        <v>0</v>
      </c>
      <c r="DE433" s="20">
        <f ca="1">IF(Table1[[#This Row],[Column1]]="Agriculture",Table1[[#This Row],[income]],0)</f>
        <v>0</v>
      </c>
      <c r="DF433" s="20">
        <f ca="1">IF(Table1[[#This Row],[Column1]]="Technology",Table1[[#This Row],[income]],0)</f>
        <v>0</v>
      </c>
      <c r="DG433" s="20">
        <f ca="1">IF(Table1[[#This Row],[Column1]]="Social Service",Table1[[#This Row],[income]],0)</f>
        <v>67472</v>
      </c>
      <c r="DH433" s="20">
        <f ca="1">IF(Table1[[#This Row],[Column1]]="Education",Table1[[#This Row],[income]],0)</f>
        <v>0</v>
      </c>
      <c r="DI433" s="5">
        <f ca="1">IF(Table1[[#This Row],[Column1]]="Construction",Table1[[#This Row],[income]],0)</f>
        <v>0</v>
      </c>
      <c r="DK433" s="6">
        <f ca="1">IF(Table1[[#This Row],[Value of Debts]]&gt;Table1[[#This Row],[income]],1,0)</f>
        <v>1</v>
      </c>
      <c r="DL433" s="20"/>
      <c r="DM433" s="20"/>
      <c r="DN433" s="5"/>
      <c r="DP433" s="6">
        <f ca="1">IF(Table1[[#This Row],[Net Worth (£)]]&gt;$DS$5,C433,0)</f>
        <v>27</v>
      </c>
      <c r="DQ433" s="20"/>
      <c r="DR433" s="20"/>
      <c r="DS433" s="5"/>
    </row>
    <row r="434" spans="1:123" x14ac:dyDescent="0.2">
      <c r="A434">
        <f t="shared" ca="1" si="19"/>
        <v>1</v>
      </c>
      <c r="B434" s="1" t="str">
        <f ca="1">IF(A434=1, "men", "women")</f>
        <v>men</v>
      </c>
      <c r="C434" s="1">
        <f ca="1">RANDBETWEEN(25,50)</f>
        <v>39</v>
      </c>
      <c r="D434">
        <f ca="1">RANDBETWEEN(1,6)</f>
        <v>1</v>
      </c>
      <c r="E434" t="str">
        <f ca="1">VLOOKUP(D434,$W$5:$X$10,2)</f>
        <v>Health</v>
      </c>
      <c r="F434">
        <f ca="1">RANDBETWEEN(1,5)</f>
        <v>5</v>
      </c>
      <c r="G434" t="str">
        <f ca="1">VLOOKUP(F434,$Y$5:$Z$9,2)</f>
        <v>Other</v>
      </c>
      <c r="H434">
        <f ca="1">RANDBETWEEN(0,4)</f>
        <v>3</v>
      </c>
      <c r="I434">
        <f ca="1">RANDBETWEEN(1,3)</f>
        <v>3</v>
      </c>
      <c r="J434">
        <f ca="1">RANDBETWEEN(30000,100000)</f>
        <v>66852</v>
      </c>
      <c r="K434">
        <f ca="1">RANDBETWEEN(1,48)</f>
        <v>16</v>
      </c>
      <c r="L434" t="str">
        <f ca="1">VLOOKUP(K434,$AA$5:$AB$52,2)</f>
        <v>Essex</v>
      </c>
      <c r="M434">
        <f ca="1">J434*(RANDBETWEEN(2,5))</f>
        <v>200556</v>
      </c>
      <c r="N434">
        <f ca="1">RAND()*M434</f>
        <v>121213.05742570721</v>
      </c>
      <c r="O434">
        <f ca="1">I434*RAND()*J434</f>
        <v>190425.6690335607</v>
      </c>
      <c r="P434">
        <f ca="1">RANDBETWEEN(0,O434)</f>
        <v>159446</v>
      </c>
      <c r="Q434">
        <f ca="1">RAND()*J434*2</f>
        <v>80993.200944670622</v>
      </c>
      <c r="R434">
        <f ca="1">RAND()*J434*1.5</f>
        <v>5081.9981086911066</v>
      </c>
      <c r="S434">
        <f ca="1">J434+R434+O434</f>
        <v>262359.6671422518</v>
      </c>
      <c r="T434">
        <f ca="1">N434+P434+Q434</f>
        <v>361652.25837037782</v>
      </c>
      <c r="U434">
        <f ca="1">S434-T434</f>
        <v>-99292.591228126024</v>
      </c>
      <c r="AC434" s="6">
        <f ca="1">IF(Table1[[#This Row],[gender]]="men",1,0)</f>
        <v>1</v>
      </c>
      <c r="AD434">
        <f ca="1">IF(Table1[[#This Row],[gender]]="women",1,0)</f>
        <v>0</v>
      </c>
      <c r="AH434" s="5"/>
      <c r="AJ434" s="6">
        <f ca="1">IF(Table1[[#This Row],[Column1]]="Health",1,0)</f>
        <v>1</v>
      </c>
      <c r="AK434">
        <f ca="1">IF(Table1[[#This Row],[Column1]]="Construction",1,0)</f>
        <v>0</v>
      </c>
      <c r="AL434">
        <f ca="1">IF(Table1[[#This Row],[Column1]]="Technology",1,0)</f>
        <v>0</v>
      </c>
      <c r="AM434">
        <f ca="1">IF(Table1[[#This Row],[Column1]]="Education",1,0)</f>
        <v>0</v>
      </c>
      <c r="AN434">
        <f ca="1">IF(Table1[[#This Row],[Column1]]="Agriculture",1,0)</f>
        <v>0</v>
      </c>
      <c r="AO434">
        <f ca="1">IF(Table1[[#This Row],[Column1]]="Social Service", 1, 0)</f>
        <v>0</v>
      </c>
      <c r="AT434" s="5"/>
      <c r="AV434" s="17">
        <f t="shared" ca="1" si="18"/>
        <v>32010.654971354616</v>
      </c>
      <c r="AW434" s="5"/>
      <c r="AX434" s="6">
        <f ca="1">IF(Table1[[#This Row],[Value of Debts]]&gt;$AY$4,1,0)</f>
        <v>1</v>
      </c>
      <c r="AY434" s="20"/>
      <c r="AZ434" s="20"/>
      <c r="BA434" s="5"/>
      <c r="BB434" s="25">
        <f ca="1">Table1[[#This Row],[Mortage Left]]/Table1[[#This Row],[Value of House]]</f>
        <v>0.60438509656009898</v>
      </c>
      <c r="BC434" s="20">
        <f t="shared" ca="1" si="20"/>
        <v>0</v>
      </c>
      <c r="BD434" s="20"/>
      <c r="BE434" s="20"/>
      <c r="BF434" s="20"/>
      <c r="BG434" s="6">
        <f ca="1">IF(Table1[[#This Row],[County]]="Cumbria",Table1[[#This Row],[income]],0)</f>
        <v>0</v>
      </c>
      <c r="BH434" s="20">
        <f ca="1">IF(Table1[[#This Row],[County]]="Cheshire",Table1[[#This Row],[income]],0)</f>
        <v>0</v>
      </c>
      <c r="BI434" s="20">
        <f ca="1">IF(Table1[[#This Row],[County]]="Bristol",Table1[[#This Row],[income]],0)</f>
        <v>0</v>
      </c>
      <c r="BJ434" s="20">
        <f ca="1">IF(Table1[[#This Row],[County]]="Surrey",Table1[[#This Row],[income]],0)</f>
        <v>0</v>
      </c>
      <c r="BK434" s="20">
        <f ca="1">IF(Table1[[#This Row],[County]]="Norfolk",Table1[[#This Row],[income]],0)</f>
        <v>0</v>
      </c>
      <c r="BL434" s="20">
        <f ca="1">IF(Table1[[#This Row],[County]]="Lincolnshire",Table1[[#This Row],[income]],0)</f>
        <v>0</v>
      </c>
      <c r="BM434" s="20">
        <f ca="1">IF(Table1[[#This Row],[County]]="Somerset",Table1[[#This Row],[income]],0)</f>
        <v>0</v>
      </c>
      <c r="BN434" s="20">
        <f ca="1">IF(Table1[[#This Row],[County]]="Cambridgeshire",Table1[[#This Row],[income]],0)</f>
        <v>0</v>
      </c>
      <c r="BO434" s="20">
        <f ca="1">IF(Table1[[#This Row],[County]]="South Yorkshire",Table1[[#This Row],[income]],0)</f>
        <v>0</v>
      </c>
      <c r="BP434" s="20">
        <f ca="1">IF(Table1[[#This Row],[County]]="Greater London",Table1[[#This Row],[income]],0)</f>
        <v>0</v>
      </c>
      <c r="BQ434" s="20">
        <f ca="1">IF(Table1[[#This Row],[County]]="Hampshire",Table1[[#This Row],[income]],0)</f>
        <v>0</v>
      </c>
      <c r="BR434" s="20">
        <f ca="1">IF(Table1[[#This Row],[County]]="Gloucestershire",Table1[[#This Row],[income]],0)</f>
        <v>0</v>
      </c>
      <c r="BS434" s="20">
        <f ca="1">IF(Table1[[#This Row],[County]]="West Sussex",Table1[[#This Row],[income]],0)</f>
        <v>0</v>
      </c>
      <c r="BT434" s="20">
        <f ca="1">IF(Table1[[#This Row],[County]]="Devon",Table1[[#This Row],[income]],0)</f>
        <v>0</v>
      </c>
      <c r="BU434" s="20">
        <f ca="1">IF(Table1[[#This Row],[County]]="Berkshire",Table1[[#This Row],[income]],0)</f>
        <v>0</v>
      </c>
      <c r="BV434" s="20">
        <f ca="1">IF(Table1[[#This Row],[County]]="Staffordshire",Table1[[#This Row],[income]],0)</f>
        <v>0</v>
      </c>
      <c r="BW434" s="20">
        <f ca="1">IF(Table1[[#This Row],[County]]="Leicestershire",Table1[[#This Row],[income]],0)</f>
        <v>0</v>
      </c>
      <c r="BX434" s="20">
        <f ca="1">IF(Table1[[#This Row],[County]]="Cornwall",Table1[[#This Row],[income]],0)</f>
        <v>0</v>
      </c>
      <c r="BY434" s="20">
        <f ca="1">IF(Table1[[#This Row],[County]]="Isle of Wight",Table1[[#This Row],[income]],0)</f>
        <v>0</v>
      </c>
      <c r="BZ434" s="20">
        <f ca="1">IF(Table1[[#This Row],[County]]="Surrey",Table1[[#This Row],[income]],0)</f>
        <v>0</v>
      </c>
      <c r="CA434" s="20">
        <f ca="1">IF(Table1[[#This Row],[County]]="Derbyshire",Table1[[#This Row],[income]],0)</f>
        <v>0</v>
      </c>
      <c r="CB434" s="20">
        <f ca="1">IF(Table1[[#This Row],[County]]="City of London",Table1[[#This Row],[income]],0)</f>
        <v>0</v>
      </c>
      <c r="CC434" s="20">
        <f ca="1">IF(Table1[[#This Row],[County]]="Bedfordshire",Table1[[#This Row],[income]],0)</f>
        <v>0</v>
      </c>
      <c r="CD434" s="20">
        <f ca="1">IF(Table1[[#This Row],[County]]="County Durham",Table1[[#This Row],[income]],0)</f>
        <v>0</v>
      </c>
      <c r="CE434" s="20">
        <f ca="1">IF(Table1[[#This Row],[County]]="East Riding of Yorkshire",Table1[[#This Row],[income]],0)</f>
        <v>0</v>
      </c>
      <c r="CF434" s="20">
        <f ca="1">IF(Table1[[#This Row],[County]]="West Yorkshire",Table1[[#This Row],[income]],0)</f>
        <v>0</v>
      </c>
      <c r="CG434" s="20">
        <f ca="1">IF(Table1[[#This Row],[County]]="Essex",Table1[[#This Row],[income]],0)</f>
        <v>66852</v>
      </c>
      <c r="CH434" s="20">
        <f ca="1">IF(Table1[[#This Row],[County]]="East Sussex",Table1[[#This Row],[income]],0)</f>
        <v>0</v>
      </c>
      <c r="CI434" s="20">
        <f ca="1">IF(Table1[[#This Row],[County]]="Greater Manchester",Table1[[#This Row],[income]],0)</f>
        <v>0</v>
      </c>
      <c r="CJ434" s="20">
        <f ca="1">IF(Table1[[#This Row],[County]]="Hertfordshire",Table1[[#This Row],[income]],0)</f>
        <v>0</v>
      </c>
      <c r="CK434" s="20">
        <f ca="1">IF(Table1[[#This Row],[County]]="Herefordshire",Table1[[#This Row],[income]],0)</f>
        <v>0</v>
      </c>
      <c r="CL434" s="20">
        <f ca="1">IF(Table1[[#This Row],[County]]="Lancashire",Table1[[#This Row],[income]],0)</f>
        <v>0</v>
      </c>
      <c r="CM434" s="20">
        <f ca="1">IF(Table1[[#This Row],[County]]="Merseyside",Table1[[#This Row],[income]],0)</f>
        <v>0</v>
      </c>
      <c r="CN434" s="20">
        <f ca="1">IF(Table1[[#This Row],[County]]="Northamptonshire",Table1[[#This Row],[income]],0)</f>
        <v>0</v>
      </c>
      <c r="CO434" s="20">
        <f ca="1">IF(Table1[[#This Row],[County]]="Northumberland",Table1[[#This Row],[income]],0)</f>
        <v>0</v>
      </c>
      <c r="CP434" s="20">
        <f ca="1">IF(Table1[[#This Row],[County]]="Wiltshire",Table1[[#This Row],[income]],0)</f>
        <v>0</v>
      </c>
      <c r="CQ434" s="20">
        <f ca="1">IF(Table1[[#This Row],[County]]="West Midlands",Table1[[#This Row],[income]],0)</f>
        <v>0</v>
      </c>
      <c r="CR434" s="20">
        <f ca="1">IF(Table1[[#This Row],[County]]="Warwickshire",Table1[[#This Row],[income]],0)</f>
        <v>0</v>
      </c>
      <c r="CS434" s="20">
        <f ca="1">IF(Table1[[#This Row],[County]]="Tyne and Wear",Table1[[#This Row],[income]],0)</f>
        <v>0</v>
      </c>
      <c r="CT434" s="20">
        <f ca="1">IF(Table1[[#This Row],[County]]="Worcestershire",Table1[[#This Row],[income]],0)</f>
        <v>0</v>
      </c>
      <c r="CU434" s="20">
        <f ca="1">IF(Table1[[#This Row],[County]]="Rutland",Table1[[#This Row],[income]],0)</f>
        <v>0</v>
      </c>
      <c r="CV434" s="20">
        <f ca="1">IF(Table1[[#This Row],[County]]="Shropshire",Table1[[#This Row],[income]],0)</f>
        <v>0</v>
      </c>
      <c r="CW434" s="20">
        <f ca="1">IF(Table1[[#This Row],[County]]="Dorset",Table1[[#This Row],[income]],0)</f>
        <v>0</v>
      </c>
      <c r="CX434" s="20">
        <f ca="1">IF(Table1[[#This Row],[County]]="Buckinghamshire",Table1[[#This Row],[income]],0)</f>
        <v>0</v>
      </c>
      <c r="CY434" s="20">
        <f ca="1">IF(Table1[[#This Row],[County]]="Suffolk",Table1[[#This Row],[income]],0)</f>
        <v>0</v>
      </c>
      <c r="CZ434" s="20">
        <f ca="1">IF(Table1[[#This Row],[County]]="North Yorkshire",Table1[[#This Row],[income]],0)</f>
        <v>0</v>
      </c>
      <c r="DA434" s="20">
        <f ca="1">IF(Table1[[#This Row],[County]]="Kent",Table1[[#This Row],[income]],0)</f>
        <v>0</v>
      </c>
      <c r="DB434" s="5">
        <f ca="1">IF(Table1[[#This Row],[County]]="Derbyshire",Table1[[#This Row],[income]],0)</f>
        <v>0</v>
      </c>
      <c r="DD434" s="6">
        <f ca="1">IF(Table1[[#This Row],[Column1]]="Health",Table1[[#This Row],[income]],0)</f>
        <v>66852</v>
      </c>
      <c r="DE434" s="20">
        <f ca="1">IF(Table1[[#This Row],[Column1]]="Agriculture",Table1[[#This Row],[income]],0)</f>
        <v>0</v>
      </c>
      <c r="DF434" s="20">
        <f ca="1">IF(Table1[[#This Row],[Column1]]="Technology",Table1[[#This Row],[income]],0)</f>
        <v>0</v>
      </c>
      <c r="DG434" s="20">
        <f ca="1">IF(Table1[[#This Row],[Column1]]="Social Service",Table1[[#This Row],[income]],0)</f>
        <v>0</v>
      </c>
      <c r="DH434" s="20">
        <f ca="1">IF(Table1[[#This Row],[Column1]]="Education",Table1[[#This Row],[income]],0)</f>
        <v>0</v>
      </c>
      <c r="DI434" s="5">
        <f ca="1">IF(Table1[[#This Row],[Column1]]="Construction",Table1[[#This Row],[income]],0)</f>
        <v>0</v>
      </c>
      <c r="DK434" s="6">
        <f ca="1">IF(Table1[[#This Row],[Value of Debts]]&gt;Table1[[#This Row],[income]],1,0)</f>
        <v>1</v>
      </c>
      <c r="DL434" s="20"/>
      <c r="DM434" s="20"/>
      <c r="DN434" s="5"/>
      <c r="DP434" s="6">
        <f ca="1">IF(Table1[[#This Row],[Net Worth (£)]]&gt;$DS$5,C434,0)</f>
        <v>0</v>
      </c>
      <c r="DQ434" s="20"/>
      <c r="DR434" s="20"/>
      <c r="DS434" s="5"/>
    </row>
    <row r="435" spans="1:123" x14ac:dyDescent="0.2">
      <c r="A435">
        <f t="shared" ca="1" si="19"/>
        <v>1</v>
      </c>
      <c r="B435" s="1" t="str">
        <f ca="1">IF(A435=1, "men", "women")</f>
        <v>men</v>
      </c>
      <c r="C435" s="1">
        <f ca="1">RANDBETWEEN(25,50)</f>
        <v>30</v>
      </c>
      <c r="D435">
        <f ca="1">RANDBETWEEN(1,6)</f>
        <v>6</v>
      </c>
      <c r="E435" t="str">
        <f ca="1">VLOOKUP(D435,$W$5:$X$10,2)</f>
        <v>Agriculture</v>
      </c>
      <c r="F435">
        <f ca="1">RANDBETWEEN(1,5)</f>
        <v>3</v>
      </c>
      <c r="G435" t="str">
        <f ca="1">VLOOKUP(F435,$Y$5:$Z$9,2)</f>
        <v>University</v>
      </c>
      <c r="H435">
        <f ca="1">RANDBETWEEN(0,4)</f>
        <v>0</v>
      </c>
      <c r="I435">
        <f ca="1">RANDBETWEEN(1,3)</f>
        <v>3</v>
      </c>
      <c r="J435">
        <f ca="1">RANDBETWEEN(30000,100000)</f>
        <v>36150</v>
      </c>
      <c r="K435">
        <f ca="1">RANDBETWEEN(1,48)</f>
        <v>33</v>
      </c>
      <c r="L435" t="str">
        <f ca="1">VLOOKUP(K435,$AA$5:$AB$52,2)</f>
        <v>Nottinghamshire</v>
      </c>
      <c r="M435">
        <f ca="1">J435*(RANDBETWEEN(2,5))</f>
        <v>108450</v>
      </c>
      <c r="N435">
        <f ca="1">RAND()*M435</f>
        <v>102062.76601728752</v>
      </c>
      <c r="O435">
        <f ca="1">I435*RAND()*J435</f>
        <v>96031.96491406385</v>
      </c>
      <c r="P435">
        <f ca="1">RANDBETWEEN(0,O435)</f>
        <v>34533</v>
      </c>
      <c r="Q435">
        <f ca="1">RAND()*J435*2</f>
        <v>21068.055391334983</v>
      </c>
      <c r="R435">
        <f ca="1">RAND()*J435*1.5</f>
        <v>40987.897389484016</v>
      </c>
      <c r="S435">
        <f ca="1">J435+R435+O435</f>
        <v>173169.86230354785</v>
      </c>
      <c r="T435">
        <f ca="1">N435+P435+Q435</f>
        <v>157663.82140862249</v>
      </c>
      <c r="U435">
        <f ca="1">S435-T435</f>
        <v>15506.040894925361</v>
      </c>
      <c r="AC435" s="6">
        <f ca="1">IF(Table1[[#This Row],[gender]]="men",1,0)</f>
        <v>1</v>
      </c>
      <c r="AD435">
        <f ca="1">IF(Table1[[#This Row],[gender]]="women",1,0)</f>
        <v>0</v>
      </c>
      <c r="AH435" s="5"/>
      <c r="AJ435" s="6">
        <f ca="1">IF(Table1[[#This Row],[Column1]]="Health",1,0)</f>
        <v>0</v>
      </c>
      <c r="AK435">
        <f ca="1">IF(Table1[[#This Row],[Column1]]="Construction",1,0)</f>
        <v>0</v>
      </c>
      <c r="AL435">
        <f ca="1">IF(Table1[[#This Row],[Column1]]="Technology",1,0)</f>
        <v>0</v>
      </c>
      <c r="AM435">
        <f ca="1">IF(Table1[[#This Row],[Column1]]="Education",1,0)</f>
        <v>0</v>
      </c>
      <c r="AN435">
        <f ca="1">IF(Table1[[#This Row],[Column1]]="Agriculture",1,0)</f>
        <v>1</v>
      </c>
      <c r="AO435">
        <f ca="1">IF(Table1[[#This Row],[Column1]]="Social Service", 1, 0)</f>
        <v>0</v>
      </c>
      <c r="AT435" s="5"/>
      <c r="AV435" s="17">
        <f t="shared" ca="1" si="18"/>
        <v>11101.98356880406</v>
      </c>
      <c r="AW435" s="5"/>
      <c r="AX435" s="6">
        <f ca="1">IF(Table1[[#This Row],[Value of Debts]]&gt;$AY$4,1,0)</f>
        <v>1</v>
      </c>
      <c r="AY435" s="20"/>
      <c r="AZ435" s="20"/>
      <c r="BA435" s="5"/>
      <c r="BB435" s="25">
        <f ca="1">Table1[[#This Row],[Mortage Left]]/Table1[[#This Row],[Value of House]]</f>
        <v>0.94110434317461977</v>
      </c>
      <c r="BC435" s="20">
        <f t="shared" ca="1" si="20"/>
        <v>0</v>
      </c>
      <c r="BD435" s="20"/>
      <c r="BE435" s="20"/>
      <c r="BF435" s="20"/>
      <c r="BG435" s="6">
        <f ca="1">IF(Table1[[#This Row],[County]]="Cumbria",Table1[[#This Row],[income]],0)</f>
        <v>0</v>
      </c>
      <c r="BH435" s="20">
        <f ca="1">IF(Table1[[#This Row],[County]]="Cheshire",Table1[[#This Row],[income]],0)</f>
        <v>0</v>
      </c>
      <c r="BI435" s="20">
        <f ca="1">IF(Table1[[#This Row],[County]]="Bristol",Table1[[#This Row],[income]],0)</f>
        <v>0</v>
      </c>
      <c r="BJ435" s="20">
        <f ca="1">IF(Table1[[#This Row],[County]]="Surrey",Table1[[#This Row],[income]],0)</f>
        <v>0</v>
      </c>
      <c r="BK435" s="20">
        <f ca="1">IF(Table1[[#This Row],[County]]="Norfolk",Table1[[#This Row],[income]],0)</f>
        <v>0</v>
      </c>
      <c r="BL435" s="20">
        <f ca="1">IF(Table1[[#This Row],[County]]="Lincolnshire",Table1[[#This Row],[income]],0)</f>
        <v>0</v>
      </c>
      <c r="BM435" s="20">
        <f ca="1">IF(Table1[[#This Row],[County]]="Somerset",Table1[[#This Row],[income]],0)</f>
        <v>0</v>
      </c>
      <c r="BN435" s="20">
        <f ca="1">IF(Table1[[#This Row],[County]]="Cambridgeshire",Table1[[#This Row],[income]],0)</f>
        <v>0</v>
      </c>
      <c r="BO435" s="20">
        <f ca="1">IF(Table1[[#This Row],[County]]="South Yorkshire",Table1[[#This Row],[income]],0)</f>
        <v>0</v>
      </c>
      <c r="BP435" s="20">
        <f ca="1">IF(Table1[[#This Row],[County]]="Greater London",Table1[[#This Row],[income]],0)</f>
        <v>0</v>
      </c>
      <c r="BQ435" s="20">
        <f ca="1">IF(Table1[[#This Row],[County]]="Hampshire",Table1[[#This Row],[income]],0)</f>
        <v>0</v>
      </c>
      <c r="BR435" s="20">
        <f ca="1">IF(Table1[[#This Row],[County]]="Gloucestershire",Table1[[#This Row],[income]],0)</f>
        <v>0</v>
      </c>
      <c r="BS435" s="20">
        <f ca="1">IF(Table1[[#This Row],[County]]="West Sussex",Table1[[#This Row],[income]],0)</f>
        <v>0</v>
      </c>
      <c r="BT435" s="20">
        <f ca="1">IF(Table1[[#This Row],[County]]="Devon",Table1[[#This Row],[income]],0)</f>
        <v>0</v>
      </c>
      <c r="BU435" s="20">
        <f ca="1">IF(Table1[[#This Row],[County]]="Berkshire",Table1[[#This Row],[income]],0)</f>
        <v>0</v>
      </c>
      <c r="BV435" s="20">
        <f ca="1">IF(Table1[[#This Row],[County]]="Staffordshire",Table1[[#This Row],[income]],0)</f>
        <v>0</v>
      </c>
      <c r="BW435" s="20">
        <f ca="1">IF(Table1[[#This Row],[County]]="Leicestershire",Table1[[#This Row],[income]],0)</f>
        <v>0</v>
      </c>
      <c r="BX435" s="20">
        <f ca="1">IF(Table1[[#This Row],[County]]="Cornwall",Table1[[#This Row],[income]],0)</f>
        <v>0</v>
      </c>
      <c r="BY435" s="20">
        <f ca="1">IF(Table1[[#This Row],[County]]="Isle of Wight",Table1[[#This Row],[income]],0)</f>
        <v>0</v>
      </c>
      <c r="BZ435" s="20">
        <f ca="1">IF(Table1[[#This Row],[County]]="Surrey",Table1[[#This Row],[income]],0)</f>
        <v>0</v>
      </c>
      <c r="CA435" s="20">
        <f ca="1">IF(Table1[[#This Row],[County]]="Derbyshire",Table1[[#This Row],[income]],0)</f>
        <v>0</v>
      </c>
      <c r="CB435" s="20">
        <f ca="1">IF(Table1[[#This Row],[County]]="City of London",Table1[[#This Row],[income]],0)</f>
        <v>0</v>
      </c>
      <c r="CC435" s="20">
        <f ca="1">IF(Table1[[#This Row],[County]]="Bedfordshire",Table1[[#This Row],[income]],0)</f>
        <v>0</v>
      </c>
      <c r="CD435" s="20">
        <f ca="1">IF(Table1[[#This Row],[County]]="County Durham",Table1[[#This Row],[income]],0)</f>
        <v>0</v>
      </c>
      <c r="CE435" s="20">
        <f ca="1">IF(Table1[[#This Row],[County]]="East Riding of Yorkshire",Table1[[#This Row],[income]],0)</f>
        <v>0</v>
      </c>
      <c r="CF435" s="20">
        <f ca="1">IF(Table1[[#This Row],[County]]="West Yorkshire",Table1[[#This Row],[income]],0)</f>
        <v>0</v>
      </c>
      <c r="CG435" s="20">
        <f ca="1">IF(Table1[[#This Row],[County]]="Essex",Table1[[#This Row],[income]],0)</f>
        <v>0</v>
      </c>
      <c r="CH435" s="20">
        <f ca="1">IF(Table1[[#This Row],[County]]="East Sussex",Table1[[#This Row],[income]],0)</f>
        <v>0</v>
      </c>
      <c r="CI435" s="20">
        <f ca="1">IF(Table1[[#This Row],[County]]="Greater Manchester",Table1[[#This Row],[income]],0)</f>
        <v>0</v>
      </c>
      <c r="CJ435" s="20">
        <f ca="1">IF(Table1[[#This Row],[County]]="Hertfordshire",Table1[[#This Row],[income]],0)</f>
        <v>0</v>
      </c>
      <c r="CK435" s="20">
        <f ca="1">IF(Table1[[#This Row],[County]]="Herefordshire",Table1[[#This Row],[income]],0)</f>
        <v>0</v>
      </c>
      <c r="CL435" s="20">
        <f ca="1">IF(Table1[[#This Row],[County]]="Lancashire",Table1[[#This Row],[income]],0)</f>
        <v>0</v>
      </c>
      <c r="CM435" s="20">
        <f ca="1">IF(Table1[[#This Row],[County]]="Merseyside",Table1[[#This Row],[income]],0)</f>
        <v>0</v>
      </c>
      <c r="CN435" s="20">
        <f ca="1">IF(Table1[[#This Row],[County]]="Northamptonshire",Table1[[#This Row],[income]],0)</f>
        <v>0</v>
      </c>
      <c r="CO435" s="20">
        <f ca="1">IF(Table1[[#This Row],[County]]="Northumberland",Table1[[#This Row],[income]],0)</f>
        <v>0</v>
      </c>
      <c r="CP435" s="20">
        <f ca="1">IF(Table1[[#This Row],[County]]="Wiltshire",Table1[[#This Row],[income]],0)</f>
        <v>0</v>
      </c>
      <c r="CQ435" s="20">
        <f ca="1">IF(Table1[[#This Row],[County]]="West Midlands",Table1[[#This Row],[income]],0)</f>
        <v>0</v>
      </c>
      <c r="CR435" s="20">
        <f ca="1">IF(Table1[[#This Row],[County]]="Warwickshire",Table1[[#This Row],[income]],0)</f>
        <v>0</v>
      </c>
      <c r="CS435" s="20">
        <f ca="1">IF(Table1[[#This Row],[County]]="Tyne and Wear",Table1[[#This Row],[income]],0)</f>
        <v>0</v>
      </c>
      <c r="CT435" s="20">
        <f ca="1">IF(Table1[[#This Row],[County]]="Worcestershire",Table1[[#This Row],[income]],0)</f>
        <v>0</v>
      </c>
      <c r="CU435" s="20">
        <f ca="1">IF(Table1[[#This Row],[County]]="Rutland",Table1[[#This Row],[income]],0)</f>
        <v>0</v>
      </c>
      <c r="CV435" s="20">
        <f ca="1">IF(Table1[[#This Row],[County]]="Shropshire",Table1[[#This Row],[income]],0)</f>
        <v>0</v>
      </c>
      <c r="CW435" s="20">
        <f ca="1">IF(Table1[[#This Row],[County]]="Dorset",Table1[[#This Row],[income]],0)</f>
        <v>0</v>
      </c>
      <c r="CX435" s="20">
        <f ca="1">IF(Table1[[#This Row],[County]]="Buckinghamshire",Table1[[#This Row],[income]],0)</f>
        <v>0</v>
      </c>
      <c r="CY435" s="20">
        <f ca="1">IF(Table1[[#This Row],[County]]="Suffolk",Table1[[#This Row],[income]],0)</f>
        <v>0</v>
      </c>
      <c r="CZ435" s="20">
        <f ca="1">IF(Table1[[#This Row],[County]]="North Yorkshire",Table1[[#This Row],[income]],0)</f>
        <v>0</v>
      </c>
      <c r="DA435" s="20">
        <f ca="1">IF(Table1[[#This Row],[County]]="Kent",Table1[[#This Row],[income]],0)</f>
        <v>0</v>
      </c>
      <c r="DB435" s="5">
        <f ca="1">IF(Table1[[#This Row],[County]]="Derbyshire",Table1[[#This Row],[income]],0)</f>
        <v>0</v>
      </c>
      <c r="DD435" s="6">
        <f ca="1">IF(Table1[[#This Row],[Column1]]="Health",Table1[[#This Row],[income]],0)</f>
        <v>0</v>
      </c>
      <c r="DE435" s="20">
        <f ca="1">IF(Table1[[#This Row],[Column1]]="Agriculture",Table1[[#This Row],[income]],0)</f>
        <v>36150</v>
      </c>
      <c r="DF435" s="20">
        <f ca="1">IF(Table1[[#This Row],[Column1]]="Technology",Table1[[#This Row],[income]],0)</f>
        <v>0</v>
      </c>
      <c r="DG435" s="20">
        <f ca="1">IF(Table1[[#This Row],[Column1]]="Social Service",Table1[[#This Row],[income]],0)</f>
        <v>0</v>
      </c>
      <c r="DH435" s="20">
        <f ca="1">IF(Table1[[#This Row],[Column1]]="Education",Table1[[#This Row],[income]],0)</f>
        <v>0</v>
      </c>
      <c r="DI435" s="5">
        <f ca="1">IF(Table1[[#This Row],[Column1]]="Construction",Table1[[#This Row],[income]],0)</f>
        <v>0</v>
      </c>
      <c r="DK435" s="6">
        <f ca="1">IF(Table1[[#This Row],[Value of Debts]]&gt;Table1[[#This Row],[income]],1,0)</f>
        <v>1</v>
      </c>
      <c r="DL435" s="20"/>
      <c r="DM435" s="20"/>
      <c r="DN435" s="5"/>
      <c r="DP435" s="6">
        <f ca="1">IF(Table1[[#This Row],[Net Worth (£)]]&gt;$DS$5,C435,0)</f>
        <v>0</v>
      </c>
      <c r="DQ435" s="20"/>
      <c r="DR435" s="20"/>
      <c r="DS435" s="5"/>
    </row>
    <row r="436" spans="1:123" x14ac:dyDescent="0.2">
      <c r="A436">
        <f t="shared" ca="1" si="19"/>
        <v>2</v>
      </c>
      <c r="B436" s="1" t="str">
        <f ca="1">IF(A436=1, "men", "women")</f>
        <v>women</v>
      </c>
      <c r="C436" s="1">
        <f ca="1">RANDBETWEEN(25,50)</f>
        <v>45</v>
      </c>
      <c r="D436">
        <f ca="1">RANDBETWEEN(1,6)</f>
        <v>6</v>
      </c>
      <c r="E436" t="str">
        <f ca="1">VLOOKUP(D436,$W$5:$X$10,2)</f>
        <v>Agriculture</v>
      </c>
      <c r="F436">
        <f ca="1">RANDBETWEEN(1,5)</f>
        <v>3</v>
      </c>
      <c r="G436" t="str">
        <f ca="1">VLOOKUP(F436,$Y$5:$Z$9,2)</f>
        <v>University</v>
      </c>
      <c r="H436">
        <f ca="1">RANDBETWEEN(0,4)</f>
        <v>2</v>
      </c>
      <c r="I436">
        <f ca="1">RANDBETWEEN(1,3)</f>
        <v>2</v>
      </c>
      <c r="J436">
        <f ca="1">RANDBETWEEN(30000,100000)</f>
        <v>31408</v>
      </c>
      <c r="K436">
        <f ca="1">RANDBETWEEN(1,48)</f>
        <v>29</v>
      </c>
      <c r="L436" t="str">
        <f ca="1">VLOOKUP(K436,$AA$5:$AB$52,2)</f>
        <v>Norfolk</v>
      </c>
      <c r="M436">
        <f ca="1">J436*(RANDBETWEEN(2,5))</f>
        <v>157040</v>
      </c>
      <c r="N436">
        <f ca="1">RAND()*M436</f>
        <v>107762.21169738275</v>
      </c>
      <c r="O436">
        <f ca="1">I436*RAND()*J436</f>
        <v>22203.967137608121</v>
      </c>
      <c r="P436">
        <f ca="1">RANDBETWEEN(0,O436)</f>
        <v>11373</v>
      </c>
      <c r="Q436">
        <f ca="1">RAND()*J436*2</f>
        <v>21546.428307113722</v>
      </c>
      <c r="R436">
        <f ca="1">RAND()*J436*1.5</f>
        <v>4726.7981143656489</v>
      </c>
      <c r="S436">
        <f ca="1">J436+R436+O436</f>
        <v>58338.765251973775</v>
      </c>
      <c r="T436">
        <f ca="1">N436+P436+Q436</f>
        <v>140681.64000449647</v>
      </c>
      <c r="U436">
        <f ca="1">S436-T436</f>
        <v>-82342.874752522694</v>
      </c>
      <c r="AC436" s="6">
        <f ca="1">IF(Table1[[#This Row],[gender]]="men",1,0)</f>
        <v>0</v>
      </c>
      <c r="AD436">
        <f ca="1">IF(Table1[[#This Row],[gender]]="women",1,0)</f>
        <v>1</v>
      </c>
      <c r="AH436" s="5"/>
      <c r="AJ436" s="6">
        <f ca="1">IF(Table1[[#This Row],[Column1]]="Health",1,0)</f>
        <v>0</v>
      </c>
      <c r="AK436">
        <f ca="1">IF(Table1[[#This Row],[Column1]]="Construction",1,0)</f>
        <v>0</v>
      </c>
      <c r="AL436">
        <f ca="1">IF(Table1[[#This Row],[Column1]]="Technology",1,0)</f>
        <v>0</v>
      </c>
      <c r="AM436">
        <f ca="1">IF(Table1[[#This Row],[Column1]]="Education",1,0)</f>
        <v>0</v>
      </c>
      <c r="AN436">
        <f ca="1">IF(Table1[[#This Row],[Column1]]="Agriculture",1,0)</f>
        <v>1</v>
      </c>
      <c r="AO436">
        <f ca="1">IF(Table1[[#This Row],[Column1]]="Social Service", 1, 0)</f>
        <v>0</v>
      </c>
      <c r="AT436" s="5"/>
      <c r="AV436" s="17">
        <f t="shared" ca="1" si="18"/>
        <v>50133.979411175518</v>
      </c>
      <c r="AW436" s="5"/>
      <c r="AX436" s="6">
        <f ca="1">IF(Table1[[#This Row],[Value of Debts]]&gt;$AY$4,1,0)</f>
        <v>1</v>
      </c>
      <c r="AY436" s="20"/>
      <c r="AZ436" s="20"/>
      <c r="BA436" s="5"/>
      <c r="BB436" s="25">
        <f ca="1">Table1[[#This Row],[Mortage Left]]/Table1[[#This Row],[Value of House]]</f>
        <v>0.68620868375816835</v>
      </c>
      <c r="BC436" s="20">
        <f t="shared" ca="1" si="20"/>
        <v>0</v>
      </c>
      <c r="BD436" s="20"/>
      <c r="BE436" s="20"/>
      <c r="BF436" s="20"/>
      <c r="BG436" s="6">
        <f ca="1">IF(Table1[[#This Row],[County]]="Cumbria",Table1[[#This Row],[income]],0)</f>
        <v>0</v>
      </c>
      <c r="BH436" s="20">
        <f ca="1">IF(Table1[[#This Row],[County]]="Cheshire",Table1[[#This Row],[income]],0)</f>
        <v>0</v>
      </c>
      <c r="BI436" s="20">
        <f ca="1">IF(Table1[[#This Row],[County]]="Bristol",Table1[[#This Row],[income]],0)</f>
        <v>0</v>
      </c>
      <c r="BJ436" s="20">
        <f ca="1">IF(Table1[[#This Row],[County]]="Surrey",Table1[[#This Row],[income]],0)</f>
        <v>0</v>
      </c>
      <c r="BK436" s="20">
        <f ca="1">IF(Table1[[#This Row],[County]]="Norfolk",Table1[[#This Row],[income]],0)</f>
        <v>31408</v>
      </c>
      <c r="BL436" s="20">
        <f ca="1">IF(Table1[[#This Row],[County]]="Lincolnshire",Table1[[#This Row],[income]],0)</f>
        <v>0</v>
      </c>
      <c r="BM436" s="20">
        <f ca="1">IF(Table1[[#This Row],[County]]="Somerset",Table1[[#This Row],[income]],0)</f>
        <v>0</v>
      </c>
      <c r="BN436" s="20">
        <f ca="1">IF(Table1[[#This Row],[County]]="Cambridgeshire",Table1[[#This Row],[income]],0)</f>
        <v>0</v>
      </c>
      <c r="BO436" s="20">
        <f ca="1">IF(Table1[[#This Row],[County]]="South Yorkshire",Table1[[#This Row],[income]],0)</f>
        <v>0</v>
      </c>
      <c r="BP436" s="20">
        <f ca="1">IF(Table1[[#This Row],[County]]="Greater London",Table1[[#This Row],[income]],0)</f>
        <v>0</v>
      </c>
      <c r="BQ436" s="20">
        <f ca="1">IF(Table1[[#This Row],[County]]="Hampshire",Table1[[#This Row],[income]],0)</f>
        <v>0</v>
      </c>
      <c r="BR436" s="20">
        <f ca="1">IF(Table1[[#This Row],[County]]="Gloucestershire",Table1[[#This Row],[income]],0)</f>
        <v>0</v>
      </c>
      <c r="BS436" s="20">
        <f ca="1">IF(Table1[[#This Row],[County]]="West Sussex",Table1[[#This Row],[income]],0)</f>
        <v>0</v>
      </c>
      <c r="BT436" s="20">
        <f ca="1">IF(Table1[[#This Row],[County]]="Devon",Table1[[#This Row],[income]],0)</f>
        <v>0</v>
      </c>
      <c r="BU436" s="20">
        <f ca="1">IF(Table1[[#This Row],[County]]="Berkshire",Table1[[#This Row],[income]],0)</f>
        <v>0</v>
      </c>
      <c r="BV436" s="20">
        <f ca="1">IF(Table1[[#This Row],[County]]="Staffordshire",Table1[[#This Row],[income]],0)</f>
        <v>0</v>
      </c>
      <c r="BW436" s="20">
        <f ca="1">IF(Table1[[#This Row],[County]]="Leicestershire",Table1[[#This Row],[income]],0)</f>
        <v>0</v>
      </c>
      <c r="BX436" s="20">
        <f ca="1">IF(Table1[[#This Row],[County]]="Cornwall",Table1[[#This Row],[income]],0)</f>
        <v>0</v>
      </c>
      <c r="BY436" s="20">
        <f ca="1">IF(Table1[[#This Row],[County]]="Isle of Wight",Table1[[#This Row],[income]],0)</f>
        <v>0</v>
      </c>
      <c r="BZ436" s="20">
        <f ca="1">IF(Table1[[#This Row],[County]]="Surrey",Table1[[#This Row],[income]],0)</f>
        <v>0</v>
      </c>
      <c r="CA436" s="20">
        <f ca="1">IF(Table1[[#This Row],[County]]="Derbyshire",Table1[[#This Row],[income]],0)</f>
        <v>0</v>
      </c>
      <c r="CB436" s="20">
        <f ca="1">IF(Table1[[#This Row],[County]]="City of London",Table1[[#This Row],[income]],0)</f>
        <v>0</v>
      </c>
      <c r="CC436" s="20">
        <f ca="1">IF(Table1[[#This Row],[County]]="Bedfordshire",Table1[[#This Row],[income]],0)</f>
        <v>0</v>
      </c>
      <c r="CD436" s="20">
        <f ca="1">IF(Table1[[#This Row],[County]]="County Durham",Table1[[#This Row],[income]],0)</f>
        <v>0</v>
      </c>
      <c r="CE436" s="20">
        <f ca="1">IF(Table1[[#This Row],[County]]="East Riding of Yorkshire",Table1[[#This Row],[income]],0)</f>
        <v>0</v>
      </c>
      <c r="CF436" s="20">
        <f ca="1">IF(Table1[[#This Row],[County]]="West Yorkshire",Table1[[#This Row],[income]],0)</f>
        <v>0</v>
      </c>
      <c r="CG436" s="20">
        <f ca="1">IF(Table1[[#This Row],[County]]="Essex",Table1[[#This Row],[income]],0)</f>
        <v>0</v>
      </c>
      <c r="CH436" s="20">
        <f ca="1">IF(Table1[[#This Row],[County]]="East Sussex",Table1[[#This Row],[income]],0)</f>
        <v>0</v>
      </c>
      <c r="CI436" s="20">
        <f ca="1">IF(Table1[[#This Row],[County]]="Greater Manchester",Table1[[#This Row],[income]],0)</f>
        <v>0</v>
      </c>
      <c r="CJ436" s="20">
        <f ca="1">IF(Table1[[#This Row],[County]]="Hertfordshire",Table1[[#This Row],[income]],0)</f>
        <v>0</v>
      </c>
      <c r="CK436" s="20">
        <f ca="1">IF(Table1[[#This Row],[County]]="Herefordshire",Table1[[#This Row],[income]],0)</f>
        <v>0</v>
      </c>
      <c r="CL436" s="20">
        <f ca="1">IF(Table1[[#This Row],[County]]="Lancashire",Table1[[#This Row],[income]],0)</f>
        <v>0</v>
      </c>
      <c r="CM436" s="20">
        <f ca="1">IF(Table1[[#This Row],[County]]="Merseyside",Table1[[#This Row],[income]],0)</f>
        <v>0</v>
      </c>
      <c r="CN436" s="20">
        <f ca="1">IF(Table1[[#This Row],[County]]="Northamptonshire",Table1[[#This Row],[income]],0)</f>
        <v>0</v>
      </c>
      <c r="CO436" s="20">
        <f ca="1">IF(Table1[[#This Row],[County]]="Northumberland",Table1[[#This Row],[income]],0)</f>
        <v>0</v>
      </c>
      <c r="CP436" s="20">
        <f ca="1">IF(Table1[[#This Row],[County]]="Wiltshire",Table1[[#This Row],[income]],0)</f>
        <v>0</v>
      </c>
      <c r="CQ436" s="20">
        <f ca="1">IF(Table1[[#This Row],[County]]="West Midlands",Table1[[#This Row],[income]],0)</f>
        <v>0</v>
      </c>
      <c r="CR436" s="20">
        <f ca="1">IF(Table1[[#This Row],[County]]="Warwickshire",Table1[[#This Row],[income]],0)</f>
        <v>0</v>
      </c>
      <c r="CS436" s="20">
        <f ca="1">IF(Table1[[#This Row],[County]]="Tyne and Wear",Table1[[#This Row],[income]],0)</f>
        <v>0</v>
      </c>
      <c r="CT436" s="20">
        <f ca="1">IF(Table1[[#This Row],[County]]="Worcestershire",Table1[[#This Row],[income]],0)</f>
        <v>0</v>
      </c>
      <c r="CU436" s="20">
        <f ca="1">IF(Table1[[#This Row],[County]]="Rutland",Table1[[#This Row],[income]],0)</f>
        <v>0</v>
      </c>
      <c r="CV436" s="20">
        <f ca="1">IF(Table1[[#This Row],[County]]="Shropshire",Table1[[#This Row],[income]],0)</f>
        <v>0</v>
      </c>
      <c r="CW436" s="20">
        <f ca="1">IF(Table1[[#This Row],[County]]="Dorset",Table1[[#This Row],[income]],0)</f>
        <v>0</v>
      </c>
      <c r="CX436" s="20">
        <f ca="1">IF(Table1[[#This Row],[County]]="Buckinghamshire",Table1[[#This Row],[income]],0)</f>
        <v>0</v>
      </c>
      <c r="CY436" s="20">
        <f ca="1">IF(Table1[[#This Row],[County]]="Suffolk",Table1[[#This Row],[income]],0)</f>
        <v>0</v>
      </c>
      <c r="CZ436" s="20">
        <f ca="1">IF(Table1[[#This Row],[County]]="North Yorkshire",Table1[[#This Row],[income]],0)</f>
        <v>0</v>
      </c>
      <c r="DA436" s="20">
        <f ca="1">IF(Table1[[#This Row],[County]]="Kent",Table1[[#This Row],[income]],0)</f>
        <v>0</v>
      </c>
      <c r="DB436" s="5">
        <f ca="1">IF(Table1[[#This Row],[County]]="Derbyshire",Table1[[#This Row],[income]],0)</f>
        <v>0</v>
      </c>
      <c r="DD436" s="6">
        <f ca="1">IF(Table1[[#This Row],[Column1]]="Health",Table1[[#This Row],[income]],0)</f>
        <v>0</v>
      </c>
      <c r="DE436" s="20">
        <f ca="1">IF(Table1[[#This Row],[Column1]]="Agriculture",Table1[[#This Row],[income]],0)</f>
        <v>31408</v>
      </c>
      <c r="DF436" s="20">
        <f ca="1">IF(Table1[[#This Row],[Column1]]="Technology",Table1[[#This Row],[income]],0)</f>
        <v>0</v>
      </c>
      <c r="DG436" s="20">
        <f ca="1">IF(Table1[[#This Row],[Column1]]="Social Service",Table1[[#This Row],[income]],0)</f>
        <v>0</v>
      </c>
      <c r="DH436" s="20">
        <f ca="1">IF(Table1[[#This Row],[Column1]]="Education",Table1[[#This Row],[income]],0)</f>
        <v>0</v>
      </c>
      <c r="DI436" s="5">
        <f ca="1">IF(Table1[[#This Row],[Column1]]="Construction",Table1[[#This Row],[income]],0)</f>
        <v>0</v>
      </c>
      <c r="DK436" s="6">
        <f ca="1">IF(Table1[[#This Row],[Value of Debts]]&gt;Table1[[#This Row],[income]],1,0)</f>
        <v>1</v>
      </c>
      <c r="DL436" s="20"/>
      <c r="DM436" s="20"/>
      <c r="DN436" s="5"/>
      <c r="DP436" s="6">
        <f ca="1">IF(Table1[[#This Row],[Net Worth (£)]]&gt;$DS$5,C436,0)</f>
        <v>0</v>
      </c>
      <c r="DQ436" s="20"/>
      <c r="DR436" s="20"/>
      <c r="DS436" s="5"/>
    </row>
    <row r="437" spans="1:123" x14ac:dyDescent="0.2">
      <c r="A437">
        <f t="shared" ca="1" si="19"/>
        <v>1</v>
      </c>
      <c r="B437" s="1" t="str">
        <f ca="1">IF(A437=1, "men", "women")</f>
        <v>men</v>
      </c>
      <c r="C437" s="1">
        <f ca="1">RANDBETWEEN(25,50)</f>
        <v>29</v>
      </c>
      <c r="D437">
        <f ca="1">RANDBETWEEN(1,6)</f>
        <v>5</v>
      </c>
      <c r="E437" t="str">
        <f ca="1">VLOOKUP(D437,$W$5:$X$10,2)</f>
        <v>Social Service</v>
      </c>
      <c r="F437">
        <f ca="1">RANDBETWEEN(1,5)</f>
        <v>4</v>
      </c>
      <c r="G437" t="str">
        <f ca="1">VLOOKUP(F437,$Y$5:$Z$9,2)</f>
        <v xml:space="preserve">Technical </v>
      </c>
      <c r="H437">
        <f ca="1">RANDBETWEEN(0,4)</f>
        <v>4</v>
      </c>
      <c r="I437">
        <f ca="1">RANDBETWEEN(1,3)</f>
        <v>2</v>
      </c>
      <c r="J437">
        <f ca="1">RANDBETWEEN(30000,100000)</f>
        <v>53146</v>
      </c>
      <c r="K437">
        <f ca="1">RANDBETWEEN(1,48)</f>
        <v>3</v>
      </c>
      <c r="L437" t="str">
        <f ca="1">VLOOKUP(K437,$AA$5:$AB$52,2)</f>
        <v>Bristol</v>
      </c>
      <c r="M437">
        <f ca="1">J437*(RANDBETWEEN(2,5))</f>
        <v>159438</v>
      </c>
      <c r="N437">
        <f ca="1">RAND()*M437</f>
        <v>24648.034559836284</v>
      </c>
      <c r="O437">
        <f ca="1">I437*RAND()*J437</f>
        <v>100267.95882235104</v>
      </c>
      <c r="P437">
        <f ca="1">RANDBETWEEN(0,O437)</f>
        <v>96332</v>
      </c>
      <c r="Q437">
        <f ca="1">RAND()*J437*2</f>
        <v>54155.316780007925</v>
      </c>
      <c r="R437">
        <f ca="1">RAND()*J437*1.5</f>
        <v>15262.02092894031</v>
      </c>
      <c r="S437">
        <f ca="1">J437+R437+O437</f>
        <v>168675.97975129134</v>
      </c>
      <c r="T437">
        <f ca="1">N437+P437+Q437</f>
        <v>175135.35133984423</v>
      </c>
      <c r="U437">
        <f ca="1">S437-T437</f>
        <v>-6459.3715885528945</v>
      </c>
      <c r="AC437" s="6">
        <f ca="1">IF(Table1[[#This Row],[gender]]="men",1,0)</f>
        <v>1</v>
      </c>
      <c r="AD437">
        <f ca="1">IF(Table1[[#This Row],[gender]]="women",1,0)</f>
        <v>0</v>
      </c>
      <c r="AH437" s="5"/>
      <c r="AJ437" s="6">
        <f ca="1">IF(Table1[[#This Row],[Column1]]="Health",1,0)</f>
        <v>0</v>
      </c>
      <c r="AK437">
        <f ca="1">IF(Table1[[#This Row],[Column1]]="Construction",1,0)</f>
        <v>0</v>
      </c>
      <c r="AL437">
        <f ca="1">IF(Table1[[#This Row],[Column1]]="Technology",1,0)</f>
        <v>0</v>
      </c>
      <c r="AM437">
        <f ca="1">IF(Table1[[#This Row],[Column1]]="Education",1,0)</f>
        <v>0</v>
      </c>
      <c r="AN437">
        <f ca="1">IF(Table1[[#This Row],[Column1]]="Agriculture",1,0)</f>
        <v>0</v>
      </c>
      <c r="AO437">
        <f ca="1">IF(Table1[[#This Row],[Column1]]="Social Service", 1, 0)</f>
        <v>1</v>
      </c>
      <c r="AT437" s="5"/>
      <c r="AV437" s="17">
        <f t="shared" ca="1" si="18"/>
        <v>8901.6257614383285</v>
      </c>
      <c r="AW437" s="5"/>
      <c r="AX437" s="6">
        <f ca="1">IF(Table1[[#This Row],[Value of Debts]]&gt;$AY$4,1,0)</f>
        <v>1</v>
      </c>
      <c r="AY437" s="20"/>
      <c r="AZ437" s="20"/>
      <c r="BA437" s="5"/>
      <c r="BB437" s="25">
        <f ca="1">Table1[[#This Row],[Mortage Left]]/Table1[[#This Row],[Value of House]]</f>
        <v>0.15459322470073811</v>
      </c>
      <c r="BC437" s="20">
        <f t="shared" ca="1" si="20"/>
        <v>1</v>
      </c>
      <c r="BD437" s="20"/>
      <c r="BE437" s="20"/>
      <c r="BF437" s="20"/>
      <c r="BG437" s="6">
        <f ca="1">IF(Table1[[#This Row],[County]]="Cumbria",Table1[[#This Row],[income]],0)</f>
        <v>0</v>
      </c>
      <c r="BH437" s="20">
        <f ca="1">IF(Table1[[#This Row],[County]]="Cheshire",Table1[[#This Row],[income]],0)</f>
        <v>0</v>
      </c>
      <c r="BI437" s="20">
        <f ca="1">IF(Table1[[#This Row],[County]]="Bristol",Table1[[#This Row],[income]],0)</f>
        <v>53146</v>
      </c>
      <c r="BJ437" s="20">
        <f ca="1">IF(Table1[[#This Row],[County]]="Surrey",Table1[[#This Row],[income]],0)</f>
        <v>0</v>
      </c>
      <c r="BK437" s="20">
        <f ca="1">IF(Table1[[#This Row],[County]]="Norfolk",Table1[[#This Row],[income]],0)</f>
        <v>0</v>
      </c>
      <c r="BL437" s="20">
        <f ca="1">IF(Table1[[#This Row],[County]]="Lincolnshire",Table1[[#This Row],[income]],0)</f>
        <v>0</v>
      </c>
      <c r="BM437" s="20">
        <f ca="1">IF(Table1[[#This Row],[County]]="Somerset",Table1[[#This Row],[income]],0)</f>
        <v>0</v>
      </c>
      <c r="BN437" s="20">
        <f ca="1">IF(Table1[[#This Row],[County]]="Cambridgeshire",Table1[[#This Row],[income]],0)</f>
        <v>0</v>
      </c>
      <c r="BO437" s="20">
        <f ca="1">IF(Table1[[#This Row],[County]]="South Yorkshire",Table1[[#This Row],[income]],0)</f>
        <v>0</v>
      </c>
      <c r="BP437" s="20">
        <f ca="1">IF(Table1[[#This Row],[County]]="Greater London",Table1[[#This Row],[income]],0)</f>
        <v>0</v>
      </c>
      <c r="BQ437" s="20">
        <f ca="1">IF(Table1[[#This Row],[County]]="Hampshire",Table1[[#This Row],[income]],0)</f>
        <v>0</v>
      </c>
      <c r="BR437" s="20">
        <f ca="1">IF(Table1[[#This Row],[County]]="Gloucestershire",Table1[[#This Row],[income]],0)</f>
        <v>0</v>
      </c>
      <c r="BS437" s="20">
        <f ca="1">IF(Table1[[#This Row],[County]]="West Sussex",Table1[[#This Row],[income]],0)</f>
        <v>0</v>
      </c>
      <c r="BT437" s="20">
        <f ca="1">IF(Table1[[#This Row],[County]]="Devon",Table1[[#This Row],[income]],0)</f>
        <v>0</v>
      </c>
      <c r="BU437" s="20">
        <f ca="1">IF(Table1[[#This Row],[County]]="Berkshire",Table1[[#This Row],[income]],0)</f>
        <v>0</v>
      </c>
      <c r="BV437" s="20">
        <f ca="1">IF(Table1[[#This Row],[County]]="Staffordshire",Table1[[#This Row],[income]],0)</f>
        <v>0</v>
      </c>
      <c r="BW437" s="20">
        <f ca="1">IF(Table1[[#This Row],[County]]="Leicestershire",Table1[[#This Row],[income]],0)</f>
        <v>0</v>
      </c>
      <c r="BX437" s="20">
        <f ca="1">IF(Table1[[#This Row],[County]]="Cornwall",Table1[[#This Row],[income]],0)</f>
        <v>0</v>
      </c>
      <c r="BY437" s="20">
        <f ca="1">IF(Table1[[#This Row],[County]]="Isle of Wight",Table1[[#This Row],[income]],0)</f>
        <v>0</v>
      </c>
      <c r="BZ437" s="20">
        <f ca="1">IF(Table1[[#This Row],[County]]="Surrey",Table1[[#This Row],[income]],0)</f>
        <v>0</v>
      </c>
      <c r="CA437" s="20">
        <f ca="1">IF(Table1[[#This Row],[County]]="Derbyshire",Table1[[#This Row],[income]],0)</f>
        <v>0</v>
      </c>
      <c r="CB437" s="20">
        <f ca="1">IF(Table1[[#This Row],[County]]="City of London",Table1[[#This Row],[income]],0)</f>
        <v>0</v>
      </c>
      <c r="CC437" s="20">
        <f ca="1">IF(Table1[[#This Row],[County]]="Bedfordshire",Table1[[#This Row],[income]],0)</f>
        <v>0</v>
      </c>
      <c r="CD437" s="20">
        <f ca="1">IF(Table1[[#This Row],[County]]="County Durham",Table1[[#This Row],[income]],0)</f>
        <v>0</v>
      </c>
      <c r="CE437" s="20">
        <f ca="1">IF(Table1[[#This Row],[County]]="East Riding of Yorkshire",Table1[[#This Row],[income]],0)</f>
        <v>0</v>
      </c>
      <c r="CF437" s="20">
        <f ca="1">IF(Table1[[#This Row],[County]]="West Yorkshire",Table1[[#This Row],[income]],0)</f>
        <v>0</v>
      </c>
      <c r="CG437" s="20">
        <f ca="1">IF(Table1[[#This Row],[County]]="Essex",Table1[[#This Row],[income]],0)</f>
        <v>0</v>
      </c>
      <c r="CH437" s="20">
        <f ca="1">IF(Table1[[#This Row],[County]]="East Sussex",Table1[[#This Row],[income]],0)</f>
        <v>0</v>
      </c>
      <c r="CI437" s="20">
        <f ca="1">IF(Table1[[#This Row],[County]]="Greater Manchester",Table1[[#This Row],[income]],0)</f>
        <v>0</v>
      </c>
      <c r="CJ437" s="20">
        <f ca="1">IF(Table1[[#This Row],[County]]="Hertfordshire",Table1[[#This Row],[income]],0)</f>
        <v>0</v>
      </c>
      <c r="CK437" s="20">
        <f ca="1">IF(Table1[[#This Row],[County]]="Herefordshire",Table1[[#This Row],[income]],0)</f>
        <v>0</v>
      </c>
      <c r="CL437" s="20">
        <f ca="1">IF(Table1[[#This Row],[County]]="Lancashire",Table1[[#This Row],[income]],0)</f>
        <v>0</v>
      </c>
      <c r="CM437" s="20">
        <f ca="1">IF(Table1[[#This Row],[County]]="Merseyside",Table1[[#This Row],[income]],0)</f>
        <v>0</v>
      </c>
      <c r="CN437" s="20">
        <f ca="1">IF(Table1[[#This Row],[County]]="Northamptonshire",Table1[[#This Row],[income]],0)</f>
        <v>0</v>
      </c>
      <c r="CO437" s="20">
        <f ca="1">IF(Table1[[#This Row],[County]]="Northumberland",Table1[[#This Row],[income]],0)</f>
        <v>0</v>
      </c>
      <c r="CP437" s="20">
        <f ca="1">IF(Table1[[#This Row],[County]]="Wiltshire",Table1[[#This Row],[income]],0)</f>
        <v>0</v>
      </c>
      <c r="CQ437" s="20">
        <f ca="1">IF(Table1[[#This Row],[County]]="West Midlands",Table1[[#This Row],[income]],0)</f>
        <v>0</v>
      </c>
      <c r="CR437" s="20">
        <f ca="1">IF(Table1[[#This Row],[County]]="Warwickshire",Table1[[#This Row],[income]],0)</f>
        <v>0</v>
      </c>
      <c r="CS437" s="20">
        <f ca="1">IF(Table1[[#This Row],[County]]="Tyne and Wear",Table1[[#This Row],[income]],0)</f>
        <v>0</v>
      </c>
      <c r="CT437" s="20">
        <f ca="1">IF(Table1[[#This Row],[County]]="Worcestershire",Table1[[#This Row],[income]],0)</f>
        <v>0</v>
      </c>
      <c r="CU437" s="20">
        <f ca="1">IF(Table1[[#This Row],[County]]="Rutland",Table1[[#This Row],[income]],0)</f>
        <v>0</v>
      </c>
      <c r="CV437" s="20">
        <f ca="1">IF(Table1[[#This Row],[County]]="Shropshire",Table1[[#This Row],[income]],0)</f>
        <v>0</v>
      </c>
      <c r="CW437" s="20">
        <f ca="1">IF(Table1[[#This Row],[County]]="Dorset",Table1[[#This Row],[income]],0)</f>
        <v>0</v>
      </c>
      <c r="CX437" s="20">
        <f ca="1">IF(Table1[[#This Row],[County]]="Buckinghamshire",Table1[[#This Row],[income]],0)</f>
        <v>0</v>
      </c>
      <c r="CY437" s="20">
        <f ca="1">IF(Table1[[#This Row],[County]]="Suffolk",Table1[[#This Row],[income]],0)</f>
        <v>0</v>
      </c>
      <c r="CZ437" s="20">
        <f ca="1">IF(Table1[[#This Row],[County]]="North Yorkshire",Table1[[#This Row],[income]],0)</f>
        <v>0</v>
      </c>
      <c r="DA437" s="20">
        <f ca="1">IF(Table1[[#This Row],[County]]="Kent",Table1[[#This Row],[income]],0)</f>
        <v>0</v>
      </c>
      <c r="DB437" s="5">
        <f ca="1">IF(Table1[[#This Row],[County]]="Derbyshire",Table1[[#This Row],[income]],0)</f>
        <v>0</v>
      </c>
      <c r="DD437" s="6">
        <f ca="1">IF(Table1[[#This Row],[Column1]]="Health",Table1[[#This Row],[income]],0)</f>
        <v>0</v>
      </c>
      <c r="DE437" s="20">
        <f ca="1">IF(Table1[[#This Row],[Column1]]="Agriculture",Table1[[#This Row],[income]],0)</f>
        <v>0</v>
      </c>
      <c r="DF437" s="20">
        <f ca="1">IF(Table1[[#This Row],[Column1]]="Technology",Table1[[#This Row],[income]],0)</f>
        <v>0</v>
      </c>
      <c r="DG437" s="20">
        <f ca="1">IF(Table1[[#This Row],[Column1]]="Social Service",Table1[[#This Row],[income]],0)</f>
        <v>53146</v>
      </c>
      <c r="DH437" s="20">
        <f ca="1">IF(Table1[[#This Row],[Column1]]="Education",Table1[[#This Row],[income]],0)</f>
        <v>0</v>
      </c>
      <c r="DI437" s="5">
        <f ca="1">IF(Table1[[#This Row],[Column1]]="Construction",Table1[[#This Row],[income]],0)</f>
        <v>0</v>
      </c>
      <c r="DK437" s="6">
        <f ca="1">IF(Table1[[#This Row],[Value of Debts]]&gt;Table1[[#This Row],[income]],1,0)</f>
        <v>1</v>
      </c>
      <c r="DL437" s="20"/>
      <c r="DM437" s="20"/>
      <c r="DN437" s="5"/>
      <c r="DP437" s="6">
        <f ca="1">IF(Table1[[#This Row],[Net Worth (£)]]&gt;$DS$5,C437,0)</f>
        <v>0</v>
      </c>
      <c r="DQ437" s="20"/>
      <c r="DR437" s="20"/>
      <c r="DS437" s="5"/>
    </row>
    <row r="438" spans="1:123" x14ac:dyDescent="0.2">
      <c r="A438">
        <f t="shared" ca="1" si="19"/>
        <v>2</v>
      </c>
      <c r="B438" s="1" t="str">
        <f ca="1">IF(A438=1, "men", "women")</f>
        <v>women</v>
      </c>
      <c r="C438" s="1">
        <f ca="1">RANDBETWEEN(25,50)</f>
        <v>46</v>
      </c>
      <c r="D438">
        <f ca="1">RANDBETWEEN(1,6)</f>
        <v>1</v>
      </c>
      <c r="E438" t="str">
        <f ca="1">VLOOKUP(D438,$W$5:$X$10,2)</f>
        <v>Health</v>
      </c>
      <c r="F438">
        <f ca="1">RANDBETWEEN(1,5)</f>
        <v>3</v>
      </c>
      <c r="G438" t="str">
        <f ca="1">VLOOKUP(F438,$Y$5:$Z$9,2)</f>
        <v>University</v>
      </c>
      <c r="H438">
        <f ca="1">RANDBETWEEN(0,4)</f>
        <v>3</v>
      </c>
      <c r="I438">
        <f ca="1">RANDBETWEEN(1,3)</f>
        <v>2</v>
      </c>
      <c r="J438">
        <f ca="1">RANDBETWEEN(30000,100000)</f>
        <v>41435</v>
      </c>
      <c r="K438">
        <f ca="1">RANDBETWEEN(1,48)</f>
        <v>1</v>
      </c>
      <c r="L438" t="str">
        <f ca="1">VLOOKUP(K438,$AA$5:$AB$52,2)</f>
        <v>Bedfordshire</v>
      </c>
      <c r="M438">
        <f ca="1">J438*(RANDBETWEEN(2,5))</f>
        <v>82870</v>
      </c>
      <c r="N438">
        <f ca="1">RAND()*M438</f>
        <v>80294.101790359899</v>
      </c>
      <c r="O438">
        <f ca="1">I438*RAND()*J438</f>
        <v>17803.251522876657</v>
      </c>
      <c r="P438">
        <f ca="1">RANDBETWEEN(0,O438)</f>
        <v>13303</v>
      </c>
      <c r="Q438">
        <f ca="1">RAND()*J438*2</f>
        <v>53401.398084054417</v>
      </c>
      <c r="R438">
        <f ca="1">RAND()*J438*1.5</f>
        <v>40234.825380563023</v>
      </c>
      <c r="S438">
        <f ca="1">J438+R438+O438</f>
        <v>99473.07690343968</v>
      </c>
      <c r="T438">
        <f ca="1">N438+P438+Q438</f>
        <v>146998.49987441432</v>
      </c>
      <c r="U438">
        <f ca="1">S438-T438</f>
        <v>-47525.422970974643</v>
      </c>
      <c r="AC438" s="6">
        <f ca="1">IF(Table1[[#This Row],[gender]]="men",1,0)</f>
        <v>0</v>
      </c>
      <c r="AD438">
        <f ca="1">IF(Table1[[#This Row],[gender]]="women",1,0)</f>
        <v>1</v>
      </c>
      <c r="AH438" s="5"/>
      <c r="AJ438" s="6">
        <f ca="1">IF(Table1[[#This Row],[Column1]]="Health",1,0)</f>
        <v>1</v>
      </c>
      <c r="AK438">
        <f ca="1">IF(Table1[[#This Row],[Column1]]="Construction",1,0)</f>
        <v>0</v>
      </c>
      <c r="AL438">
        <f ca="1">IF(Table1[[#This Row],[Column1]]="Technology",1,0)</f>
        <v>0</v>
      </c>
      <c r="AM438">
        <f ca="1">IF(Table1[[#This Row],[Column1]]="Education",1,0)</f>
        <v>0</v>
      </c>
      <c r="AN438">
        <f ca="1">IF(Table1[[#This Row],[Column1]]="Agriculture",1,0)</f>
        <v>0</v>
      </c>
      <c r="AO438">
        <f ca="1">IF(Table1[[#This Row],[Column1]]="Social Service", 1, 0)</f>
        <v>0</v>
      </c>
      <c r="AT438" s="5"/>
      <c r="AV438" s="17">
        <f t="shared" ca="1" si="18"/>
        <v>16672.09588339274</v>
      </c>
      <c r="AW438" s="5"/>
      <c r="AX438" s="6">
        <f ca="1">IF(Table1[[#This Row],[Value of Debts]]&gt;$AY$4,1,0)</f>
        <v>1</v>
      </c>
      <c r="AY438" s="20"/>
      <c r="AZ438" s="20"/>
      <c r="BA438" s="5"/>
      <c r="BB438" s="25">
        <f ca="1">Table1[[#This Row],[Mortage Left]]/Table1[[#This Row],[Value of House]]</f>
        <v>0.96891639664969109</v>
      </c>
      <c r="BC438" s="20">
        <f t="shared" ca="1" si="20"/>
        <v>0</v>
      </c>
      <c r="BD438" s="20"/>
      <c r="BE438" s="20"/>
      <c r="BF438" s="20"/>
      <c r="BG438" s="6">
        <f ca="1">IF(Table1[[#This Row],[County]]="Cumbria",Table1[[#This Row],[income]],0)</f>
        <v>0</v>
      </c>
      <c r="BH438" s="20">
        <f ca="1">IF(Table1[[#This Row],[County]]="Cheshire",Table1[[#This Row],[income]],0)</f>
        <v>0</v>
      </c>
      <c r="BI438" s="20">
        <f ca="1">IF(Table1[[#This Row],[County]]="Bristol",Table1[[#This Row],[income]],0)</f>
        <v>0</v>
      </c>
      <c r="BJ438" s="20">
        <f ca="1">IF(Table1[[#This Row],[County]]="Surrey",Table1[[#This Row],[income]],0)</f>
        <v>0</v>
      </c>
      <c r="BK438" s="20">
        <f ca="1">IF(Table1[[#This Row],[County]]="Norfolk",Table1[[#This Row],[income]],0)</f>
        <v>0</v>
      </c>
      <c r="BL438" s="20">
        <f ca="1">IF(Table1[[#This Row],[County]]="Lincolnshire",Table1[[#This Row],[income]],0)</f>
        <v>0</v>
      </c>
      <c r="BM438" s="20">
        <f ca="1">IF(Table1[[#This Row],[County]]="Somerset",Table1[[#This Row],[income]],0)</f>
        <v>0</v>
      </c>
      <c r="BN438" s="20">
        <f ca="1">IF(Table1[[#This Row],[County]]="Cambridgeshire",Table1[[#This Row],[income]],0)</f>
        <v>0</v>
      </c>
      <c r="BO438" s="20">
        <f ca="1">IF(Table1[[#This Row],[County]]="South Yorkshire",Table1[[#This Row],[income]],0)</f>
        <v>0</v>
      </c>
      <c r="BP438" s="20">
        <f ca="1">IF(Table1[[#This Row],[County]]="Greater London",Table1[[#This Row],[income]],0)</f>
        <v>0</v>
      </c>
      <c r="BQ438" s="20">
        <f ca="1">IF(Table1[[#This Row],[County]]="Hampshire",Table1[[#This Row],[income]],0)</f>
        <v>0</v>
      </c>
      <c r="BR438" s="20">
        <f ca="1">IF(Table1[[#This Row],[County]]="Gloucestershire",Table1[[#This Row],[income]],0)</f>
        <v>0</v>
      </c>
      <c r="BS438" s="20">
        <f ca="1">IF(Table1[[#This Row],[County]]="West Sussex",Table1[[#This Row],[income]],0)</f>
        <v>0</v>
      </c>
      <c r="BT438" s="20">
        <f ca="1">IF(Table1[[#This Row],[County]]="Devon",Table1[[#This Row],[income]],0)</f>
        <v>0</v>
      </c>
      <c r="BU438" s="20">
        <f ca="1">IF(Table1[[#This Row],[County]]="Berkshire",Table1[[#This Row],[income]],0)</f>
        <v>0</v>
      </c>
      <c r="BV438" s="20">
        <f ca="1">IF(Table1[[#This Row],[County]]="Staffordshire",Table1[[#This Row],[income]],0)</f>
        <v>0</v>
      </c>
      <c r="BW438" s="20">
        <f ca="1">IF(Table1[[#This Row],[County]]="Leicestershire",Table1[[#This Row],[income]],0)</f>
        <v>0</v>
      </c>
      <c r="BX438" s="20">
        <f ca="1">IF(Table1[[#This Row],[County]]="Cornwall",Table1[[#This Row],[income]],0)</f>
        <v>0</v>
      </c>
      <c r="BY438" s="20">
        <f ca="1">IF(Table1[[#This Row],[County]]="Isle of Wight",Table1[[#This Row],[income]],0)</f>
        <v>0</v>
      </c>
      <c r="BZ438" s="20">
        <f ca="1">IF(Table1[[#This Row],[County]]="Surrey",Table1[[#This Row],[income]],0)</f>
        <v>0</v>
      </c>
      <c r="CA438" s="20">
        <f ca="1">IF(Table1[[#This Row],[County]]="Derbyshire",Table1[[#This Row],[income]],0)</f>
        <v>0</v>
      </c>
      <c r="CB438" s="20">
        <f ca="1">IF(Table1[[#This Row],[County]]="City of London",Table1[[#This Row],[income]],0)</f>
        <v>0</v>
      </c>
      <c r="CC438" s="20">
        <f ca="1">IF(Table1[[#This Row],[County]]="Bedfordshire",Table1[[#This Row],[income]],0)</f>
        <v>41435</v>
      </c>
      <c r="CD438" s="20">
        <f ca="1">IF(Table1[[#This Row],[County]]="County Durham",Table1[[#This Row],[income]],0)</f>
        <v>0</v>
      </c>
      <c r="CE438" s="20">
        <f ca="1">IF(Table1[[#This Row],[County]]="East Riding of Yorkshire",Table1[[#This Row],[income]],0)</f>
        <v>0</v>
      </c>
      <c r="CF438" s="20">
        <f ca="1">IF(Table1[[#This Row],[County]]="West Yorkshire",Table1[[#This Row],[income]],0)</f>
        <v>0</v>
      </c>
      <c r="CG438" s="20">
        <f ca="1">IF(Table1[[#This Row],[County]]="Essex",Table1[[#This Row],[income]],0)</f>
        <v>0</v>
      </c>
      <c r="CH438" s="20">
        <f ca="1">IF(Table1[[#This Row],[County]]="East Sussex",Table1[[#This Row],[income]],0)</f>
        <v>0</v>
      </c>
      <c r="CI438" s="20">
        <f ca="1">IF(Table1[[#This Row],[County]]="Greater Manchester",Table1[[#This Row],[income]],0)</f>
        <v>0</v>
      </c>
      <c r="CJ438" s="20">
        <f ca="1">IF(Table1[[#This Row],[County]]="Hertfordshire",Table1[[#This Row],[income]],0)</f>
        <v>0</v>
      </c>
      <c r="CK438" s="20">
        <f ca="1">IF(Table1[[#This Row],[County]]="Herefordshire",Table1[[#This Row],[income]],0)</f>
        <v>0</v>
      </c>
      <c r="CL438" s="20">
        <f ca="1">IF(Table1[[#This Row],[County]]="Lancashire",Table1[[#This Row],[income]],0)</f>
        <v>0</v>
      </c>
      <c r="CM438" s="20">
        <f ca="1">IF(Table1[[#This Row],[County]]="Merseyside",Table1[[#This Row],[income]],0)</f>
        <v>0</v>
      </c>
      <c r="CN438" s="20">
        <f ca="1">IF(Table1[[#This Row],[County]]="Northamptonshire",Table1[[#This Row],[income]],0)</f>
        <v>0</v>
      </c>
      <c r="CO438" s="20">
        <f ca="1">IF(Table1[[#This Row],[County]]="Northumberland",Table1[[#This Row],[income]],0)</f>
        <v>0</v>
      </c>
      <c r="CP438" s="20">
        <f ca="1">IF(Table1[[#This Row],[County]]="Wiltshire",Table1[[#This Row],[income]],0)</f>
        <v>0</v>
      </c>
      <c r="CQ438" s="20">
        <f ca="1">IF(Table1[[#This Row],[County]]="West Midlands",Table1[[#This Row],[income]],0)</f>
        <v>0</v>
      </c>
      <c r="CR438" s="20">
        <f ca="1">IF(Table1[[#This Row],[County]]="Warwickshire",Table1[[#This Row],[income]],0)</f>
        <v>0</v>
      </c>
      <c r="CS438" s="20">
        <f ca="1">IF(Table1[[#This Row],[County]]="Tyne and Wear",Table1[[#This Row],[income]],0)</f>
        <v>0</v>
      </c>
      <c r="CT438" s="20">
        <f ca="1">IF(Table1[[#This Row],[County]]="Worcestershire",Table1[[#This Row],[income]],0)</f>
        <v>0</v>
      </c>
      <c r="CU438" s="20">
        <f ca="1">IF(Table1[[#This Row],[County]]="Rutland",Table1[[#This Row],[income]],0)</f>
        <v>0</v>
      </c>
      <c r="CV438" s="20">
        <f ca="1">IF(Table1[[#This Row],[County]]="Shropshire",Table1[[#This Row],[income]],0)</f>
        <v>0</v>
      </c>
      <c r="CW438" s="20">
        <f ca="1">IF(Table1[[#This Row],[County]]="Dorset",Table1[[#This Row],[income]],0)</f>
        <v>0</v>
      </c>
      <c r="CX438" s="20">
        <f ca="1">IF(Table1[[#This Row],[County]]="Buckinghamshire",Table1[[#This Row],[income]],0)</f>
        <v>0</v>
      </c>
      <c r="CY438" s="20">
        <f ca="1">IF(Table1[[#This Row],[County]]="Suffolk",Table1[[#This Row],[income]],0)</f>
        <v>0</v>
      </c>
      <c r="CZ438" s="20">
        <f ca="1">IF(Table1[[#This Row],[County]]="North Yorkshire",Table1[[#This Row],[income]],0)</f>
        <v>0</v>
      </c>
      <c r="DA438" s="20">
        <f ca="1">IF(Table1[[#This Row],[County]]="Kent",Table1[[#This Row],[income]],0)</f>
        <v>0</v>
      </c>
      <c r="DB438" s="5">
        <f ca="1">IF(Table1[[#This Row],[County]]="Derbyshire",Table1[[#This Row],[income]],0)</f>
        <v>0</v>
      </c>
      <c r="DD438" s="6">
        <f ca="1">IF(Table1[[#This Row],[Column1]]="Health",Table1[[#This Row],[income]],0)</f>
        <v>41435</v>
      </c>
      <c r="DE438" s="20">
        <f ca="1">IF(Table1[[#This Row],[Column1]]="Agriculture",Table1[[#This Row],[income]],0)</f>
        <v>0</v>
      </c>
      <c r="DF438" s="20">
        <f ca="1">IF(Table1[[#This Row],[Column1]]="Technology",Table1[[#This Row],[income]],0)</f>
        <v>0</v>
      </c>
      <c r="DG438" s="20">
        <f ca="1">IF(Table1[[#This Row],[Column1]]="Social Service",Table1[[#This Row],[income]],0)</f>
        <v>0</v>
      </c>
      <c r="DH438" s="20">
        <f ca="1">IF(Table1[[#This Row],[Column1]]="Education",Table1[[#This Row],[income]],0)</f>
        <v>0</v>
      </c>
      <c r="DI438" s="5">
        <f ca="1">IF(Table1[[#This Row],[Column1]]="Construction",Table1[[#This Row],[income]],0)</f>
        <v>0</v>
      </c>
      <c r="DK438" s="6">
        <f ca="1">IF(Table1[[#This Row],[Value of Debts]]&gt;Table1[[#This Row],[income]],1,0)</f>
        <v>1</v>
      </c>
      <c r="DL438" s="20"/>
      <c r="DM438" s="20"/>
      <c r="DN438" s="5"/>
      <c r="DP438" s="6">
        <f ca="1">IF(Table1[[#This Row],[Net Worth (£)]]&gt;$DS$5,C438,0)</f>
        <v>0</v>
      </c>
      <c r="DQ438" s="20"/>
      <c r="DR438" s="20"/>
      <c r="DS438" s="5"/>
    </row>
    <row r="439" spans="1:123" x14ac:dyDescent="0.2">
      <c r="A439">
        <f t="shared" ca="1" si="19"/>
        <v>1</v>
      </c>
      <c r="B439" s="1" t="str">
        <f ca="1">IF(A439=1, "men", "women")</f>
        <v>men</v>
      </c>
      <c r="C439" s="1">
        <f ca="1">RANDBETWEEN(25,50)</f>
        <v>36</v>
      </c>
      <c r="D439">
        <f ca="1">RANDBETWEEN(1,6)</f>
        <v>3</v>
      </c>
      <c r="E439" t="str">
        <f ca="1">VLOOKUP(D439,$W$5:$X$10,2)</f>
        <v>Education</v>
      </c>
      <c r="F439">
        <f ca="1">RANDBETWEEN(1,5)</f>
        <v>2</v>
      </c>
      <c r="G439" t="str">
        <f ca="1">VLOOKUP(F439,$Y$5:$Z$9,2)</f>
        <v>College</v>
      </c>
      <c r="H439">
        <f ca="1">RANDBETWEEN(0,4)</f>
        <v>1</v>
      </c>
      <c r="I439">
        <f ca="1">RANDBETWEEN(1,3)</f>
        <v>3</v>
      </c>
      <c r="J439">
        <f ca="1">RANDBETWEEN(30000,100000)</f>
        <v>95567</v>
      </c>
      <c r="K439">
        <f ca="1">RANDBETWEEN(1,48)</f>
        <v>29</v>
      </c>
      <c r="L439" t="str">
        <f ca="1">VLOOKUP(K439,$AA$5:$AB$52,2)</f>
        <v>Norfolk</v>
      </c>
      <c r="M439">
        <f ca="1">J439*(RANDBETWEEN(2,5))</f>
        <v>191134</v>
      </c>
      <c r="N439">
        <f ca="1">RAND()*M439</f>
        <v>102920.36260500267</v>
      </c>
      <c r="O439">
        <f ca="1">I439*RAND()*J439</f>
        <v>50016.287650178223</v>
      </c>
      <c r="P439">
        <f ca="1">RANDBETWEEN(0,O439)</f>
        <v>29499</v>
      </c>
      <c r="Q439">
        <f ca="1">RAND()*J439*2</f>
        <v>125456.41776350145</v>
      </c>
      <c r="R439">
        <f ca="1">RAND()*J439*1.5</f>
        <v>39391.618921455534</v>
      </c>
      <c r="S439">
        <f ca="1">J439+R439+O439</f>
        <v>184974.90657163374</v>
      </c>
      <c r="T439">
        <f ca="1">N439+P439+Q439</f>
        <v>257875.78036850411</v>
      </c>
      <c r="U439">
        <f ca="1">S439-T439</f>
        <v>-72900.873796870379</v>
      </c>
      <c r="AC439" s="6">
        <f ca="1">IF(Table1[[#This Row],[gender]]="men",1,0)</f>
        <v>1</v>
      </c>
      <c r="AD439">
        <f ca="1">IF(Table1[[#This Row],[gender]]="women",1,0)</f>
        <v>0</v>
      </c>
      <c r="AH439" s="5"/>
      <c r="AJ439" s="6">
        <f ca="1">IF(Table1[[#This Row],[Column1]]="Health",1,0)</f>
        <v>0</v>
      </c>
      <c r="AK439">
        <f ca="1">IF(Table1[[#This Row],[Column1]]="Construction",1,0)</f>
        <v>0</v>
      </c>
      <c r="AL439">
        <f ca="1">IF(Table1[[#This Row],[Column1]]="Technology",1,0)</f>
        <v>0</v>
      </c>
      <c r="AM439">
        <f ca="1">IF(Table1[[#This Row],[Column1]]="Education",1,0)</f>
        <v>1</v>
      </c>
      <c r="AN439">
        <f ca="1">IF(Table1[[#This Row],[Column1]]="Agriculture",1,0)</f>
        <v>0</v>
      </c>
      <c r="AO439">
        <f ca="1">IF(Table1[[#This Row],[Column1]]="Social Service", 1, 0)</f>
        <v>0</v>
      </c>
      <c r="AT439" s="5"/>
      <c r="AV439" s="17">
        <f t="shared" ca="1" si="18"/>
        <v>36930.426619707992</v>
      </c>
      <c r="AW439" s="5"/>
      <c r="AX439" s="6">
        <f ca="1">IF(Table1[[#This Row],[Value of Debts]]&gt;$AY$4,1,0)</f>
        <v>1</v>
      </c>
      <c r="AY439" s="20"/>
      <c r="AZ439" s="20"/>
      <c r="BA439" s="5"/>
      <c r="BB439" s="25">
        <f ca="1">Table1[[#This Row],[Mortage Left]]/Table1[[#This Row],[Value of House]]</f>
        <v>0.53847228962404736</v>
      </c>
      <c r="BC439" s="20">
        <f t="shared" ca="1" si="20"/>
        <v>0</v>
      </c>
      <c r="BD439" s="20"/>
      <c r="BE439" s="20"/>
      <c r="BF439" s="20"/>
      <c r="BG439" s="6">
        <f ca="1">IF(Table1[[#This Row],[County]]="Cumbria",Table1[[#This Row],[income]],0)</f>
        <v>0</v>
      </c>
      <c r="BH439" s="20">
        <f ca="1">IF(Table1[[#This Row],[County]]="Cheshire",Table1[[#This Row],[income]],0)</f>
        <v>0</v>
      </c>
      <c r="BI439" s="20">
        <f ca="1">IF(Table1[[#This Row],[County]]="Bristol",Table1[[#This Row],[income]],0)</f>
        <v>0</v>
      </c>
      <c r="BJ439" s="20">
        <f ca="1">IF(Table1[[#This Row],[County]]="Surrey",Table1[[#This Row],[income]],0)</f>
        <v>0</v>
      </c>
      <c r="BK439" s="20">
        <f ca="1">IF(Table1[[#This Row],[County]]="Norfolk",Table1[[#This Row],[income]],0)</f>
        <v>95567</v>
      </c>
      <c r="BL439" s="20">
        <f ca="1">IF(Table1[[#This Row],[County]]="Lincolnshire",Table1[[#This Row],[income]],0)</f>
        <v>0</v>
      </c>
      <c r="BM439" s="20">
        <f ca="1">IF(Table1[[#This Row],[County]]="Somerset",Table1[[#This Row],[income]],0)</f>
        <v>0</v>
      </c>
      <c r="BN439" s="20">
        <f ca="1">IF(Table1[[#This Row],[County]]="Cambridgeshire",Table1[[#This Row],[income]],0)</f>
        <v>0</v>
      </c>
      <c r="BO439" s="20">
        <f ca="1">IF(Table1[[#This Row],[County]]="South Yorkshire",Table1[[#This Row],[income]],0)</f>
        <v>0</v>
      </c>
      <c r="BP439" s="20">
        <f ca="1">IF(Table1[[#This Row],[County]]="Greater London",Table1[[#This Row],[income]],0)</f>
        <v>0</v>
      </c>
      <c r="BQ439" s="20">
        <f ca="1">IF(Table1[[#This Row],[County]]="Hampshire",Table1[[#This Row],[income]],0)</f>
        <v>0</v>
      </c>
      <c r="BR439" s="20">
        <f ca="1">IF(Table1[[#This Row],[County]]="Gloucestershire",Table1[[#This Row],[income]],0)</f>
        <v>0</v>
      </c>
      <c r="BS439" s="20">
        <f ca="1">IF(Table1[[#This Row],[County]]="West Sussex",Table1[[#This Row],[income]],0)</f>
        <v>0</v>
      </c>
      <c r="BT439" s="20">
        <f ca="1">IF(Table1[[#This Row],[County]]="Devon",Table1[[#This Row],[income]],0)</f>
        <v>0</v>
      </c>
      <c r="BU439" s="20">
        <f ca="1">IF(Table1[[#This Row],[County]]="Berkshire",Table1[[#This Row],[income]],0)</f>
        <v>0</v>
      </c>
      <c r="BV439" s="20">
        <f ca="1">IF(Table1[[#This Row],[County]]="Staffordshire",Table1[[#This Row],[income]],0)</f>
        <v>0</v>
      </c>
      <c r="BW439" s="20">
        <f ca="1">IF(Table1[[#This Row],[County]]="Leicestershire",Table1[[#This Row],[income]],0)</f>
        <v>0</v>
      </c>
      <c r="BX439" s="20">
        <f ca="1">IF(Table1[[#This Row],[County]]="Cornwall",Table1[[#This Row],[income]],0)</f>
        <v>0</v>
      </c>
      <c r="BY439" s="20">
        <f ca="1">IF(Table1[[#This Row],[County]]="Isle of Wight",Table1[[#This Row],[income]],0)</f>
        <v>0</v>
      </c>
      <c r="BZ439" s="20">
        <f ca="1">IF(Table1[[#This Row],[County]]="Surrey",Table1[[#This Row],[income]],0)</f>
        <v>0</v>
      </c>
      <c r="CA439" s="20">
        <f ca="1">IF(Table1[[#This Row],[County]]="Derbyshire",Table1[[#This Row],[income]],0)</f>
        <v>0</v>
      </c>
      <c r="CB439" s="20">
        <f ca="1">IF(Table1[[#This Row],[County]]="City of London",Table1[[#This Row],[income]],0)</f>
        <v>0</v>
      </c>
      <c r="CC439" s="20">
        <f ca="1">IF(Table1[[#This Row],[County]]="Bedfordshire",Table1[[#This Row],[income]],0)</f>
        <v>0</v>
      </c>
      <c r="CD439" s="20">
        <f ca="1">IF(Table1[[#This Row],[County]]="County Durham",Table1[[#This Row],[income]],0)</f>
        <v>0</v>
      </c>
      <c r="CE439" s="20">
        <f ca="1">IF(Table1[[#This Row],[County]]="East Riding of Yorkshire",Table1[[#This Row],[income]],0)</f>
        <v>0</v>
      </c>
      <c r="CF439" s="20">
        <f ca="1">IF(Table1[[#This Row],[County]]="West Yorkshire",Table1[[#This Row],[income]],0)</f>
        <v>0</v>
      </c>
      <c r="CG439" s="20">
        <f ca="1">IF(Table1[[#This Row],[County]]="Essex",Table1[[#This Row],[income]],0)</f>
        <v>0</v>
      </c>
      <c r="CH439" s="20">
        <f ca="1">IF(Table1[[#This Row],[County]]="East Sussex",Table1[[#This Row],[income]],0)</f>
        <v>0</v>
      </c>
      <c r="CI439" s="20">
        <f ca="1">IF(Table1[[#This Row],[County]]="Greater Manchester",Table1[[#This Row],[income]],0)</f>
        <v>0</v>
      </c>
      <c r="CJ439" s="20">
        <f ca="1">IF(Table1[[#This Row],[County]]="Hertfordshire",Table1[[#This Row],[income]],0)</f>
        <v>0</v>
      </c>
      <c r="CK439" s="20">
        <f ca="1">IF(Table1[[#This Row],[County]]="Herefordshire",Table1[[#This Row],[income]],0)</f>
        <v>0</v>
      </c>
      <c r="CL439" s="20">
        <f ca="1">IF(Table1[[#This Row],[County]]="Lancashire",Table1[[#This Row],[income]],0)</f>
        <v>0</v>
      </c>
      <c r="CM439" s="20">
        <f ca="1">IF(Table1[[#This Row],[County]]="Merseyside",Table1[[#This Row],[income]],0)</f>
        <v>0</v>
      </c>
      <c r="CN439" s="20">
        <f ca="1">IF(Table1[[#This Row],[County]]="Northamptonshire",Table1[[#This Row],[income]],0)</f>
        <v>0</v>
      </c>
      <c r="CO439" s="20">
        <f ca="1">IF(Table1[[#This Row],[County]]="Northumberland",Table1[[#This Row],[income]],0)</f>
        <v>0</v>
      </c>
      <c r="CP439" s="20">
        <f ca="1">IF(Table1[[#This Row],[County]]="Wiltshire",Table1[[#This Row],[income]],0)</f>
        <v>0</v>
      </c>
      <c r="CQ439" s="20">
        <f ca="1">IF(Table1[[#This Row],[County]]="West Midlands",Table1[[#This Row],[income]],0)</f>
        <v>0</v>
      </c>
      <c r="CR439" s="20">
        <f ca="1">IF(Table1[[#This Row],[County]]="Warwickshire",Table1[[#This Row],[income]],0)</f>
        <v>0</v>
      </c>
      <c r="CS439" s="20">
        <f ca="1">IF(Table1[[#This Row],[County]]="Tyne and Wear",Table1[[#This Row],[income]],0)</f>
        <v>0</v>
      </c>
      <c r="CT439" s="20">
        <f ca="1">IF(Table1[[#This Row],[County]]="Worcestershire",Table1[[#This Row],[income]],0)</f>
        <v>0</v>
      </c>
      <c r="CU439" s="20">
        <f ca="1">IF(Table1[[#This Row],[County]]="Rutland",Table1[[#This Row],[income]],0)</f>
        <v>0</v>
      </c>
      <c r="CV439" s="20">
        <f ca="1">IF(Table1[[#This Row],[County]]="Shropshire",Table1[[#This Row],[income]],0)</f>
        <v>0</v>
      </c>
      <c r="CW439" s="20">
        <f ca="1">IF(Table1[[#This Row],[County]]="Dorset",Table1[[#This Row],[income]],0)</f>
        <v>0</v>
      </c>
      <c r="CX439" s="20">
        <f ca="1">IF(Table1[[#This Row],[County]]="Buckinghamshire",Table1[[#This Row],[income]],0)</f>
        <v>0</v>
      </c>
      <c r="CY439" s="20">
        <f ca="1">IF(Table1[[#This Row],[County]]="Suffolk",Table1[[#This Row],[income]],0)</f>
        <v>0</v>
      </c>
      <c r="CZ439" s="20">
        <f ca="1">IF(Table1[[#This Row],[County]]="North Yorkshire",Table1[[#This Row],[income]],0)</f>
        <v>0</v>
      </c>
      <c r="DA439" s="20">
        <f ca="1">IF(Table1[[#This Row],[County]]="Kent",Table1[[#This Row],[income]],0)</f>
        <v>0</v>
      </c>
      <c r="DB439" s="5">
        <f ca="1">IF(Table1[[#This Row],[County]]="Derbyshire",Table1[[#This Row],[income]],0)</f>
        <v>0</v>
      </c>
      <c r="DD439" s="6">
        <f ca="1">IF(Table1[[#This Row],[Column1]]="Health",Table1[[#This Row],[income]],0)</f>
        <v>0</v>
      </c>
      <c r="DE439" s="20">
        <f ca="1">IF(Table1[[#This Row],[Column1]]="Agriculture",Table1[[#This Row],[income]],0)</f>
        <v>0</v>
      </c>
      <c r="DF439" s="20">
        <f ca="1">IF(Table1[[#This Row],[Column1]]="Technology",Table1[[#This Row],[income]],0)</f>
        <v>0</v>
      </c>
      <c r="DG439" s="20">
        <f ca="1">IF(Table1[[#This Row],[Column1]]="Social Service",Table1[[#This Row],[income]],0)</f>
        <v>0</v>
      </c>
      <c r="DH439" s="20">
        <f ca="1">IF(Table1[[#This Row],[Column1]]="Education",Table1[[#This Row],[income]],0)</f>
        <v>95567</v>
      </c>
      <c r="DI439" s="5">
        <f ca="1">IF(Table1[[#This Row],[Column1]]="Construction",Table1[[#This Row],[income]],0)</f>
        <v>0</v>
      </c>
      <c r="DK439" s="6">
        <f ca="1">IF(Table1[[#This Row],[Value of Debts]]&gt;Table1[[#This Row],[income]],1,0)</f>
        <v>1</v>
      </c>
      <c r="DL439" s="20"/>
      <c r="DM439" s="20"/>
      <c r="DN439" s="5"/>
      <c r="DP439" s="6">
        <f ca="1">IF(Table1[[#This Row],[Net Worth (£)]]&gt;$DS$5,C439,0)</f>
        <v>0</v>
      </c>
      <c r="DQ439" s="20"/>
      <c r="DR439" s="20"/>
      <c r="DS439" s="5"/>
    </row>
    <row r="440" spans="1:123" x14ac:dyDescent="0.2">
      <c r="A440">
        <f t="shared" ca="1" si="19"/>
        <v>2</v>
      </c>
      <c r="B440" s="1" t="str">
        <f ca="1">IF(A440=1, "men", "women")</f>
        <v>women</v>
      </c>
      <c r="C440" s="1">
        <f ca="1">RANDBETWEEN(25,50)</f>
        <v>40</v>
      </c>
      <c r="D440">
        <f ca="1">RANDBETWEEN(1,6)</f>
        <v>3</v>
      </c>
      <c r="E440" t="str">
        <f ca="1">VLOOKUP(D440,$W$5:$X$10,2)</f>
        <v>Education</v>
      </c>
      <c r="F440">
        <f ca="1">RANDBETWEEN(1,5)</f>
        <v>2</v>
      </c>
      <c r="G440" t="str">
        <f ca="1">VLOOKUP(F440,$Y$5:$Z$9,2)</f>
        <v>College</v>
      </c>
      <c r="H440">
        <f ca="1">RANDBETWEEN(0,4)</f>
        <v>1</v>
      </c>
      <c r="I440">
        <f ca="1">RANDBETWEEN(1,3)</f>
        <v>3</v>
      </c>
      <c r="J440">
        <f ca="1">RANDBETWEEN(30000,100000)</f>
        <v>54691</v>
      </c>
      <c r="K440">
        <f ca="1">RANDBETWEEN(1,48)</f>
        <v>23</v>
      </c>
      <c r="L440" t="str">
        <f ca="1">VLOOKUP(K440,$AA$5:$AB$52,2)</f>
        <v>Isle of Wight</v>
      </c>
      <c r="M440">
        <f ca="1">J440*(RANDBETWEEN(2,5))</f>
        <v>273455</v>
      </c>
      <c r="N440">
        <f ca="1">RAND()*M440</f>
        <v>201381.67040741057</v>
      </c>
      <c r="O440">
        <f ca="1">I440*RAND()*J440</f>
        <v>110791.27985912398</v>
      </c>
      <c r="P440">
        <f ca="1">RANDBETWEEN(0,O440)</f>
        <v>89763</v>
      </c>
      <c r="Q440">
        <f ca="1">RAND()*J440*2</f>
        <v>64528.086969751763</v>
      </c>
      <c r="R440">
        <f ca="1">RAND()*J440*1.5</f>
        <v>11862.622752157558</v>
      </c>
      <c r="S440">
        <f ca="1">J440+R440+O440</f>
        <v>177344.90261128155</v>
      </c>
      <c r="T440">
        <f ca="1">N440+P440+Q440</f>
        <v>355672.75737716234</v>
      </c>
      <c r="U440">
        <f ca="1">S440-T440</f>
        <v>-178327.85476588079</v>
      </c>
      <c r="AC440" s="6">
        <f ca="1">IF(Table1[[#This Row],[gender]]="men",1,0)</f>
        <v>0</v>
      </c>
      <c r="AD440">
        <f ca="1">IF(Table1[[#This Row],[gender]]="women",1,0)</f>
        <v>1</v>
      </c>
      <c r="AH440" s="5"/>
      <c r="AJ440" s="6">
        <f ca="1">IF(Table1[[#This Row],[Column1]]="Health",1,0)</f>
        <v>0</v>
      </c>
      <c r="AK440">
        <f ca="1">IF(Table1[[#This Row],[Column1]]="Construction",1,0)</f>
        <v>0</v>
      </c>
      <c r="AL440">
        <f ca="1">IF(Table1[[#This Row],[Column1]]="Technology",1,0)</f>
        <v>0</v>
      </c>
      <c r="AM440">
        <f ca="1">IF(Table1[[#This Row],[Column1]]="Education",1,0)</f>
        <v>1</v>
      </c>
      <c r="AN440">
        <f ca="1">IF(Table1[[#This Row],[Column1]]="Agriculture",1,0)</f>
        <v>0</v>
      </c>
      <c r="AO440">
        <f ca="1">IF(Table1[[#This Row],[Column1]]="Social Service", 1, 0)</f>
        <v>0</v>
      </c>
      <c r="AT440" s="5"/>
      <c r="AV440" s="17">
        <f t="shared" ca="1" si="18"/>
        <v>30316.350490093177</v>
      </c>
      <c r="AW440" s="5"/>
      <c r="AX440" s="6">
        <f ca="1">IF(Table1[[#This Row],[Value of Debts]]&gt;$AY$4,1,0)</f>
        <v>1</v>
      </c>
      <c r="AY440" s="20"/>
      <c r="AZ440" s="20"/>
      <c r="BA440" s="5"/>
      <c r="BB440" s="25">
        <f ca="1">Table1[[#This Row],[Mortage Left]]/Table1[[#This Row],[Value of House]]</f>
        <v>0.73643440568799456</v>
      </c>
      <c r="BC440" s="20">
        <f t="shared" ca="1" si="20"/>
        <v>0</v>
      </c>
      <c r="BD440" s="20"/>
      <c r="BE440" s="20"/>
      <c r="BF440" s="20"/>
      <c r="BG440" s="6">
        <f ca="1">IF(Table1[[#This Row],[County]]="Cumbria",Table1[[#This Row],[income]],0)</f>
        <v>0</v>
      </c>
      <c r="BH440" s="20">
        <f ca="1">IF(Table1[[#This Row],[County]]="Cheshire",Table1[[#This Row],[income]],0)</f>
        <v>0</v>
      </c>
      <c r="BI440" s="20">
        <f ca="1">IF(Table1[[#This Row],[County]]="Bristol",Table1[[#This Row],[income]],0)</f>
        <v>0</v>
      </c>
      <c r="BJ440" s="20">
        <f ca="1">IF(Table1[[#This Row],[County]]="Surrey",Table1[[#This Row],[income]],0)</f>
        <v>0</v>
      </c>
      <c r="BK440" s="20">
        <f ca="1">IF(Table1[[#This Row],[County]]="Norfolk",Table1[[#This Row],[income]],0)</f>
        <v>0</v>
      </c>
      <c r="BL440" s="20">
        <f ca="1">IF(Table1[[#This Row],[County]]="Lincolnshire",Table1[[#This Row],[income]],0)</f>
        <v>0</v>
      </c>
      <c r="BM440" s="20">
        <f ca="1">IF(Table1[[#This Row],[County]]="Somerset",Table1[[#This Row],[income]],0)</f>
        <v>0</v>
      </c>
      <c r="BN440" s="20">
        <f ca="1">IF(Table1[[#This Row],[County]]="Cambridgeshire",Table1[[#This Row],[income]],0)</f>
        <v>0</v>
      </c>
      <c r="BO440" s="20">
        <f ca="1">IF(Table1[[#This Row],[County]]="South Yorkshire",Table1[[#This Row],[income]],0)</f>
        <v>0</v>
      </c>
      <c r="BP440" s="20">
        <f ca="1">IF(Table1[[#This Row],[County]]="Greater London",Table1[[#This Row],[income]],0)</f>
        <v>0</v>
      </c>
      <c r="BQ440" s="20">
        <f ca="1">IF(Table1[[#This Row],[County]]="Hampshire",Table1[[#This Row],[income]],0)</f>
        <v>0</v>
      </c>
      <c r="BR440" s="20">
        <f ca="1">IF(Table1[[#This Row],[County]]="Gloucestershire",Table1[[#This Row],[income]],0)</f>
        <v>0</v>
      </c>
      <c r="BS440" s="20">
        <f ca="1">IF(Table1[[#This Row],[County]]="West Sussex",Table1[[#This Row],[income]],0)</f>
        <v>0</v>
      </c>
      <c r="BT440" s="20">
        <f ca="1">IF(Table1[[#This Row],[County]]="Devon",Table1[[#This Row],[income]],0)</f>
        <v>0</v>
      </c>
      <c r="BU440" s="20">
        <f ca="1">IF(Table1[[#This Row],[County]]="Berkshire",Table1[[#This Row],[income]],0)</f>
        <v>0</v>
      </c>
      <c r="BV440" s="20">
        <f ca="1">IF(Table1[[#This Row],[County]]="Staffordshire",Table1[[#This Row],[income]],0)</f>
        <v>0</v>
      </c>
      <c r="BW440" s="20">
        <f ca="1">IF(Table1[[#This Row],[County]]="Leicestershire",Table1[[#This Row],[income]],0)</f>
        <v>0</v>
      </c>
      <c r="BX440" s="20">
        <f ca="1">IF(Table1[[#This Row],[County]]="Cornwall",Table1[[#This Row],[income]],0)</f>
        <v>0</v>
      </c>
      <c r="BY440" s="20">
        <f ca="1">IF(Table1[[#This Row],[County]]="Isle of Wight",Table1[[#This Row],[income]],0)</f>
        <v>54691</v>
      </c>
      <c r="BZ440" s="20">
        <f ca="1">IF(Table1[[#This Row],[County]]="Surrey",Table1[[#This Row],[income]],0)</f>
        <v>0</v>
      </c>
      <c r="CA440" s="20">
        <f ca="1">IF(Table1[[#This Row],[County]]="Derbyshire",Table1[[#This Row],[income]],0)</f>
        <v>0</v>
      </c>
      <c r="CB440" s="20">
        <f ca="1">IF(Table1[[#This Row],[County]]="City of London",Table1[[#This Row],[income]],0)</f>
        <v>0</v>
      </c>
      <c r="CC440" s="20">
        <f ca="1">IF(Table1[[#This Row],[County]]="Bedfordshire",Table1[[#This Row],[income]],0)</f>
        <v>0</v>
      </c>
      <c r="CD440" s="20">
        <f ca="1">IF(Table1[[#This Row],[County]]="County Durham",Table1[[#This Row],[income]],0)</f>
        <v>0</v>
      </c>
      <c r="CE440" s="20">
        <f ca="1">IF(Table1[[#This Row],[County]]="East Riding of Yorkshire",Table1[[#This Row],[income]],0)</f>
        <v>0</v>
      </c>
      <c r="CF440" s="20">
        <f ca="1">IF(Table1[[#This Row],[County]]="West Yorkshire",Table1[[#This Row],[income]],0)</f>
        <v>0</v>
      </c>
      <c r="CG440" s="20">
        <f ca="1">IF(Table1[[#This Row],[County]]="Essex",Table1[[#This Row],[income]],0)</f>
        <v>0</v>
      </c>
      <c r="CH440" s="20">
        <f ca="1">IF(Table1[[#This Row],[County]]="East Sussex",Table1[[#This Row],[income]],0)</f>
        <v>0</v>
      </c>
      <c r="CI440" s="20">
        <f ca="1">IF(Table1[[#This Row],[County]]="Greater Manchester",Table1[[#This Row],[income]],0)</f>
        <v>0</v>
      </c>
      <c r="CJ440" s="20">
        <f ca="1">IF(Table1[[#This Row],[County]]="Hertfordshire",Table1[[#This Row],[income]],0)</f>
        <v>0</v>
      </c>
      <c r="CK440" s="20">
        <f ca="1">IF(Table1[[#This Row],[County]]="Herefordshire",Table1[[#This Row],[income]],0)</f>
        <v>0</v>
      </c>
      <c r="CL440" s="20">
        <f ca="1">IF(Table1[[#This Row],[County]]="Lancashire",Table1[[#This Row],[income]],0)</f>
        <v>0</v>
      </c>
      <c r="CM440" s="20">
        <f ca="1">IF(Table1[[#This Row],[County]]="Merseyside",Table1[[#This Row],[income]],0)</f>
        <v>0</v>
      </c>
      <c r="CN440" s="20">
        <f ca="1">IF(Table1[[#This Row],[County]]="Northamptonshire",Table1[[#This Row],[income]],0)</f>
        <v>0</v>
      </c>
      <c r="CO440" s="20">
        <f ca="1">IF(Table1[[#This Row],[County]]="Northumberland",Table1[[#This Row],[income]],0)</f>
        <v>0</v>
      </c>
      <c r="CP440" s="20">
        <f ca="1">IF(Table1[[#This Row],[County]]="Wiltshire",Table1[[#This Row],[income]],0)</f>
        <v>0</v>
      </c>
      <c r="CQ440" s="20">
        <f ca="1">IF(Table1[[#This Row],[County]]="West Midlands",Table1[[#This Row],[income]],0)</f>
        <v>0</v>
      </c>
      <c r="CR440" s="20">
        <f ca="1">IF(Table1[[#This Row],[County]]="Warwickshire",Table1[[#This Row],[income]],0)</f>
        <v>0</v>
      </c>
      <c r="CS440" s="20">
        <f ca="1">IF(Table1[[#This Row],[County]]="Tyne and Wear",Table1[[#This Row],[income]],0)</f>
        <v>0</v>
      </c>
      <c r="CT440" s="20">
        <f ca="1">IF(Table1[[#This Row],[County]]="Worcestershire",Table1[[#This Row],[income]],0)</f>
        <v>0</v>
      </c>
      <c r="CU440" s="20">
        <f ca="1">IF(Table1[[#This Row],[County]]="Rutland",Table1[[#This Row],[income]],0)</f>
        <v>0</v>
      </c>
      <c r="CV440" s="20">
        <f ca="1">IF(Table1[[#This Row],[County]]="Shropshire",Table1[[#This Row],[income]],0)</f>
        <v>0</v>
      </c>
      <c r="CW440" s="20">
        <f ca="1">IF(Table1[[#This Row],[County]]="Dorset",Table1[[#This Row],[income]],0)</f>
        <v>0</v>
      </c>
      <c r="CX440" s="20">
        <f ca="1">IF(Table1[[#This Row],[County]]="Buckinghamshire",Table1[[#This Row],[income]],0)</f>
        <v>0</v>
      </c>
      <c r="CY440" s="20">
        <f ca="1">IF(Table1[[#This Row],[County]]="Suffolk",Table1[[#This Row],[income]],0)</f>
        <v>0</v>
      </c>
      <c r="CZ440" s="20">
        <f ca="1">IF(Table1[[#This Row],[County]]="North Yorkshire",Table1[[#This Row],[income]],0)</f>
        <v>0</v>
      </c>
      <c r="DA440" s="20">
        <f ca="1">IF(Table1[[#This Row],[County]]="Kent",Table1[[#This Row],[income]],0)</f>
        <v>0</v>
      </c>
      <c r="DB440" s="5">
        <f ca="1">IF(Table1[[#This Row],[County]]="Derbyshire",Table1[[#This Row],[income]],0)</f>
        <v>0</v>
      </c>
      <c r="DD440" s="6">
        <f ca="1">IF(Table1[[#This Row],[Column1]]="Health",Table1[[#This Row],[income]],0)</f>
        <v>0</v>
      </c>
      <c r="DE440" s="20">
        <f ca="1">IF(Table1[[#This Row],[Column1]]="Agriculture",Table1[[#This Row],[income]],0)</f>
        <v>0</v>
      </c>
      <c r="DF440" s="20">
        <f ca="1">IF(Table1[[#This Row],[Column1]]="Technology",Table1[[#This Row],[income]],0)</f>
        <v>0</v>
      </c>
      <c r="DG440" s="20">
        <f ca="1">IF(Table1[[#This Row],[Column1]]="Social Service",Table1[[#This Row],[income]],0)</f>
        <v>0</v>
      </c>
      <c r="DH440" s="20">
        <f ca="1">IF(Table1[[#This Row],[Column1]]="Education",Table1[[#This Row],[income]],0)</f>
        <v>54691</v>
      </c>
      <c r="DI440" s="5">
        <f ca="1">IF(Table1[[#This Row],[Column1]]="Construction",Table1[[#This Row],[income]],0)</f>
        <v>0</v>
      </c>
      <c r="DK440" s="6">
        <f ca="1">IF(Table1[[#This Row],[Value of Debts]]&gt;Table1[[#This Row],[income]],1,0)</f>
        <v>1</v>
      </c>
      <c r="DL440" s="20"/>
      <c r="DM440" s="20"/>
      <c r="DN440" s="5"/>
      <c r="DP440" s="6">
        <f ca="1">IF(Table1[[#This Row],[Net Worth (£)]]&gt;$DS$5,C440,0)</f>
        <v>0</v>
      </c>
      <c r="DQ440" s="20"/>
      <c r="DR440" s="20"/>
      <c r="DS440" s="5"/>
    </row>
    <row r="441" spans="1:123" x14ac:dyDescent="0.2">
      <c r="A441">
        <f t="shared" ca="1" si="19"/>
        <v>2</v>
      </c>
      <c r="B441" s="1" t="str">
        <f ca="1">IF(A441=1, "men", "women")</f>
        <v>women</v>
      </c>
      <c r="C441" s="1">
        <f ca="1">RANDBETWEEN(25,50)</f>
        <v>26</v>
      </c>
      <c r="D441">
        <f ca="1">RANDBETWEEN(1,6)</f>
        <v>2</v>
      </c>
      <c r="E441" t="str">
        <f ca="1">VLOOKUP(D441,$W$5:$X$10,2)</f>
        <v>Construction</v>
      </c>
      <c r="F441">
        <f ca="1">RANDBETWEEN(1,5)</f>
        <v>3</v>
      </c>
      <c r="G441" t="str">
        <f ca="1">VLOOKUP(F441,$Y$5:$Z$9,2)</f>
        <v>University</v>
      </c>
      <c r="H441">
        <f ca="1">RANDBETWEEN(0,4)</f>
        <v>3</v>
      </c>
      <c r="I441">
        <f ca="1">RANDBETWEEN(1,3)</f>
        <v>2</v>
      </c>
      <c r="J441">
        <f ca="1">RANDBETWEEN(30000,100000)</f>
        <v>63181</v>
      </c>
      <c r="K441">
        <f ca="1">RANDBETWEEN(1,48)</f>
        <v>5</v>
      </c>
      <c r="L441" t="str">
        <f ca="1">VLOOKUP(K441,$AA$5:$AB$52,2)</f>
        <v>Cambridgeshire</v>
      </c>
      <c r="M441">
        <f ca="1">J441*(RANDBETWEEN(2,5))</f>
        <v>126362</v>
      </c>
      <c r="N441">
        <f ca="1">RAND()*M441</f>
        <v>102244.38154636498</v>
      </c>
      <c r="O441">
        <f ca="1">I441*RAND()*J441</f>
        <v>60632.700980186353</v>
      </c>
      <c r="P441">
        <f ca="1">RANDBETWEEN(0,O441)</f>
        <v>8539</v>
      </c>
      <c r="Q441">
        <f ca="1">RAND()*J441*2</f>
        <v>37786.709473178744</v>
      </c>
      <c r="R441">
        <f ca="1">RAND()*J441*1.5</f>
        <v>80275.221930052037</v>
      </c>
      <c r="S441">
        <f ca="1">J441+R441+O441</f>
        <v>204088.92291023838</v>
      </c>
      <c r="T441">
        <f ca="1">N441+P441+Q441</f>
        <v>148570.09101954373</v>
      </c>
      <c r="U441">
        <f ca="1">S441-T441</f>
        <v>55518.831890694652</v>
      </c>
      <c r="AC441" s="6">
        <f ca="1">IF(Table1[[#This Row],[gender]]="men",1,0)</f>
        <v>0</v>
      </c>
      <c r="AD441">
        <f ca="1">IF(Table1[[#This Row],[gender]]="women",1,0)</f>
        <v>1</v>
      </c>
      <c r="AH441" s="5"/>
      <c r="AJ441" s="6">
        <f ca="1">IF(Table1[[#This Row],[Column1]]="Health",1,0)</f>
        <v>0</v>
      </c>
      <c r="AK441">
        <f ca="1">IF(Table1[[#This Row],[Column1]]="Construction",1,0)</f>
        <v>1</v>
      </c>
      <c r="AL441">
        <f ca="1">IF(Table1[[#This Row],[Column1]]="Technology",1,0)</f>
        <v>0</v>
      </c>
      <c r="AM441">
        <f ca="1">IF(Table1[[#This Row],[Column1]]="Education",1,0)</f>
        <v>0</v>
      </c>
      <c r="AN441">
        <f ca="1">IF(Table1[[#This Row],[Column1]]="Agriculture",1,0)</f>
        <v>0</v>
      </c>
      <c r="AO441">
        <f ca="1">IF(Table1[[#This Row],[Column1]]="Social Service", 1, 0)</f>
        <v>0</v>
      </c>
      <c r="AT441" s="5"/>
      <c r="AV441" s="17">
        <f t="shared" ca="1" si="18"/>
        <v>23659.102765410731</v>
      </c>
      <c r="AW441" s="5"/>
      <c r="AX441" s="6">
        <f ca="1">IF(Table1[[#This Row],[Value of Debts]]&gt;$AY$4,1,0)</f>
        <v>1</v>
      </c>
      <c r="AY441" s="20"/>
      <c r="AZ441" s="20"/>
      <c r="BA441" s="5"/>
      <c r="BB441" s="25">
        <f ca="1">Table1[[#This Row],[Mortage Left]]/Table1[[#This Row],[Value of House]]</f>
        <v>0.80913867734259493</v>
      </c>
      <c r="BC441" s="20">
        <f t="shared" ca="1" si="20"/>
        <v>0</v>
      </c>
      <c r="BD441" s="20"/>
      <c r="BE441" s="20"/>
      <c r="BF441" s="20"/>
      <c r="BG441" s="6">
        <f ca="1">IF(Table1[[#This Row],[County]]="Cumbria",Table1[[#This Row],[income]],0)</f>
        <v>0</v>
      </c>
      <c r="BH441" s="20">
        <f ca="1">IF(Table1[[#This Row],[County]]="Cheshire",Table1[[#This Row],[income]],0)</f>
        <v>0</v>
      </c>
      <c r="BI441" s="20">
        <f ca="1">IF(Table1[[#This Row],[County]]="Bristol",Table1[[#This Row],[income]],0)</f>
        <v>0</v>
      </c>
      <c r="BJ441" s="20">
        <f ca="1">IF(Table1[[#This Row],[County]]="Surrey",Table1[[#This Row],[income]],0)</f>
        <v>0</v>
      </c>
      <c r="BK441" s="20">
        <f ca="1">IF(Table1[[#This Row],[County]]="Norfolk",Table1[[#This Row],[income]],0)</f>
        <v>0</v>
      </c>
      <c r="BL441" s="20">
        <f ca="1">IF(Table1[[#This Row],[County]]="Lincolnshire",Table1[[#This Row],[income]],0)</f>
        <v>0</v>
      </c>
      <c r="BM441" s="20">
        <f ca="1">IF(Table1[[#This Row],[County]]="Somerset",Table1[[#This Row],[income]],0)</f>
        <v>0</v>
      </c>
      <c r="BN441" s="20">
        <f ca="1">IF(Table1[[#This Row],[County]]="Cambridgeshire",Table1[[#This Row],[income]],0)</f>
        <v>63181</v>
      </c>
      <c r="BO441" s="20">
        <f ca="1">IF(Table1[[#This Row],[County]]="South Yorkshire",Table1[[#This Row],[income]],0)</f>
        <v>0</v>
      </c>
      <c r="BP441" s="20">
        <f ca="1">IF(Table1[[#This Row],[County]]="Greater London",Table1[[#This Row],[income]],0)</f>
        <v>0</v>
      </c>
      <c r="BQ441" s="20">
        <f ca="1">IF(Table1[[#This Row],[County]]="Hampshire",Table1[[#This Row],[income]],0)</f>
        <v>0</v>
      </c>
      <c r="BR441" s="20">
        <f ca="1">IF(Table1[[#This Row],[County]]="Gloucestershire",Table1[[#This Row],[income]],0)</f>
        <v>0</v>
      </c>
      <c r="BS441" s="20">
        <f ca="1">IF(Table1[[#This Row],[County]]="West Sussex",Table1[[#This Row],[income]],0)</f>
        <v>0</v>
      </c>
      <c r="BT441" s="20">
        <f ca="1">IF(Table1[[#This Row],[County]]="Devon",Table1[[#This Row],[income]],0)</f>
        <v>0</v>
      </c>
      <c r="BU441" s="20">
        <f ca="1">IF(Table1[[#This Row],[County]]="Berkshire",Table1[[#This Row],[income]],0)</f>
        <v>0</v>
      </c>
      <c r="BV441" s="20">
        <f ca="1">IF(Table1[[#This Row],[County]]="Staffordshire",Table1[[#This Row],[income]],0)</f>
        <v>0</v>
      </c>
      <c r="BW441" s="20">
        <f ca="1">IF(Table1[[#This Row],[County]]="Leicestershire",Table1[[#This Row],[income]],0)</f>
        <v>0</v>
      </c>
      <c r="BX441" s="20">
        <f ca="1">IF(Table1[[#This Row],[County]]="Cornwall",Table1[[#This Row],[income]],0)</f>
        <v>0</v>
      </c>
      <c r="BY441" s="20">
        <f ca="1">IF(Table1[[#This Row],[County]]="Isle of Wight",Table1[[#This Row],[income]],0)</f>
        <v>0</v>
      </c>
      <c r="BZ441" s="20">
        <f ca="1">IF(Table1[[#This Row],[County]]="Surrey",Table1[[#This Row],[income]],0)</f>
        <v>0</v>
      </c>
      <c r="CA441" s="20">
        <f ca="1">IF(Table1[[#This Row],[County]]="Derbyshire",Table1[[#This Row],[income]],0)</f>
        <v>0</v>
      </c>
      <c r="CB441" s="20">
        <f ca="1">IF(Table1[[#This Row],[County]]="City of London",Table1[[#This Row],[income]],0)</f>
        <v>0</v>
      </c>
      <c r="CC441" s="20">
        <f ca="1">IF(Table1[[#This Row],[County]]="Bedfordshire",Table1[[#This Row],[income]],0)</f>
        <v>0</v>
      </c>
      <c r="CD441" s="20">
        <f ca="1">IF(Table1[[#This Row],[County]]="County Durham",Table1[[#This Row],[income]],0)</f>
        <v>0</v>
      </c>
      <c r="CE441" s="20">
        <f ca="1">IF(Table1[[#This Row],[County]]="East Riding of Yorkshire",Table1[[#This Row],[income]],0)</f>
        <v>0</v>
      </c>
      <c r="CF441" s="20">
        <f ca="1">IF(Table1[[#This Row],[County]]="West Yorkshire",Table1[[#This Row],[income]],0)</f>
        <v>0</v>
      </c>
      <c r="CG441" s="20">
        <f ca="1">IF(Table1[[#This Row],[County]]="Essex",Table1[[#This Row],[income]],0)</f>
        <v>0</v>
      </c>
      <c r="CH441" s="20">
        <f ca="1">IF(Table1[[#This Row],[County]]="East Sussex",Table1[[#This Row],[income]],0)</f>
        <v>0</v>
      </c>
      <c r="CI441" s="20">
        <f ca="1">IF(Table1[[#This Row],[County]]="Greater Manchester",Table1[[#This Row],[income]],0)</f>
        <v>0</v>
      </c>
      <c r="CJ441" s="20">
        <f ca="1">IF(Table1[[#This Row],[County]]="Hertfordshire",Table1[[#This Row],[income]],0)</f>
        <v>0</v>
      </c>
      <c r="CK441" s="20">
        <f ca="1">IF(Table1[[#This Row],[County]]="Herefordshire",Table1[[#This Row],[income]],0)</f>
        <v>0</v>
      </c>
      <c r="CL441" s="20">
        <f ca="1">IF(Table1[[#This Row],[County]]="Lancashire",Table1[[#This Row],[income]],0)</f>
        <v>0</v>
      </c>
      <c r="CM441" s="20">
        <f ca="1">IF(Table1[[#This Row],[County]]="Merseyside",Table1[[#This Row],[income]],0)</f>
        <v>0</v>
      </c>
      <c r="CN441" s="20">
        <f ca="1">IF(Table1[[#This Row],[County]]="Northamptonshire",Table1[[#This Row],[income]],0)</f>
        <v>0</v>
      </c>
      <c r="CO441" s="20">
        <f ca="1">IF(Table1[[#This Row],[County]]="Northumberland",Table1[[#This Row],[income]],0)</f>
        <v>0</v>
      </c>
      <c r="CP441" s="20">
        <f ca="1">IF(Table1[[#This Row],[County]]="Wiltshire",Table1[[#This Row],[income]],0)</f>
        <v>0</v>
      </c>
      <c r="CQ441" s="20">
        <f ca="1">IF(Table1[[#This Row],[County]]="West Midlands",Table1[[#This Row],[income]],0)</f>
        <v>0</v>
      </c>
      <c r="CR441" s="20">
        <f ca="1">IF(Table1[[#This Row],[County]]="Warwickshire",Table1[[#This Row],[income]],0)</f>
        <v>0</v>
      </c>
      <c r="CS441" s="20">
        <f ca="1">IF(Table1[[#This Row],[County]]="Tyne and Wear",Table1[[#This Row],[income]],0)</f>
        <v>0</v>
      </c>
      <c r="CT441" s="20">
        <f ca="1">IF(Table1[[#This Row],[County]]="Worcestershire",Table1[[#This Row],[income]],0)</f>
        <v>0</v>
      </c>
      <c r="CU441" s="20">
        <f ca="1">IF(Table1[[#This Row],[County]]="Rutland",Table1[[#This Row],[income]],0)</f>
        <v>0</v>
      </c>
      <c r="CV441" s="20">
        <f ca="1">IF(Table1[[#This Row],[County]]="Shropshire",Table1[[#This Row],[income]],0)</f>
        <v>0</v>
      </c>
      <c r="CW441" s="20">
        <f ca="1">IF(Table1[[#This Row],[County]]="Dorset",Table1[[#This Row],[income]],0)</f>
        <v>0</v>
      </c>
      <c r="CX441" s="20">
        <f ca="1">IF(Table1[[#This Row],[County]]="Buckinghamshire",Table1[[#This Row],[income]],0)</f>
        <v>0</v>
      </c>
      <c r="CY441" s="20">
        <f ca="1">IF(Table1[[#This Row],[County]]="Suffolk",Table1[[#This Row],[income]],0)</f>
        <v>0</v>
      </c>
      <c r="CZ441" s="20">
        <f ca="1">IF(Table1[[#This Row],[County]]="North Yorkshire",Table1[[#This Row],[income]],0)</f>
        <v>0</v>
      </c>
      <c r="DA441" s="20">
        <f ca="1">IF(Table1[[#This Row],[County]]="Kent",Table1[[#This Row],[income]],0)</f>
        <v>0</v>
      </c>
      <c r="DB441" s="5">
        <f ca="1">IF(Table1[[#This Row],[County]]="Derbyshire",Table1[[#This Row],[income]],0)</f>
        <v>0</v>
      </c>
      <c r="DD441" s="6">
        <f ca="1">IF(Table1[[#This Row],[Column1]]="Health",Table1[[#This Row],[income]],0)</f>
        <v>0</v>
      </c>
      <c r="DE441" s="20">
        <f ca="1">IF(Table1[[#This Row],[Column1]]="Agriculture",Table1[[#This Row],[income]],0)</f>
        <v>0</v>
      </c>
      <c r="DF441" s="20">
        <f ca="1">IF(Table1[[#This Row],[Column1]]="Technology",Table1[[#This Row],[income]],0)</f>
        <v>0</v>
      </c>
      <c r="DG441" s="20">
        <f ca="1">IF(Table1[[#This Row],[Column1]]="Social Service",Table1[[#This Row],[income]],0)</f>
        <v>0</v>
      </c>
      <c r="DH441" s="20">
        <f ca="1">IF(Table1[[#This Row],[Column1]]="Education",Table1[[#This Row],[income]],0)</f>
        <v>0</v>
      </c>
      <c r="DI441" s="5">
        <f ca="1">IF(Table1[[#This Row],[Column1]]="Construction",Table1[[#This Row],[income]],0)</f>
        <v>63181</v>
      </c>
      <c r="DK441" s="6">
        <f ca="1">IF(Table1[[#This Row],[Value of Debts]]&gt;Table1[[#This Row],[income]],1,0)</f>
        <v>1</v>
      </c>
      <c r="DL441" s="20"/>
      <c r="DM441" s="20"/>
      <c r="DN441" s="5"/>
      <c r="DP441" s="6">
        <f ca="1">IF(Table1[[#This Row],[Net Worth (£)]]&gt;$DS$5,C441,0)</f>
        <v>26</v>
      </c>
      <c r="DQ441" s="20"/>
      <c r="DR441" s="20"/>
      <c r="DS441" s="5"/>
    </row>
    <row r="442" spans="1:123" x14ac:dyDescent="0.2">
      <c r="A442">
        <f t="shared" ca="1" si="19"/>
        <v>2</v>
      </c>
      <c r="B442" s="1" t="str">
        <f ca="1">IF(A442=1, "men", "women")</f>
        <v>women</v>
      </c>
      <c r="C442" s="1">
        <f ca="1">RANDBETWEEN(25,50)</f>
        <v>44</v>
      </c>
      <c r="D442">
        <f ca="1">RANDBETWEEN(1,6)</f>
        <v>1</v>
      </c>
      <c r="E442" t="str">
        <f ca="1">VLOOKUP(D442,$W$5:$X$10,2)</f>
        <v>Health</v>
      </c>
      <c r="F442">
        <f ca="1">RANDBETWEEN(1,5)</f>
        <v>2</v>
      </c>
      <c r="G442" t="str">
        <f ca="1">VLOOKUP(F442,$Y$5:$Z$9,2)</f>
        <v>College</v>
      </c>
      <c r="H442">
        <f ca="1">RANDBETWEEN(0,4)</f>
        <v>0</v>
      </c>
      <c r="I442">
        <f ca="1">RANDBETWEEN(1,3)</f>
        <v>1</v>
      </c>
      <c r="J442">
        <f ca="1">RANDBETWEEN(30000,100000)</f>
        <v>85410</v>
      </c>
      <c r="K442">
        <f ca="1">RANDBETWEEN(1,48)</f>
        <v>18</v>
      </c>
      <c r="L442" t="str">
        <f ca="1">VLOOKUP(K442,$AA$5:$AB$52,2)</f>
        <v>Greater London</v>
      </c>
      <c r="M442">
        <f ca="1">J442*(RANDBETWEEN(2,5))</f>
        <v>170820</v>
      </c>
      <c r="N442">
        <f ca="1">RAND()*M442</f>
        <v>124645.7138341446</v>
      </c>
      <c r="O442">
        <f ca="1">I442*RAND()*J442</f>
        <v>23659.102765410731</v>
      </c>
      <c r="P442">
        <f ca="1">RANDBETWEEN(0,O442)</f>
        <v>12047</v>
      </c>
      <c r="Q442">
        <f ca="1">RAND()*J442*2</f>
        <v>92400.341442704972</v>
      </c>
      <c r="R442">
        <f ca="1">RAND()*J442*1.5</f>
        <v>100857.8219522157</v>
      </c>
      <c r="S442">
        <f ca="1">J442+R442+O442</f>
        <v>209926.92471762642</v>
      </c>
      <c r="T442">
        <f ca="1">N442+P442+Q442</f>
        <v>229093.05527684954</v>
      </c>
      <c r="U442">
        <f ca="1">S442-T442</f>
        <v>-19166.130559223122</v>
      </c>
      <c r="AC442" s="6">
        <f ca="1">IF(Table1[[#This Row],[gender]]="men",1,0)</f>
        <v>0</v>
      </c>
      <c r="AD442">
        <f ca="1">IF(Table1[[#This Row],[gender]]="women",1,0)</f>
        <v>1</v>
      </c>
      <c r="AH442" s="5"/>
      <c r="AJ442" s="6">
        <f ca="1">IF(Table1[[#This Row],[Column1]]="Health",1,0)</f>
        <v>1</v>
      </c>
      <c r="AK442">
        <f ca="1">IF(Table1[[#This Row],[Column1]]="Construction",1,0)</f>
        <v>0</v>
      </c>
      <c r="AL442">
        <f ca="1">IF(Table1[[#This Row],[Column1]]="Technology",1,0)</f>
        <v>0</v>
      </c>
      <c r="AM442">
        <f ca="1">IF(Table1[[#This Row],[Column1]]="Education",1,0)</f>
        <v>0</v>
      </c>
      <c r="AN442">
        <f ca="1">IF(Table1[[#This Row],[Column1]]="Agriculture",1,0)</f>
        <v>0</v>
      </c>
      <c r="AO442">
        <f ca="1">IF(Table1[[#This Row],[Column1]]="Social Service", 1, 0)</f>
        <v>0</v>
      </c>
      <c r="AT442" s="5"/>
      <c r="AV442" s="17">
        <f t="shared" ca="1" si="18"/>
        <v>49039.695652740964</v>
      </c>
      <c r="AW442" s="5"/>
      <c r="AX442" s="6">
        <f ca="1">IF(Table1[[#This Row],[Value of Debts]]&gt;$AY$4,1,0)</f>
        <v>1</v>
      </c>
      <c r="AY442" s="20"/>
      <c r="AZ442" s="20"/>
      <c r="BA442" s="5"/>
      <c r="BB442" s="25">
        <f ca="1">Table1[[#This Row],[Mortage Left]]/Table1[[#This Row],[Value of House]]</f>
        <v>0.72969039827973659</v>
      </c>
      <c r="BC442" s="20">
        <f t="shared" ca="1" si="20"/>
        <v>0</v>
      </c>
      <c r="BD442" s="20"/>
      <c r="BE442" s="20"/>
      <c r="BF442" s="20"/>
      <c r="BG442" s="6">
        <f ca="1">IF(Table1[[#This Row],[County]]="Cumbria",Table1[[#This Row],[income]],0)</f>
        <v>0</v>
      </c>
      <c r="BH442" s="20">
        <f ca="1">IF(Table1[[#This Row],[County]]="Cheshire",Table1[[#This Row],[income]],0)</f>
        <v>0</v>
      </c>
      <c r="BI442" s="20">
        <f ca="1">IF(Table1[[#This Row],[County]]="Bristol",Table1[[#This Row],[income]],0)</f>
        <v>0</v>
      </c>
      <c r="BJ442" s="20">
        <f ca="1">IF(Table1[[#This Row],[County]]="Surrey",Table1[[#This Row],[income]],0)</f>
        <v>0</v>
      </c>
      <c r="BK442" s="20">
        <f ca="1">IF(Table1[[#This Row],[County]]="Norfolk",Table1[[#This Row],[income]],0)</f>
        <v>0</v>
      </c>
      <c r="BL442" s="20">
        <f ca="1">IF(Table1[[#This Row],[County]]="Lincolnshire",Table1[[#This Row],[income]],0)</f>
        <v>0</v>
      </c>
      <c r="BM442" s="20">
        <f ca="1">IF(Table1[[#This Row],[County]]="Somerset",Table1[[#This Row],[income]],0)</f>
        <v>0</v>
      </c>
      <c r="BN442" s="20">
        <f ca="1">IF(Table1[[#This Row],[County]]="Cambridgeshire",Table1[[#This Row],[income]],0)</f>
        <v>0</v>
      </c>
      <c r="BO442" s="20">
        <f ca="1">IF(Table1[[#This Row],[County]]="South Yorkshire",Table1[[#This Row],[income]],0)</f>
        <v>0</v>
      </c>
      <c r="BP442" s="20">
        <f ca="1">IF(Table1[[#This Row],[County]]="Greater London",Table1[[#This Row],[income]],0)</f>
        <v>85410</v>
      </c>
      <c r="BQ442" s="20">
        <f ca="1">IF(Table1[[#This Row],[County]]="Hampshire",Table1[[#This Row],[income]],0)</f>
        <v>0</v>
      </c>
      <c r="BR442" s="20">
        <f ca="1">IF(Table1[[#This Row],[County]]="Gloucestershire",Table1[[#This Row],[income]],0)</f>
        <v>0</v>
      </c>
      <c r="BS442" s="20">
        <f ca="1">IF(Table1[[#This Row],[County]]="West Sussex",Table1[[#This Row],[income]],0)</f>
        <v>0</v>
      </c>
      <c r="BT442" s="20">
        <f ca="1">IF(Table1[[#This Row],[County]]="Devon",Table1[[#This Row],[income]],0)</f>
        <v>0</v>
      </c>
      <c r="BU442" s="20">
        <f ca="1">IF(Table1[[#This Row],[County]]="Berkshire",Table1[[#This Row],[income]],0)</f>
        <v>0</v>
      </c>
      <c r="BV442" s="20">
        <f ca="1">IF(Table1[[#This Row],[County]]="Staffordshire",Table1[[#This Row],[income]],0)</f>
        <v>0</v>
      </c>
      <c r="BW442" s="20">
        <f ca="1">IF(Table1[[#This Row],[County]]="Leicestershire",Table1[[#This Row],[income]],0)</f>
        <v>0</v>
      </c>
      <c r="BX442" s="20">
        <f ca="1">IF(Table1[[#This Row],[County]]="Cornwall",Table1[[#This Row],[income]],0)</f>
        <v>0</v>
      </c>
      <c r="BY442" s="20">
        <f ca="1">IF(Table1[[#This Row],[County]]="Isle of Wight",Table1[[#This Row],[income]],0)</f>
        <v>0</v>
      </c>
      <c r="BZ442" s="20">
        <f ca="1">IF(Table1[[#This Row],[County]]="Surrey",Table1[[#This Row],[income]],0)</f>
        <v>0</v>
      </c>
      <c r="CA442" s="20">
        <f ca="1">IF(Table1[[#This Row],[County]]="Derbyshire",Table1[[#This Row],[income]],0)</f>
        <v>0</v>
      </c>
      <c r="CB442" s="20">
        <f ca="1">IF(Table1[[#This Row],[County]]="City of London",Table1[[#This Row],[income]],0)</f>
        <v>0</v>
      </c>
      <c r="CC442" s="20">
        <f ca="1">IF(Table1[[#This Row],[County]]="Bedfordshire",Table1[[#This Row],[income]],0)</f>
        <v>0</v>
      </c>
      <c r="CD442" s="20">
        <f ca="1">IF(Table1[[#This Row],[County]]="County Durham",Table1[[#This Row],[income]],0)</f>
        <v>0</v>
      </c>
      <c r="CE442" s="20">
        <f ca="1">IF(Table1[[#This Row],[County]]="East Riding of Yorkshire",Table1[[#This Row],[income]],0)</f>
        <v>0</v>
      </c>
      <c r="CF442" s="20">
        <f ca="1">IF(Table1[[#This Row],[County]]="West Yorkshire",Table1[[#This Row],[income]],0)</f>
        <v>0</v>
      </c>
      <c r="CG442" s="20">
        <f ca="1">IF(Table1[[#This Row],[County]]="Essex",Table1[[#This Row],[income]],0)</f>
        <v>0</v>
      </c>
      <c r="CH442" s="20">
        <f ca="1">IF(Table1[[#This Row],[County]]="East Sussex",Table1[[#This Row],[income]],0)</f>
        <v>0</v>
      </c>
      <c r="CI442" s="20">
        <f ca="1">IF(Table1[[#This Row],[County]]="Greater Manchester",Table1[[#This Row],[income]],0)</f>
        <v>0</v>
      </c>
      <c r="CJ442" s="20">
        <f ca="1">IF(Table1[[#This Row],[County]]="Hertfordshire",Table1[[#This Row],[income]],0)</f>
        <v>0</v>
      </c>
      <c r="CK442" s="20">
        <f ca="1">IF(Table1[[#This Row],[County]]="Herefordshire",Table1[[#This Row],[income]],0)</f>
        <v>0</v>
      </c>
      <c r="CL442" s="20">
        <f ca="1">IF(Table1[[#This Row],[County]]="Lancashire",Table1[[#This Row],[income]],0)</f>
        <v>0</v>
      </c>
      <c r="CM442" s="20">
        <f ca="1">IF(Table1[[#This Row],[County]]="Merseyside",Table1[[#This Row],[income]],0)</f>
        <v>0</v>
      </c>
      <c r="CN442" s="20">
        <f ca="1">IF(Table1[[#This Row],[County]]="Northamptonshire",Table1[[#This Row],[income]],0)</f>
        <v>0</v>
      </c>
      <c r="CO442" s="20">
        <f ca="1">IF(Table1[[#This Row],[County]]="Northumberland",Table1[[#This Row],[income]],0)</f>
        <v>0</v>
      </c>
      <c r="CP442" s="20">
        <f ca="1">IF(Table1[[#This Row],[County]]="Wiltshire",Table1[[#This Row],[income]],0)</f>
        <v>0</v>
      </c>
      <c r="CQ442" s="20">
        <f ca="1">IF(Table1[[#This Row],[County]]="West Midlands",Table1[[#This Row],[income]],0)</f>
        <v>0</v>
      </c>
      <c r="CR442" s="20">
        <f ca="1">IF(Table1[[#This Row],[County]]="Warwickshire",Table1[[#This Row],[income]],0)</f>
        <v>0</v>
      </c>
      <c r="CS442" s="20">
        <f ca="1">IF(Table1[[#This Row],[County]]="Tyne and Wear",Table1[[#This Row],[income]],0)</f>
        <v>0</v>
      </c>
      <c r="CT442" s="20">
        <f ca="1">IF(Table1[[#This Row],[County]]="Worcestershire",Table1[[#This Row],[income]],0)</f>
        <v>0</v>
      </c>
      <c r="CU442" s="20">
        <f ca="1">IF(Table1[[#This Row],[County]]="Rutland",Table1[[#This Row],[income]],0)</f>
        <v>0</v>
      </c>
      <c r="CV442" s="20">
        <f ca="1">IF(Table1[[#This Row],[County]]="Shropshire",Table1[[#This Row],[income]],0)</f>
        <v>0</v>
      </c>
      <c r="CW442" s="20">
        <f ca="1">IF(Table1[[#This Row],[County]]="Dorset",Table1[[#This Row],[income]],0)</f>
        <v>0</v>
      </c>
      <c r="CX442" s="20">
        <f ca="1">IF(Table1[[#This Row],[County]]="Buckinghamshire",Table1[[#This Row],[income]],0)</f>
        <v>0</v>
      </c>
      <c r="CY442" s="20">
        <f ca="1">IF(Table1[[#This Row],[County]]="Suffolk",Table1[[#This Row],[income]],0)</f>
        <v>0</v>
      </c>
      <c r="CZ442" s="20">
        <f ca="1">IF(Table1[[#This Row],[County]]="North Yorkshire",Table1[[#This Row],[income]],0)</f>
        <v>0</v>
      </c>
      <c r="DA442" s="20">
        <f ca="1">IF(Table1[[#This Row],[County]]="Kent",Table1[[#This Row],[income]],0)</f>
        <v>0</v>
      </c>
      <c r="DB442" s="5">
        <f ca="1">IF(Table1[[#This Row],[County]]="Derbyshire",Table1[[#This Row],[income]],0)</f>
        <v>0</v>
      </c>
      <c r="DD442" s="6">
        <f ca="1">IF(Table1[[#This Row],[Column1]]="Health",Table1[[#This Row],[income]],0)</f>
        <v>85410</v>
      </c>
      <c r="DE442" s="20">
        <f ca="1">IF(Table1[[#This Row],[Column1]]="Agriculture",Table1[[#This Row],[income]],0)</f>
        <v>0</v>
      </c>
      <c r="DF442" s="20">
        <f ca="1">IF(Table1[[#This Row],[Column1]]="Technology",Table1[[#This Row],[income]],0)</f>
        <v>0</v>
      </c>
      <c r="DG442" s="20">
        <f ca="1">IF(Table1[[#This Row],[Column1]]="Social Service",Table1[[#This Row],[income]],0)</f>
        <v>0</v>
      </c>
      <c r="DH442" s="20">
        <f ca="1">IF(Table1[[#This Row],[Column1]]="Education",Table1[[#This Row],[income]],0)</f>
        <v>0</v>
      </c>
      <c r="DI442" s="5">
        <f ca="1">IF(Table1[[#This Row],[Column1]]="Construction",Table1[[#This Row],[income]],0)</f>
        <v>0</v>
      </c>
      <c r="DK442" s="6">
        <f ca="1">IF(Table1[[#This Row],[Value of Debts]]&gt;Table1[[#This Row],[income]],1,0)</f>
        <v>1</v>
      </c>
      <c r="DL442" s="20"/>
      <c r="DM442" s="20"/>
      <c r="DN442" s="5"/>
      <c r="DP442" s="6">
        <f ca="1">IF(Table1[[#This Row],[Net Worth (£)]]&gt;$DS$5,C442,0)</f>
        <v>0</v>
      </c>
      <c r="DQ442" s="20"/>
      <c r="DR442" s="20"/>
      <c r="DS442" s="5"/>
    </row>
    <row r="443" spans="1:123" x14ac:dyDescent="0.2">
      <c r="A443">
        <f t="shared" ca="1" si="19"/>
        <v>1</v>
      </c>
      <c r="B443" s="1" t="str">
        <f ca="1">IF(A443=1, "men", "women")</f>
        <v>men</v>
      </c>
      <c r="C443" s="1">
        <f ca="1">RANDBETWEEN(25,50)</f>
        <v>45</v>
      </c>
      <c r="D443">
        <f ca="1">RANDBETWEEN(1,6)</f>
        <v>5</v>
      </c>
      <c r="E443" t="str">
        <f ca="1">VLOOKUP(D443,$W$5:$X$10,2)</f>
        <v>Social Service</v>
      </c>
      <c r="F443">
        <f ca="1">RANDBETWEEN(1,5)</f>
        <v>3</v>
      </c>
      <c r="G443" t="str">
        <f ca="1">VLOOKUP(F443,$Y$5:$Z$9,2)</f>
        <v>University</v>
      </c>
      <c r="H443">
        <f ca="1">RANDBETWEEN(0,4)</f>
        <v>2</v>
      </c>
      <c r="I443">
        <f ca="1">RANDBETWEEN(1,3)</f>
        <v>2</v>
      </c>
      <c r="J443">
        <f ca="1">RANDBETWEEN(30000,100000)</f>
        <v>54049</v>
      </c>
      <c r="K443">
        <f ca="1">RANDBETWEEN(1,48)</f>
        <v>15</v>
      </c>
      <c r="L443" t="str">
        <f ca="1">VLOOKUP(K443,$AA$5:$AB$52,2)</f>
        <v>East Sussex</v>
      </c>
      <c r="M443">
        <f ca="1">J443*(RANDBETWEEN(2,5))</f>
        <v>162147</v>
      </c>
      <c r="N443">
        <f ca="1">RAND()*M443</f>
        <v>127729.24676881224</v>
      </c>
      <c r="O443">
        <f ca="1">I443*RAND()*J443</f>
        <v>98079.391305481928</v>
      </c>
      <c r="P443">
        <f ca="1">RANDBETWEEN(0,O443)</f>
        <v>3769</v>
      </c>
      <c r="Q443">
        <f ca="1">RAND()*J443*2</f>
        <v>75107.043922026991</v>
      </c>
      <c r="R443">
        <f ca="1">RAND()*J443*1.5</f>
        <v>27211.740469059267</v>
      </c>
      <c r="S443">
        <f ca="1">J443+R443+O443</f>
        <v>179340.13177454119</v>
      </c>
      <c r="T443">
        <f ca="1">N443+P443+Q443</f>
        <v>206605.29069083923</v>
      </c>
      <c r="U443">
        <f ca="1">S443-T443</f>
        <v>-27265.158916298038</v>
      </c>
      <c r="AC443" s="6">
        <f ca="1">IF(Table1[[#This Row],[gender]]="men",1,0)</f>
        <v>1</v>
      </c>
      <c r="AD443">
        <f ca="1">IF(Table1[[#This Row],[gender]]="women",1,0)</f>
        <v>0</v>
      </c>
      <c r="AH443" s="5"/>
      <c r="AJ443" s="6">
        <f ca="1">IF(Table1[[#This Row],[Column1]]="Health",1,0)</f>
        <v>0</v>
      </c>
      <c r="AK443">
        <f ca="1">IF(Table1[[#This Row],[Column1]]="Construction",1,0)</f>
        <v>0</v>
      </c>
      <c r="AL443">
        <f ca="1">IF(Table1[[#This Row],[Column1]]="Technology",1,0)</f>
        <v>0</v>
      </c>
      <c r="AM443">
        <f ca="1">IF(Table1[[#This Row],[Column1]]="Education",1,0)</f>
        <v>0</v>
      </c>
      <c r="AN443">
        <f ca="1">IF(Table1[[#This Row],[Column1]]="Agriculture",1,0)</f>
        <v>0</v>
      </c>
      <c r="AO443">
        <f ca="1">IF(Table1[[#This Row],[Column1]]="Social Service", 1, 0)</f>
        <v>1</v>
      </c>
      <c r="AT443" s="5"/>
      <c r="AV443" s="17">
        <f t="shared" ca="1" si="18"/>
        <v>34096.099159876729</v>
      </c>
      <c r="AW443" s="5"/>
      <c r="AX443" s="6">
        <f ca="1">IF(Table1[[#This Row],[Value of Debts]]&gt;$AY$4,1,0)</f>
        <v>1</v>
      </c>
      <c r="AY443" s="20"/>
      <c r="AZ443" s="20"/>
      <c r="BA443" s="5"/>
      <c r="BB443" s="25">
        <f ca="1">Table1[[#This Row],[Mortage Left]]/Table1[[#This Row],[Value of House]]</f>
        <v>0.78773734184913835</v>
      </c>
      <c r="BC443" s="20">
        <f t="shared" ca="1" si="20"/>
        <v>0</v>
      </c>
      <c r="BD443" s="20"/>
      <c r="BE443" s="20"/>
      <c r="BF443" s="20"/>
      <c r="BG443" s="6">
        <f ca="1">IF(Table1[[#This Row],[County]]="Cumbria",Table1[[#This Row],[income]],0)</f>
        <v>0</v>
      </c>
      <c r="BH443" s="20">
        <f ca="1">IF(Table1[[#This Row],[County]]="Cheshire",Table1[[#This Row],[income]],0)</f>
        <v>0</v>
      </c>
      <c r="BI443" s="20">
        <f ca="1">IF(Table1[[#This Row],[County]]="Bristol",Table1[[#This Row],[income]],0)</f>
        <v>0</v>
      </c>
      <c r="BJ443" s="20">
        <f ca="1">IF(Table1[[#This Row],[County]]="Surrey",Table1[[#This Row],[income]],0)</f>
        <v>0</v>
      </c>
      <c r="BK443" s="20">
        <f ca="1">IF(Table1[[#This Row],[County]]="Norfolk",Table1[[#This Row],[income]],0)</f>
        <v>0</v>
      </c>
      <c r="BL443" s="20">
        <f ca="1">IF(Table1[[#This Row],[County]]="Lincolnshire",Table1[[#This Row],[income]],0)</f>
        <v>0</v>
      </c>
      <c r="BM443" s="20">
        <f ca="1">IF(Table1[[#This Row],[County]]="Somerset",Table1[[#This Row],[income]],0)</f>
        <v>0</v>
      </c>
      <c r="BN443" s="20">
        <f ca="1">IF(Table1[[#This Row],[County]]="Cambridgeshire",Table1[[#This Row],[income]],0)</f>
        <v>0</v>
      </c>
      <c r="BO443" s="20">
        <f ca="1">IF(Table1[[#This Row],[County]]="South Yorkshire",Table1[[#This Row],[income]],0)</f>
        <v>0</v>
      </c>
      <c r="BP443" s="20">
        <f ca="1">IF(Table1[[#This Row],[County]]="Greater London",Table1[[#This Row],[income]],0)</f>
        <v>0</v>
      </c>
      <c r="BQ443" s="20">
        <f ca="1">IF(Table1[[#This Row],[County]]="Hampshire",Table1[[#This Row],[income]],0)</f>
        <v>0</v>
      </c>
      <c r="BR443" s="20">
        <f ca="1">IF(Table1[[#This Row],[County]]="Gloucestershire",Table1[[#This Row],[income]],0)</f>
        <v>0</v>
      </c>
      <c r="BS443" s="20">
        <f ca="1">IF(Table1[[#This Row],[County]]="West Sussex",Table1[[#This Row],[income]],0)</f>
        <v>0</v>
      </c>
      <c r="BT443" s="20">
        <f ca="1">IF(Table1[[#This Row],[County]]="Devon",Table1[[#This Row],[income]],0)</f>
        <v>0</v>
      </c>
      <c r="BU443" s="20">
        <f ca="1">IF(Table1[[#This Row],[County]]="Berkshire",Table1[[#This Row],[income]],0)</f>
        <v>0</v>
      </c>
      <c r="BV443" s="20">
        <f ca="1">IF(Table1[[#This Row],[County]]="Staffordshire",Table1[[#This Row],[income]],0)</f>
        <v>0</v>
      </c>
      <c r="BW443" s="20">
        <f ca="1">IF(Table1[[#This Row],[County]]="Leicestershire",Table1[[#This Row],[income]],0)</f>
        <v>0</v>
      </c>
      <c r="BX443" s="20">
        <f ca="1">IF(Table1[[#This Row],[County]]="Cornwall",Table1[[#This Row],[income]],0)</f>
        <v>0</v>
      </c>
      <c r="BY443" s="20">
        <f ca="1">IF(Table1[[#This Row],[County]]="Isle of Wight",Table1[[#This Row],[income]],0)</f>
        <v>0</v>
      </c>
      <c r="BZ443" s="20">
        <f ca="1">IF(Table1[[#This Row],[County]]="Surrey",Table1[[#This Row],[income]],0)</f>
        <v>0</v>
      </c>
      <c r="CA443" s="20">
        <f ca="1">IF(Table1[[#This Row],[County]]="Derbyshire",Table1[[#This Row],[income]],0)</f>
        <v>0</v>
      </c>
      <c r="CB443" s="20">
        <f ca="1">IF(Table1[[#This Row],[County]]="City of London",Table1[[#This Row],[income]],0)</f>
        <v>0</v>
      </c>
      <c r="CC443" s="20">
        <f ca="1">IF(Table1[[#This Row],[County]]="Bedfordshire",Table1[[#This Row],[income]],0)</f>
        <v>0</v>
      </c>
      <c r="CD443" s="20">
        <f ca="1">IF(Table1[[#This Row],[County]]="County Durham",Table1[[#This Row],[income]],0)</f>
        <v>0</v>
      </c>
      <c r="CE443" s="20">
        <f ca="1">IF(Table1[[#This Row],[County]]="East Riding of Yorkshire",Table1[[#This Row],[income]],0)</f>
        <v>0</v>
      </c>
      <c r="CF443" s="20">
        <f ca="1">IF(Table1[[#This Row],[County]]="West Yorkshire",Table1[[#This Row],[income]],0)</f>
        <v>0</v>
      </c>
      <c r="CG443" s="20">
        <f ca="1">IF(Table1[[#This Row],[County]]="Essex",Table1[[#This Row],[income]],0)</f>
        <v>0</v>
      </c>
      <c r="CH443" s="20">
        <f ca="1">IF(Table1[[#This Row],[County]]="East Sussex",Table1[[#This Row],[income]],0)</f>
        <v>54049</v>
      </c>
      <c r="CI443" s="20">
        <f ca="1">IF(Table1[[#This Row],[County]]="Greater Manchester",Table1[[#This Row],[income]],0)</f>
        <v>0</v>
      </c>
      <c r="CJ443" s="20">
        <f ca="1">IF(Table1[[#This Row],[County]]="Hertfordshire",Table1[[#This Row],[income]],0)</f>
        <v>0</v>
      </c>
      <c r="CK443" s="20">
        <f ca="1">IF(Table1[[#This Row],[County]]="Herefordshire",Table1[[#This Row],[income]],0)</f>
        <v>0</v>
      </c>
      <c r="CL443" s="20">
        <f ca="1">IF(Table1[[#This Row],[County]]="Lancashire",Table1[[#This Row],[income]],0)</f>
        <v>0</v>
      </c>
      <c r="CM443" s="20">
        <f ca="1">IF(Table1[[#This Row],[County]]="Merseyside",Table1[[#This Row],[income]],0)</f>
        <v>0</v>
      </c>
      <c r="CN443" s="20">
        <f ca="1">IF(Table1[[#This Row],[County]]="Northamptonshire",Table1[[#This Row],[income]],0)</f>
        <v>0</v>
      </c>
      <c r="CO443" s="20">
        <f ca="1">IF(Table1[[#This Row],[County]]="Northumberland",Table1[[#This Row],[income]],0)</f>
        <v>0</v>
      </c>
      <c r="CP443" s="20">
        <f ca="1">IF(Table1[[#This Row],[County]]="Wiltshire",Table1[[#This Row],[income]],0)</f>
        <v>0</v>
      </c>
      <c r="CQ443" s="20">
        <f ca="1">IF(Table1[[#This Row],[County]]="West Midlands",Table1[[#This Row],[income]],0)</f>
        <v>0</v>
      </c>
      <c r="CR443" s="20">
        <f ca="1">IF(Table1[[#This Row],[County]]="Warwickshire",Table1[[#This Row],[income]],0)</f>
        <v>0</v>
      </c>
      <c r="CS443" s="20">
        <f ca="1">IF(Table1[[#This Row],[County]]="Tyne and Wear",Table1[[#This Row],[income]],0)</f>
        <v>0</v>
      </c>
      <c r="CT443" s="20">
        <f ca="1">IF(Table1[[#This Row],[County]]="Worcestershire",Table1[[#This Row],[income]],0)</f>
        <v>0</v>
      </c>
      <c r="CU443" s="20">
        <f ca="1">IF(Table1[[#This Row],[County]]="Rutland",Table1[[#This Row],[income]],0)</f>
        <v>0</v>
      </c>
      <c r="CV443" s="20">
        <f ca="1">IF(Table1[[#This Row],[County]]="Shropshire",Table1[[#This Row],[income]],0)</f>
        <v>0</v>
      </c>
      <c r="CW443" s="20">
        <f ca="1">IF(Table1[[#This Row],[County]]="Dorset",Table1[[#This Row],[income]],0)</f>
        <v>0</v>
      </c>
      <c r="CX443" s="20">
        <f ca="1">IF(Table1[[#This Row],[County]]="Buckinghamshire",Table1[[#This Row],[income]],0)</f>
        <v>0</v>
      </c>
      <c r="CY443" s="20">
        <f ca="1">IF(Table1[[#This Row],[County]]="Suffolk",Table1[[#This Row],[income]],0)</f>
        <v>0</v>
      </c>
      <c r="CZ443" s="20">
        <f ca="1">IF(Table1[[#This Row],[County]]="North Yorkshire",Table1[[#This Row],[income]],0)</f>
        <v>0</v>
      </c>
      <c r="DA443" s="20">
        <f ca="1">IF(Table1[[#This Row],[County]]="Kent",Table1[[#This Row],[income]],0)</f>
        <v>0</v>
      </c>
      <c r="DB443" s="5">
        <f ca="1">IF(Table1[[#This Row],[County]]="Derbyshire",Table1[[#This Row],[income]],0)</f>
        <v>0</v>
      </c>
      <c r="DD443" s="6">
        <f ca="1">IF(Table1[[#This Row],[Column1]]="Health",Table1[[#This Row],[income]],0)</f>
        <v>0</v>
      </c>
      <c r="DE443" s="20">
        <f ca="1">IF(Table1[[#This Row],[Column1]]="Agriculture",Table1[[#This Row],[income]],0)</f>
        <v>0</v>
      </c>
      <c r="DF443" s="20">
        <f ca="1">IF(Table1[[#This Row],[Column1]]="Technology",Table1[[#This Row],[income]],0)</f>
        <v>0</v>
      </c>
      <c r="DG443" s="20">
        <f ca="1">IF(Table1[[#This Row],[Column1]]="Social Service",Table1[[#This Row],[income]],0)</f>
        <v>54049</v>
      </c>
      <c r="DH443" s="20">
        <f ca="1">IF(Table1[[#This Row],[Column1]]="Education",Table1[[#This Row],[income]],0)</f>
        <v>0</v>
      </c>
      <c r="DI443" s="5">
        <f ca="1">IF(Table1[[#This Row],[Column1]]="Construction",Table1[[#This Row],[income]],0)</f>
        <v>0</v>
      </c>
      <c r="DK443" s="6">
        <f ca="1">IF(Table1[[#This Row],[Value of Debts]]&gt;Table1[[#This Row],[income]],1,0)</f>
        <v>1</v>
      </c>
      <c r="DL443" s="20"/>
      <c r="DM443" s="20"/>
      <c r="DN443" s="5"/>
      <c r="DP443" s="6">
        <f ca="1">IF(Table1[[#This Row],[Net Worth (£)]]&gt;$DS$5,C443,0)</f>
        <v>0</v>
      </c>
      <c r="DQ443" s="20"/>
      <c r="DR443" s="20"/>
      <c r="DS443" s="5"/>
    </row>
    <row r="444" spans="1:123" x14ac:dyDescent="0.2">
      <c r="A444">
        <f t="shared" ca="1" si="19"/>
        <v>1</v>
      </c>
      <c r="B444" s="1" t="str">
        <f ca="1">IF(A444=1, "men", "women")</f>
        <v>men</v>
      </c>
      <c r="C444" s="1">
        <f ca="1">RANDBETWEEN(25,50)</f>
        <v>29</v>
      </c>
      <c r="D444">
        <f ca="1">RANDBETWEEN(1,6)</f>
        <v>3</v>
      </c>
      <c r="E444" t="str">
        <f ca="1">VLOOKUP(D444,$W$5:$X$10,2)</f>
        <v>Education</v>
      </c>
      <c r="F444">
        <f ca="1">RANDBETWEEN(1,5)</f>
        <v>3</v>
      </c>
      <c r="G444" t="str">
        <f ca="1">VLOOKUP(F444,$Y$5:$Z$9,2)</f>
        <v>University</v>
      </c>
      <c r="H444">
        <f ca="1">RANDBETWEEN(0,4)</f>
        <v>2</v>
      </c>
      <c r="I444">
        <f ca="1">RANDBETWEEN(1,3)</f>
        <v>2</v>
      </c>
      <c r="J444">
        <f ca="1">RANDBETWEEN(30000,100000)</f>
        <v>92189</v>
      </c>
      <c r="K444">
        <f ca="1">RANDBETWEEN(1,48)</f>
        <v>12</v>
      </c>
      <c r="L444" t="str">
        <f ca="1">VLOOKUP(K444,$AA$5:$AB$52,2)</f>
        <v>Dorset</v>
      </c>
      <c r="M444">
        <f ca="1">J444*(RANDBETWEEN(2,5))</f>
        <v>276567</v>
      </c>
      <c r="N444">
        <f ca="1">RAND()*M444</f>
        <v>176037.11084247142</v>
      </c>
      <c r="O444">
        <f ca="1">I444*RAND()*J444</f>
        <v>68192.198319753457</v>
      </c>
      <c r="P444">
        <f ca="1">RANDBETWEEN(0,O444)</f>
        <v>36057</v>
      </c>
      <c r="Q444">
        <f ca="1">RAND()*J444*2</f>
        <v>55490.731802102862</v>
      </c>
      <c r="R444">
        <f ca="1">RAND()*J444*1.5</f>
        <v>31087.439549596776</v>
      </c>
      <c r="S444">
        <f ca="1">J444+R444+O444</f>
        <v>191468.63786935023</v>
      </c>
      <c r="T444">
        <f ca="1">N444+P444+Q444</f>
        <v>267584.8426445743</v>
      </c>
      <c r="U444">
        <f ca="1">S444-T444</f>
        <v>-76116.204775224061</v>
      </c>
      <c r="AC444" s="6">
        <f ca="1">IF(Table1[[#This Row],[gender]]="men",1,0)</f>
        <v>1</v>
      </c>
      <c r="AD444">
        <f ca="1">IF(Table1[[#This Row],[gender]]="women",1,0)</f>
        <v>0</v>
      </c>
      <c r="AH444" s="5"/>
      <c r="AJ444" s="6">
        <f ca="1">IF(Table1[[#This Row],[Column1]]="Health",1,0)</f>
        <v>0</v>
      </c>
      <c r="AK444">
        <f ca="1">IF(Table1[[#This Row],[Column1]]="Construction",1,0)</f>
        <v>0</v>
      </c>
      <c r="AL444">
        <f ca="1">IF(Table1[[#This Row],[Column1]]="Technology",1,0)</f>
        <v>0</v>
      </c>
      <c r="AM444">
        <f ca="1">IF(Table1[[#This Row],[Column1]]="Education",1,0)</f>
        <v>1</v>
      </c>
      <c r="AN444">
        <f ca="1">IF(Table1[[#This Row],[Column1]]="Agriculture",1,0)</f>
        <v>0</v>
      </c>
      <c r="AO444">
        <f ca="1">IF(Table1[[#This Row],[Column1]]="Social Service", 1, 0)</f>
        <v>0</v>
      </c>
      <c r="AT444" s="5"/>
      <c r="AV444" s="17">
        <f t="shared" ca="1" si="18"/>
        <v>5730.0344289745235</v>
      </c>
      <c r="AW444" s="5"/>
      <c r="AX444" s="6">
        <f ca="1">IF(Table1[[#This Row],[Value of Debts]]&gt;$AY$4,1,0)</f>
        <v>1</v>
      </c>
      <c r="AY444" s="20"/>
      <c r="AZ444" s="20"/>
      <c r="BA444" s="5"/>
      <c r="BB444" s="25">
        <f ca="1">Table1[[#This Row],[Mortage Left]]/Table1[[#This Row],[Value of House]]</f>
        <v>0.63650801014752811</v>
      </c>
      <c r="BC444" s="20">
        <f t="shared" ca="1" si="20"/>
        <v>0</v>
      </c>
      <c r="BD444" s="20"/>
      <c r="BE444" s="20"/>
      <c r="BF444" s="20"/>
      <c r="BG444" s="6">
        <f ca="1">IF(Table1[[#This Row],[County]]="Cumbria",Table1[[#This Row],[income]],0)</f>
        <v>0</v>
      </c>
      <c r="BH444" s="20">
        <f ca="1">IF(Table1[[#This Row],[County]]="Cheshire",Table1[[#This Row],[income]],0)</f>
        <v>0</v>
      </c>
      <c r="BI444" s="20">
        <f ca="1">IF(Table1[[#This Row],[County]]="Bristol",Table1[[#This Row],[income]],0)</f>
        <v>0</v>
      </c>
      <c r="BJ444" s="20">
        <f ca="1">IF(Table1[[#This Row],[County]]="Surrey",Table1[[#This Row],[income]],0)</f>
        <v>0</v>
      </c>
      <c r="BK444" s="20">
        <f ca="1">IF(Table1[[#This Row],[County]]="Norfolk",Table1[[#This Row],[income]],0)</f>
        <v>0</v>
      </c>
      <c r="BL444" s="20">
        <f ca="1">IF(Table1[[#This Row],[County]]="Lincolnshire",Table1[[#This Row],[income]],0)</f>
        <v>0</v>
      </c>
      <c r="BM444" s="20">
        <f ca="1">IF(Table1[[#This Row],[County]]="Somerset",Table1[[#This Row],[income]],0)</f>
        <v>0</v>
      </c>
      <c r="BN444" s="20">
        <f ca="1">IF(Table1[[#This Row],[County]]="Cambridgeshire",Table1[[#This Row],[income]],0)</f>
        <v>0</v>
      </c>
      <c r="BO444" s="20">
        <f ca="1">IF(Table1[[#This Row],[County]]="South Yorkshire",Table1[[#This Row],[income]],0)</f>
        <v>0</v>
      </c>
      <c r="BP444" s="20">
        <f ca="1">IF(Table1[[#This Row],[County]]="Greater London",Table1[[#This Row],[income]],0)</f>
        <v>0</v>
      </c>
      <c r="BQ444" s="20">
        <f ca="1">IF(Table1[[#This Row],[County]]="Hampshire",Table1[[#This Row],[income]],0)</f>
        <v>0</v>
      </c>
      <c r="BR444" s="20">
        <f ca="1">IF(Table1[[#This Row],[County]]="Gloucestershire",Table1[[#This Row],[income]],0)</f>
        <v>0</v>
      </c>
      <c r="BS444" s="20">
        <f ca="1">IF(Table1[[#This Row],[County]]="West Sussex",Table1[[#This Row],[income]],0)</f>
        <v>0</v>
      </c>
      <c r="BT444" s="20">
        <f ca="1">IF(Table1[[#This Row],[County]]="Devon",Table1[[#This Row],[income]],0)</f>
        <v>0</v>
      </c>
      <c r="BU444" s="20">
        <f ca="1">IF(Table1[[#This Row],[County]]="Berkshire",Table1[[#This Row],[income]],0)</f>
        <v>0</v>
      </c>
      <c r="BV444" s="20">
        <f ca="1">IF(Table1[[#This Row],[County]]="Staffordshire",Table1[[#This Row],[income]],0)</f>
        <v>0</v>
      </c>
      <c r="BW444" s="20">
        <f ca="1">IF(Table1[[#This Row],[County]]="Leicestershire",Table1[[#This Row],[income]],0)</f>
        <v>0</v>
      </c>
      <c r="BX444" s="20">
        <f ca="1">IF(Table1[[#This Row],[County]]="Cornwall",Table1[[#This Row],[income]],0)</f>
        <v>0</v>
      </c>
      <c r="BY444" s="20">
        <f ca="1">IF(Table1[[#This Row],[County]]="Isle of Wight",Table1[[#This Row],[income]],0)</f>
        <v>0</v>
      </c>
      <c r="BZ444" s="20">
        <f ca="1">IF(Table1[[#This Row],[County]]="Surrey",Table1[[#This Row],[income]],0)</f>
        <v>0</v>
      </c>
      <c r="CA444" s="20">
        <f ca="1">IF(Table1[[#This Row],[County]]="Derbyshire",Table1[[#This Row],[income]],0)</f>
        <v>0</v>
      </c>
      <c r="CB444" s="20">
        <f ca="1">IF(Table1[[#This Row],[County]]="City of London",Table1[[#This Row],[income]],0)</f>
        <v>0</v>
      </c>
      <c r="CC444" s="20">
        <f ca="1">IF(Table1[[#This Row],[County]]="Bedfordshire",Table1[[#This Row],[income]],0)</f>
        <v>0</v>
      </c>
      <c r="CD444" s="20">
        <f ca="1">IF(Table1[[#This Row],[County]]="County Durham",Table1[[#This Row],[income]],0)</f>
        <v>0</v>
      </c>
      <c r="CE444" s="20">
        <f ca="1">IF(Table1[[#This Row],[County]]="East Riding of Yorkshire",Table1[[#This Row],[income]],0)</f>
        <v>0</v>
      </c>
      <c r="CF444" s="20">
        <f ca="1">IF(Table1[[#This Row],[County]]="West Yorkshire",Table1[[#This Row],[income]],0)</f>
        <v>0</v>
      </c>
      <c r="CG444" s="20">
        <f ca="1">IF(Table1[[#This Row],[County]]="Essex",Table1[[#This Row],[income]],0)</f>
        <v>0</v>
      </c>
      <c r="CH444" s="20">
        <f ca="1">IF(Table1[[#This Row],[County]]="East Sussex",Table1[[#This Row],[income]],0)</f>
        <v>0</v>
      </c>
      <c r="CI444" s="20">
        <f ca="1">IF(Table1[[#This Row],[County]]="Greater Manchester",Table1[[#This Row],[income]],0)</f>
        <v>0</v>
      </c>
      <c r="CJ444" s="20">
        <f ca="1">IF(Table1[[#This Row],[County]]="Hertfordshire",Table1[[#This Row],[income]],0)</f>
        <v>0</v>
      </c>
      <c r="CK444" s="20">
        <f ca="1">IF(Table1[[#This Row],[County]]="Herefordshire",Table1[[#This Row],[income]],0)</f>
        <v>0</v>
      </c>
      <c r="CL444" s="20">
        <f ca="1">IF(Table1[[#This Row],[County]]="Lancashire",Table1[[#This Row],[income]],0)</f>
        <v>0</v>
      </c>
      <c r="CM444" s="20">
        <f ca="1">IF(Table1[[#This Row],[County]]="Merseyside",Table1[[#This Row],[income]],0)</f>
        <v>0</v>
      </c>
      <c r="CN444" s="20">
        <f ca="1">IF(Table1[[#This Row],[County]]="Northamptonshire",Table1[[#This Row],[income]],0)</f>
        <v>0</v>
      </c>
      <c r="CO444" s="20">
        <f ca="1">IF(Table1[[#This Row],[County]]="Northumberland",Table1[[#This Row],[income]],0)</f>
        <v>0</v>
      </c>
      <c r="CP444" s="20">
        <f ca="1">IF(Table1[[#This Row],[County]]="Wiltshire",Table1[[#This Row],[income]],0)</f>
        <v>0</v>
      </c>
      <c r="CQ444" s="20">
        <f ca="1">IF(Table1[[#This Row],[County]]="West Midlands",Table1[[#This Row],[income]],0)</f>
        <v>0</v>
      </c>
      <c r="CR444" s="20">
        <f ca="1">IF(Table1[[#This Row],[County]]="Warwickshire",Table1[[#This Row],[income]],0)</f>
        <v>0</v>
      </c>
      <c r="CS444" s="20">
        <f ca="1">IF(Table1[[#This Row],[County]]="Tyne and Wear",Table1[[#This Row],[income]],0)</f>
        <v>0</v>
      </c>
      <c r="CT444" s="20">
        <f ca="1">IF(Table1[[#This Row],[County]]="Worcestershire",Table1[[#This Row],[income]],0)</f>
        <v>0</v>
      </c>
      <c r="CU444" s="20">
        <f ca="1">IF(Table1[[#This Row],[County]]="Rutland",Table1[[#This Row],[income]],0)</f>
        <v>0</v>
      </c>
      <c r="CV444" s="20">
        <f ca="1">IF(Table1[[#This Row],[County]]="Shropshire",Table1[[#This Row],[income]],0)</f>
        <v>0</v>
      </c>
      <c r="CW444" s="20">
        <f ca="1">IF(Table1[[#This Row],[County]]="Dorset",Table1[[#This Row],[income]],0)</f>
        <v>92189</v>
      </c>
      <c r="CX444" s="20">
        <f ca="1">IF(Table1[[#This Row],[County]]="Buckinghamshire",Table1[[#This Row],[income]],0)</f>
        <v>0</v>
      </c>
      <c r="CY444" s="20">
        <f ca="1">IF(Table1[[#This Row],[County]]="Suffolk",Table1[[#This Row],[income]],0)</f>
        <v>0</v>
      </c>
      <c r="CZ444" s="20">
        <f ca="1">IF(Table1[[#This Row],[County]]="North Yorkshire",Table1[[#This Row],[income]],0)</f>
        <v>0</v>
      </c>
      <c r="DA444" s="20">
        <f ca="1">IF(Table1[[#This Row],[County]]="Kent",Table1[[#This Row],[income]],0)</f>
        <v>0</v>
      </c>
      <c r="DB444" s="5">
        <f ca="1">IF(Table1[[#This Row],[County]]="Derbyshire",Table1[[#This Row],[income]],0)</f>
        <v>0</v>
      </c>
      <c r="DD444" s="6">
        <f ca="1">IF(Table1[[#This Row],[Column1]]="Health",Table1[[#This Row],[income]],0)</f>
        <v>0</v>
      </c>
      <c r="DE444" s="20">
        <f ca="1">IF(Table1[[#This Row],[Column1]]="Agriculture",Table1[[#This Row],[income]],0)</f>
        <v>0</v>
      </c>
      <c r="DF444" s="20">
        <f ca="1">IF(Table1[[#This Row],[Column1]]="Technology",Table1[[#This Row],[income]],0)</f>
        <v>0</v>
      </c>
      <c r="DG444" s="20">
        <f ca="1">IF(Table1[[#This Row],[Column1]]="Social Service",Table1[[#This Row],[income]],0)</f>
        <v>0</v>
      </c>
      <c r="DH444" s="20">
        <f ca="1">IF(Table1[[#This Row],[Column1]]="Education",Table1[[#This Row],[income]],0)</f>
        <v>92189</v>
      </c>
      <c r="DI444" s="5">
        <f ca="1">IF(Table1[[#This Row],[Column1]]="Construction",Table1[[#This Row],[income]],0)</f>
        <v>0</v>
      </c>
      <c r="DK444" s="6">
        <f ca="1">IF(Table1[[#This Row],[Value of Debts]]&gt;Table1[[#This Row],[income]],1,0)</f>
        <v>1</v>
      </c>
      <c r="DL444" s="20"/>
      <c r="DM444" s="20"/>
      <c r="DN444" s="5"/>
      <c r="DP444" s="6">
        <f ca="1">IF(Table1[[#This Row],[Net Worth (£)]]&gt;$DS$5,C444,0)</f>
        <v>0</v>
      </c>
      <c r="DQ444" s="20"/>
      <c r="DR444" s="20"/>
      <c r="DS444" s="5"/>
    </row>
    <row r="445" spans="1:123" x14ac:dyDescent="0.2">
      <c r="A445">
        <f t="shared" ca="1" si="19"/>
        <v>2</v>
      </c>
      <c r="B445" s="1" t="str">
        <f ca="1">IF(A445=1, "men", "women")</f>
        <v>women</v>
      </c>
      <c r="C445" s="1">
        <f ca="1">RANDBETWEEN(25,50)</f>
        <v>43</v>
      </c>
      <c r="D445">
        <f ca="1">RANDBETWEEN(1,6)</f>
        <v>2</v>
      </c>
      <c r="E445" t="str">
        <f ca="1">VLOOKUP(D445,$W$5:$X$10,2)</f>
        <v>Construction</v>
      </c>
      <c r="F445">
        <f ca="1">RANDBETWEEN(1,5)</f>
        <v>2</v>
      </c>
      <c r="G445" t="str">
        <f ca="1">VLOOKUP(F445,$Y$5:$Z$9,2)</f>
        <v>College</v>
      </c>
      <c r="H445">
        <f ca="1">RANDBETWEEN(0,4)</f>
        <v>0</v>
      </c>
      <c r="I445">
        <f ca="1">RANDBETWEEN(1,3)</f>
        <v>2</v>
      </c>
      <c r="J445">
        <f ca="1">RANDBETWEEN(30000,100000)</f>
        <v>80149</v>
      </c>
      <c r="K445">
        <f ca="1">RANDBETWEEN(1,48)</f>
        <v>47</v>
      </c>
      <c r="L445" t="str">
        <f ca="1">VLOOKUP(K445,$AA$5:$AB$52,2)</f>
        <v>Wiltshire</v>
      </c>
      <c r="M445">
        <f ca="1">J445*(RANDBETWEEN(2,5))</f>
        <v>400745</v>
      </c>
      <c r="N445">
        <f ca="1">RAND()*M445</f>
        <v>154388.59812745792</v>
      </c>
      <c r="O445">
        <f ca="1">I445*RAND()*J445</f>
        <v>11460.068857949047</v>
      </c>
      <c r="P445">
        <f ca="1">RANDBETWEEN(0,O445)</f>
        <v>10533</v>
      </c>
      <c r="Q445">
        <f ca="1">RAND()*J445*2</f>
        <v>12807.687688808444</v>
      </c>
      <c r="R445">
        <f ca="1">RAND()*J445*1.5</f>
        <v>17847.825944889548</v>
      </c>
      <c r="S445">
        <f ca="1">J445+R445+O445</f>
        <v>109456.89480283859</v>
      </c>
      <c r="T445">
        <f ca="1">N445+P445+Q445</f>
        <v>177729.28581626638</v>
      </c>
      <c r="U445">
        <f ca="1">S445-T445</f>
        <v>-68272.391013427783</v>
      </c>
      <c r="AC445" s="6">
        <f ca="1">IF(Table1[[#This Row],[gender]]="men",1,0)</f>
        <v>0</v>
      </c>
      <c r="AD445">
        <f ca="1">IF(Table1[[#This Row],[gender]]="women",1,0)</f>
        <v>1</v>
      </c>
      <c r="AH445" s="5"/>
      <c r="AJ445" s="6">
        <f ca="1">IF(Table1[[#This Row],[Column1]]="Health",1,0)</f>
        <v>0</v>
      </c>
      <c r="AK445">
        <f ca="1">IF(Table1[[#This Row],[Column1]]="Construction",1,0)</f>
        <v>1</v>
      </c>
      <c r="AL445">
        <f ca="1">IF(Table1[[#This Row],[Column1]]="Technology",1,0)</f>
        <v>0</v>
      </c>
      <c r="AM445">
        <f ca="1">IF(Table1[[#This Row],[Column1]]="Education",1,0)</f>
        <v>0</v>
      </c>
      <c r="AN445">
        <f ca="1">IF(Table1[[#This Row],[Column1]]="Agriculture",1,0)</f>
        <v>0</v>
      </c>
      <c r="AO445">
        <f ca="1">IF(Table1[[#This Row],[Column1]]="Social Service", 1, 0)</f>
        <v>0</v>
      </c>
      <c r="AT445" s="5"/>
      <c r="AV445" s="17">
        <f t="shared" ca="1" si="18"/>
        <v>54503.05598080581</v>
      </c>
      <c r="AW445" s="5"/>
      <c r="AX445" s="6">
        <f ca="1">IF(Table1[[#This Row],[Value of Debts]]&gt;$AY$4,1,0)</f>
        <v>1</v>
      </c>
      <c r="AY445" s="20"/>
      <c r="AZ445" s="20"/>
      <c r="BA445" s="5"/>
      <c r="BB445" s="25">
        <f ca="1">Table1[[#This Row],[Mortage Left]]/Table1[[#This Row],[Value of House]]</f>
        <v>0.38525395981848287</v>
      </c>
      <c r="BC445" s="20">
        <f t="shared" ca="1" si="20"/>
        <v>0</v>
      </c>
      <c r="BD445" s="20"/>
      <c r="BE445" s="20"/>
      <c r="BF445" s="20"/>
      <c r="BG445" s="6">
        <f ca="1">IF(Table1[[#This Row],[County]]="Cumbria",Table1[[#This Row],[income]],0)</f>
        <v>0</v>
      </c>
      <c r="BH445" s="20">
        <f ca="1">IF(Table1[[#This Row],[County]]="Cheshire",Table1[[#This Row],[income]],0)</f>
        <v>0</v>
      </c>
      <c r="BI445" s="20">
        <f ca="1">IF(Table1[[#This Row],[County]]="Bristol",Table1[[#This Row],[income]],0)</f>
        <v>0</v>
      </c>
      <c r="BJ445" s="20">
        <f ca="1">IF(Table1[[#This Row],[County]]="Surrey",Table1[[#This Row],[income]],0)</f>
        <v>0</v>
      </c>
      <c r="BK445" s="20">
        <f ca="1">IF(Table1[[#This Row],[County]]="Norfolk",Table1[[#This Row],[income]],0)</f>
        <v>0</v>
      </c>
      <c r="BL445" s="20">
        <f ca="1">IF(Table1[[#This Row],[County]]="Lincolnshire",Table1[[#This Row],[income]],0)</f>
        <v>0</v>
      </c>
      <c r="BM445" s="20">
        <f ca="1">IF(Table1[[#This Row],[County]]="Somerset",Table1[[#This Row],[income]],0)</f>
        <v>0</v>
      </c>
      <c r="BN445" s="20">
        <f ca="1">IF(Table1[[#This Row],[County]]="Cambridgeshire",Table1[[#This Row],[income]],0)</f>
        <v>0</v>
      </c>
      <c r="BO445" s="20">
        <f ca="1">IF(Table1[[#This Row],[County]]="South Yorkshire",Table1[[#This Row],[income]],0)</f>
        <v>0</v>
      </c>
      <c r="BP445" s="20">
        <f ca="1">IF(Table1[[#This Row],[County]]="Greater London",Table1[[#This Row],[income]],0)</f>
        <v>0</v>
      </c>
      <c r="BQ445" s="20">
        <f ca="1">IF(Table1[[#This Row],[County]]="Hampshire",Table1[[#This Row],[income]],0)</f>
        <v>0</v>
      </c>
      <c r="BR445" s="20">
        <f ca="1">IF(Table1[[#This Row],[County]]="Gloucestershire",Table1[[#This Row],[income]],0)</f>
        <v>0</v>
      </c>
      <c r="BS445" s="20">
        <f ca="1">IF(Table1[[#This Row],[County]]="West Sussex",Table1[[#This Row],[income]],0)</f>
        <v>0</v>
      </c>
      <c r="BT445" s="20">
        <f ca="1">IF(Table1[[#This Row],[County]]="Devon",Table1[[#This Row],[income]],0)</f>
        <v>0</v>
      </c>
      <c r="BU445" s="20">
        <f ca="1">IF(Table1[[#This Row],[County]]="Berkshire",Table1[[#This Row],[income]],0)</f>
        <v>0</v>
      </c>
      <c r="BV445" s="20">
        <f ca="1">IF(Table1[[#This Row],[County]]="Staffordshire",Table1[[#This Row],[income]],0)</f>
        <v>0</v>
      </c>
      <c r="BW445" s="20">
        <f ca="1">IF(Table1[[#This Row],[County]]="Leicestershire",Table1[[#This Row],[income]],0)</f>
        <v>0</v>
      </c>
      <c r="BX445" s="20">
        <f ca="1">IF(Table1[[#This Row],[County]]="Cornwall",Table1[[#This Row],[income]],0)</f>
        <v>0</v>
      </c>
      <c r="BY445" s="20">
        <f ca="1">IF(Table1[[#This Row],[County]]="Isle of Wight",Table1[[#This Row],[income]],0)</f>
        <v>0</v>
      </c>
      <c r="BZ445" s="20">
        <f ca="1">IF(Table1[[#This Row],[County]]="Surrey",Table1[[#This Row],[income]],0)</f>
        <v>0</v>
      </c>
      <c r="CA445" s="20">
        <f ca="1">IF(Table1[[#This Row],[County]]="Derbyshire",Table1[[#This Row],[income]],0)</f>
        <v>0</v>
      </c>
      <c r="CB445" s="20">
        <f ca="1">IF(Table1[[#This Row],[County]]="City of London",Table1[[#This Row],[income]],0)</f>
        <v>0</v>
      </c>
      <c r="CC445" s="20">
        <f ca="1">IF(Table1[[#This Row],[County]]="Bedfordshire",Table1[[#This Row],[income]],0)</f>
        <v>0</v>
      </c>
      <c r="CD445" s="20">
        <f ca="1">IF(Table1[[#This Row],[County]]="County Durham",Table1[[#This Row],[income]],0)</f>
        <v>0</v>
      </c>
      <c r="CE445" s="20">
        <f ca="1">IF(Table1[[#This Row],[County]]="East Riding of Yorkshire",Table1[[#This Row],[income]],0)</f>
        <v>0</v>
      </c>
      <c r="CF445" s="20">
        <f ca="1">IF(Table1[[#This Row],[County]]="West Yorkshire",Table1[[#This Row],[income]],0)</f>
        <v>0</v>
      </c>
      <c r="CG445" s="20">
        <f ca="1">IF(Table1[[#This Row],[County]]="Essex",Table1[[#This Row],[income]],0)</f>
        <v>0</v>
      </c>
      <c r="CH445" s="20">
        <f ca="1">IF(Table1[[#This Row],[County]]="East Sussex",Table1[[#This Row],[income]],0)</f>
        <v>0</v>
      </c>
      <c r="CI445" s="20">
        <f ca="1">IF(Table1[[#This Row],[County]]="Greater Manchester",Table1[[#This Row],[income]],0)</f>
        <v>0</v>
      </c>
      <c r="CJ445" s="20">
        <f ca="1">IF(Table1[[#This Row],[County]]="Hertfordshire",Table1[[#This Row],[income]],0)</f>
        <v>0</v>
      </c>
      <c r="CK445" s="20">
        <f ca="1">IF(Table1[[#This Row],[County]]="Herefordshire",Table1[[#This Row],[income]],0)</f>
        <v>0</v>
      </c>
      <c r="CL445" s="20">
        <f ca="1">IF(Table1[[#This Row],[County]]="Lancashire",Table1[[#This Row],[income]],0)</f>
        <v>0</v>
      </c>
      <c r="CM445" s="20">
        <f ca="1">IF(Table1[[#This Row],[County]]="Merseyside",Table1[[#This Row],[income]],0)</f>
        <v>0</v>
      </c>
      <c r="CN445" s="20">
        <f ca="1">IF(Table1[[#This Row],[County]]="Northamptonshire",Table1[[#This Row],[income]],0)</f>
        <v>0</v>
      </c>
      <c r="CO445" s="20">
        <f ca="1">IF(Table1[[#This Row],[County]]="Northumberland",Table1[[#This Row],[income]],0)</f>
        <v>0</v>
      </c>
      <c r="CP445" s="20">
        <f ca="1">IF(Table1[[#This Row],[County]]="Wiltshire",Table1[[#This Row],[income]],0)</f>
        <v>80149</v>
      </c>
      <c r="CQ445" s="20">
        <f ca="1">IF(Table1[[#This Row],[County]]="West Midlands",Table1[[#This Row],[income]],0)</f>
        <v>0</v>
      </c>
      <c r="CR445" s="20">
        <f ca="1">IF(Table1[[#This Row],[County]]="Warwickshire",Table1[[#This Row],[income]],0)</f>
        <v>0</v>
      </c>
      <c r="CS445" s="20">
        <f ca="1">IF(Table1[[#This Row],[County]]="Tyne and Wear",Table1[[#This Row],[income]],0)</f>
        <v>0</v>
      </c>
      <c r="CT445" s="20">
        <f ca="1">IF(Table1[[#This Row],[County]]="Worcestershire",Table1[[#This Row],[income]],0)</f>
        <v>0</v>
      </c>
      <c r="CU445" s="20">
        <f ca="1">IF(Table1[[#This Row],[County]]="Rutland",Table1[[#This Row],[income]],0)</f>
        <v>0</v>
      </c>
      <c r="CV445" s="20">
        <f ca="1">IF(Table1[[#This Row],[County]]="Shropshire",Table1[[#This Row],[income]],0)</f>
        <v>0</v>
      </c>
      <c r="CW445" s="20">
        <f ca="1">IF(Table1[[#This Row],[County]]="Dorset",Table1[[#This Row],[income]],0)</f>
        <v>0</v>
      </c>
      <c r="CX445" s="20">
        <f ca="1">IF(Table1[[#This Row],[County]]="Buckinghamshire",Table1[[#This Row],[income]],0)</f>
        <v>0</v>
      </c>
      <c r="CY445" s="20">
        <f ca="1">IF(Table1[[#This Row],[County]]="Suffolk",Table1[[#This Row],[income]],0)</f>
        <v>0</v>
      </c>
      <c r="CZ445" s="20">
        <f ca="1">IF(Table1[[#This Row],[County]]="North Yorkshire",Table1[[#This Row],[income]],0)</f>
        <v>0</v>
      </c>
      <c r="DA445" s="20">
        <f ca="1">IF(Table1[[#This Row],[County]]="Kent",Table1[[#This Row],[income]],0)</f>
        <v>0</v>
      </c>
      <c r="DB445" s="5">
        <f ca="1">IF(Table1[[#This Row],[County]]="Derbyshire",Table1[[#This Row],[income]],0)</f>
        <v>0</v>
      </c>
      <c r="DD445" s="6">
        <f ca="1">IF(Table1[[#This Row],[Column1]]="Health",Table1[[#This Row],[income]],0)</f>
        <v>0</v>
      </c>
      <c r="DE445" s="20">
        <f ca="1">IF(Table1[[#This Row],[Column1]]="Agriculture",Table1[[#This Row],[income]],0)</f>
        <v>0</v>
      </c>
      <c r="DF445" s="20">
        <f ca="1">IF(Table1[[#This Row],[Column1]]="Technology",Table1[[#This Row],[income]],0)</f>
        <v>0</v>
      </c>
      <c r="DG445" s="20">
        <f ca="1">IF(Table1[[#This Row],[Column1]]="Social Service",Table1[[#This Row],[income]],0)</f>
        <v>0</v>
      </c>
      <c r="DH445" s="20">
        <f ca="1">IF(Table1[[#This Row],[Column1]]="Education",Table1[[#This Row],[income]],0)</f>
        <v>0</v>
      </c>
      <c r="DI445" s="5">
        <f ca="1">IF(Table1[[#This Row],[Column1]]="Construction",Table1[[#This Row],[income]],0)</f>
        <v>80149</v>
      </c>
      <c r="DK445" s="6">
        <f ca="1">IF(Table1[[#This Row],[Value of Debts]]&gt;Table1[[#This Row],[income]],1,0)</f>
        <v>1</v>
      </c>
      <c r="DL445" s="20"/>
      <c r="DM445" s="20"/>
      <c r="DN445" s="5"/>
      <c r="DP445" s="6">
        <f ca="1">IF(Table1[[#This Row],[Net Worth (£)]]&gt;$DS$5,C445,0)</f>
        <v>0</v>
      </c>
      <c r="DQ445" s="20"/>
      <c r="DR445" s="20"/>
      <c r="DS445" s="5"/>
    </row>
    <row r="446" spans="1:123" x14ac:dyDescent="0.2">
      <c r="A446">
        <f t="shared" ca="1" si="19"/>
        <v>1</v>
      </c>
      <c r="B446" s="1" t="str">
        <f ca="1">IF(A446=1, "men", "women")</f>
        <v>men</v>
      </c>
      <c r="C446" s="1">
        <f ca="1">RANDBETWEEN(25,50)</f>
        <v>38</v>
      </c>
      <c r="D446">
        <f ca="1">RANDBETWEEN(1,6)</f>
        <v>6</v>
      </c>
      <c r="E446" t="str">
        <f ca="1">VLOOKUP(D446,$W$5:$X$10,2)</f>
        <v>Agriculture</v>
      </c>
      <c r="F446">
        <f ca="1">RANDBETWEEN(1,5)</f>
        <v>1</v>
      </c>
      <c r="G446" t="str">
        <f ca="1">VLOOKUP(F446,$Y$5:$Z$9,2)</f>
        <v>High School</v>
      </c>
      <c r="H446">
        <f ca="1">RANDBETWEEN(0,4)</f>
        <v>0</v>
      </c>
      <c r="I446">
        <f ca="1">RANDBETWEEN(1,3)</f>
        <v>1</v>
      </c>
      <c r="J446">
        <f ca="1">RANDBETWEEN(30000,100000)</f>
        <v>90732</v>
      </c>
      <c r="K446">
        <f ca="1">RANDBETWEEN(1,48)</f>
        <v>8</v>
      </c>
      <c r="L446" t="str">
        <f ca="1">VLOOKUP(K446,$AA$5:$AB$52,2)</f>
        <v>Cornwall</v>
      </c>
      <c r="M446">
        <f ca="1">J446*(RANDBETWEEN(2,5))</f>
        <v>181464</v>
      </c>
      <c r="N446">
        <f ca="1">RAND()*M446</f>
        <v>96671.671192839145</v>
      </c>
      <c r="O446">
        <f ca="1">I446*RAND()*J446</f>
        <v>54503.05598080581</v>
      </c>
      <c r="P446">
        <f ca="1">RANDBETWEEN(0,O446)</f>
        <v>774</v>
      </c>
      <c r="Q446">
        <f ca="1">RAND()*J446*2</f>
        <v>58186.183773168377</v>
      </c>
      <c r="R446">
        <f ca="1">RAND()*J446*1.5</f>
        <v>4612.4506990606278</v>
      </c>
      <c r="S446">
        <f ca="1">J446+R446+O446</f>
        <v>149847.50667986643</v>
      </c>
      <c r="T446">
        <f ca="1">N446+P446+Q446</f>
        <v>155631.85496600752</v>
      </c>
      <c r="U446">
        <f ca="1">S446-T446</f>
        <v>-5784.3482861410885</v>
      </c>
      <c r="AC446" s="6">
        <f ca="1">IF(Table1[[#This Row],[gender]]="men",1,0)</f>
        <v>1</v>
      </c>
      <c r="AD446">
        <f ca="1">IF(Table1[[#This Row],[gender]]="women",1,0)</f>
        <v>0</v>
      </c>
      <c r="AH446" s="5"/>
      <c r="AJ446" s="6">
        <f ca="1">IF(Table1[[#This Row],[Column1]]="Health",1,0)</f>
        <v>0</v>
      </c>
      <c r="AK446">
        <f ca="1">IF(Table1[[#This Row],[Column1]]="Construction",1,0)</f>
        <v>0</v>
      </c>
      <c r="AL446">
        <f ca="1">IF(Table1[[#This Row],[Column1]]="Technology",1,0)</f>
        <v>0</v>
      </c>
      <c r="AM446">
        <f ca="1">IF(Table1[[#This Row],[Column1]]="Education",1,0)</f>
        <v>0</v>
      </c>
      <c r="AN446">
        <f ca="1">IF(Table1[[#This Row],[Column1]]="Agriculture",1,0)</f>
        <v>1</v>
      </c>
      <c r="AO446">
        <f ca="1">IF(Table1[[#This Row],[Column1]]="Social Service", 1, 0)</f>
        <v>0</v>
      </c>
      <c r="AT446" s="5"/>
      <c r="AV446" s="17">
        <f t="shared" ca="1" si="18"/>
        <v>51388.023442292899</v>
      </c>
      <c r="AW446" s="5"/>
      <c r="AX446" s="6">
        <f ca="1">IF(Table1[[#This Row],[Value of Debts]]&gt;$AY$4,1,0)</f>
        <v>1</v>
      </c>
      <c r="AY446" s="20"/>
      <c r="AZ446" s="20"/>
      <c r="BA446" s="5"/>
      <c r="BB446" s="25">
        <f ca="1">Table1[[#This Row],[Mortage Left]]/Table1[[#This Row],[Value of House]]</f>
        <v>0.53273195340584989</v>
      </c>
      <c r="BC446" s="20">
        <f t="shared" ca="1" si="20"/>
        <v>0</v>
      </c>
      <c r="BD446" s="20"/>
      <c r="BE446" s="20"/>
      <c r="BF446" s="20"/>
      <c r="BG446" s="6">
        <f ca="1">IF(Table1[[#This Row],[County]]="Cumbria",Table1[[#This Row],[income]],0)</f>
        <v>0</v>
      </c>
      <c r="BH446" s="20">
        <f ca="1">IF(Table1[[#This Row],[County]]="Cheshire",Table1[[#This Row],[income]],0)</f>
        <v>0</v>
      </c>
      <c r="BI446" s="20">
        <f ca="1">IF(Table1[[#This Row],[County]]="Bristol",Table1[[#This Row],[income]],0)</f>
        <v>0</v>
      </c>
      <c r="BJ446" s="20">
        <f ca="1">IF(Table1[[#This Row],[County]]="Surrey",Table1[[#This Row],[income]],0)</f>
        <v>0</v>
      </c>
      <c r="BK446" s="20">
        <f ca="1">IF(Table1[[#This Row],[County]]="Norfolk",Table1[[#This Row],[income]],0)</f>
        <v>0</v>
      </c>
      <c r="BL446" s="20">
        <f ca="1">IF(Table1[[#This Row],[County]]="Lincolnshire",Table1[[#This Row],[income]],0)</f>
        <v>0</v>
      </c>
      <c r="BM446" s="20">
        <f ca="1">IF(Table1[[#This Row],[County]]="Somerset",Table1[[#This Row],[income]],0)</f>
        <v>0</v>
      </c>
      <c r="BN446" s="20">
        <f ca="1">IF(Table1[[#This Row],[County]]="Cambridgeshire",Table1[[#This Row],[income]],0)</f>
        <v>0</v>
      </c>
      <c r="BO446" s="20">
        <f ca="1">IF(Table1[[#This Row],[County]]="South Yorkshire",Table1[[#This Row],[income]],0)</f>
        <v>0</v>
      </c>
      <c r="BP446" s="20">
        <f ca="1">IF(Table1[[#This Row],[County]]="Greater London",Table1[[#This Row],[income]],0)</f>
        <v>0</v>
      </c>
      <c r="BQ446" s="20">
        <f ca="1">IF(Table1[[#This Row],[County]]="Hampshire",Table1[[#This Row],[income]],0)</f>
        <v>0</v>
      </c>
      <c r="BR446" s="20">
        <f ca="1">IF(Table1[[#This Row],[County]]="Gloucestershire",Table1[[#This Row],[income]],0)</f>
        <v>0</v>
      </c>
      <c r="BS446" s="20">
        <f ca="1">IF(Table1[[#This Row],[County]]="West Sussex",Table1[[#This Row],[income]],0)</f>
        <v>0</v>
      </c>
      <c r="BT446" s="20">
        <f ca="1">IF(Table1[[#This Row],[County]]="Devon",Table1[[#This Row],[income]],0)</f>
        <v>0</v>
      </c>
      <c r="BU446" s="20">
        <f ca="1">IF(Table1[[#This Row],[County]]="Berkshire",Table1[[#This Row],[income]],0)</f>
        <v>0</v>
      </c>
      <c r="BV446" s="20">
        <f ca="1">IF(Table1[[#This Row],[County]]="Staffordshire",Table1[[#This Row],[income]],0)</f>
        <v>0</v>
      </c>
      <c r="BW446" s="20">
        <f ca="1">IF(Table1[[#This Row],[County]]="Leicestershire",Table1[[#This Row],[income]],0)</f>
        <v>0</v>
      </c>
      <c r="BX446" s="20">
        <f ca="1">IF(Table1[[#This Row],[County]]="Cornwall",Table1[[#This Row],[income]],0)</f>
        <v>90732</v>
      </c>
      <c r="BY446" s="20">
        <f ca="1">IF(Table1[[#This Row],[County]]="Isle of Wight",Table1[[#This Row],[income]],0)</f>
        <v>0</v>
      </c>
      <c r="BZ446" s="20">
        <f ca="1">IF(Table1[[#This Row],[County]]="Surrey",Table1[[#This Row],[income]],0)</f>
        <v>0</v>
      </c>
      <c r="CA446" s="20">
        <f ca="1">IF(Table1[[#This Row],[County]]="Derbyshire",Table1[[#This Row],[income]],0)</f>
        <v>0</v>
      </c>
      <c r="CB446" s="20">
        <f ca="1">IF(Table1[[#This Row],[County]]="City of London",Table1[[#This Row],[income]],0)</f>
        <v>0</v>
      </c>
      <c r="CC446" s="20">
        <f ca="1">IF(Table1[[#This Row],[County]]="Bedfordshire",Table1[[#This Row],[income]],0)</f>
        <v>0</v>
      </c>
      <c r="CD446" s="20">
        <f ca="1">IF(Table1[[#This Row],[County]]="County Durham",Table1[[#This Row],[income]],0)</f>
        <v>0</v>
      </c>
      <c r="CE446" s="20">
        <f ca="1">IF(Table1[[#This Row],[County]]="East Riding of Yorkshire",Table1[[#This Row],[income]],0)</f>
        <v>0</v>
      </c>
      <c r="CF446" s="20">
        <f ca="1">IF(Table1[[#This Row],[County]]="West Yorkshire",Table1[[#This Row],[income]],0)</f>
        <v>0</v>
      </c>
      <c r="CG446" s="20">
        <f ca="1">IF(Table1[[#This Row],[County]]="Essex",Table1[[#This Row],[income]],0)</f>
        <v>0</v>
      </c>
      <c r="CH446" s="20">
        <f ca="1">IF(Table1[[#This Row],[County]]="East Sussex",Table1[[#This Row],[income]],0)</f>
        <v>0</v>
      </c>
      <c r="CI446" s="20">
        <f ca="1">IF(Table1[[#This Row],[County]]="Greater Manchester",Table1[[#This Row],[income]],0)</f>
        <v>0</v>
      </c>
      <c r="CJ446" s="20">
        <f ca="1">IF(Table1[[#This Row],[County]]="Hertfordshire",Table1[[#This Row],[income]],0)</f>
        <v>0</v>
      </c>
      <c r="CK446" s="20">
        <f ca="1">IF(Table1[[#This Row],[County]]="Herefordshire",Table1[[#This Row],[income]],0)</f>
        <v>0</v>
      </c>
      <c r="CL446" s="20">
        <f ca="1">IF(Table1[[#This Row],[County]]="Lancashire",Table1[[#This Row],[income]],0)</f>
        <v>0</v>
      </c>
      <c r="CM446" s="20">
        <f ca="1">IF(Table1[[#This Row],[County]]="Merseyside",Table1[[#This Row],[income]],0)</f>
        <v>0</v>
      </c>
      <c r="CN446" s="20">
        <f ca="1">IF(Table1[[#This Row],[County]]="Northamptonshire",Table1[[#This Row],[income]],0)</f>
        <v>0</v>
      </c>
      <c r="CO446" s="20">
        <f ca="1">IF(Table1[[#This Row],[County]]="Northumberland",Table1[[#This Row],[income]],0)</f>
        <v>0</v>
      </c>
      <c r="CP446" s="20">
        <f ca="1">IF(Table1[[#This Row],[County]]="Wiltshire",Table1[[#This Row],[income]],0)</f>
        <v>0</v>
      </c>
      <c r="CQ446" s="20">
        <f ca="1">IF(Table1[[#This Row],[County]]="West Midlands",Table1[[#This Row],[income]],0)</f>
        <v>0</v>
      </c>
      <c r="CR446" s="20">
        <f ca="1">IF(Table1[[#This Row],[County]]="Warwickshire",Table1[[#This Row],[income]],0)</f>
        <v>0</v>
      </c>
      <c r="CS446" s="20">
        <f ca="1">IF(Table1[[#This Row],[County]]="Tyne and Wear",Table1[[#This Row],[income]],0)</f>
        <v>0</v>
      </c>
      <c r="CT446" s="20">
        <f ca="1">IF(Table1[[#This Row],[County]]="Worcestershire",Table1[[#This Row],[income]],0)</f>
        <v>0</v>
      </c>
      <c r="CU446" s="20">
        <f ca="1">IF(Table1[[#This Row],[County]]="Rutland",Table1[[#This Row],[income]],0)</f>
        <v>0</v>
      </c>
      <c r="CV446" s="20">
        <f ca="1">IF(Table1[[#This Row],[County]]="Shropshire",Table1[[#This Row],[income]],0)</f>
        <v>0</v>
      </c>
      <c r="CW446" s="20">
        <f ca="1">IF(Table1[[#This Row],[County]]="Dorset",Table1[[#This Row],[income]],0)</f>
        <v>0</v>
      </c>
      <c r="CX446" s="20">
        <f ca="1">IF(Table1[[#This Row],[County]]="Buckinghamshire",Table1[[#This Row],[income]],0)</f>
        <v>0</v>
      </c>
      <c r="CY446" s="20">
        <f ca="1">IF(Table1[[#This Row],[County]]="Suffolk",Table1[[#This Row],[income]],0)</f>
        <v>0</v>
      </c>
      <c r="CZ446" s="20">
        <f ca="1">IF(Table1[[#This Row],[County]]="North Yorkshire",Table1[[#This Row],[income]],0)</f>
        <v>0</v>
      </c>
      <c r="DA446" s="20">
        <f ca="1">IF(Table1[[#This Row],[County]]="Kent",Table1[[#This Row],[income]],0)</f>
        <v>0</v>
      </c>
      <c r="DB446" s="5">
        <f ca="1">IF(Table1[[#This Row],[County]]="Derbyshire",Table1[[#This Row],[income]],0)</f>
        <v>0</v>
      </c>
      <c r="DD446" s="6">
        <f ca="1">IF(Table1[[#This Row],[Column1]]="Health",Table1[[#This Row],[income]],0)</f>
        <v>0</v>
      </c>
      <c r="DE446" s="20">
        <f ca="1">IF(Table1[[#This Row],[Column1]]="Agriculture",Table1[[#This Row],[income]],0)</f>
        <v>90732</v>
      </c>
      <c r="DF446" s="20">
        <f ca="1">IF(Table1[[#This Row],[Column1]]="Technology",Table1[[#This Row],[income]],0)</f>
        <v>0</v>
      </c>
      <c r="DG446" s="20">
        <f ca="1">IF(Table1[[#This Row],[Column1]]="Social Service",Table1[[#This Row],[income]],0)</f>
        <v>0</v>
      </c>
      <c r="DH446" s="20">
        <f ca="1">IF(Table1[[#This Row],[Column1]]="Education",Table1[[#This Row],[income]],0)</f>
        <v>0</v>
      </c>
      <c r="DI446" s="5">
        <f ca="1">IF(Table1[[#This Row],[Column1]]="Construction",Table1[[#This Row],[income]],0)</f>
        <v>0</v>
      </c>
      <c r="DK446" s="6">
        <f ca="1">IF(Table1[[#This Row],[Value of Debts]]&gt;Table1[[#This Row],[income]],1,0)</f>
        <v>1</v>
      </c>
      <c r="DL446" s="20"/>
      <c r="DM446" s="20"/>
      <c r="DN446" s="5"/>
      <c r="DP446" s="6">
        <f ca="1">IF(Table1[[#This Row],[Net Worth (£)]]&gt;$DS$5,C446,0)</f>
        <v>0</v>
      </c>
      <c r="DQ446" s="20"/>
      <c r="DR446" s="20"/>
      <c r="DS446" s="5"/>
    </row>
    <row r="447" spans="1:123" x14ac:dyDescent="0.2">
      <c r="A447">
        <f t="shared" ca="1" si="19"/>
        <v>2</v>
      </c>
      <c r="B447" s="1" t="str">
        <f ca="1">IF(A447=1, "men", "women")</f>
        <v>women</v>
      </c>
      <c r="C447" s="1">
        <f ca="1">RANDBETWEEN(25,50)</f>
        <v>27</v>
      </c>
      <c r="D447">
        <f ca="1">RANDBETWEEN(1,6)</f>
        <v>5</v>
      </c>
      <c r="E447" t="str">
        <f ca="1">VLOOKUP(D447,$W$5:$X$10,2)</f>
        <v>Social Service</v>
      </c>
      <c r="F447">
        <f ca="1">RANDBETWEEN(1,5)</f>
        <v>3</v>
      </c>
      <c r="G447" t="str">
        <f ca="1">VLOOKUP(F447,$Y$5:$Z$9,2)</f>
        <v>University</v>
      </c>
      <c r="H447">
        <f ca="1">RANDBETWEEN(0,4)</f>
        <v>4</v>
      </c>
      <c r="I447">
        <f ca="1">RANDBETWEEN(1,3)</f>
        <v>3</v>
      </c>
      <c r="J447">
        <f ca="1">RANDBETWEEN(30000,100000)</f>
        <v>86259</v>
      </c>
      <c r="K447">
        <f ca="1">RANDBETWEEN(1,48)</f>
        <v>18</v>
      </c>
      <c r="L447" t="str">
        <f ca="1">VLOOKUP(K447,$AA$5:$AB$52,2)</f>
        <v>Greater London</v>
      </c>
      <c r="M447">
        <f ca="1">J447*(RANDBETWEEN(2,5))</f>
        <v>345036</v>
      </c>
      <c r="N447">
        <f ca="1">RAND()*M447</f>
        <v>9800.0412267596002</v>
      </c>
      <c r="O447">
        <f ca="1">I447*RAND()*J447</f>
        <v>154164.07032687869</v>
      </c>
      <c r="P447">
        <f ca="1">RANDBETWEEN(0,O447)</f>
        <v>35927</v>
      </c>
      <c r="Q447">
        <f ca="1">RAND()*J447*2</f>
        <v>125005.65446496909</v>
      </c>
      <c r="R447">
        <f ca="1">RAND()*J447*1.5</f>
        <v>24801.092596839491</v>
      </c>
      <c r="S447">
        <f ca="1">J447+R447+O447</f>
        <v>265224.16292371816</v>
      </c>
      <c r="T447">
        <f ca="1">N447+P447+Q447</f>
        <v>170732.69569172867</v>
      </c>
      <c r="U447">
        <f ca="1">S447-T447</f>
        <v>94491.467231989489</v>
      </c>
      <c r="AC447" s="6">
        <f ca="1">IF(Table1[[#This Row],[gender]]="men",1,0)</f>
        <v>0</v>
      </c>
      <c r="AD447">
        <f ca="1">IF(Table1[[#This Row],[gender]]="women",1,0)</f>
        <v>1</v>
      </c>
      <c r="AH447" s="5"/>
      <c r="AJ447" s="6">
        <f ca="1">IF(Table1[[#This Row],[Column1]]="Health",1,0)</f>
        <v>0</v>
      </c>
      <c r="AK447">
        <f ca="1">IF(Table1[[#This Row],[Column1]]="Construction",1,0)</f>
        <v>0</v>
      </c>
      <c r="AL447">
        <f ca="1">IF(Table1[[#This Row],[Column1]]="Technology",1,0)</f>
        <v>0</v>
      </c>
      <c r="AM447">
        <f ca="1">IF(Table1[[#This Row],[Column1]]="Education",1,0)</f>
        <v>0</v>
      </c>
      <c r="AN447">
        <f ca="1">IF(Table1[[#This Row],[Column1]]="Agriculture",1,0)</f>
        <v>0</v>
      </c>
      <c r="AO447">
        <f ca="1">IF(Table1[[#This Row],[Column1]]="Social Service", 1, 0)</f>
        <v>1</v>
      </c>
      <c r="AT447" s="5"/>
      <c r="AV447" s="17">
        <f t="shared" ca="1" si="18"/>
        <v>60276.035527612257</v>
      </c>
      <c r="AW447" s="5"/>
      <c r="AX447" s="6">
        <f ca="1">IF(Table1[[#This Row],[Value of Debts]]&gt;$AY$4,1,0)</f>
        <v>1</v>
      </c>
      <c r="AY447" s="20"/>
      <c r="AZ447" s="20"/>
      <c r="BA447" s="5"/>
      <c r="BB447" s="25">
        <f ca="1">Table1[[#This Row],[Mortage Left]]/Table1[[#This Row],[Value of House]]</f>
        <v>2.840295281292271E-2</v>
      </c>
      <c r="BC447" s="20">
        <f t="shared" ca="1" si="20"/>
        <v>1</v>
      </c>
      <c r="BD447" s="20"/>
      <c r="BE447" s="20"/>
      <c r="BF447" s="20"/>
      <c r="BG447" s="6">
        <f ca="1">IF(Table1[[#This Row],[County]]="Cumbria",Table1[[#This Row],[income]],0)</f>
        <v>0</v>
      </c>
      <c r="BH447" s="20">
        <f ca="1">IF(Table1[[#This Row],[County]]="Cheshire",Table1[[#This Row],[income]],0)</f>
        <v>0</v>
      </c>
      <c r="BI447" s="20">
        <f ca="1">IF(Table1[[#This Row],[County]]="Bristol",Table1[[#This Row],[income]],0)</f>
        <v>0</v>
      </c>
      <c r="BJ447" s="20">
        <f ca="1">IF(Table1[[#This Row],[County]]="Surrey",Table1[[#This Row],[income]],0)</f>
        <v>0</v>
      </c>
      <c r="BK447" s="20">
        <f ca="1">IF(Table1[[#This Row],[County]]="Norfolk",Table1[[#This Row],[income]],0)</f>
        <v>0</v>
      </c>
      <c r="BL447" s="20">
        <f ca="1">IF(Table1[[#This Row],[County]]="Lincolnshire",Table1[[#This Row],[income]],0)</f>
        <v>0</v>
      </c>
      <c r="BM447" s="20">
        <f ca="1">IF(Table1[[#This Row],[County]]="Somerset",Table1[[#This Row],[income]],0)</f>
        <v>0</v>
      </c>
      <c r="BN447" s="20">
        <f ca="1">IF(Table1[[#This Row],[County]]="Cambridgeshire",Table1[[#This Row],[income]],0)</f>
        <v>0</v>
      </c>
      <c r="BO447" s="20">
        <f ca="1">IF(Table1[[#This Row],[County]]="South Yorkshire",Table1[[#This Row],[income]],0)</f>
        <v>0</v>
      </c>
      <c r="BP447" s="20">
        <f ca="1">IF(Table1[[#This Row],[County]]="Greater London",Table1[[#This Row],[income]],0)</f>
        <v>86259</v>
      </c>
      <c r="BQ447" s="20">
        <f ca="1">IF(Table1[[#This Row],[County]]="Hampshire",Table1[[#This Row],[income]],0)</f>
        <v>0</v>
      </c>
      <c r="BR447" s="20">
        <f ca="1">IF(Table1[[#This Row],[County]]="Gloucestershire",Table1[[#This Row],[income]],0)</f>
        <v>0</v>
      </c>
      <c r="BS447" s="20">
        <f ca="1">IF(Table1[[#This Row],[County]]="West Sussex",Table1[[#This Row],[income]],0)</f>
        <v>0</v>
      </c>
      <c r="BT447" s="20">
        <f ca="1">IF(Table1[[#This Row],[County]]="Devon",Table1[[#This Row],[income]],0)</f>
        <v>0</v>
      </c>
      <c r="BU447" s="20">
        <f ca="1">IF(Table1[[#This Row],[County]]="Berkshire",Table1[[#This Row],[income]],0)</f>
        <v>0</v>
      </c>
      <c r="BV447" s="20">
        <f ca="1">IF(Table1[[#This Row],[County]]="Staffordshire",Table1[[#This Row],[income]],0)</f>
        <v>0</v>
      </c>
      <c r="BW447" s="20">
        <f ca="1">IF(Table1[[#This Row],[County]]="Leicestershire",Table1[[#This Row],[income]],0)</f>
        <v>0</v>
      </c>
      <c r="BX447" s="20">
        <f ca="1">IF(Table1[[#This Row],[County]]="Cornwall",Table1[[#This Row],[income]],0)</f>
        <v>0</v>
      </c>
      <c r="BY447" s="20">
        <f ca="1">IF(Table1[[#This Row],[County]]="Isle of Wight",Table1[[#This Row],[income]],0)</f>
        <v>0</v>
      </c>
      <c r="BZ447" s="20">
        <f ca="1">IF(Table1[[#This Row],[County]]="Surrey",Table1[[#This Row],[income]],0)</f>
        <v>0</v>
      </c>
      <c r="CA447" s="20">
        <f ca="1">IF(Table1[[#This Row],[County]]="Derbyshire",Table1[[#This Row],[income]],0)</f>
        <v>0</v>
      </c>
      <c r="CB447" s="20">
        <f ca="1">IF(Table1[[#This Row],[County]]="City of London",Table1[[#This Row],[income]],0)</f>
        <v>0</v>
      </c>
      <c r="CC447" s="20">
        <f ca="1">IF(Table1[[#This Row],[County]]="Bedfordshire",Table1[[#This Row],[income]],0)</f>
        <v>0</v>
      </c>
      <c r="CD447" s="20">
        <f ca="1">IF(Table1[[#This Row],[County]]="County Durham",Table1[[#This Row],[income]],0)</f>
        <v>0</v>
      </c>
      <c r="CE447" s="20">
        <f ca="1">IF(Table1[[#This Row],[County]]="East Riding of Yorkshire",Table1[[#This Row],[income]],0)</f>
        <v>0</v>
      </c>
      <c r="CF447" s="20">
        <f ca="1">IF(Table1[[#This Row],[County]]="West Yorkshire",Table1[[#This Row],[income]],0)</f>
        <v>0</v>
      </c>
      <c r="CG447" s="20">
        <f ca="1">IF(Table1[[#This Row],[County]]="Essex",Table1[[#This Row],[income]],0)</f>
        <v>0</v>
      </c>
      <c r="CH447" s="20">
        <f ca="1">IF(Table1[[#This Row],[County]]="East Sussex",Table1[[#This Row],[income]],0)</f>
        <v>0</v>
      </c>
      <c r="CI447" s="20">
        <f ca="1">IF(Table1[[#This Row],[County]]="Greater Manchester",Table1[[#This Row],[income]],0)</f>
        <v>0</v>
      </c>
      <c r="CJ447" s="20">
        <f ca="1">IF(Table1[[#This Row],[County]]="Hertfordshire",Table1[[#This Row],[income]],0)</f>
        <v>0</v>
      </c>
      <c r="CK447" s="20">
        <f ca="1">IF(Table1[[#This Row],[County]]="Herefordshire",Table1[[#This Row],[income]],0)</f>
        <v>0</v>
      </c>
      <c r="CL447" s="20">
        <f ca="1">IF(Table1[[#This Row],[County]]="Lancashire",Table1[[#This Row],[income]],0)</f>
        <v>0</v>
      </c>
      <c r="CM447" s="20">
        <f ca="1">IF(Table1[[#This Row],[County]]="Merseyside",Table1[[#This Row],[income]],0)</f>
        <v>0</v>
      </c>
      <c r="CN447" s="20">
        <f ca="1">IF(Table1[[#This Row],[County]]="Northamptonshire",Table1[[#This Row],[income]],0)</f>
        <v>0</v>
      </c>
      <c r="CO447" s="20">
        <f ca="1">IF(Table1[[#This Row],[County]]="Northumberland",Table1[[#This Row],[income]],0)</f>
        <v>0</v>
      </c>
      <c r="CP447" s="20">
        <f ca="1">IF(Table1[[#This Row],[County]]="Wiltshire",Table1[[#This Row],[income]],0)</f>
        <v>0</v>
      </c>
      <c r="CQ447" s="20">
        <f ca="1">IF(Table1[[#This Row],[County]]="West Midlands",Table1[[#This Row],[income]],0)</f>
        <v>0</v>
      </c>
      <c r="CR447" s="20">
        <f ca="1">IF(Table1[[#This Row],[County]]="Warwickshire",Table1[[#This Row],[income]],0)</f>
        <v>0</v>
      </c>
      <c r="CS447" s="20">
        <f ca="1">IF(Table1[[#This Row],[County]]="Tyne and Wear",Table1[[#This Row],[income]],0)</f>
        <v>0</v>
      </c>
      <c r="CT447" s="20">
        <f ca="1">IF(Table1[[#This Row],[County]]="Worcestershire",Table1[[#This Row],[income]],0)</f>
        <v>0</v>
      </c>
      <c r="CU447" s="20">
        <f ca="1">IF(Table1[[#This Row],[County]]="Rutland",Table1[[#This Row],[income]],0)</f>
        <v>0</v>
      </c>
      <c r="CV447" s="20">
        <f ca="1">IF(Table1[[#This Row],[County]]="Shropshire",Table1[[#This Row],[income]],0)</f>
        <v>0</v>
      </c>
      <c r="CW447" s="20">
        <f ca="1">IF(Table1[[#This Row],[County]]="Dorset",Table1[[#This Row],[income]],0)</f>
        <v>0</v>
      </c>
      <c r="CX447" s="20">
        <f ca="1">IF(Table1[[#This Row],[County]]="Buckinghamshire",Table1[[#This Row],[income]],0)</f>
        <v>0</v>
      </c>
      <c r="CY447" s="20">
        <f ca="1">IF(Table1[[#This Row],[County]]="Suffolk",Table1[[#This Row],[income]],0)</f>
        <v>0</v>
      </c>
      <c r="CZ447" s="20">
        <f ca="1">IF(Table1[[#This Row],[County]]="North Yorkshire",Table1[[#This Row],[income]],0)</f>
        <v>0</v>
      </c>
      <c r="DA447" s="20">
        <f ca="1">IF(Table1[[#This Row],[County]]="Kent",Table1[[#This Row],[income]],0)</f>
        <v>0</v>
      </c>
      <c r="DB447" s="5">
        <f ca="1">IF(Table1[[#This Row],[County]]="Derbyshire",Table1[[#This Row],[income]],0)</f>
        <v>0</v>
      </c>
      <c r="DD447" s="6">
        <f ca="1">IF(Table1[[#This Row],[Column1]]="Health",Table1[[#This Row],[income]],0)</f>
        <v>0</v>
      </c>
      <c r="DE447" s="20">
        <f ca="1">IF(Table1[[#This Row],[Column1]]="Agriculture",Table1[[#This Row],[income]],0)</f>
        <v>0</v>
      </c>
      <c r="DF447" s="20">
        <f ca="1">IF(Table1[[#This Row],[Column1]]="Technology",Table1[[#This Row],[income]],0)</f>
        <v>0</v>
      </c>
      <c r="DG447" s="20">
        <f ca="1">IF(Table1[[#This Row],[Column1]]="Social Service",Table1[[#This Row],[income]],0)</f>
        <v>86259</v>
      </c>
      <c r="DH447" s="20">
        <f ca="1">IF(Table1[[#This Row],[Column1]]="Education",Table1[[#This Row],[income]],0)</f>
        <v>0</v>
      </c>
      <c r="DI447" s="5">
        <f ca="1">IF(Table1[[#This Row],[Column1]]="Construction",Table1[[#This Row],[income]],0)</f>
        <v>0</v>
      </c>
      <c r="DK447" s="6">
        <f ca="1">IF(Table1[[#This Row],[Value of Debts]]&gt;Table1[[#This Row],[income]],1,0)</f>
        <v>1</v>
      </c>
      <c r="DL447" s="20"/>
      <c r="DM447" s="20"/>
      <c r="DN447" s="5"/>
      <c r="DP447" s="6">
        <f ca="1">IF(Table1[[#This Row],[Net Worth (£)]]&gt;$DS$5,C447,0)</f>
        <v>27</v>
      </c>
      <c r="DQ447" s="20"/>
      <c r="DR447" s="20"/>
      <c r="DS447" s="5"/>
    </row>
    <row r="448" spans="1:123" x14ac:dyDescent="0.2">
      <c r="A448">
        <f t="shared" ca="1" si="19"/>
        <v>1</v>
      </c>
      <c r="B448" s="1" t="str">
        <f ca="1">IF(A448=1, "men", "women")</f>
        <v>men</v>
      </c>
      <c r="C448" s="1">
        <f ca="1">RANDBETWEEN(25,50)</f>
        <v>47</v>
      </c>
      <c r="D448">
        <f ca="1">RANDBETWEEN(1,6)</f>
        <v>4</v>
      </c>
      <c r="E448" t="str">
        <f ca="1">VLOOKUP(D448,$W$5:$X$10,2)</f>
        <v>Technology</v>
      </c>
      <c r="F448">
        <f ca="1">RANDBETWEEN(1,5)</f>
        <v>4</v>
      </c>
      <c r="G448" t="str">
        <f ca="1">VLOOKUP(F448,$Y$5:$Z$9,2)</f>
        <v xml:space="preserve">Technical </v>
      </c>
      <c r="H448">
        <f ca="1">RANDBETWEEN(0,4)</f>
        <v>4</v>
      </c>
      <c r="I448">
        <f ca="1">RANDBETWEEN(1,3)</f>
        <v>2</v>
      </c>
      <c r="J448">
        <f ca="1">RANDBETWEEN(30000,100000)</f>
        <v>71434</v>
      </c>
      <c r="K448">
        <f ca="1">RANDBETWEEN(1,48)</f>
        <v>42</v>
      </c>
      <c r="L448" t="str">
        <f ca="1">VLOOKUP(K448,$AA$5:$AB$52,2)</f>
        <v>Tyne and Wear</v>
      </c>
      <c r="M448">
        <f ca="1">J448*(RANDBETWEEN(2,5))</f>
        <v>285736</v>
      </c>
      <c r="N448">
        <f ca="1">RAND()*M448</f>
        <v>24907.396373834439</v>
      </c>
      <c r="O448">
        <f ca="1">I448*RAND()*J448</f>
        <v>120552.07105522451</v>
      </c>
      <c r="P448">
        <f ca="1">RANDBETWEEN(0,O448)</f>
        <v>98367</v>
      </c>
      <c r="Q448">
        <f ca="1">RAND()*J448*2</f>
        <v>136437.67826038622</v>
      </c>
      <c r="R448">
        <f ca="1">RAND()*J448*1.5</f>
        <v>89776.29479354556</v>
      </c>
      <c r="S448">
        <f ca="1">J448+R448+O448</f>
        <v>281762.36584877007</v>
      </c>
      <c r="T448">
        <f ca="1">N448+P448+Q448</f>
        <v>259712.07463422065</v>
      </c>
      <c r="U448">
        <f ca="1">S448-T448</f>
        <v>22050.291214549419</v>
      </c>
      <c r="AC448" s="6">
        <f ca="1">IF(Table1[[#This Row],[gender]]="men",1,0)</f>
        <v>1</v>
      </c>
      <c r="AD448">
        <f ca="1">IF(Table1[[#This Row],[gender]]="women",1,0)</f>
        <v>0</v>
      </c>
      <c r="AH448" s="5"/>
      <c r="AJ448" s="6">
        <f ca="1">IF(Table1[[#This Row],[Column1]]="Health",1,0)</f>
        <v>0</v>
      </c>
      <c r="AK448">
        <f ca="1">IF(Table1[[#This Row],[Column1]]="Construction",1,0)</f>
        <v>0</v>
      </c>
      <c r="AL448">
        <f ca="1">IF(Table1[[#This Row],[Column1]]="Technology",1,0)</f>
        <v>1</v>
      </c>
      <c r="AM448">
        <f ca="1">IF(Table1[[#This Row],[Column1]]="Education",1,0)</f>
        <v>0</v>
      </c>
      <c r="AN448">
        <f ca="1">IF(Table1[[#This Row],[Column1]]="Agriculture",1,0)</f>
        <v>0</v>
      </c>
      <c r="AO448">
        <f ca="1">IF(Table1[[#This Row],[Column1]]="Social Service", 1, 0)</f>
        <v>0</v>
      </c>
      <c r="AT448" s="5"/>
      <c r="AV448" s="17">
        <f t="shared" ca="1" si="18"/>
        <v>43204.739886320349</v>
      </c>
      <c r="AW448" s="5"/>
      <c r="AX448" s="6">
        <f ca="1">IF(Table1[[#This Row],[Value of Debts]]&gt;$AY$4,1,0)</f>
        <v>1</v>
      </c>
      <c r="AY448" s="20"/>
      <c r="AZ448" s="20"/>
      <c r="BA448" s="5"/>
      <c r="BB448" s="25">
        <f ca="1">Table1[[#This Row],[Mortage Left]]/Table1[[#This Row],[Value of House]]</f>
        <v>8.716926244447476E-2</v>
      </c>
      <c r="BC448" s="20">
        <f t="shared" ca="1" si="20"/>
        <v>1</v>
      </c>
      <c r="BD448" s="20"/>
      <c r="BE448" s="20"/>
      <c r="BF448" s="20"/>
      <c r="BG448" s="6">
        <f ca="1">IF(Table1[[#This Row],[County]]="Cumbria",Table1[[#This Row],[income]],0)</f>
        <v>0</v>
      </c>
      <c r="BH448" s="20">
        <f ca="1">IF(Table1[[#This Row],[County]]="Cheshire",Table1[[#This Row],[income]],0)</f>
        <v>0</v>
      </c>
      <c r="BI448" s="20">
        <f ca="1">IF(Table1[[#This Row],[County]]="Bristol",Table1[[#This Row],[income]],0)</f>
        <v>0</v>
      </c>
      <c r="BJ448" s="20">
        <f ca="1">IF(Table1[[#This Row],[County]]="Surrey",Table1[[#This Row],[income]],0)</f>
        <v>0</v>
      </c>
      <c r="BK448" s="20">
        <f ca="1">IF(Table1[[#This Row],[County]]="Norfolk",Table1[[#This Row],[income]],0)</f>
        <v>0</v>
      </c>
      <c r="BL448" s="20">
        <f ca="1">IF(Table1[[#This Row],[County]]="Lincolnshire",Table1[[#This Row],[income]],0)</f>
        <v>0</v>
      </c>
      <c r="BM448" s="20">
        <f ca="1">IF(Table1[[#This Row],[County]]="Somerset",Table1[[#This Row],[income]],0)</f>
        <v>0</v>
      </c>
      <c r="BN448" s="20">
        <f ca="1">IF(Table1[[#This Row],[County]]="Cambridgeshire",Table1[[#This Row],[income]],0)</f>
        <v>0</v>
      </c>
      <c r="BO448" s="20">
        <f ca="1">IF(Table1[[#This Row],[County]]="South Yorkshire",Table1[[#This Row],[income]],0)</f>
        <v>0</v>
      </c>
      <c r="BP448" s="20">
        <f ca="1">IF(Table1[[#This Row],[County]]="Greater London",Table1[[#This Row],[income]],0)</f>
        <v>0</v>
      </c>
      <c r="BQ448" s="20">
        <f ca="1">IF(Table1[[#This Row],[County]]="Hampshire",Table1[[#This Row],[income]],0)</f>
        <v>0</v>
      </c>
      <c r="BR448" s="20">
        <f ca="1">IF(Table1[[#This Row],[County]]="Gloucestershire",Table1[[#This Row],[income]],0)</f>
        <v>0</v>
      </c>
      <c r="BS448" s="20">
        <f ca="1">IF(Table1[[#This Row],[County]]="West Sussex",Table1[[#This Row],[income]],0)</f>
        <v>0</v>
      </c>
      <c r="BT448" s="20">
        <f ca="1">IF(Table1[[#This Row],[County]]="Devon",Table1[[#This Row],[income]],0)</f>
        <v>0</v>
      </c>
      <c r="BU448" s="20">
        <f ca="1">IF(Table1[[#This Row],[County]]="Berkshire",Table1[[#This Row],[income]],0)</f>
        <v>0</v>
      </c>
      <c r="BV448" s="20">
        <f ca="1">IF(Table1[[#This Row],[County]]="Staffordshire",Table1[[#This Row],[income]],0)</f>
        <v>0</v>
      </c>
      <c r="BW448" s="20">
        <f ca="1">IF(Table1[[#This Row],[County]]="Leicestershire",Table1[[#This Row],[income]],0)</f>
        <v>0</v>
      </c>
      <c r="BX448" s="20">
        <f ca="1">IF(Table1[[#This Row],[County]]="Cornwall",Table1[[#This Row],[income]],0)</f>
        <v>0</v>
      </c>
      <c r="BY448" s="20">
        <f ca="1">IF(Table1[[#This Row],[County]]="Isle of Wight",Table1[[#This Row],[income]],0)</f>
        <v>0</v>
      </c>
      <c r="BZ448" s="20">
        <f ca="1">IF(Table1[[#This Row],[County]]="Surrey",Table1[[#This Row],[income]],0)</f>
        <v>0</v>
      </c>
      <c r="CA448" s="20">
        <f ca="1">IF(Table1[[#This Row],[County]]="Derbyshire",Table1[[#This Row],[income]],0)</f>
        <v>0</v>
      </c>
      <c r="CB448" s="20">
        <f ca="1">IF(Table1[[#This Row],[County]]="City of London",Table1[[#This Row],[income]],0)</f>
        <v>0</v>
      </c>
      <c r="CC448" s="20">
        <f ca="1">IF(Table1[[#This Row],[County]]="Bedfordshire",Table1[[#This Row],[income]],0)</f>
        <v>0</v>
      </c>
      <c r="CD448" s="20">
        <f ca="1">IF(Table1[[#This Row],[County]]="County Durham",Table1[[#This Row],[income]],0)</f>
        <v>0</v>
      </c>
      <c r="CE448" s="20">
        <f ca="1">IF(Table1[[#This Row],[County]]="East Riding of Yorkshire",Table1[[#This Row],[income]],0)</f>
        <v>0</v>
      </c>
      <c r="CF448" s="20">
        <f ca="1">IF(Table1[[#This Row],[County]]="West Yorkshire",Table1[[#This Row],[income]],0)</f>
        <v>0</v>
      </c>
      <c r="CG448" s="20">
        <f ca="1">IF(Table1[[#This Row],[County]]="Essex",Table1[[#This Row],[income]],0)</f>
        <v>0</v>
      </c>
      <c r="CH448" s="20">
        <f ca="1">IF(Table1[[#This Row],[County]]="East Sussex",Table1[[#This Row],[income]],0)</f>
        <v>0</v>
      </c>
      <c r="CI448" s="20">
        <f ca="1">IF(Table1[[#This Row],[County]]="Greater Manchester",Table1[[#This Row],[income]],0)</f>
        <v>0</v>
      </c>
      <c r="CJ448" s="20">
        <f ca="1">IF(Table1[[#This Row],[County]]="Hertfordshire",Table1[[#This Row],[income]],0)</f>
        <v>0</v>
      </c>
      <c r="CK448" s="20">
        <f ca="1">IF(Table1[[#This Row],[County]]="Herefordshire",Table1[[#This Row],[income]],0)</f>
        <v>0</v>
      </c>
      <c r="CL448" s="20">
        <f ca="1">IF(Table1[[#This Row],[County]]="Lancashire",Table1[[#This Row],[income]],0)</f>
        <v>0</v>
      </c>
      <c r="CM448" s="20">
        <f ca="1">IF(Table1[[#This Row],[County]]="Merseyside",Table1[[#This Row],[income]],0)</f>
        <v>0</v>
      </c>
      <c r="CN448" s="20">
        <f ca="1">IF(Table1[[#This Row],[County]]="Northamptonshire",Table1[[#This Row],[income]],0)</f>
        <v>0</v>
      </c>
      <c r="CO448" s="20">
        <f ca="1">IF(Table1[[#This Row],[County]]="Northumberland",Table1[[#This Row],[income]],0)</f>
        <v>0</v>
      </c>
      <c r="CP448" s="20">
        <f ca="1">IF(Table1[[#This Row],[County]]="Wiltshire",Table1[[#This Row],[income]],0)</f>
        <v>0</v>
      </c>
      <c r="CQ448" s="20">
        <f ca="1">IF(Table1[[#This Row],[County]]="West Midlands",Table1[[#This Row],[income]],0)</f>
        <v>0</v>
      </c>
      <c r="CR448" s="20">
        <f ca="1">IF(Table1[[#This Row],[County]]="Warwickshire",Table1[[#This Row],[income]],0)</f>
        <v>0</v>
      </c>
      <c r="CS448" s="20">
        <f ca="1">IF(Table1[[#This Row],[County]]="Tyne and Wear",Table1[[#This Row],[income]],0)</f>
        <v>71434</v>
      </c>
      <c r="CT448" s="20">
        <f ca="1">IF(Table1[[#This Row],[County]]="Worcestershire",Table1[[#This Row],[income]],0)</f>
        <v>0</v>
      </c>
      <c r="CU448" s="20">
        <f ca="1">IF(Table1[[#This Row],[County]]="Rutland",Table1[[#This Row],[income]],0)</f>
        <v>0</v>
      </c>
      <c r="CV448" s="20">
        <f ca="1">IF(Table1[[#This Row],[County]]="Shropshire",Table1[[#This Row],[income]],0)</f>
        <v>0</v>
      </c>
      <c r="CW448" s="20">
        <f ca="1">IF(Table1[[#This Row],[County]]="Dorset",Table1[[#This Row],[income]],0)</f>
        <v>0</v>
      </c>
      <c r="CX448" s="20">
        <f ca="1">IF(Table1[[#This Row],[County]]="Buckinghamshire",Table1[[#This Row],[income]],0)</f>
        <v>0</v>
      </c>
      <c r="CY448" s="20">
        <f ca="1">IF(Table1[[#This Row],[County]]="Suffolk",Table1[[#This Row],[income]],0)</f>
        <v>0</v>
      </c>
      <c r="CZ448" s="20">
        <f ca="1">IF(Table1[[#This Row],[County]]="North Yorkshire",Table1[[#This Row],[income]],0)</f>
        <v>0</v>
      </c>
      <c r="DA448" s="20">
        <f ca="1">IF(Table1[[#This Row],[County]]="Kent",Table1[[#This Row],[income]],0)</f>
        <v>0</v>
      </c>
      <c r="DB448" s="5">
        <f ca="1">IF(Table1[[#This Row],[County]]="Derbyshire",Table1[[#This Row],[income]],0)</f>
        <v>0</v>
      </c>
      <c r="DD448" s="6">
        <f ca="1">IF(Table1[[#This Row],[Column1]]="Health",Table1[[#This Row],[income]],0)</f>
        <v>0</v>
      </c>
      <c r="DE448" s="20">
        <f ca="1">IF(Table1[[#This Row],[Column1]]="Agriculture",Table1[[#This Row],[income]],0)</f>
        <v>0</v>
      </c>
      <c r="DF448" s="20">
        <f ca="1">IF(Table1[[#This Row],[Column1]]="Technology",Table1[[#This Row],[income]],0)</f>
        <v>71434</v>
      </c>
      <c r="DG448" s="20">
        <f ca="1">IF(Table1[[#This Row],[Column1]]="Social Service",Table1[[#This Row],[income]],0)</f>
        <v>0</v>
      </c>
      <c r="DH448" s="20">
        <f ca="1">IF(Table1[[#This Row],[Column1]]="Education",Table1[[#This Row],[income]],0)</f>
        <v>0</v>
      </c>
      <c r="DI448" s="5">
        <f ca="1">IF(Table1[[#This Row],[Column1]]="Construction",Table1[[#This Row],[income]],0)</f>
        <v>0</v>
      </c>
      <c r="DK448" s="6">
        <f ca="1">IF(Table1[[#This Row],[Value of Debts]]&gt;Table1[[#This Row],[income]],1,0)</f>
        <v>1</v>
      </c>
      <c r="DL448" s="20"/>
      <c r="DM448" s="20"/>
      <c r="DN448" s="5"/>
      <c r="DP448" s="6">
        <f ca="1">IF(Table1[[#This Row],[Net Worth (£)]]&gt;$DS$5,C448,0)</f>
        <v>0</v>
      </c>
      <c r="DQ448" s="20"/>
      <c r="DR448" s="20"/>
      <c r="DS448" s="5"/>
    </row>
    <row r="449" spans="1:123" x14ac:dyDescent="0.2">
      <c r="A449">
        <f t="shared" ca="1" si="19"/>
        <v>2</v>
      </c>
      <c r="B449" s="1" t="str">
        <f ca="1">IF(A449=1, "men", "women")</f>
        <v>women</v>
      </c>
      <c r="C449" s="1">
        <f ca="1">RANDBETWEEN(25,50)</f>
        <v>47</v>
      </c>
      <c r="D449">
        <f ca="1">RANDBETWEEN(1,6)</f>
        <v>5</v>
      </c>
      <c r="E449" t="str">
        <f ca="1">VLOOKUP(D449,$W$5:$X$10,2)</f>
        <v>Social Service</v>
      </c>
      <c r="F449">
        <f ca="1">RANDBETWEEN(1,5)</f>
        <v>2</v>
      </c>
      <c r="G449" t="str">
        <f ca="1">VLOOKUP(F449,$Y$5:$Z$9,2)</f>
        <v>College</v>
      </c>
      <c r="H449">
        <f ca="1">RANDBETWEEN(0,4)</f>
        <v>0</v>
      </c>
      <c r="I449">
        <f ca="1">RANDBETWEEN(1,3)</f>
        <v>1</v>
      </c>
      <c r="J449">
        <f ca="1">RANDBETWEEN(30000,100000)</f>
        <v>55812</v>
      </c>
      <c r="K449">
        <f ca="1">RANDBETWEEN(1,48)</f>
        <v>41</v>
      </c>
      <c r="L449" t="str">
        <f ca="1">VLOOKUP(K449,$AA$5:$AB$52,2)</f>
        <v>Surrey</v>
      </c>
      <c r="M449">
        <f ca="1">J449*(RANDBETWEEN(2,5))</f>
        <v>223248</v>
      </c>
      <c r="N449">
        <f ca="1">RAND()*M449</f>
        <v>94944.373961213336</v>
      </c>
      <c r="O449">
        <f ca="1">I449*RAND()*J449</f>
        <v>43204.739886320349</v>
      </c>
      <c r="P449">
        <f ca="1">RANDBETWEEN(0,O449)</f>
        <v>17967</v>
      </c>
      <c r="Q449">
        <f ca="1">RAND()*J449*2</f>
        <v>26668.684288268611</v>
      </c>
      <c r="R449">
        <f ca="1">RAND()*J449*1.5</f>
        <v>31015.40250987545</v>
      </c>
      <c r="S449">
        <f ca="1">J449+R449+O449</f>
        <v>130032.14239619579</v>
      </c>
      <c r="T449">
        <f ca="1">N449+P449+Q449</f>
        <v>139580.05824948195</v>
      </c>
      <c r="U449">
        <f ca="1">S449-T449</f>
        <v>-9547.915853286162</v>
      </c>
      <c r="AC449" s="6">
        <f ca="1">IF(Table1[[#This Row],[gender]]="men",1,0)</f>
        <v>0</v>
      </c>
      <c r="AD449">
        <f ca="1">IF(Table1[[#This Row],[gender]]="women",1,0)</f>
        <v>1</v>
      </c>
      <c r="AH449" s="5"/>
      <c r="AJ449" s="6">
        <f ca="1">IF(Table1[[#This Row],[Column1]]="Health",1,0)</f>
        <v>0</v>
      </c>
      <c r="AK449">
        <f ca="1">IF(Table1[[#This Row],[Column1]]="Construction",1,0)</f>
        <v>0</v>
      </c>
      <c r="AL449">
        <f ca="1">IF(Table1[[#This Row],[Column1]]="Technology",1,0)</f>
        <v>0</v>
      </c>
      <c r="AM449">
        <f ca="1">IF(Table1[[#This Row],[Column1]]="Education",1,0)</f>
        <v>0</v>
      </c>
      <c r="AN449">
        <f ca="1">IF(Table1[[#This Row],[Column1]]="Agriculture",1,0)</f>
        <v>0</v>
      </c>
      <c r="AO449">
        <f ca="1">IF(Table1[[#This Row],[Column1]]="Social Service", 1, 0)</f>
        <v>1</v>
      </c>
      <c r="AT449" s="5"/>
      <c r="AV449" s="17">
        <f t="shared" ca="1" si="18"/>
        <v>27741.293626052982</v>
      </c>
      <c r="AW449" s="5"/>
      <c r="AX449" s="6">
        <f ca="1">IF(Table1[[#This Row],[Value of Debts]]&gt;$AY$4,1,0)</f>
        <v>1</v>
      </c>
      <c r="AY449" s="20"/>
      <c r="AZ449" s="20"/>
      <c r="BA449" s="5"/>
      <c r="BB449" s="25">
        <f ca="1">Table1[[#This Row],[Mortage Left]]/Table1[[#This Row],[Value of House]]</f>
        <v>0.42528656006420362</v>
      </c>
      <c r="BC449" s="20">
        <f t="shared" ca="1" si="20"/>
        <v>0</v>
      </c>
      <c r="BD449" s="20"/>
      <c r="BE449" s="20"/>
      <c r="BF449" s="20"/>
      <c r="BG449" s="6">
        <f ca="1">IF(Table1[[#This Row],[County]]="Cumbria",Table1[[#This Row],[income]],0)</f>
        <v>0</v>
      </c>
      <c r="BH449" s="20">
        <f ca="1">IF(Table1[[#This Row],[County]]="Cheshire",Table1[[#This Row],[income]],0)</f>
        <v>0</v>
      </c>
      <c r="BI449" s="20">
        <f ca="1">IF(Table1[[#This Row],[County]]="Bristol",Table1[[#This Row],[income]],0)</f>
        <v>0</v>
      </c>
      <c r="BJ449" s="20">
        <f ca="1">IF(Table1[[#This Row],[County]]="Surrey",Table1[[#This Row],[income]],0)</f>
        <v>55812</v>
      </c>
      <c r="BK449" s="20">
        <f ca="1">IF(Table1[[#This Row],[County]]="Norfolk",Table1[[#This Row],[income]],0)</f>
        <v>0</v>
      </c>
      <c r="BL449" s="20">
        <f ca="1">IF(Table1[[#This Row],[County]]="Lincolnshire",Table1[[#This Row],[income]],0)</f>
        <v>0</v>
      </c>
      <c r="BM449" s="20">
        <f ca="1">IF(Table1[[#This Row],[County]]="Somerset",Table1[[#This Row],[income]],0)</f>
        <v>0</v>
      </c>
      <c r="BN449" s="20">
        <f ca="1">IF(Table1[[#This Row],[County]]="Cambridgeshire",Table1[[#This Row],[income]],0)</f>
        <v>0</v>
      </c>
      <c r="BO449" s="20">
        <f ca="1">IF(Table1[[#This Row],[County]]="South Yorkshire",Table1[[#This Row],[income]],0)</f>
        <v>0</v>
      </c>
      <c r="BP449" s="20">
        <f ca="1">IF(Table1[[#This Row],[County]]="Greater London",Table1[[#This Row],[income]],0)</f>
        <v>0</v>
      </c>
      <c r="BQ449" s="20">
        <f ca="1">IF(Table1[[#This Row],[County]]="Hampshire",Table1[[#This Row],[income]],0)</f>
        <v>0</v>
      </c>
      <c r="BR449" s="20">
        <f ca="1">IF(Table1[[#This Row],[County]]="Gloucestershire",Table1[[#This Row],[income]],0)</f>
        <v>0</v>
      </c>
      <c r="BS449" s="20">
        <f ca="1">IF(Table1[[#This Row],[County]]="West Sussex",Table1[[#This Row],[income]],0)</f>
        <v>0</v>
      </c>
      <c r="BT449" s="20">
        <f ca="1">IF(Table1[[#This Row],[County]]="Devon",Table1[[#This Row],[income]],0)</f>
        <v>0</v>
      </c>
      <c r="BU449" s="20">
        <f ca="1">IF(Table1[[#This Row],[County]]="Berkshire",Table1[[#This Row],[income]],0)</f>
        <v>0</v>
      </c>
      <c r="BV449" s="20">
        <f ca="1">IF(Table1[[#This Row],[County]]="Staffordshire",Table1[[#This Row],[income]],0)</f>
        <v>0</v>
      </c>
      <c r="BW449" s="20">
        <f ca="1">IF(Table1[[#This Row],[County]]="Leicestershire",Table1[[#This Row],[income]],0)</f>
        <v>0</v>
      </c>
      <c r="BX449" s="20">
        <f ca="1">IF(Table1[[#This Row],[County]]="Cornwall",Table1[[#This Row],[income]],0)</f>
        <v>0</v>
      </c>
      <c r="BY449" s="20">
        <f ca="1">IF(Table1[[#This Row],[County]]="Isle of Wight",Table1[[#This Row],[income]],0)</f>
        <v>0</v>
      </c>
      <c r="BZ449" s="20">
        <f ca="1">IF(Table1[[#This Row],[County]]="Surrey",Table1[[#This Row],[income]],0)</f>
        <v>55812</v>
      </c>
      <c r="CA449" s="20">
        <f ca="1">IF(Table1[[#This Row],[County]]="Derbyshire",Table1[[#This Row],[income]],0)</f>
        <v>0</v>
      </c>
      <c r="CB449" s="20">
        <f ca="1">IF(Table1[[#This Row],[County]]="City of London",Table1[[#This Row],[income]],0)</f>
        <v>0</v>
      </c>
      <c r="CC449" s="20">
        <f ca="1">IF(Table1[[#This Row],[County]]="Bedfordshire",Table1[[#This Row],[income]],0)</f>
        <v>0</v>
      </c>
      <c r="CD449" s="20">
        <f ca="1">IF(Table1[[#This Row],[County]]="County Durham",Table1[[#This Row],[income]],0)</f>
        <v>0</v>
      </c>
      <c r="CE449" s="20">
        <f ca="1">IF(Table1[[#This Row],[County]]="East Riding of Yorkshire",Table1[[#This Row],[income]],0)</f>
        <v>0</v>
      </c>
      <c r="CF449" s="20">
        <f ca="1">IF(Table1[[#This Row],[County]]="West Yorkshire",Table1[[#This Row],[income]],0)</f>
        <v>0</v>
      </c>
      <c r="CG449" s="20">
        <f ca="1">IF(Table1[[#This Row],[County]]="Essex",Table1[[#This Row],[income]],0)</f>
        <v>0</v>
      </c>
      <c r="CH449" s="20">
        <f ca="1">IF(Table1[[#This Row],[County]]="East Sussex",Table1[[#This Row],[income]],0)</f>
        <v>0</v>
      </c>
      <c r="CI449" s="20">
        <f ca="1">IF(Table1[[#This Row],[County]]="Greater Manchester",Table1[[#This Row],[income]],0)</f>
        <v>0</v>
      </c>
      <c r="CJ449" s="20">
        <f ca="1">IF(Table1[[#This Row],[County]]="Hertfordshire",Table1[[#This Row],[income]],0)</f>
        <v>0</v>
      </c>
      <c r="CK449" s="20">
        <f ca="1">IF(Table1[[#This Row],[County]]="Herefordshire",Table1[[#This Row],[income]],0)</f>
        <v>0</v>
      </c>
      <c r="CL449" s="20">
        <f ca="1">IF(Table1[[#This Row],[County]]="Lancashire",Table1[[#This Row],[income]],0)</f>
        <v>0</v>
      </c>
      <c r="CM449" s="20">
        <f ca="1">IF(Table1[[#This Row],[County]]="Merseyside",Table1[[#This Row],[income]],0)</f>
        <v>0</v>
      </c>
      <c r="CN449" s="20">
        <f ca="1">IF(Table1[[#This Row],[County]]="Northamptonshire",Table1[[#This Row],[income]],0)</f>
        <v>0</v>
      </c>
      <c r="CO449" s="20">
        <f ca="1">IF(Table1[[#This Row],[County]]="Northumberland",Table1[[#This Row],[income]],0)</f>
        <v>0</v>
      </c>
      <c r="CP449" s="20">
        <f ca="1">IF(Table1[[#This Row],[County]]="Wiltshire",Table1[[#This Row],[income]],0)</f>
        <v>0</v>
      </c>
      <c r="CQ449" s="20">
        <f ca="1">IF(Table1[[#This Row],[County]]="West Midlands",Table1[[#This Row],[income]],0)</f>
        <v>0</v>
      </c>
      <c r="CR449" s="20">
        <f ca="1">IF(Table1[[#This Row],[County]]="Warwickshire",Table1[[#This Row],[income]],0)</f>
        <v>0</v>
      </c>
      <c r="CS449" s="20">
        <f ca="1">IF(Table1[[#This Row],[County]]="Tyne and Wear",Table1[[#This Row],[income]],0)</f>
        <v>0</v>
      </c>
      <c r="CT449" s="20">
        <f ca="1">IF(Table1[[#This Row],[County]]="Worcestershire",Table1[[#This Row],[income]],0)</f>
        <v>0</v>
      </c>
      <c r="CU449" s="20">
        <f ca="1">IF(Table1[[#This Row],[County]]="Rutland",Table1[[#This Row],[income]],0)</f>
        <v>0</v>
      </c>
      <c r="CV449" s="20">
        <f ca="1">IF(Table1[[#This Row],[County]]="Shropshire",Table1[[#This Row],[income]],0)</f>
        <v>0</v>
      </c>
      <c r="CW449" s="20">
        <f ca="1">IF(Table1[[#This Row],[County]]="Dorset",Table1[[#This Row],[income]],0)</f>
        <v>0</v>
      </c>
      <c r="CX449" s="20">
        <f ca="1">IF(Table1[[#This Row],[County]]="Buckinghamshire",Table1[[#This Row],[income]],0)</f>
        <v>0</v>
      </c>
      <c r="CY449" s="20">
        <f ca="1">IF(Table1[[#This Row],[County]]="Suffolk",Table1[[#This Row],[income]],0)</f>
        <v>0</v>
      </c>
      <c r="CZ449" s="20">
        <f ca="1">IF(Table1[[#This Row],[County]]="North Yorkshire",Table1[[#This Row],[income]],0)</f>
        <v>0</v>
      </c>
      <c r="DA449" s="20">
        <f ca="1">IF(Table1[[#This Row],[County]]="Kent",Table1[[#This Row],[income]],0)</f>
        <v>0</v>
      </c>
      <c r="DB449" s="5">
        <f ca="1">IF(Table1[[#This Row],[County]]="Derbyshire",Table1[[#This Row],[income]],0)</f>
        <v>0</v>
      </c>
      <c r="DD449" s="6">
        <f ca="1">IF(Table1[[#This Row],[Column1]]="Health",Table1[[#This Row],[income]],0)</f>
        <v>0</v>
      </c>
      <c r="DE449" s="20">
        <f ca="1">IF(Table1[[#This Row],[Column1]]="Agriculture",Table1[[#This Row],[income]],0)</f>
        <v>0</v>
      </c>
      <c r="DF449" s="20">
        <f ca="1">IF(Table1[[#This Row],[Column1]]="Technology",Table1[[#This Row],[income]],0)</f>
        <v>0</v>
      </c>
      <c r="DG449" s="20">
        <f ca="1">IF(Table1[[#This Row],[Column1]]="Social Service",Table1[[#This Row],[income]],0)</f>
        <v>55812</v>
      </c>
      <c r="DH449" s="20">
        <f ca="1">IF(Table1[[#This Row],[Column1]]="Education",Table1[[#This Row],[income]],0)</f>
        <v>0</v>
      </c>
      <c r="DI449" s="5">
        <f ca="1">IF(Table1[[#This Row],[Column1]]="Construction",Table1[[#This Row],[income]],0)</f>
        <v>0</v>
      </c>
      <c r="DK449" s="6">
        <f ca="1">IF(Table1[[#This Row],[Value of Debts]]&gt;Table1[[#This Row],[income]],1,0)</f>
        <v>1</v>
      </c>
      <c r="DL449" s="20"/>
      <c r="DM449" s="20"/>
      <c r="DN449" s="5"/>
      <c r="DP449" s="6">
        <f ca="1">IF(Table1[[#This Row],[Net Worth (£)]]&gt;$DS$5,C449,0)</f>
        <v>0</v>
      </c>
      <c r="DQ449" s="20"/>
      <c r="DR449" s="20"/>
      <c r="DS449" s="5"/>
    </row>
    <row r="450" spans="1:123" x14ac:dyDescent="0.2">
      <c r="A450">
        <f t="shared" ca="1" si="19"/>
        <v>2</v>
      </c>
      <c r="B450" s="1" t="str">
        <f ca="1">IF(A450=1, "men", "women")</f>
        <v>women</v>
      </c>
      <c r="C450" s="1">
        <f ca="1">RANDBETWEEN(25,50)</f>
        <v>38</v>
      </c>
      <c r="D450">
        <f ca="1">RANDBETWEEN(1,6)</f>
        <v>6</v>
      </c>
      <c r="E450" t="str">
        <f ca="1">VLOOKUP(D450,$W$5:$X$10,2)</f>
        <v>Agriculture</v>
      </c>
      <c r="F450">
        <f ca="1">RANDBETWEEN(1,5)</f>
        <v>2</v>
      </c>
      <c r="G450" t="str">
        <f ca="1">VLOOKUP(F450,$Y$5:$Z$9,2)</f>
        <v>College</v>
      </c>
      <c r="H450">
        <f ca="1">RANDBETWEEN(0,4)</f>
        <v>1</v>
      </c>
      <c r="I450">
        <f ca="1">RANDBETWEEN(1,3)</f>
        <v>2</v>
      </c>
      <c r="J450">
        <f ca="1">RANDBETWEEN(30000,100000)</f>
        <v>40138</v>
      </c>
      <c r="K450">
        <f ca="1">RANDBETWEEN(1,48)</f>
        <v>2</v>
      </c>
      <c r="L450" t="str">
        <f ca="1">VLOOKUP(K450,$AA$5:$AB$52,2)</f>
        <v>Berkshire</v>
      </c>
      <c r="M450">
        <f ca="1">J450*(RANDBETWEEN(2,5))</f>
        <v>120414</v>
      </c>
      <c r="N450">
        <f ca="1">RAND()*M450</f>
        <v>98145.874598902985</v>
      </c>
      <c r="O450">
        <f ca="1">I450*RAND()*J450</f>
        <v>55482.587252105965</v>
      </c>
      <c r="P450">
        <f ca="1">RANDBETWEEN(0,O450)</f>
        <v>19706</v>
      </c>
      <c r="Q450">
        <f ca="1">RAND()*J450*2</f>
        <v>50639.809173446105</v>
      </c>
      <c r="R450">
        <f ca="1">RAND()*J450*1.5</f>
        <v>3347.8495793477005</v>
      </c>
      <c r="S450">
        <f ca="1">J450+R450+O450</f>
        <v>98968.43683145367</v>
      </c>
      <c r="T450">
        <f ca="1">N450+P450+Q450</f>
        <v>168491.68377234909</v>
      </c>
      <c r="U450">
        <f ca="1">S450-T450</f>
        <v>-69523.24694089542</v>
      </c>
      <c r="AC450" s="6">
        <f ca="1">IF(Table1[[#This Row],[gender]]="men",1,0)</f>
        <v>0</v>
      </c>
      <c r="AD450">
        <f ca="1">IF(Table1[[#This Row],[gender]]="women",1,0)</f>
        <v>1</v>
      </c>
      <c r="AH450" s="5"/>
      <c r="AJ450" s="6">
        <f ca="1">IF(Table1[[#This Row],[Column1]]="Health",1,0)</f>
        <v>0</v>
      </c>
      <c r="AK450">
        <f ca="1">IF(Table1[[#This Row],[Column1]]="Construction",1,0)</f>
        <v>0</v>
      </c>
      <c r="AL450">
        <f ca="1">IF(Table1[[#This Row],[Column1]]="Technology",1,0)</f>
        <v>0</v>
      </c>
      <c r="AM450">
        <f ca="1">IF(Table1[[#This Row],[Column1]]="Education",1,0)</f>
        <v>0</v>
      </c>
      <c r="AN450">
        <f ca="1">IF(Table1[[#This Row],[Column1]]="Agriculture",1,0)</f>
        <v>1</v>
      </c>
      <c r="AO450">
        <f ca="1">IF(Table1[[#This Row],[Column1]]="Social Service", 1, 0)</f>
        <v>0</v>
      </c>
      <c r="AT450" s="5"/>
      <c r="AV450" s="17">
        <f t="shared" ca="1" si="18"/>
        <v>24656.720639796695</v>
      </c>
      <c r="AW450" s="5"/>
      <c r="AX450" s="6">
        <f ca="1">IF(Table1[[#This Row],[Value of Debts]]&gt;$AY$4,1,0)</f>
        <v>1</v>
      </c>
      <c r="AY450" s="20"/>
      <c r="AZ450" s="20"/>
      <c r="BA450" s="5"/>
      <c r="BB450" s="25">
        <f ca="1">Table1[[#This Row],[Mortage Left]]/Table1[[#This Row],[Value of House]]</f>
        <v>0.81507029580366885</v>
      </c>
      <c r="BC450" s="20">
        <f t="shared" ca="1" si="20"/>
        <v>0</v>
      </c>
      <c r="BD450" s="20"/>
      <c r="BE450" s="20"/>
      <c r="BF450" s="20"/>
      <c r="BG450" s="6">
        <f ca="1">IF(Table1[[#This Row],[County]]="Cumbria",Table1[[#This Row],[income]],0)</f>
        <v>0</v>
      </c>
      <c r="BH450" s="20">
        <f ca="1">IF(Table1[[#This Row],[County]]="Cheshire",Table1[[#This Row],[income]],0)</f>
        <v>0</v>
      </c>
      <c r="BI450" s="20">
        <f ca="1">IF(Table1[[#This Row],[County]]="Bristol",Table1[[#This Row],[income]],0)</f>
        <v>0</v>
      </c>
      <c r="BJ450" s="20">
        <f ca="1">IF(Table1[[#This Row],[County]]="Surrey",Table1[[#This Row],[income]],0)</f>
        <v>0</v>
      </c>
      <c r="BK450" s="20">
        <f ca="1">IF(Table1[[#This Row],[County]]="Norfolk",Table1[[#This Row],[income]],0)</f>
        <v>0</v>
      </c>
      <c r="BL450" s="20">
        <f ca="1">IF(Table1[[#This Row],[County]]="Lincolnshire",Table1[[#This Row],[income]],0)</f>
        <v>0</v>
      </c>
      <c r="BM450" s="20">
        <f ca="1">IF(Table1[[#This Row],[County]]="Somerset",Table1[[#This Row],[income]],0)</f>
        <v>0</v>
      </c>
      <c r="BN450" s="20">
        <f ca="1">IF(Table1[[#This Row],[County]]="Cambridgeshire",Table1[[#This Row],[income]],0)</f>
        <v>0</v>
      </c>
      <c r="BO450" s="20">
        <f ca="1">IF(Table1[[#This Row],[County]]="South Yorkshire",Table1[[#This Row],[income]],0)</f>
        <v>0</v>
      </c>
      <c r="BP450" s="20">
        <f ca="1">IF(Table1[[#This Row],[County]]="Greater London",Table1[[#This Row],[income]],0)</f>
        <v>0</v>
      </c>
      <c r="BQ450" s="20">
        <f ca="1">IF(Table1[[#This Row],[County]]="Hampshire",Table1[[#This Row],[income]],0)</f>
        <v>0</v>
      </c>
      <c r="BR450" s="20">
        <f ca="1">IF(Table1[[#This Row],[County]]="Gloucestershire",Table1[[#This Row],[income]],0)</f>
        <v>0</v>
      </c>
      <c r="BS450" s="20">
        <f ca="1">IF(Table1[[#This Row],[County]]="West Sussex",Table1[[#This Row],[income]],0)</f>
        <v>0</v>
      </c>
      <c r="BT450" s="20">
        <f ca="1">IF(Table1[[#This Row],[County]]="Devon",Table1[[#This Row],[income]],0)</f>
        <v>0</v>
      </c>
      <c r="BU450" s="20">
        <f ca="1">IF(Table1[[#This Row],[County]]="Berkshire",Table1[[#This Row],[income]],0)</f>
        <v>40138</v>
      </c>
      <c r="BV450" s="20">
        <f ca="1">IF(Table1[[#This Row],[County]]="Staffordshire",Table1[[#This Row],[income]],0)</f>
        <v>0</v>
      </c>
      <c r="BW450" s="20">
        <f ca="1">IF(Table1[[#This Row],[County]]="Leicestershire",Table1[[#This Row],[income]],0)</f>
        <v>0</v>
      </c>
      <c r="BX450" s="20">
        <f ca="1">IF(Table1[[#This Row],[County]]="Cornwall",Table1[[#This Row],[income]],0)</f>
        <v>0</v>
      </c>
      <c r="BY450" s="20">
        <f ca="1">IF(Table1[[#This Row],[County]]="Isle of Wight",Table1[[#This Row],[income]],0)</f>
        <v>0</v>
      </c>
      <c r="BZ450" s="20">
        <f ca="1">IF(Table1[[#This Row],[County]]="Surrey",Table1[[#This Row],[income]],0)</f>
        <v>0</v>
      </c>
      <c r="CA450" s="20">
        <f ca="1">IF(Table1[[#This Row],[County]]="Derbyshire",Table1[[#This Row],[income]],0)</f>
        <v>0</v>
      </c>
      <c r="CB450" s="20">
        <f ca="1">IF(Table1[[#This Row],[County]]="City of London",Table1[[#This Row],[income]],0)</f>
        <v>0</v>
      </c>
      <c r="CC450" s="20">
        <f ca="1">IF(Table1[[#This Row],[County]]="Bedfordshire",Table1[[#This Row],[income]],0)</f>
        <v>0</v>
      </c>
      <c r="CD450" s="20">
        <f ca="1">IF(Table1[[#This Row],[County]]="County Durham",Table1[[#This Row],[income]],0)</f>
        <v>0</v>
      </c>
      <c r="CE450" s="20">
        <f ca="1">IF(Table1[[#This Row],[County]]="East Riding of Yorkshire",Table1[[#This Row],[income]],0)</f>
        <v>0</v>
      </c>
      <c r="CF450" s="20">
        <f ca="1">IF(Table1[[#This Row],[County]]="West Yorkshire",Table1[[#This Row],[income]],0)</f>
        <v>0</v>
      </c>
      <c r="CG450" s="20">
        <f ca="1">IF(Table1[[#This Row],[County]]="Essex",Table1[[#This Row],[income]],0)</f>
        <v>0</v>
      </c>
      <c r="CH450" s="20">
        <f ca="1">IF(Table1[[#This Row],[County]]="East Sussex",Table1[[#This Row],[income]],0)</f>
        <v>0</v>
      </c>
      <c r="CI450" s="20">
        <f ca="1">IF(Table1[[#This Row],[County]]="Greater Manchester",Table1[[#This Row],[income]],0)</f>
        <v>0</v>
      </c>
      <c r="CJ450" s="20">
        <f ca="1">IF(Table1[[#This Row],[County]]="Hertfordshire",Table1[[#This Row],[income]],0)</f>
        <v>0</v>
      </c>
      <c r="CK450" s="20">
        <f ca="1">IF(Table1[[#This Row],[County]]="Herefordshire",Table1[[#This Row],[income]],0)</f>
        <v>0</v>
      </c>
      <c r="CL450" s="20">
        <f ca="1">IF(Table1[[#This Row],[County]]="Lancashire",Table1[[#This Row],[income]],0)</f>
        <v>0</v>
      </c>
      <c r="CM450" s="20">
        <f ca="1">IF(Table1[[#This Row],[County]]="Merseyside",Table1[[#This Row],[income]],0)</f>
        <v>0</v>
      </c>
      <c r="CN450" s="20">
        <f ca="1">IF(Table1[[#This Row],[County]]="Northamptonshire",Table1[[#This Row],[income]],0)</f>
        <v>0</v>
      </c>
      <c r="CO450" s="20">
        <f ca="1">IF(Table1[[#This Row],[County]]="Northumberland",Table1[[#This Row],[income]],0)</f>
        <v>0</v>
      </c>
      <c r="CP450" s="20">
        <f ca="1">IF(Table1[[#This Row],[County]]="Wiltshire",Table1[[#This Row],[income]],0)</f>
        <v>0</v>
      </c>
      <c r="CQ450" s="20">
        <f ca="1">IF(Table1[[#This Row],[County]]="West Midlands",Table1[[#This Row],[income]],0)</f>
        <v>0</v>
      </c>
      <c r="CR450" s="20">
        <f ca="1">IF(Table1[[#This Row],[County]]="Warwickshire",Table1[[#This Row],[income]],0)</f>
        <v>0</v>
      </c>
      <c r="CS450" s="20">
        <f ca="1">IF(Table1[[#This Row],[County]]="Tyne and Wear",Table1[[#This Row],[income]],0)</f>
        <v>0</v>
      </c>
      <c r="CT450" s="20">
        <f ca="1">IF(Table1[[#This Row],[County]]="Worcestershire",Table1[[#This Row],[income]],0)</f>
        <v>0</v>
      </c>
      <c r="CU450" s="20">
        <f ca="1">IF(Table1[[#This Row],[County]]="Rutland",Table1[[#This Row],[income]],0)</f>
        <v>0</v>
      </c>
      <c r="CV450" s="20">
        <f ca="1">IF(Table1[[#This Row],[County]]="Shropshire",Table1[[#This Row],[income]],0)</f>
        <v>0</v>
      </c>
      <c r="CW450" s="20">
        <f ca="1">IF(Table1[[#This Row],[County]]="Dorset",Table1[[#This Row],[income]],0)</f>
        <v>0</v>
      </c>
      <c r="CX450" s="20">
        <f ca="1">IF(Table1[[#This Row],[County]]="Buckinghamshire",Table1[[#This Row],[income]],0)</f>
        <v>0</v>
      </c>
      <c r="CY450" s="20">
        <f ca="1">IF(Table1[[#This Row],[County]]="Suffolk",Table1[[#This Row],[income]],0)</f>
        <v>0</v>
      </c>
      <c r="CZ450" s="20">
        <f ca="1">IF(Table1[[#This Row],[County]]="North Yorkshire",Table1[[#This Row],[income]],0)</f>
        <v>0</v>
      </c>
      <c r="DA450" s="20">
        <f ca="1">IF(Table1[[#This Row],[County]]="Kent",Table1[[#This Row],[income]],0)</f>
        <v>0</v>
      </c>
      <c r="DB450" s="5">
        <f ca="1">IF(Table1[[#This Row],[County]]="Derbyshire",Table1[[#This Row],[income]],0)</f>
        <v>0</v>
      </c>
      <c r="DD450" s="6">
        <f ca="1">IF(Table1[[#This Row],[Column1]]="Health",Table1[[#This Row],[income]],0)</f>
        <v>0</v>
      </c>
      <c r="DE450" s="20">
        <f ca="1">IF(Table1[[#This Row],[Column1]]="Agriculture",Table1[[#This Row],[income]],0)</f>
        <v>40138</v>
      </c>
      <c r="DF450" s="20">
        <f ca="1">IF(Table1[[#This Row],[Column1]]="Technology",Table1[[#This Row],[income]],0)</f>
        <v>0</v>
      </c>
      <c r="DG450" s="20">
        <f ca="1">IF(Table1[[#This Row],[Column1]]="Social Service",Table1[[#This Row],[income]],0)</f>
        <v>0</v>
      </c>
      <c r="DH450" s="20">
        <f ca="1">IF(Table1[[#This Row],[Column1]]="Education",Table1[[#This Row],[income]],0)</f>
        <v>0</v>
      </c>
      <c r="DI450" s="5">
        <f ca="1">IF(Table1[[#This Row],[Column1]]="Construction",Table1[[#This Row],[income]],0)</f>
        <v>0</v>
      </c>
      <c r="DK450" s="6">
        <f ca="1">IF(Table1[[#This Row],[Value of Debts]]&gt;Table1[[#This Row],[income]],1,0)</f>
        <v>1</v>
      </c>
      <c r="DL450" s="20"/>
      <c r="DM450" s="20"/>
      <c r="DN450" s="5"/>
      <c r="DP450" s="6">
        <f ca="1">IF(Table1[[#This Row],[Net Worth (£)]]&gt;$DS$5,C450,0)</f>
        <v>0</v>
      </c>
      <c r="DQ450" s="20"/>
      <c r="DR450" s="20"/>
      <c r="DS450" s="5"/>
    </row>
    <row r="451" spans="1:123" x14ac:dyDescent="0.2">
      <c r="A451">
        <f t="shared" ca="1" si="19"/>
        <v>1</v>
      </c>
      <c r="B451" s="1" t="str">
        <f ca="1">IF(A451=1, "men", "women")</f>
        <v>men</v>
      </c>
      <c r="C451" s="1">
        <f ca="1">RANDBETWEEN(25,50)</f>
        <v>30</v>
      </c>
      <c r="D451">
        <f ca="1">RANDBETWEEN(1,6)</f>
        <v>4</v>
      </c>
      <c r="E451" t="str">
        <f ca="1">VLOOKUP(D451,$W$5:$X$10,2)</f>
        <v>Technology</v>
      </c>
      <c r="F451">
        <f ca="1">RANDBETWEEN(1,5)</f>
        <v>2</v>
      </c>
      <c r="G451" t="str">
        <f ca="1">VLOOKUP(F451,$Y$5:$Z$9,2)</f>
        <v>College</v>
      </c>
      <c r="H451">
        <f ca="1">RANDBETWEEN(0,4)</f>
        <v>1</v>
      </c>
      <c r="I451">
        <f ca="1">RANDBETWEEN(1,3)</f>
        <v>3</v>
      </c>
      <c r="J451">
        <f ca="1">RANDBETWEEN(30000,100000)</f>
        <v>32975</v>
      </c>
      <c r="K451">
        <f ca="1">RANDBETWEEN(1,48)</f>
        <v>48</v>
      </c>
      <c r="L451" t="str">
        <f ca="1">VLOOKUP(K451,$AA$5:$AB$52,2)</f>
        <v>Worcestershire</v>
      </c>
      <c r="M451">
        <f ca="1">J451*(RANDBETWEEN(2,5))</f>
        <v>131900</v>
      </c>
      <c r="N451">
        <f ca="1">RAND()*M451</f>
        <v>72583.064706419143</v>
      </c>
      <c r="O451">
        <f ca="1">I451*RAND()*J451</f>
        <v>73970.161919390084</v>
      </c>
      <c r="P451">
        <f ca="1">RANDBETWEEN(0,O451)</f>
        <v>16662</v>
      </c>
      <c r="Q451">
        <f ca="1">RAND()*J451*2</f>
        <v>12224.620999517956</v>
      </c>
      <c r="R451">
        <f ca="1">RAND()*J451*1.5</f>
        <v>48161.80988264484</v>
      </c>
      <c r="S451">
        <f ca="1">J451+R451+O451</f>
        <v>155106.97180203494</v>
      </c>
      <c r="T451">
        <f ca="1">N451+P451+Q451</f>
        <v>101469.6857059371</v>
      </c>
      <c r="U451">
        <f ca="1">S451-T451</f>
        <v>53637.286096097843</v>
      </c>
      <c r="AC451" s="6">
        <f ca="1">IF(Table1[[#This Row],[gender]]="men",1,0)</f>
        <v>1</v>
      </c>
      <c r="AD451">
        <f ca="1">IF(Table1[[#This Row],[gender]]="women",1,0)</f>
        <v>0</v>
      </c>
      <c r="AH451" s="5"/>
      <c r="AJ451" s="6">
        <f ca="1">IF(Table1[[#This Row],[Column1]]="Health",1,0)</f>
        <v>0</v>
      </c>
      <c r="AK451">
        <f ca="1">IF(Table1[[#This Row],[Column1]]="Construction",1,0)</f>
        <v>0</v>
      </c>
      <c r="AL451">
        <f ca="1">IF(Table1[[#This Row],[Column1]]="Technology",1,0)</f>
        <v>1</v>
      </c>
      <c r="AM451">
        <f ca="1">IF(Table1[[#This Row],[Column1]]="Education",1,0)</f>
        <v>0</v>
      </c>
      <c r="AN451">
        <f ca="1">IF(Table1[[#This Row],[Column1]]="Agriculture",1,0)</f>
        <v>0</v>
      </c>
      <c r="AO451">
        <f ca="1">IF(Table1[[#This Row],[Column1]]="Social Service", 1, 0)</f>
        <v>0</v>
      </c>
      <c r="AT451" s="5"/>
      <c r="AV451" s="17">
        <f t="shared" ca="1" si="18"/>
        <v>99.030501226222555</v>
      </c>
      <c r="AW451" s="5"/>
      <c r="AX451" s="6">
        <f ca="1">IF(Table1[[#This Row],[Value of Debts]]&gt;$AY$4,1,0)</f>
        <v>1</v>
      </c>
      <c r="AY451" s="20"/>
      <c r="AZ451" s="20"/>
      <c r="BA451" s="5"/>
      <c r="BB451" s="25">
        <f ca="1">Table1[[#This Row],[Mortage Left]]/Table1[[#This Row],[Value of House]]</f>
        <v>0.55028858761500488</v>
      </c>
      <c r="BC451" s="20">
        <f t="shared" ca="1" si="20"/>
        <v>0</v>
      </c>
      <c r="BD451" s="20"/>
      <c r="BE451" s="20"/>
      <c r="BF451" s="20"/>
      <c r="BG451" s="6">
        <f ca="1">IF(Table1[[#This Row],[County]]="Cumbria",Table1[[#This Row],[income]],0)</f>
        <v>0</v>
      </c>
      <c r="BH451" s="20">
        <f ca="1">IF(Table1[[#This Row],[County]]="Cheshire",Table1[[#This Row],[income]],0)</f>
        <v>0</v>
      </c>
      <c r="BI451" s="20">
        <f ca="1">IF(Table1[[#This Row],[County]]="Bristol",Table1[[#This Row],[income]],0)</f>
        <v>0</v>
      </c>
      <c r="BJ451" s="20">
        <f ca="1">IF(Table1[[#This Row],[County]]="Surrey",Table1[[#This Row],[income]],0)</f>
        <v>0</v>
      </c>
      <c r="BK451" s="20">
        <f ca="1">IF(Table1[[#This Row],[County]]="Norfolk",Table1[[#This Row],[income]],0)</f>
        <v>0</v>
      </c>
      <c r="BL451" s="20">
        <f ca="1">IF(Table1[[#This Row],[County]]="Lincolnshire",Table1[[#This Row],[income]],0)</f>
        <v>0</v>
      </c>
      <c r="BM451" s="20">
        <f ca="1">IF(Table1[[#This Row],[County]]="Somerset",Table1[[#This Row],[income]],0)</f>
        <v>0</v>
      </c>
      <c r="BN451" s="20">
        <f ca="1">IF(Table1[[#This Row],[County]]="Cambridgeshire",Table1[[#This Row],[income]],0)</f>
        <v>0</v>
      </c>
      <c r="BO451" s="20">
        <f ca="1">IF(Table1[[#This Row],[County]]="South Yorkshire",Table1[[#This Row],[income]],0)</f>
        <v>0</v>
      </c>
      <c r="BP451" s="20">
        <f ca="1">IF(Table1[[#This Row],[County]]="Greater London",Table1[[#This Row],[income]],0)</f>
        <v>0</v>
      </c>
      <c r="BQ451" s="20">
        <f ca="1">IF(Table1[[#This Row],[County]]="Hampshire",Table1[[#This Row],[income]],0)</f>
        <v>0</v>
      </c>
      <c r="BR451" s="20">
        <f ca="1">IF(Table1[[#This Row],[County]]="Gloucestershire",Table1[[#This Row],[income]],0)</f>
        <v>0</v>
      </c>
      <c r="BS451" s="20">
        <f ca="1">IF(Table1[[#This Row],[County]]="West Sussex",Table1[[#This Row],[income]],0)</f>
        <v>0</v>
      </c>
      <c r="BT451" s="20">
        <f ca="1">IF(Table1[[#This Row],[County]]="Devon",Table1[[#This Row],[income]],0)</f>
        <v>0</v>
      </c>
      <c r="BU451" s="20">
        <f ca="1">IF(Table1[[#This Row],[County]]="Berkshire",Table1[[#This Row],[income]],0)</f>
        <v>0</v>
      </c>
      <c r="BV451" s="20">
        <f ca="1">IF(Table1[[#This Row],[County]]="Staffordshire",Table1[[#This Row],[income]],0)</f>
        <v>0</v>
      </c>
      <c r="BW451" s="20">
        <f ca="1">IF(Table1[[#This Row],[County]]="Leicestershire",Table1[[#This Row],[income]],0)</f>
        <v>0</v>
      </c>
      <c r="BX451" s="20">
        <f ca="1">IF(Table1[[#This Row],[County]]="Cornwall",Table1[[#This Row],[income]],0)</f>
        <v>0</v>
      </c>
      <c r="BY451" s="20">
        <f ca="1">IF(Table1[[#This Row],[County]]="Isle of Wight",Table1[[#This Row],[income]],0)</f>
        <v>0</v>
      </c>
      <c r="BZ451" s="20">
        <f ca="1">IF(Table1[[#This Row],[County]]="Surrey",Table1[[#This Row],[income]],0)</f>
        <v>0</v>
      </c>
      <c r="CA451" s="20">
        <f ca="1">IF(Table1[[#This Row],[County]]="Derbyshire",Table1[[#This Row],[income]],0)</f>
        <v>0</v>
      </c>
      <c r="CB451" s="20">
        <f ca="1">IF(Table1[[#This Row],[County]]="City of London",Table1[[#This Row],[income]],0)</f>
        <v>0</v>
      </c>
      <c r="CC451" s="20">
        <f ca="1">IF(Table1[[#This Row],[County]]="Bedfordshire",Table1[[#This Row],[income]],0)</f>
        <v>0</v>
      </c>
      <c r="CD451" s="20">
        <f ca="1">IF(Table1[[#This Row],[County]]="County Durham",Table1[[#This Row],[income]],0)</f>
        <v>0</v>
      </c>
      <c r="CE451" s="20">
        <f ca="1">IF(Table1[[#This Row],[County]]="East Riding of Yorkshire",Table1[[#This Row],[income]],0)</f>
        <v>0</v>
      </c>
      <c r="CF451" s="20">
        <f ca="1">IF(Table1[[#This Row],[County]]="West Yorkshire",Table1[[#This Row],[income]],0)</f>
        <v>0</v>
      </c>
      <c r="CG451" s="20">
        <f ca="1">IF(Table1[[#This Row],[County]]="Essex",Table1[[#This Row],[income]],0)</f>
        <v>0</v>
      </c>
      <c r="CH451" s="20">
        <f ca="1">IF(Table1[[#This Row],[County]]="East Sussex",Table1[[#This Row],[income]],0)</f>
        <v>0</v>
      </c>
      <c r="CI451" s="20">
        <f ca="1">IF(Table1[[#This Row],[County]]="Greater Manchester",Table1[[#This Row],[income]],0)</f>
        <v>0</v>
      </c>
      <c r="CJ451" s="20">
        <f ca="1">IF(Table1[[#This Row],[County]]="Hertfordshire",Table1[[#This Row],[income]],0)</f>
        <v>0</v>
      </c>
      <c r="CK451" s="20">
        <f ca="1">IF(Table1[[#This Row],[County]]="Herefordshire",Table1[[#This Row],[income]],0)</f>
        <v>0</v>
      </c>
      <c r="CL451" s="20">
        <f ca="1">IF(Table1[[#This Row],[County]]="Lancashire",Table1[[#This Row],[income]],0)</f>
        <v>0</v>
      </c>
      <c r="CM451" s="20">
        <f ca="1">IF(Table1[[#This Row],[County]]="Merseyside",Table1[[#This Row],[income]],0)</f>
        <v>0</v>
      </c>
      <c r="CN451" s="20">
        <f ca="1">IF(Table1[[#This Row],[County]]="Northamptonshire",Table1[[#This Row],[income]],0)</f>
        <v>0</v>
      </c>
      <c r="CO451" s="20">
        <f ca="1">IF(Table1[[#This Row],[County]]="Northumberland",Table1[[#This Row],[income]],0)</f>
        <v>0</v>
      </c>
      <c r="CP451" s="20">
        <f ca="1">IF(Table1[[#This Row],[County]]="Wiltshire",Table1[[#This Row],[income]],0)</f>
        <v>0</v>
      </c>
      <c r="CQ451" s="20">
        <f ca="1">IF(Table1[[#This Row],[County]]="West Midlands",Table1[[#This Row],[income]],0)</f>
        <v>0</v>
      </c>
      <c r="CR451" s="20">
        <f ca="1">IF(Table1[[#This Row],[County]]="Warwickshire",Table1[[#This Row],[income]],0)</f>
        <v>0</v>
      </c>
      <c r="CS451" s="20">
        <f ca="1">IF(Table1[[#This Row],[County]]="Tyne and Wear",Table1[[#This Row],[income]],0)</f>
        <v>0</v>
      </c>
      <c r="CT451" s="20">
        <f ca="1">IF(Table1[[#This Row],[County]]="Worcestershire",Table1[[#This Row],[income]],0)</f>
        <v>32975</v>
      </c>
      <c r="CU451" s="20">
        <f ca="1">IF(Table1[[#This Row],[County]]="Rutland",Table1[[#This Row],[income]],0)</f>
        <v>0</v>
      </c>
      <c r="CV451" s="20">
        <f ca="1">IF(Table1[[#This Row],[County]]="Shropshire",Table1[[#This Row],[income]],0)</f>
        <v>0</v>
      </c>
      <c r="CW451" s="20">
        <f ca="1">IF(Table1[[#This Row],[County]]="Dorset",Table1[[#This Row],[income]],0)</f>
        <v>0</v>
      </c>
      <c r="CX451" s="20">
        <f ca="1">IF(Table1[[#This Row],[County]]="Buckinghamshire",Table1[[#This Row],[income]],0)</f>
        <v>0</v>
      </c>
      <c r="CY451" s="20">
        <f ca="1">IF(Table1[[#This Row],[County]]="Suffolk",Table1[[#This Row],[income]],0)</f>
        <v>0</v>
      </c>
      <c r="CZ451" s="20">
        <f ca="1">IF(Table1[[#This Row],[County]]="North Yorkshire",Table1[[#This Row],[income]],0)</f>
        <v>0</v>
      </c>
      <c r="DA451" s="20">
        <f ca="1">IF(Table1[[#This Row],[County]]="Kent",Table1[[#This Row],[income]],0)</f>
        <v>0</v>
      </c>
      <c r="DB451" s="5">
        <f ca="1">IF(Table1[[#This Row],[County]]="Derbyshire",Table1[[#This Row],[income]],0)</f>
        <v>0</v>
      </c>
      <c r="DD451" s="6">
        <f ca="1">IF(Table1[[#This Row],[Column1]]="Health",Table1[[#This Row],[income]],0)</f>
        <v>0</v>
      </c>
      <c r="DE451" s="20">
        <f ca="1">IF(Table1[[#This Row],[Column1]]="Agriculture",Table1[[#This Row],[income]],0)</f>
        <v>0</v>
      </c>
      <c r="DF451" s="20">
        <f ca="1">IF(Table1[[#This Row],[Column1]]="Technology",Table1[[#This Row],[income]],0)</f>
        <v>32975</v>
      </c>
      <c r="DG451" s="20">
        <f ca="1">IF(Table1[[#This Row],[Column1]]="Social Service",Table1[[#This Row],[income]],0)</f>
        <v>0</v>
      </c>
      <c r="DH451" s="20">
        <f ca="1">IF(Table1[[#This Row],[Column1]]="Education",Table1[[#This Row],[income]],0)</f>
        <v>0</v>
      </c>
      <c r="DI451" s="5">
        <f ca="1">IF(Table1[[#This Row],[Column1]]="Construction",Table1[[#This Row],[income]],0)</f>
        <v>0</v>
      </c>
      <c r="DK451" s="6">
        <f ca="1">IF(Table1[[#This Row],[Value of Debts]]&gt;Table1[[#This Row],[income]],1,0)</f>
        <v>1</v>
      </c>
      <c r="DL451" s="20"/>
      <c r="DM451" s="20"/>
      <c r="DN451" s="5"/>
      <c r="DP451" s="6">
        <f ca="1">IF(Table1[[#This Row],[Net Worth (£)]]&gt;$DS$5,C451,0)</f>
        <v>30</v>
      </c>
      <c r="DQ451" s="20"/>
      <c r="DR451" s="20"/>
      <c r="DS451" s="5"/>
    </row>
    <row r="452" spans="1:123" x14ac:dyDescent="0.2">
      <c r="A452">
        <f t="shared" ca="1" si="19"/>
        <v>2</v>
      </c>
      <c r="B452" s="1" t="str">
        <f ca="1">IF(A452=1, "men", "women")</f>
        <v>women</v>
      </c>
      <c r="C452" s="1">
        <f ca="1">RANDBETWEEN(25,50)</f>
        <v>35</v>
      </c>
      <c r="D452">
        <f ca="1">RANDBETWEEN(1,6)</f>
        <v>1</v>
      </c>
      <c r="E452" t="str">
        <f ca="1">VLOOKUP(D452,$W$5:$X$10,2)</f>
        <v>Health</v>
      </c>
      <c r="F452">
        <f ca="1">RANDBETWEEN(1,5)</f>
        <v>3</v>
      </c>
      <c r="G452" t="str">
        <f ca="1">VLOOKUP(F452,$Y$5:$Z$9,2)</f>
        <v>University</v>
      </c>
      <c r="H452">
        <f ca="1">RANDBETWEEN(0,4)</f>
        <v>0</v>
      </c>
      <c r="I452">
        <f ca="1">RANDBETWEEN(1,3)</f>
        <v>2</v>
      </c>
      <c r="J452">
        <f ca="1">RANDBETWEEN(30000,100000)</f>
        <v>60899</v>
      </c>
      <c r="K452">
        <f ca="1">RANDBETWEEN(1,48)</f>
        <v>41</v>
      </c>
      <c r="L452" t="str">
        <f ca="1">VLOOKUP(K452,$AA$5:$AB$52,2)</f>
        <v>Surrey</v>
      </c>
      <c r="M452">
        <f ca="1">J452*(RANDBETWEEN(2,5))</f>
        <v>121798</v>
      </c>
      <c r="N452">
        <f ca="1">RAND()*M452</f>
        <v>92997.289751239339</v>
      </c>
      <c r="O452">
        <f ca="1">I452*RAND()*J452</f>
        <v>198.06100245244511</v>
      </c>
      <c r="P452">
        <f ca="1">RANDBETWEEN(0,O452)</f>
        <v>185</v>
      </c>
      <c r="Q452">
        <f ca="1">RAND()*J452*2</f>
        <v>99913.981677044663</v>
      </c>
      <c r="R452">
        <f ca="1">RAND()*J452*1.5</f>
        <v>13719.160056685758</v>
      </c>
      <c r="S452">
        <f ca="1">J452+R452+O452</f>
        <v>74816.221059138203</v>
      </c>
      <c r="T452">
        <f ca="1">N452+P452+Q452</f>
        <v>193096.271428284</v>
      </c>
      <c r="U452">
        <f ca="1">S452-T452</f>
        <v>-118280.0503691458</v>
      </c>
      <c r="AC452" s="6">
        <f ca="1">IF(Table1[[#This Row],[gender]]="men",1,0)</f>
        <v>0</v>
      </c>
      <c r="AD452">
        <f ca="1">IF(Table1[[#This Row],[gender]]="women",1,0)</f>
        <v>1</v>
      </c>
      <c r="AH452" s="5"/>
      <c r="AJ452" s="6">
        <f ca="1">IF(Table1[[#This Row],[Column1]]="Health",1,0)</f>
        <v>1</v>
      </c>
      <c r="AK452">
        <f ca="1">IF(Table1[[#This Row],[Column1]]="Construction",1,0)</f>
        <v>0</v>
      </c>
      <c r="AL452">
        <f ca="1">IF(Table1[[#This Row],[Column1]]="Technology",1,0)</f>
        <v>0</v>
      </c>
      <c r="AM452">
        <f ca="1">IF(Table1[[#This Row],[Column1]]="Education",1,0)</f>
        <v>0</v>
      </c>
      <c r="AN452">
        <f ca="1">IF(Table1[[#This Row],[Column1]]="Agriculture",1,0)</f>
        <v>0</v>
      </c>
      <c r="AO452">
        <f ca="1">IF(Table1[[#This Row],[Column1]]="Social Service", 1, 0)</f>
        <v>0</v>
      </c>
      <c r="AT452" s="5"/>
      <c r="AV452" s="17">
        <f t="shared" ca="1" si="18"/>
        <v>22402.610658655263</v>
      </c>
      <c r="AW452" s="5"/>
      <c r="AX452" s="6">
        <f ca="1">IF(Table1[[#This Row],[Value of Debts]]&gt;$AY$4,1,0)</f>
        <v>1</v>
      </c>
      <c r="AY452" s="20"/>
      <c r="AZ452" s="20"/>
      <c r="BA452" s="5"/>
      <c r="BB452" s="25">
        <f ca="1">Table1[[#This Row],[Mortage Left]]/Table1[[#This Row],[Value of House]]</f>
        <v>0.76353708395244047</v>
      </c>
      <c r="BC452" s="20">
        <f t="shared" ca="1" si="20"/>
        <v>0</v>
      </c>
      <c r="BD452" s="20"/>
      <c r="BE452" s="20"/>
      <c r="BF452" s="20"/>
      <c r="BG452" s="6">
        <f ca="1">IF(Table1[[#This Row],[County]]="Cumbria",Table1[[#This Row],[income]],0)</f>
        <v>0</v>
      </c>
      <c r="BH452" s="20">
        <f ca="1">IF(Table1[[#This Row],[County]]="Cheshire",Table1[[#This Row],[income]],0)</f>
        <v>0</v>
      </c>
      <c r="BI452" s="20">
        <f ca="1">IF(Table1[[#This Row],[County]]="Bristol",Table1[[#This Row],[income]],0)</f>
        <v>0</v>
      </c>
      <c r="BJ452" s="20">
        <f ca="1">IF(Table1[[#This Row],[County]]="Surrey",Table1[[#This Row],[income]],0)</f>
        <v>60899</v>
      </c>
      <c r="BK452" s="20">
        <f ca="1">IF(Table1[[#This Row],[County]]="Norfolk",Table1[[#This Row],[income]],0)</f>
        <v>0</v>
      </c>
      <c r="BL452" s="20">
        <f ca="1">IF(Table1[[#This Row],[County]]="Lincolnshire",Table1[[#This Row],[income]],0)</f>
        <v>0</v>
      </c>
      <c r="BM452" s="20">
        <f ca="1">IF(Table1[[#This Row],[County]]="Somerset",Table1[[#This Row],[income]],0)</f>
        <v>0</v>
      </c>
      <c r="BN452" s="20">
        <f ca="1">IF(Table1[[#This Row],[County]]="Cambridgeshire",Table1[[#This Row],[income]],0)</f>
        <v>0</v>
      </c>
      <c r="BO452" s="20">
        <f ca="1">IF(Table1[[#This Row],[County]]="South Yorkshire",Table1[[#This Row],[income]],0)</f>
        <v>0</v>
      </c>
      <c r="BP452" s="20">
        <f ca="1">IF(Table1[[#This Row],[County]]="Greater London",Table1[[#This Row],[income]],0)</f>
        <v>0</v>
      </c>
      <c r="BQ452" s="20">
        <f ca="1">IF(Table1[[#This Row],[County]]="Hampshire",Table1[[#This Row],[income]],0)</f>
        <v>0</v>
      </c>
      <c r="BR452" s="20">
        <f ca="1">IF(Table1[[#This Row],[County]]="Gloucestershire",Table1[[#This Row],[income]],0)</f>
        <v>0</v>
      </c>
      <c r="BS452" s="20">
        <f ca="1">IF(Table1[[#This Row],[County]]="West Sussex",Table1[[#This Row],[income]],0)</f>
        <v>0</v>
      </c>
      <c r="BT452" s="20">
        <f ca="1">IF(Table1[[#This Row],[County]]="Devon",Table1[[#This Row],[income]],0)</f>
        <v>0</v>
      </c>
      <c r="BU452" s="20">
        <f ca="1">IF(Table1[[#This Row],[County]]="Berkshire",Table1[[#This Row],[income]],0)</f>
        <v>0</v>
      </c>
      <c r="BV452" s="20">
        <f ca="1">IF(Table1[[#This Row],[County]]="Staffordshire",Table1[[#This Row],[income]],0)</f>
        <v>0</v>
      </c>
      <c r="BW452" s="20">
        <f ca="1">IF(Table1[[#This Row],[County]]="Leicestershire",Table1[[#This Row],[income]],0)</f>
        <v>0</v>
      </c>
      <c r="BX452" s="20">
        <f ca="1">IF(Table1[[#This Row],[County]]="Cornwall",Table1[[#This Row],[income]],0)</f>
        <v>0</v>
      </c>
      <c r="BY452" s="20">
        <f ca="1">IF(Table1[[#This Row],[County]]="Isle of Wight",Table1[[#This Row],[income]],0)</f>
        <v>0</v>
      </c>
      <c r="BZ452" s="20">
        <f ca="1">IF(Table1[[#This Row],[County]]="Surrey",Table1[[#This Row],[income]],0)</f>
        <v>60899</v>
      </c>
      <c r="CA452" s="20">
        <f ca="1">IF(Table1[[#This Row],[County]]="Derbyshire",Table1[[#This Row],[income]],0)</f>
        <v>0</v>
      </c>
      <c r="CB452" s="20">
        <f ca="1">IF(Table1[[#This Row],[County]]="City of London",Table1[[#This Row],[income]],0)</f>
        <v>0</v>
      </c>
      <c r="CC452" s="20">
        <f ca="1">IF(Table1[[#This Row],[County]]="Bedfordshire",Table1[[#This Row],[income]],0)</f>
        <v>0</v>
      </c>
      <c r="CD452" s="20">
        <f ca="1">IF(Table1[[#This Row],[County]]="County Durham",Table1[[#This Row],[income]],0)</f>
        <v>0</v>
      </c>
      <c r="CE452" s="20">
        <f ca="1">IF(Table1[[#This Row],[County]]="East Riding of Yorkshire",Table1[[#This Row],[income]],0)</f>
        <v>0</v>
      </c>
      <c r="CF452" s="20">
        <f ca="1">IF(Table1[[#This Row],[County]]="West Yorkshire",Table1[[#This Row],[income]],0)</f>
        <v>0</v>
      </c>
      <c r="CG452" s="20">
        <f ca="1">IF(Table1[[#This Row],[County]]="Essex",Table1[[#This Row],[income]],0)</f>
        <v>0</v>
      </c>
      <c r="CH452" s="20">
        <f ca="1">IF(Table1[[#This Row],[County]]="East Sussex",Table1[[#This Row],[income]],0)</f>
        <v>0</v>
      </c>
      <c r="CI452" s="20">
        <f ca="1">IF(Table1[[#This Row],[County]]="Greater Manchester",Table1[[#This Row],[income]],0)</f>
        <v>0</v>
      </c>
      <c r="CJ452" s="20">
        <f ca="1">IF(Table1[[#This Row],[County]]="Hertfordshire",Table1[[#This Row],[income]],0)</f>
        <v>0</v>
      </c>
      <c r="CK452" s="20">
        <f ca="1">IF(Table1[[#This Row],[County]]="Herefordshire",Table1[[#This Row],[income]],0)</f>
        <v>0</v>
      </c>
      <c r="CL452" s="20">
        <f ca="1">IF(Table1[[#This Row],[County]]="Lancashire",Table1[[#This Row],[income]],0)</f>
        <v>0</v>
      </c>
      <c r="CM452" s="20">
        <f ca="1">IF(Table1[[#This Row],[County]]="Merseyside",Table1[[#This Row],[income]],0)</f>
        <v>0</v>
      </c>
      <c r="CN452" s="20">
        <f ca="1">IF(Table1[[#This Row],[County]]="Northamptonshire",Table1[[#This Row],[income]],0)</f>
        <v>0</v>
      </c>
      <c r="CO452" s="20">
        <f ca="1">IF(Table1[[#This Row],[County]]="Northumberland",Table1[[#This Row],[income]],0)</f>
        <v>0</v>
      </c>
      <c r="CP452" s="20">
        <f ca="1">IF(Table1[[#This Row],[County]]="Wiltshire",Table1[[#This Row],[income]],0)</f>
        <v>0</v>
      </c>
      <c r="CQ452" s="20">
        <f ca="1">IF(Table1[[#This Row],[County]]="West Midlands",Table1[[#This Row],[income]],0)</f>
        <v>0</v>
      </c>
      <c r="CR452" s="20">
        <f ca="1">IF(Table1[[#This Row],[County]]="Warwickshire",Table1[[#This Row],[income]],0)</f>
        <v>0</v>
      </c>
      <c r="CS452" s="20">
        <f ca="1">IF(Table1[[#This Row],[County]]="Tyne and Wear",Table1[[#This Row],[income]],0)</f>
        <v>0</v>
      </c>
      <c r="CT452" s="20">
        <f ca="1">IF(Table1[[#This Row],[County]]="Worcestershire",Table1[[#This Row],[income]],0)</f>
        <v>0</v>
      </c>
      <c r="CU452" s="20">
        <f ca="1">IF(Table1[[#This Row],[County]]="Rutland",Table1[[#This Row],[income]],0)</f>
        <v>0</v>
      </c>
      <c r="CV452" s="20">
        <f ca="1">IF(Table1[[#This Row],[County]]="Shropshire",Table1[[#This Row],[income]],0)</f>
        <v>0</v>
      </c>
      <c r="CW452" s="20">
        <f ca="1">IF(Table1[[#This Row],[County]]="Dorset",Table1[[#This Row],[income]],0)</f>
        <v>0</v>
      </c>
      <c r="CX452" s="20">
        <f ca="1">IF(Table1[[#This Row],[County]]="Buckinghamshire",Table1[[#This Row],[income]],0)</f>
        <v>0</v>
      </c>
      <c r="CY452" s="20">
        <f ca="1">IF(Table1[[#This Row],[County]]="Suffolk",Table1[[#This Row],[income]],0)</f>
        <v>0</v>
      </c>
      <c r="CZ452" s="20">
        <f ca="1">IF(Table1[[#This Row],[County]]="North Yorkshire",Table1[[#This Row],[income]],0)</f>
        <v>0</v>
      </c>
      <c r="DA452" s="20">
        <f ca="1">IF(Table1[[#This Row],[County]]="Kent",Table1[[#This Row],[income]],0)</f>
        <v>0</v>
      </c>
      <c r="DB452" s="5">
        <f ca="1">IF(Table1[[#This Row],[County]]="Derbyshire",Table1[[#This Row],[income]],0)</f>
        <v>0</v>
      </c>
      <c r="DD452" s="6">
        <f ca="1">IF(Table1[[#This Row],[Column1]]="Health",Table1[[#This Row],[income]],0)</f>
        <v>60899</v>
      </c>
      <c r="DE452" s="20">
        <f ca="1">IF(Table1[[#This Row],[Column1]]="Agriculture",Table1[[#This Row],[income]],0)</f>
        <v>0</v>
      </c>
      <c r="DF452" s="20">
        <f ca="1">IF(Table1[[#This Row],[Column1]]="Technology",Table1[[#This Row],[income]],0)</f>
        <v>0</v>
      </c>
      <c r="DG452" s="20">
        <f ca="1">IF(Table1[[#This Row],[Column1]]="Social Service",Table1[[#This Row],[income]],0)</f>
        <v>0</v>
      </c>
      <c r="DH452" s="20">
        <f ca="1">IF(Table1[[#This Row],[Column1]]="Education",Table1[[#This Row],[income]],0)</f>
        <v>0</v>
      </c>
      <c r="DI452" s="5">
        <f ca="1">IF(Table1[[#This Row],[Column1]]="Construction",Table1[[#This Row],[income]],0)</f>
        <v>0</v>
      </c>
      <c r="DK452" s="6">
        <f ca="1">IF(Table1[[#This Row],[Value of Debts]]&gt;Table1[[#This Row],[income]],1,0)</f>
        <v>1</v>
      </c>
      <c r="DL452" s="20"/>
      <c r="DM452" s="20"/>
      <c r="DN452" s="5"/>
      <c r="DP452" s="6">
        <f ca="1">IF(Table1[[#This Row],[Net Worth (£)]]&gt;$DS$5,C452,0)</f>
        <v>0</v>
      </c>
      <c r="DQ452" s="20"/>
      <c r="DR452" s="20"/>
      <c r="DS452" s="5"/>
    </row>
    <row r="453" spans="1:123" x14ac:dyDescent="0.2">
      <c r="A453">
        <f t="shared" ca="1" si="19"/>
        <v>2</v>
      </c>
      <c r="B453" s="1" t="str">
        <f ca="1">IF(A453=1, "men", "women")</f>
        <v>women</v>
      </c>
      <c r="C453" s="1">
        <f ca="1">RANDBETWEEN(25,50)</f>
        <v>35</v>
      </c>
      <c r="D453">
        <f ca="1">RANDBETWEEN(1,6)</f>
        <v>5</v>
      </c>
      <c r="E453" t="str">
        <f ca="1">VLOOKUP(D453,$W$5:$X$10,2)</f>
        <v>Social Service</v>
      </c>
      <c r="F453">
        <f ca="1">RANDBETWEEN(1,5)</f>
        <v>2</v>
      </c>
      <c r="G453" t="str">
        <f ca="1">VLOOKUP(F453,$Y$5:$Z$9,2)</f>
        <v>College</v>
      </c>
      <c r="H453">
        <f ca="1">RANDBETWEEN(0,4)</f>
        <v>0</v>
      </c>
      <c r="I453">
        <f ca="1">RANDBETWEEN(1,3)</f>
        <v>3</v>
      </c>
      <c r="J453">
        <f ca="1">RANDBETWEEN(30000,100000)</f>
        <v>55190</v>
      </c>
      <c r="K453">
        <f ca="1">RANDBETWEEN(1,48)</f>
        <v>21</v>
      </c>
      <c r="L453" t="str">
        <f ca="1">VLOOKUP(K453,$AA$5:$AB$52,2)</f>
        <v>Herefordshire</v>
      </c>
      <c r="M453">
        <f ca="1">J453*(RANDBETWEEN(2,5))</f>
        <v>220760</v>
      </c>
      <c r="N453">
        <f ca="1">RAND()*M453</f>
        <v>123269.13226365764</v>
      </c>
      <c r="O453">
        <f ca="1">I453*RAND()*J453</f>
        <v>67207.83197596579</v>
      </c>
      <c r="P453">
        <f ca="1">RANDBETWEEN(0,O453)</f>
        <v>66938</v>
      </c>
      <c r="Q453">
        <f ca="1">RAND()*J453*2</f>
        <v>2615.9194534064859</v>
      </c>
      <c r="R453">
        <f ca="1">RAND()*J453*1.5</f>
        <v>59003.642077935823</v>
      </c>
      <c r="S453">
        <f ca="1">J453+R453+O453</f>
        <v>181401.47405390162</v>
      </c>
      <c r="T453">
        <f ca="1">N453+P453+Q453</f>
        <v>192823.05171706411</v>
      </c>
      <c r="U453">
        <f ca="1">S453-T453</f>
        <v>-11421.57766316249</v>
      </c>
      <c r="AC453" s="6">
        <f ca="1">IF(Table1[[#This Row],[gender]]="men",1,0)</f>
        <v>0</v>
      </c>
      <c r="AD453">
        <f ca="1">IF(Table1[[#This Row],[gender]]="women",1,0)</f>
        <v>1</v>
      </c>
      <c r="AH453" s="5"/>
      <c r="AJ453" s="6">
        <f ca="1">IF(Table1[[#This Row],[Column1]]="Health",1,0)</f>
        <v>0</v>
      </c>
      <c r="AK453">
        <f ca="1">IF(Table1[[#This Row],[Column1]]="Construction",1,0)</f>
        <v>0</v>
      </c>
      <c r="AL453">
        <f ca="1">IF(Table1[[#This Row],[Column1]]="Technology",1,0)</f>
        <v>0</v>
      </c>
      <c r="AM453">
        <f ca="1">IF(Table1[[#This Row],[Column1]]="Education",1,0)</f>
        <v>0</v>
      </c>
      <c r="AN453">
        <f ca="1">IF(Table1[[#This Row],[Column1]]="Agriculture",1,0)</f>
        <v>0</v>
      </c>
      <c r="AO453">
        <f ca="1">IF(Table1[[#This Row],[Column1]]="Social Service", 1, 0)</f>
        <v>1</v>
      </c>
      <c r="AT453" s="5"/>
      <c r="AV453" s="17">
        <f t="shared" ref="AV453:AV505" ca="1" si="21">(O454/I454)</f>
        <v>3456.7436776279037</v>
      </c>
      <c r="AW453" s="5"/>
      <c r="AX453" s="6">
        <f ca="1">IF(Table1[[#This Row],[Value of Debts]]&gt;$AY$4,1,0)</f>
        <v>1</v>
      </c>
      <c r="AY453" s="20"/>
      <c r="AZ453" s="20"/>
      <c r="BA453" s="5"/>
      <c r="BB453" s="25">
        <f ca="1">Table1[[#This Row],[Mortage Left]]/Table1[[#This Row],[Value of House]]</f>
        <v>0.55838527026480178</v>
      </c>
      <c r="BC453" s="20">
        <f t="shared" ca="1" si="20"/>
        <v>0</v>
      </c>
      <c r="BD453" s="20"/>
      <c r="BE453" s="20"/>
      <c r="BF453" s="20"/>
      <c r="BG453" s="6">
        <f ca="1">IF(Table1[[#This Row],[County]]="Cumbria",Table1[[#This Row],[income]],0)</f>
        <v>0</v>
      </c>
      <c r="BH453" s="20">
        <f ca="1">IF(Table1[[#This Row],[County]]="Cheshire",Table1[[#This Row],[income]],0)</f>
        <v>0</v>
      </c>
      <c r="BI453" s="20">
        <f ca="1">IF(Table1[[#This Row],[County]]="Bristol",Table1[[#This Row],[income]],0)</f>
        <v>0</v>
      </c>
      <c r="BJ453" s="20">
        <f ca="1">IF(Table1[[#This Row],[County]]="Surrey",Table1[[#This Row],[income]],0)</f>
        <v>0</v>
      </c>
      <c r="BK453" s="20">
        <f ca="1">IF(Table1[[#This Row],[County]]="Norfolk",Table1[[#This Row],[income]],0)</f>
        <v>0</v>
      </c>
      <c r="BL453" s="20">
        <f ca="1">IF(Table1[[#This Row],[County]]="Lincolnshire",Table1[[#This Row],[income]],0)</f>
        <v>0</v>
      </c>
      <c r="BM453" s="20">
        <f ca="1">IF(Table1[[#This Row],[County]]="Somerset",Table1[[#This Row],[income]],0)</f>
        <v>0</v>
      </c>
      <c r="BN453" s="20">
        <f ca="1">IF(Table1[[#This Row],[County]]="Cambridgeshire",Table1[[#This Row],[income]],0)</f>
        <v>0</v>
      </c>
      <c r="BO453" s="20">
        <f ca="1">IF(Table1[[#This Row],[County]]="South Yorkshire",Table1[[#This Row],[income]],0)</f>
        <v>0</v>
      </c>
      <c r="BP453" s="20">
        <f ca="1">IF(Table1[[#This Row],[County]]="Greater London",Table1[[#This Row],[income]],0)</f>
        <v>0</v>
      </c>
      <c r="BQ453" s="20">
        <f ca="1">IF(Table1[[#This Row],[County]]="Hampshire",Table1[[#This Row],[income]],0)</f>
        <v>0</v>
      </c>
      <c r="BR453" s="20">
        <f ca="1">IF(Table1[[#This Row],[County]]="Gloucestershire",Table1[[#This Row],[income]],0)</f>
        <v>0</v>
      </c>
      <c r="BS453" s="20">
        <f ca="1">IF(Table1[[#This Row],[County]]="West Sussex",Table1[[#This Row],[income]],0)</f>
        <v>0</v>
      </c>
      <c r="BT453" s="20">
        <f ca="1">IF(Table1[[#This Row],[County]]="Devon",Table1[[#This Row],[income]],0)</f>
        <v>0</v>
      </c>
      <c r="BU453" s="20">
        <f ca="1">IF(Table1[[#This Row],[County]]="Berkshire",Table1[[#This Row],[income]],0)</f>
        <v>0</v>
      </c>
      <c r="BV453" s="20">
        <f ca="1">IF(Table1[[#This Row],[County]]="Staffordshire",Table1[[#This Row],[income]],0)</f>
        <v>0</v>
      </c>
      <c r="BW453" s="20">
        <f ca="1">IF(Table1[[#This Row],[County]]="Leicestershire",Table1[[#This Row],[income]],0)</f>
        <v>0</v>
      </c>
      <c r="BX453" s="20">
        <f ca="1">IF(Table1[[#This Row],[County]]="Cornwall",Table1[[#This Row],[income]],0)</f>
        <v>0</v>
      </c>
      <c r="BY453" s="20">
        <f ca="1">IF(Table1[[#This Row],[County]]="Isle of Wight",Table1[[#This Row],[income]],0)</f>
        <v>0</v>
      </c>
      <c r="BZ453" s="20">
        <f ca="1">IF(Table1[[#This Row],[County]]="Surrey",Table1[[#This Row],[income]],0)</f>
        <v>0</v>
      </c>
      <c r="CA453" s="20">
        <f ca="1">IF(Table1[[#This Row],[County]]="Derbyshire",Table1[[#This Row],[income]],0)</f>
        <v>0</v>
      </c>
      <c r="CB453" s="20">
        <f ca="1">IF(Table1[[#This Row],[County]]="City of London",Table1[[#This Row],[income]],0)</f>
        <v>0</v>
      </c>
      <c r="CC453" s="20">
        <f ca="1">IF(Table1[[#This Row],[County]]="Bedfordshire",Table1[[#This Row],[income]],0)</f>
        <v>0</v>
      </c>
      <c r="CD453" s="20">
        <f ca="1">IF(Table1[[#This Row],[County]]="County Durham",Table1[[#This Row],[income]],0)</f>
        <v>0</v>
      </c>
      <c r="CE453" s="20">
        <f ca="1">IF(Table1[[#This Row],[County]]="East Riding of Yorkshire",Table1[[#This Row],[income]],0)</f>
        <v>0</v>
      </c>
      <c r="CF453" s="20">
        <f ca="1">IF(Table1[[#This Row],[County]]="West Yorkshire",Table1[[#This Row],[income]],0)</f>
        <v>0</v>
      </c>
      <c r="CG453" s="20">
        <f ca="1">IF(Table1[[#This Row],[County]]="Essex",Table1[[#This Row],[income]],0)</f>
        <v>0</v>
      </c>
      <c r="CH453" s="20">
        <f ca="1">IF(Table1[[#This Row],[County]]="East Sussex",Table1[[#This Row],[income]],0)</f>
        <v>0</v>
      </c>
      <c r="CI453" s="20">
        <f ca="1">IF(Table1[[#This Row],[County]]="Greater Manchester",Table1[[#This Row],[income]],0)</f>
        <v>0</v>
      </c>
      <c r="CJ453" s="20">
        <f ca="1">IF(Table1[[#This Row],[County]]="Hertfordshire",Table1[[#This Row],[income]],0)</f>
        <v>0</v>
      </c>
      <c r="CK453" s="20">
        <f ca="1">IF(Table1[[#This Row],[County]]="Herefordshire",Table1[[#This Row],[income]],0)</f>
        <v>55190</v>
      </c>
      <c r="CL453" s="20">
        <f ca="1">IF(Table1[[#This Row],[County]]="Lancashire",Table1[[#This Row],[income]],0)</f>
        <v>0</v>
      </c>
      <c r="CM453" s="20">
        <f ca="1">IF(Table1[[#This Row],[County]]="Merseyside",Table1[[#This Row],[income]],0)</f>
        <v>0</v>
      </c>
      <c r="CN453" s="20">
        <f ca="1">IF(Table1[[#This Row],[County]]="Northamptonshire",Table1[[#This Row],[income]],0)</f>
        <v>0</v>
      </c>
      <c r="CO453" s="20">
        <f ca="1">IF(Table1[[#This Row],[County]]="Northumberland",Table1[[#This Row],[income]],0)</f>
        <v>0</v>
      </c>
      <c r="CP453" s="20">
        <f ca="1">IF(Table1[[#This Row],[County]]="Wiltshire",Table1[[#This Row],[income]],0)</f>
        <v>0</v>
      </c>
      <c r="CQ453" s="20">
        <f ca="1">IF(Table1[[#This Row],[County]]="West Midlands",Table1[[#This Row],[income]],0)</f>
        <v>0</v>
      </c>
      <c r="CR453" s="20">
        <f ca="1">IF(Table1[[#This Row],[County]]="Warwickshire",Table1[[#This Row],[income]],0)</f>
        <v>0</v>
      </c>
      <c r="CS453" s="20">
        <f ca="1">IF(Table1[[#This Row],[County]]="Tyne and Wear",Table1[[#This Row],[income]],0)</f>
        <v>0</v>
      </c>
      <c r="CT453" s="20">
        <f ca="1">IF(Table1[[#This Row],[County]]="Worcestershire",Table1[[#This Row],[income]],0)</f>
        <v>0</v>
      </c>
      <c r="CU453" s="20">
        <f ca="1">IF(Table1[[#This Row],[County]]="Rutland",Table1[[#This Row],[income]],0)</f>
        <v>0</v>
      </c>
      <c r="CV453" s="20">
        <f ca="1">IF(Table1[[#This Row],[County]]="Shropshire",Table1[[#This Row],[income]],0)</f>
        <v>0</v>
      </c>
      <c r="CW453" s="20">
        <f ca="1">IF(Table1[[#This Row],[County]]="Dorset",Table1[[#This Row],[income]],0)</f>
        <v>0</v>
      </c>
      <c r="CX453" s="20">
        <f ca="1">IF(Table1[[#This Row],[County]]="Buckinghamshire",Table1[[#This Row],[income]],0)</f>
        <v>0</v>
      </c>
      <c r="CY453" s="20">
        <f ca="1">IF(Table1[[#This Row],[County]]="Suffolk",Table1[[#This Row],[income]],0)</f>
        <v>0</v>
      </c>
      <c r="CZ453" s="20">
        <f ca="1">IF(Table1[[#This Row],[County]]="North Yorkshire",Table1[[#This Row],[income]],0)</f>
        <v>0</v>
      </c>
      <c r="DA453" s="20">
        <f ca="1">IF(Table1[[#This Row],[County]]="Kent",Table1[[#This Row],[income]],0)</f>
        <v>0</v>
      </c>
      <c r="DB453" s="5">
        <f ca="1">IF(Table1[[#This Row],[County]]="Derbyshire",Table1[[#This Row],[income]],0)</f>
        <v>0</v>
      </c>
      <c r="DD453" s="6">
        <f ca="1">IF(Table1[[#This Row],[Column1]]="Health",Table1[[#This Row],[income]],0)</f>
        <v>0</v>
      </c>
      <c r="DE453" s="20">
        <f ca="1">IF(Table1[[#This Row],[Column1]]="Agriculture",Table1[[#This Row],[income]],0)</f>
        <v>0</v>
      </c>
      <c r="DF453" s="20">
        <f ca="1">IF(Table1[[#This Row],[Column1]]="Technology",Table1[[#This Row],[income]],0)</f>
        <v>0</v>
      </c>
      <c r="DG453" s="20">
        <f ca="1">IF(Table1[[#This Row],[Column1]]="Social Service",Table1[[#This Row],[income]],0)</f>
        <v>55190</v>
      </c>
      <c r="DH453" s="20">
        <f ca="1">IF(Table1[[#This Row],[Column1]]="Education",Table1[[#This Row],[income]],0)</f>
        <v>0</v>
      </c>
      <c r="DI453" s="5">
        <f ca="1">IF(Table1[[#This Row],[Column1]]="Construction",Table1[[#This Row],[income]],0)</f>
        <v>0</v>
      </c>
      <c r="DK453" s="6">
        <f ca="1">IF(Table1[[#This Row],[Value of Debts]]&gt;Table1[[#This Row],[income]],1,0)</f>
        <v>1</v>
      </c>
      <c r="DL453" s="20"/>
      <c r="DM453" s="20"/>
      <c r="DN453" s="5"/>
      <c r="DP453" s="6">
        <f ca="1">IF(Table1[[#This Row],[Net Worth (£)]]&gt;$DS$5,C453,0)</f>
        <v>0</v>
      </c>
      <c r="DQ453" s="20"/>
      <c r="DR453" s="20"/>
      <c r="DS453" s="5"/>
    </row>
    <row r="454" spans="1:123" x14ac:dyDescent="0.2">
      <c r="A454">
        <f t="shared" ref="A454:A505" ca="1" si="22">RANDBETWEEN(1,2)</f>
        <v>1</v>
      </c>
      <c r="B454" s="1" t="str">
        <f ca="1">IF(A454=1, "men", "women")</f>
        <v>men</v>
      </c>
      <c r="C454" s="1">
        <f ca="1">RANDBETWEEN(25,50)</f>
        <v>25</v>
      </c>
      <c r="D454">
        <f ca="1">RANDBETWEEN(1,6)</f>
        <v>3</v>
      </c>
      <c r="E454" t="str">
        <f ca="1">VLOOKUP(D454,$W$5:$X$10,2)</f>
        <v>Education</v>
      </c>
      <c r="F454">
        <f ca="1">RANDBETWEEN(1,5)</f>
        <v>1</v>
      </c>
      <c r="G454" t="str">
        <f ca="1">VLOOKUP(F454,$Y$5:$Z$9,2)</f>
        <v>High School</v>
      </c>
      <c r="H454">
        <f ca="1">RANDBETWEEN(0,4)</f>
        <v>3</v>
      </c>
      <c r="I454">
        <f ca="1">RANDBETWEEN(1,3)</f>
        <v>2</v>
      </c>
      <c r="J454">
        <f ca="1">RANDBETWEEN(30000,100000)</f>
        <v>62366</v>
      </c>
      <c r="K454">
        <f ca="1">RANDBETWEEN(1,48)</f>
        <v>16</v>
      </c>
      <c r="L454" t="str">
        <f ca="1">VLOOKUP(K454,$AA$5:$AB$52,2)</f>
        <v>Essex</v>
      </c>
      <c r="M454">
        <f ca="1">J454*(RANDBETWEEN(2,5))</f>
        <v>311830</v>
      </c>
      <c r="N454">
        <f ca="1">RAND()*M454</f>
        <v>227703.24408129964</v>
      </c>
      <c r="O454">
        <f ca="1">I454*RAND()*J454</f>
        <v>6913.4873552558074</v>
      </c>
      <c r="P454">
        <f ca="1">RANDBETWEEN(0,O454)</f>
        <v>2859</v>
      </c>
      <c r="Q454">
        <f ca="1">RAND()*J454*2</f>
        <v>25608.203935555954</v>
      </c>
      <c r="R454">
        <f ca="1">RAND()*J454*1.5</f>
        <v>59827.302610530227</v>
      </c>
      <c r="S454">
        <f ca="1">J454+R454+O454</f>
        <v>129106.78996578604</v>
      </c>
      <c r="T454">
        <f ca="1">N454+P454+Q454</f>
        <v>256170.44801685557</v>
      </c>
      <c r="U454">
        <f ca="1">S454-T454</f>
        <v>-127063.65805106953</v>
      </c>
      <c r="AC454" s="6">
        <f ca="1">IF(Table1[[#This Row],[gender]]="men",1,0)</f>
        <v>1</v>
      </c>
      <c r="AD454">
        <f ca="1">IF(Table1[[#This Row],[gender]]="women",1,0)</f>
        <v>0</v>
      </c>
      <c r="AH454" s="5"/>
      <c r="AJ454" s="6">
        <f ca="1">IF(Table1[[#This Row],[Column1]]="Health",1,0)</f>
        <v>0</v>
      </c>
      <c r="AK454">
        <f ca="1">IF(Table1[[#This Row],[Column1]]="Construction",1,0)</f>
        <v>0</v>
      </c>
      <c r="AL454">
        <f ca="1">IF(Table1[[#This Row],[Column1]]="Technology",1,0)</f>
        <v>0</v>
      </c>
      <c r="AM454">
        <f ca="1">IF(Table1[[#This Row],[Column1]]="Education",1,0)</f>
        <v>1</v>
      </c>
      <c r="AN454">
        <f ca="1">IF(Table1[[#This Row],[Column1]]="Agriculture",1,0)</f>
        <v>0</v>
      </c>
      <c r="AO454">
        <f ca="1">IF(Table1[[#This Row],[Column1]]="Social Service", 1, 0)</f>
        <v>0</v>
      </c>
      <c r="AT454" s="5"/>
      <c r="AV454" s="17">
        <f t="shared" ca="1" si="21"/>
        <v>41804.186432823037</v>
      </c>
      <c r="AW454" s="5"/>
      <c r="AX454" s="6">
        <f ca="1">IF(Table1[[#This Row],[Value of Debts]]&gt;$AY$4,1,0)</f>
        <v>1</v>
      </c>
      <c r="AY454" s="20"/>
      <c r="AZ454" s="20"/>
      <c r="BA454" s="5"/>
      <c r="BB454" s="25">
        <f ca="1">Table1[[#This Row],[Mortage Left]]/Table1[[#This Row],[Value of House]]</f>
        <v>0.73021596408716172</v>
      </c>
      <c r="BC454" s="20">
        <f t="shared" ref="BC454:BC504" ca="1" si="23">IF(BB454&lt;$BD$4,1,0)</f>
        <v>0</v>
      </c>
      <c r="BD454" s="20"/>
      <c r="BE454" s="20"/>
      <c r="BF454" s="20"/>
      <c r="BG454" s="6">
        <f ca="1">IF(Table1[[#This Row],[County]]="Cumbria",Table1[[#This Row],[income]],0)</f>
        <v>0</v>
      </c>
      <c r="BH454" s="20">
        <f ca="1">IF(Table1[[#This Row],[County]]="Cheshire",Table1[[#This Row],[income]],0)</f>
        <v>0</v>
      </c>
      <c r="BI454" s="20">
        <f ca="1">IF(Table1[[#This Row],[County]]="Bristol",Table1[[#This Row],[income]],0)</f>
        <v>0</v>
      </c>
      <c r="BJ454" s="20">
        <f ca="1">IF(Table1[[#This Row],[County]]="Surrey",Table1[[#This Row],[income]],0)</f>
        <v>0</v>
      </c>
      <c r="BK454" s="20">
        <f ca="1">IF(Table1[[#This Row],[County]]="Norfolk",Table1[[#This Row],[income]],0)</f>
        <v>0</v>
      </c>
      <c r="BL454" s="20">
        <f ca="1">IF(Table1[[#This Row],[County]]="Lincolnshire",Table1[[#This Row],[income]],0)</f>
        <v>0</v>
      </c>
      <c r="BM454" s="20">
        <f ca="1">IF(Table1[[#This Row],[County]]="Somerset",Table1[[#This Row],[income]],0)</f>
        <v>0</v>
      </c>
      <c r="BN454" s="20">
        <f ca="1">IF(Table1[[#This Row],[County]]="Cambridgeshire",Table1[[#This Row],[income]],0)</f>
        <v>0</v>
      </c>
      <c r="BO454" s="20">
        <f ca="1">IF(Table1[[#This Row],[County]]="South Yorkshire",Table1[[#This Row],[income]],0)</f>
        <v>0</v>
      </c>
      <c r="BP454" s="20">
        <f ca="1">IF(Table1[[#This Row],[County]]="Greater London",Table1[[#This Row],[income]],0)</f>
        <v>0</v>
      </c>
      <c r="BQ454" s="20">
        <f ca="1">IF(Table1[[#This Row],[County]]="Hampshire",Table1[[#This Row],[income]],0)</f>
        <v>0</v>
      </c>
      <c r="BR454" s="20">
        <f ca="1">IF(Table1[[#This Row],[County]]="Gloucestershire",Table1[[#This Row],[income]],0)</f>
        <v>0</v>
      </c>
      <c r="BS454" s="20">
        <f ca="1">IF(Table1[[#This Row],[County]]="West Sussex",Table1[[#This Row],[income]],0)</f>
        <v>0</v>
      </c>
      <c r="BT454" s="20">
        <f ca="1">IF(Table1[[#This Row],[County]]="Devon",Table1[[#This Row],[income]],0)</f>
        <v>0</v>
      </c>
      <c r="BU454" s="20">
        <f ca="1">IF(Table1[[#This Row],[County]]="Berkshire",Table1[[#This Row],[income]],0)</f>
        <v>0</v>
      </c>
      <c r="BV454" s="20">
        <f ca="1">IF(Table1[[#This Row],[County]]="Staffordshire",Table1[[#This Row],[income]],0)</f>
        <v>0</v>
      </c>
      <c r="BW454" s="20">
        <f ca="1">IF(Table1[[#This Row],[County]]="Leicestershire",Table1[[#This Row],[income]],0)</f>
        <v>0</v>
      </c>
      <c r="BX454" s="20">
        <f ca="1">IF(Table1[[#This Row],[County]]="Cornwall",Table1[[#This Row],[income]],0)</f>
        <v>0</v>
      </c>
      <c r="BY454" s="20">
        <f ca="1">IF(Table1[[#This Row],[County]]="Isle of Wight",Table1[[#This Row],[income]],0)</f>
        <v>0</v>
      </c>
      <c r="BZ454" s="20">
        <f ca="1">IF(Table1[[#This Row],[County]]="Surrey",Table1[[#This Row],[income]],0)</f>
        <v>0</v>
      </c>
      <c r="CA454" s="20">
        <f ca="1">IF(Table1[[#This Row],[County]]="Derbyshire",Table1[[#This Row],[income]],0)</f>
        <v>0</v>
      </c>
      <c r="CB454" s="20">
        <f ca="1">IF(Table1[[#This Row],[County]]="City of London",Table1[[#This Row],[income]],0)</f>
        <v>0</v>
      </c>
      <c r="CC454" s="20">
        <f ca="1">IF(Table1[[#This Row],[County]]="Bedfordshire",Table1[[#This Row],[income]],0)</f>
        <v>0</v>
      </c>
      <c r="CD454" s="20">
        <f ca="1">IF(Table1[[#This Row],[County]]="County Durham",Table1[[#This Row],[income]],0)</f>
        <v>0</v>
      </c>
      <c r="CE454" s="20">
        <f ca="1">IF(Table1[[#This Row],[County]]="East Riding of Yorkshire",Table1[[#This Row],[income]],0)</f>
        <v>0</v>
      </c>
      <c r="CF454" s="20">
        <f ca="1">IF(Table1[[#This Row],[County]]="West Yorkshire",Table1[[#This Row],[income]],0)</f>
        <v>0</v>
      </c>
      <c r="CG454" s="20">
        <f ca="1">IF(Table1[[#This Row],[County]]="Essex",Table1[[#This Row],[income]],0)</f>
        <v>62366</v>
      </c>
      <c r="CH454" s="20">
        <f ca="1">IF(Table1[[#This Row],[County]]="East Sussex",Table1[[#This Row],[income]],0)</f>
        <v>0</v>
      </c>
      <c r="CI454" s="20">
        <f ca="1">IF(Table1[[#This Row],[County]]="Greater Manchester",Table1[[#This Row],[income]],0)</f>
        <v>0</v>
      </c>
      <c r="CJ454" s="20">
        <f ca="1">IF(Table1[[#This Row],[County]]="Hertfordshire",Table1[[#This Row],[income]],0)</f>
        <v>0</v>
      </c>
      <c r="CK454" s="20">
        <f ca="1">IF(Table1[[#This Row],[County]]="Herefordshire",Table1[[#This Row],[income]],0)</f>
        <v>0</v>
      </c>
      <c r="CL454" s="20">
        <f ca="1">IF(Table1[[#This Row],[County]]="Lancashire",Table1[[#This Row],[income]],0)</f>
        <v>0</v>
      </c>
      <c r="CM454" s="20">
        <f ca="1">IF(Table1[[#This Row],[County]]="Merseyside",Table1[[#This Row],[income]],0)</f>
        <v>0</v>
      </c>
      <c r="CN454" s="20">
        <f ca="1">IF(Table1[[#This Row],[County]]="Northamptonshire",Table1[[#This Row],[income]],0)</f>
        <v>0</v>
      </c>
      <c r="CO454" s="20">
        <f ca="1">IF(Table1[[#This Row],[County]]="Northumberland",Table1[[#This Row],[income]],0)</f>
        <v>0</v>
      </c>
      <c r="CP454" s="20">
        <f ca="1">IF(Table1[[#This Row],[County]]="Wiltshire",Table1[[#This Row],[income]],0)</f>
        <v>0</v>
      </c>
      <c r="CQ454" s="20">
        <f ca="1">IF(Table1[[#This Row],[County]]="West Midlands",Table1[[#This Row],[income]],0)</f>
        <v>0</v>
      </c>
      <c r="CR454" s="20">
        <f ca="1">IF(Table1[[#This Row],[County]]="Warwickshire",Table1[[#This Row],[income]],0)</f>
        <v>0</v>
      </c>
      <c r="CS454" s="20">
        <f ca="1">IF(Table1[[#This Row],[County]]="Tyne and Wear",Table1[[#This Row],[income]],0)</f>
        <v>0</v>
      </c>
      <c r="CT454" s="20">
        <f ca="1">IF(Table1[[#This Row],[County]]="Worcestershire",Table1[[#This Row],[income]],0)</f>
        <v>0</v>
      </c>
      <c r="CU454" s="20">
        <f ca="1">IF(Table1[[#This Row],[County]]="Rutland",Table1[[#This Row],[income]],0)</f>
        <v>0</v>
      </c>
      <c r="CV454" s="20">
        <f ca="1">IF(Table1[[#This Row],[County]]="Shropshire",Table1[[#This Row],[income]],0)</f>
        <v>0</v>
      </c>
      <c r="CW454" s="20">
        <f ca="1">IF(Table1[[#This Row],[County]]="Dorset",Table1[[#This Row],[income]],0)</f>
        <v>0</v>
      </c>
      <c r="CX454" s="20">
        <f ca="1">IF(Table1[[#This Row],[County]]="Buckinghamshire",Table1[[#This Row],[income]],0)</f>
        <v>0</v>
      </c>
      <c r="CY454" s="20">
        <f ca="1">IF(Table1[[#This Row],[County]]="Suffolk",Table1[[#This Row],[income]],0)</f>
        <v>0</v>
      </c>
      <c r="CZ454" s="20">
        <f ca="1">IF(Table1[[#This Row],[County]]="North Yorkshire",Table1[[#This Row],[income]],0)</f>
        <v>0</v>
      </c>
      <c r="DA454" s="20">
        <f ca="1">IF(Table1[[#This Row],[County]]="Kent",Table1[[#This Row],[income]],0)</f>
        <v>0</v>
      </c>
      <c r="DB454" s="5">
        <f ca="1">IF(Table1[[#This Row],[County]]="Derbyshire",Table1[[#This Row],[income]],0)</f>
        <v>0</v>
      </c>
      <c r="DD454" s="6">
        <f ca="1">IF(Table1[[#This Row],[Column1]]="Health",Table1[[#This Row],[income]],0)</f>
        <v>0</v>
      </c>
      <c r="DE454" s="20">
        <f ca="1">IF(Table1[[#This Row],[Column1]]="Agriculture",Table1[[#This Row],[income]],0)</f>
        <v>0</v>
      </c>
      <c r="DF454" s="20">
        <f ca="1">IF(Table1[[#This Row],[Column1]]="Technology",Table1[[#This Row],[income]],0)</f>
        <v>0</v>
      </c>
      <c r="DG454" s="20">
        <f ca="1">IF(Table1[[#This Row],[Column1]]="Social Service",Table1[[#This Row],[income]],0)</f>
        <v>0</v>
      </c>
      <c r="DH454" s="20">
        <f ca="1">IF(Table1[[#This Row],[Column1]]="Education",Table1[[#This Row],[income]],0)</f>
        <v>62366</v>
      </c>
      <c r="DI454" s="5">
        <f ca="1">IF(Table1[[#This Row],[Column1]]="Construction",Table1[[#This Row],[income]],0)</f>
        <v>0</v>
      </c>
      <c r="DK454" s="6">
        <f ca="1">IF(Table1[[#This Row],[Value of Debts]]&gt;Table1[[#This Row],[income]],1,0)</f>
        <v>1</v>
      </c>
      <c r="DL454" s="20"/>
      <c r="DM454" s="20"/>
      <c r="DN454" s="5"/>
      <c r="DP454" s="6">
        <f ca="1">IF(Table1[[#This Row],[Net Worth (£)]]&gt;$DS$5,C454,0)</f>
        <v>0</v>
      </c>
      <c r="DQ454" s="20"/>
      <c r="DR454" s="20"/>
      <c r="DS454" s="5"/>
    </row>
    <row r="455" spans="1:123" x14ac:dyDescent="0.2">
      <c r="A455">
        <f t="shared" ca="1" si="22"/>
        <v>2</v>
      </c>
      <c r="B455" s="1" t="str">
        <f ca="1">IF(A455=1, "men", "women")</f>
        <v>women</v>
      </c>
      <c r="C455" s="1">
        <f ca="1">RANDBETWEEN(25,50)</f>
        <v>47</v>
      </c>
      <c r="D455">
        <f ca="1">RANDBETWEEN(1,6)</f>
        <v>4</v>
      </c>
      <c r="E455" t="str">
        <f ca="1">VLOOKUP(D455,$W$5:$X$10,2)</f>
        <v>Technology</v>
      </c>
      <c r="F455">
        <f ca="1">RANDBETWEEN(1,5)</f>
        <v>5</v>
      </c>
      <c r="G455" t="str">
        <f ca="1">VLOOKUP(F455,$Y$5:$Z$9,2)</f>
        <v>Other</v>
      </c>
      <c r="H455">
        <f ca="1">RANDBETWEEN(0,4)</f>
        <v>1</v>
      </c>
      <c r="I455">
        <f ca="1">RANDBETWEEN(1,3)</f>
        <v>3</v>
      </c>
      <c r="J455">
        <f ca="1">RANDBETWEEN(30000,100000)</f>
        <v>81629</v>
      </c>
      <c r="K455">
        <f ca="1">RANDBETWEEN(1,48)</f>
        <v>32</v>
      </c>
      <c r="L455" t="str">
        <f ca="1">VLOOKUP(K455,$AA$5:$AB$52,2)</f>
        <v>Northumberland</v>
      </c>
      <c r="M455">
        <f ca="1">J455*(RANDBETWEEN(2,5))</f>
        <v>326516</v>
      </c>
      <c r="N455">
        <f ca="1">RAND()*M455</f>
        <v>27335.595773225734</v>
      </c>
      <c r="O455">
        <f ca="1">I455*RAND()*J455</f>
        <v>125412.55929846912</v>
      </c>
      <c r="P455">
        <f ca="1">RANDBETWEEN(0,O455)</f>
        <v>93477</v>
      </c>
      <c r="Q455">
        <f ca="1">RAND()*J455*2</f>
        <v>134605.84287231023</v>
      </c>
      <c r="R455">
        <f ca="1">RAND()*J455*1.5</f>
        <v>118987.84133454485</v>
      </c>
      <c r="S455">
        <f ca="1">J455+R455+O455</f>
        <v>326029.40063301398</v>
      </c>
      <c r="T455">
        <f ca="1">N455+P455+Q455</f>
        <v>255418.43864553596</v>
      </c>
      <c r="U455">
        <f ca="1">S455-T455</f>
        <v>70610.961987478018</v>
      </c>
      <c r="AC455" s="6">
        <f ca="1">IF(Table1[[#This Row],[gender]]="men",1,0)</f>
        <v>0</v>
      </c>
      <c r="AD455">
        <f ca="1">IF(Table1[[#This Row],[gender]]="women",1,0)</f>
        <v>1</v>
      </c>
      <c r="AH455" s="5"/>
      <c r="AJ455" s="6">
        <f ca="1">IF(Table1[[#This Row],[Column1]]="Health",1,0)</f>
        <v>0</v>
      </c>
      <c r="AK455">
        <f ca="1">IF(Table1[[#This Row],[Column1]]="Construction",1,0)</f>
        <v>0</v>
      </c>
      <c r="AL455">
        <f ca="1">IF(Table1[[#This Row],[Column1]]="Technology",1,0)</f>
        <v>1</v>
      </c>
      <c r="AM455">
        <f ca="1">IF(Table1[[#This Row],[Column1]]="Education",1,0)</f>
        <v>0</v>
      </c>
      <c r="AN455">
        <f ca="1">IF(Table1[[#This Row],[Column1]]="Agriculture",1,0)</f>
        <v>0</v>
      </c>
      <c r="AO455">
        <f ca="1">IF(Table1[[#This Row],[Column1]]="Social Service", 1, 0)</f>
        <v>0</v>
      </c>
      <c r="AT455" s="5"/>
      <c r="AV455" s="17">
        <f t="shared" ca="1" si="21"/>
        <v>43051.022875301293</v>
      </c>
      <c r="AW455" s="5"/>
      <c r="AX455" s="6">
        <f ca="1">IF(Table1[[#This Row],[Value of Debts]]&gt;$AY$4,1,0)</f>
        <v>1</v>
      </c>
      <c r="AY455" s="20"/>
      <c r="AZ455" s="20"/>
      <c r="BA455" s="5"/>
      <c r="BB455" s="25">
        <f ca="1">Table1[[#This Row],[Mortage Left]]/Table1[[#This Row],[Value of House]]</f>
        <v>8.3719008481133339E-2</v>
      </c>
      <c r="BC455" s="20">
        <f t="shared" ca="1" si="23"/>
        <v>1</v>
      </c>
      <c r="BD455" s="20"/>
      <c r="BE455" s="20"/>
      <c r="BF455" s="20"/>
      <c r="BG455" s="6">
        <f ca="1">IF(Table1[[#This Row],[County]]="Cumbria",Table1[[#This Row],[income]],0)</f>
        <v>0</v>
      </c>
      <c r="BH455" s="20">
        <f ca="1">IF(Table1[[#This Row],[County]]="Cheshire",Table1[[#This Row],[income]],0)</f>
        <v>0</v>
      </c>
      <c r="BI455" s="20">
        <f ca="1">IF(Table1[[#This Row],[County]]="Bristol",Table1[[#This Row],[income]],0)</f>
        <v>0</v>
      </c>
      <c r="BJ455" s="20">
        <f ca="1">IF(Table1[[#This Row],[County]]="Surrey",Table1[[#This Row],[income]],0)</f>
        <v>0</v>
      </c>
      <c r="BK455" s="20">
        <f ca="1">IF(Table1[[#This Row],[County]]="Norfolk",Table1[[#This Row],[income]],0)</f>
        <v>0</v>
      </c>
      <c r="BL455" s="20">
        <f ca="1">IF(Table1[[#This Row],[County]]="Lincolnshire",Table1[[#This Row],[income]],0)</f>
        <v>0</v>
      </c>
      <c r="BM455" s="20">
        <f ca="1">IF(Table1[[#This Row],[County]]="Somerset",Table1[[#This Row],[income]],0)</f>
        <v>0</v>
      </c>
      <c r="BN455" s="20">
        <f ca="1">IF(Table1[[#This Row],[County]]="Cambridgeshire",Table1[[#This Row],[income]],0)</f>
        <v>0</v>
      </c>
      <c r="BO455" s="20">
        <f ca="1">IF(Table1[[#This Row],[County]]="South Yorkshire",Table1[[#This Row],[income]],0)</f>
        <v>0</v>
      </c>
      <c r="BP455" s="20">
        <f ca="1">IF(Table1[[#This Row],[County]]="Greater London",Table1[[#This Row],[income]],0)</f>
        <v>0</v>
      </c>
      <c r="BQ455" s="20">
        <f ca="1">IF(Table1[[#This Row],[County]]="Hampshire",Table1[[#This Row],[income]],0)</f>
        <v>0</v>
      </c>
      <c r="BR455" s="20">
        <f ca="1">IF(Table1[[#This Row],[County]]="Gloucestershire",Table1[[#This Row],[income]],0)</f>
        <v>0</v>
      </c>
      <c r="BS455" s="20">
        <f ca="1">IF(Table1[[#This Row],[County]]="West Sussex",Table1[[#This Row],[income]],0)</f>
        <v>0</v>
      </c>
      <c r="BT455" s="20">
        <f ca="1">IF(Table1[[#This Row],[County]]="Devon",Table1[[#This Row],[income]],0)</f>
        <v>0</v>
      </c>
      <c r="BU455" s="20">
        <f ca="1">IF(Table1[[#This Row],[County]]="Berkshire",Table1[[#This Row],[income]],0)</f>
        <v>0</v>
      </c>
      <c r="BV455" s="20">
        <f ca="1">IF(Table1[[#This Row],[County]]="Staffordshire",Table1[[#This Row],[income]],0)</f>
        <v>0</v>
      </c>
      <c r="BW455" s="20">
        <f ca="1">IF(Table1[[#This Row],[County]]="Leicestershire",Table1[[#This Row],[income]],0)</f>
        <v>0</v>
      </c>
      <c r="BX455" s="20">
        <f ca="1">IF(Table1[[#This Row],[County]]="Cornwall",Table1[[#This Row],[income]],0)</f>
        <v>0</v>
      </c>
      <c r="BY455" s="20">
        <f ca="1">IF(Table1[[#This Row],[County]]="Isle of Wight",Table1[[#This Row],[income]],0)</f>
        <v>0</v>
      </c>
      <c r="BZ455" s="20">
        <f ca="1">IF(Table1[[#This Row],[County]]="Surrey",Table1[[#This Row],[income]],0)</f>
        <v>0</v>
      </c>
      <c r="CA455" s="20">
        <f ca="1">IF(Table1[[#This Row],[County]]="Derbyshire",Table1[[#This Row],[income]],0)</f>
        <v>0</v>
      </c>
      <c r="CB455" s="20">
        <f ca="1">IF(Table1[[#This Row],[County]]="City of London",Table1[[#This Row],[income]],0)</f>
        <v>0</v>
      </c>
      <c r="CC455" s="20">
        <f ca="1">IF(Table1[[#This Row],[County]]="Bedfordshire",Table1[[#This Row],[income]],0)</f>
        <v>0</v>
      </c>
      <c r="CD455" s="20">
        <f ca="1">IF(Table1[[#This Row],[County]]="County Durham",Table1[[#This Row],[income]],0)</f>
        <v>0</v>
      </c>
      <c r="CE455" s="20">
        <f ca="1">IF(Table1[[#This Row],[County]]="East Riding of Yorkshire",Table1[[#This Row],[income]],0)</f>
        <v>0</v>
      </c>
      <c r="CF455" s="20">
        <f ca="1">IF(Table1[[#This Row],[County]]="West Yorkshire",Table1[[#This Row],[income]],0)</f>
        <v>0</v>
      </c>
      <c r="CG455" s="20">
        <f ca="1">IF(Table1[[#This Row],[County]]="Essex",Table1[[#This Row],[income]],0)</f>
        <v>0</v>
      </c>
      <c r="CH455" s="20">
        <f ca="1">IF(Table1[[#This Row],[County]]="East Sussex",Table1[[#This Row],[income]],0)</f>
        <v>0</v>
      </c>
      <c r="CI455" s="20">
        <f ca="1">IF(Table1[[#This Row],[County]]="Greater Manchester",Table1[[#This Row],[income]],0)</f>
        <v>0</v>
      </c>
      <c r="CJ455" s="20">
        <f ca="1">IF(Table1[[#This Row],[County]]="Hertfordshire",Table1[[#This Row],[income]],0)</f>
        <v>0</v>
      </c>
      <c r="CK455" s="20">
        <f ca="1">IF(Table1[[#This Row],[County]]="Herefordshire",Table1[[#This Row],[income]],0)</f>
        <v>0</v>
      </c>
      <c r="CL455" s="20">
        <f ca="1">IF(Table1[[#This Row],[County]]="Lancashire",Table1[[#This Row],[income]],0)</f>
        <v>0</v>
      </c>
      <c r="CM455" s="20">
        <f ca="1">IF(Table1[[#This Row],[County]]="Merseyside",Table1[[#This Row],[income]],0)</f>
        <v>0</v>
      </c>
      <c r="CN455" s="20">
        <f ca="1">IF(Table1[[#This Row],[County]]="Northamptonshire",Table1[[#This Row],[income]],0)</f>
        <v>0</v>
      </c>
      <c r="CO455" s="20">
        <f ca="1">IF(Table1[[#This Row],[County]]="Northumberland",Table1[[#This Row],[income]],0)</f>
        <v>81629</v>
      </c>
      <c r="CP455" s="20">
        <f ca="1">IF(Table1[[#This Row],[County]]="Wiltshire",Table1[[#This Row],[income]],0)</f>
        <v>0</v>
      </c>
      <c r="CQ455" s="20">
        <f ca="1">IF(Table1[[#This Row],[County]]="West Midlands",Table1[[#This Row],[income]],0)</f>
        <v>0</v>
      </c>
      <c r="CR455" s="20">
        <f ca="1">IF(Table1[[#This Row],[County]]="Warwickshire",Table1[[#This Row],[income]],0)</f>
        <v>0</v>
      </c>
      <c r="CS455" s="20">
        <f ca="1">IF(Table1[[#This Row],[County]]="Tyne and Wear",Table1[[#This Row],[income]],0)</f>
        <v>0</v>
      </c>
      <c r="CT455" s="20">
        <f ca="1">IF(Table1[[#This Row],[County]]="Worcestershire",Table1[[#This Row],[income]],0)</f>
        <v>0</v>
      </c>
      <c r="CU455" s="20">
        <f ca="1">IF(Table1[[#This Row],[County]]="Rutland",Table1[[#This Row],[income]],0)</f>
        <v>0</v>
      </c>
      <c r="CV455" s="20">
        <f ca="1">IF(Table1[[#This Row],[County]]="Shropshire",Table1[[#This Row],[income]],0)</f>
        <v>0</v>
      </c>
      <c r="CW455" s="20">
        <f ca="1">IF(Table1[[#This Row],[County]]="Dorset",Table1[[#This Row],[income]],0)</f>
        <v>0</v>
      </c>
      <c r="CX455" s="20">
        <f ca="1">IF(Table1[[#This Row],[County]]="Buckinghamshire",Table1[[#This Row],[income]],0)</f>
        <v>0</v>
      </c>
      <c r="CY455" s="20">
        <f ca="1">IF(Table1[[#This Row],[County]]="Suffolk",Table1[[#This Row],[income]],0)</f>
        <v>0</v>
      </c>
      <c r="CZ455" s="20">
        <f ca="1">IF(Table1[[#This Row],[County]]="North Yorkshire",Table1[[#This Row],[income]],0)</f>
        <v>0</v>
      </c>
      <c r="DA455" s="20">
        <f ca="1">IF(Table1[[#This Row],[County]]="Kent",Table1[[#This Row],[income]],0)</f>
        <v>0</v>
      </c>
      <c r="DB455" s="5">
        <f ca="1">IF(Table1[[#This Row],[County]]="Derbyshire",Table1[[#This Row],[income]],0)</f>
        <v>0</v>
      </c>
      <c r="DD455" s="6">
        <f ca="1">IF(Table1[[#This Row],[Column1]]="Health",Table1[[#This Row],[income]],0)</f>
        <v>0</v>
      </c>
      <c r="DE455" s="20">
        <f ca="1">IF(Table1[[#This Row],[Column1]]="Agriculture",Table1[[#This Row],[income]],0)</f>
        <v>0</v>
      </c>
      <c r="DF455" s="20">
        <f ca="1">IF(Table1[[#This Row],[Column1]]="Technology",Table1[[#This Row],[income]],0)</f>
        <v>81629</v>
      </c>
      <c r="DG455" s="20">
        <f ca="1">IF(Table1[[#This Row],[Column1]]="Social Service",Table1[[#This Row],[income]],0)</f>
        <v>0</v>
      </c>
      <c r="DH455" s="20">
        <f ca="1">IF(Table1[[#This Row],[Column1]]="Education",Table1[[#This Row],[income]],0)</f>
        <v>0</v>
      </c>
      <c r="DI455" s="5">
        <f ca="1">IF(Table1[[#This Row],[Column1]]="Construction",Table1[[#This Row],[income]],0)</f>
        <v>0</v>
      </c>
      <c r="DK455" s="6">
        <f ca="1">IF(Table1[[#This Row],[Value of Debts]]&gt;Table1[[#This Row],[income]],1,0)</f>
        <v>1</v>
      </c>
      <c r="DL455" s="20"/>
      <c r="DM455" s="20"/>
      <c r="DN455" s="5"/>
      <c r="DP455" s="6">
        <f ca="1">IF(Table1[[#This Row],[Net Worth (£)]]&gt;$DS$5,C455,0)</f>
        <v>47</v>
      </c>
      <c r="DQ455" s="20"/>
      <c r="DR455" s="20"/>
      <c r="DS455" s="5"/>
    </row>
    <row r="456" spans="1:123" x14ac:dyDescent="0.2">
      <c r="A456">
        <f t="shared" ca="1" si="22"/>
        <v>2</v>
      </c>
      <c r="B456" s="1" t="str">
        <f ca="1">IF(A456=1, "men", "women")</f>
        <v>women</v>
      </c>
      <c r="C456" s="1">
        <f ca="1">RANDBETWEEN(25,50)</f>
        <v>43</v>
      </c>
      <c r="D456">
        <f ca="1">RANDBETWEEN(1,6)</f>
        <v>5</v>
      </c>
      <c r="E456" t="str">
        <f ca="1">VLOOKUP(D456,$W$5:$X$10,2)</f>
        <v>Social Service</v>
      </c>
      <c r="F456">
        <f ca="1">RANDBETWEEN(1,5)</f>
        <v>3</v>
      </c>
      <c r="G456" t="str">
        <f ca="1">VLOOKUP(F456,$Y$5:$Z$9,2)</f>
        <v>University</v>
      </c>
      <c r="H456">
        <f ca="1">RANDBETWEEN(0,4)</f>
        <v>0</v>
      </c>
      <c r="I456">
        <f ca="1">RANDBETWEEN(1,3)</f>
        <v>2</v>
      </c>
      <c r="J456">
        <f ca="1">RANDBETWEEN(30000,100000)</f>
        <v>54386</v>
      </c>
      <c r="K456">
        <f ca="1">RANDBETWEEN(1,48)</f>
        <v>24</v>
      </c>
      <c r="L456" t="str">
        <f ca="1">VLOOKUP(K456,$AA$5:$AB$52,2)</f>
        <v>Kent</v>
      </c>
      <c r="M456">
        <f ca="1">J456*(RANDBETWEEN(2,5))</f>
        <v>108772</v>
      </c>
      <c r="N456">
        <f ca="1">RAND()*M456</f>
        <v>11032.745162994184</v>
      </c>
      <c r="O456">
        <f ca="1">I456*RAND()*J456</f>
        <v>86102.045750602585</v>
      </c>
      <c r="P456">
        <f ca="1">RANDBETWEEN(0,O456)</f>
        <v>71817</v>
      </c>
      <c r="Q456">
        <f ca="1">RAND()*J456*2</f>
        <v>53691.832223224854</v>
      </c>
      <c r="R456">
        <f ca="1">RAND()*J456*1.5</f>
        <v>24567.028736420085</v>
      </c>
      <c r="S456">
        <f ca="1">J456+R456+O456</f>
        <v>165055.07448702268</v>
      </c>
      <c r="T456">
        <f ca="1">N456+P456+Q456</f>
        <v>136541.57738621903</v>
      </c>
      <c r="U456">
        <f ca="1">S456-T456</f>
        <v>28513.497100803652</v>
      </c>
      <c r="AC456" s="6">
        <f ca="1">IF(Table1[[#This Row],[gender]]="men",1,0)</f>
        <v>0</v>
      </c>
      <c r="AD456">
        <f ca="1">IF(Table1[[#This Row],[gender]]="women",1,0)</f>
        <v>1</v>
      </c>
      <c r="AH456" s="5"/>
      <c r="AJ456" s="6">
        <f ca="1">IF(Table1[[#This Row],[Column1]]="Health",1,0)</f>
        <v>0</v>
      </c>
      <c r="AK456">
        <f ca="1">IF(Table1[[#This Row],[Column1]]="Construction",1,0)</f>
        <v>0</v>
      </c>
      <c r="AL456">
        <f ca="1">IF(Table1[[#This Row],[Column1]]="Technology",1,0)</f>
        <v>0</v>
      </c>
      <c r="AM456">
        <f ca="1">IF(Table1[[#This Row],[Column1]]="Education",1,0)</f>
        <v>0</v>
      </c>
      <c r="AN456">
        <f ca="1">IF(Table1[[#This Row],[Column1]]="Agriculture",1,0)</f>
        <v>0</v>
      </c>
      <c r="AO456">
        <f ca="1">IF(Table1[[#This Row],[Column1]]="Social Service", 1, 0)</f>
        <v>1</v>
      </c>
      <c r="AT456" s="5"/>
      <c r="AV456" s="17">
        <f t="shared" ca="1" si="21"/>
        <v>75270.299241764791</v>
      </c>
      <c r="AW456" s="5"/>
      <c r="AX456" s="6">
        <f ca="1">IF(Table1[[#This Row],[Value of Debts]]&gt;$AY$4,1,0)</f>
        <v>1</v>
      </c>
      <c r="AY456" s="20"/>
      <c r="AZ456" s="20"/>
      <c r="BA456" s="5"/>
      <c r="BB456" s="25">
        <f ca="1">Table1[[#This Row],[Mortage Left]]/Table1[[#This Row],[Value of House]]</f>
        <v>0.10143001105977811</v>
      </c>
      <c r="BC456" s="20">
        <f t="shared" ca="1" si="23"/>
        <v>1</v>
      </c>
      <c r="BD456" s="20"/>
      <c r="BE456" s="20"/>
      <c r="BF456" s="20"/>
      <c r="BG456" s="6">
        <f ca="1">IF(Table1[[#This Row],[County]]="Cumbria",Table1[[#This Row],[income]],0)</f>
        <v>0</v>
      </c>
      <c r="BH456" s="20">
        <f ca="1">IF(Table1[[#This Row],[County]]="Cheshire",Table1[[#This Row],[income]],0)</f>
        <v>0</v>
      </c>
      <c r="BI456" s="20">
        <f ca="1">IF(Table1[[#This Row],[County]]="Bristol",Table1[[#This Row],[income]],0)</f>
        <v>0</v>
      </c>
      <c r="BJ456" s="20">
        <f ca="1">IF(Table1[[#This Row],[County]]="Surrey",Table1[[#This Row],[income]],0)</f>
        <v>0</v>
      </c>
      <c r="BK456" s="20">
        <f ca="1">IF(Table1[[#This Row],[County]]="Norfolk",Table1[[#This Row],[income]],0)</f>
        <v>0</v>
      </c>
      <c r="BL456" s="20">
        <f ca="1">IF(Table1[[#This Row],[County]]="Lincolnshire",Table1[[#This Row],[income]],0)</f>
        <v>0</v>
      </c>
      <c r="BM456" s="20">
        <f ca="1">IF(Table1[[#This Row],[County]]="Somerset",Table1[[#This Row],[income]],0)</f>
        <v>0</v>
      </c>
      <c r="BN456" s="20">
        <f ca="1">IF(Table1[[#This Row],[County]]="Cambridgeshire",Table1[[#This Row],[income]],0)</f>
        <v>0</v>
      </c>
      <c r="BO456" s="20">
        <f ca="1">IF(Table1[[#This Row],[County]]="South Yorkshire",Table1[[#This Row],[income]],0)</f>
        <v>0</v>
      </c>
      <c r="BP456" s="20">
        <f ca="1">IF(Table1[[#This Row],[County]]="Greater London",Table1[[#This Row],[income]],0)</f>
        <v>0</v>
      </c>
      <c r="BQ456" s="20">
        <f ca="1">IF(Table1[[#This Row],[County]]="Hampshire",Table1[[#This Row],[income]],0)</f>
        <v>0</v>
      </c>
      <c r="BR456" s="20">
        <f ca="1">IF(Table1[[#This Row],[County]]="Gloucestershire",Table1[[#This Row],[income]],0)</f>
        <v>0</v>
      </c>
      <c r="BS456" s="20">
        <f ca="1">IF(Table1[[#This Row],[County]]="West Sussex",Table1[[#This Row],[income]],0)</f>
        <v>0</v>
      </c>
      <c r="BT456" s="20">
        <f ca="1">IF(Table1[[#This Row],[County]]="Devon",Table1[[#This Row],[income]],0)</f>
        <v>0</v>
      </c>
      <c r="BU456" s="20">
        <f ca="1">IF(Table1[[#This Row],[County]]="Berkshire",Table1[[#This Row],[income]],0)</f>
        <v>0</v>
      </c>
      <c r="BV456" s="20">
        <f ca="1">IF(Table1[[#This Row],[County]]="Staffordshire",Table1[[#This Row],[income]],0)</f>
        <v>0</v>
      </c>
      <c r="BW456" s="20">
        <f ca="1">IF(Table1[[#This Row],[County]]="Leicestershire",Table1[[#This Row],[income]],0)</f>
        <v>0</v>
      </c>
      <c r="BX456" s="20">
        <f ca="1">IF(Table1[[#This Row],[County]]="Cornwall",Table1[[#This Row],[income]],0)</f>
        <v>0</v>
      </c>
      <c r="BY456" s="20">
        <f ca="1">IF(Table1[[#This Row],[County]]="Isle of Wight",Table1[[#This Row],[income]],0)</f>
        <v>0</v>
      </c>
      <c r="BZ456" s="20">
        <f ca="1">IF(Table1[[#This Row],[County]]="Surrey",Table1[[#This Row],[income]],0)</f>
        <v>0</v>
      </c>
      <c r="CA456" s="20">
        <f ca="1">IF(Table1[[#This Row],[County]]="Derbyshire",Table1[[#This Row],[income]],0)</f>
        <v>0</v>
      </c>
      <c r="CB456" s="20">
        <f ca="1">IF(Table1[[#This Row],[County]]="City of London",Table1[[#This Row],[income]],0)</f>
        <v>0</v>
      </c>
      <c r="CC456" s="20">
        <f ca="1">IF(Table1[[#This Row],[County]]="Bedfordshire",Table1[[#This Row],[income]],0)</f>
        <v>0</v>
      </c>
      <c r="CD456" s="20">
        <f ca="1">IF(Table1[[#This Row],[County]]="County Durham",Table1[[#This Row],[income]],0)</f>
        <v>0</v>
      </c>
      <c r="CE456" s="20">
        <f ca="1">IF(Table1[[#This Row],[County]]="East Riding of Yorkshire",Table1[[#This Row],[income]],0)</f>
        <v>0</v>
      </c>
      <c r="CF456" s="20">
        <f ca="1">IF(Table1[[#This Row],[County]]="West Yorkshire",Table1[[#This Row],[income]],0)</f>
        <v>0</v>
      </c>
      <c r="CG456" s="20">
        <f ca="1">IF(Table1[[#This Row],[County]]="Essex",Table1[[#This Row],[income]],0)</f>
        <v>0</v>
      </c>
      <c r="CH456" s="20">
        <f ca="1">IF(Table1[[#This Row],[County]]="East Sussex",Table1[[#This Row],[income]],0)</f>
        <v>0</v>
      </c>
      <c r="CI456" s="20">
        <f ca="1">IF(Table1[[#This Row],[County]]="Greater Manchester",Table1[[#This Row],[income]],0)</f>
        <v>0</v>
      </c>
      <c r="CJ456" s="20">
        <f ca="1">IF(Table1[[#This Row],[County]]="Hertfordshire",Table1[[#This Row],[income]],0)</f>
        <v>0</v>
      </c>
      <c r="CK456" s="20">
        <f ca="1">IF(Table1[[#This Row],[County]]="Herefordshire",Table1[[#This Row],[income]],0)</f>
        <v>0</v>
      </c>
      <c r="CL456" s="20">
        <f ca="1">IF(Table1[[#This Row],[County]]="Lancashire",Table1[[#This Row],[income]],0)</f>
        <v>0</v>
      </c>
      <c r="CM456" s="20">
        <f ca="1">IF(Table1[[#This Row],[County]]="Merseyside",Table1[[#This Row],[income]],0)</f>
        <v>0</v>
      </c>
      <c r="CN456" s="20">
        <f ca="1">IF(Table1[[#This Row],[County]]="Northamptonshire",Table1[[#This Row],[income]],0)</f>
        <v>0</v>
      </c>
      <c r="CO456" s="20">
        <f ca="1">IF(Table1[[#This Row],[County]]="Northumberland",Table1[[#This Row],[income]],0)</f>
        <v>0</v>
      </c>
      <c r="CP456" s="20">
        <f ca="1">IF(Table1[[#This Row],[County]]="Wiltshire",Table1[[#This Row],[income]],0)</f>
        <v>0</v>
      </c>
      <c r="CQ456" s="20">
        <f ca="1">IF(Table1[[#This Row],[County]]="West Midlands",Table1[[#This Row],[income]],0)</f>
        <v>0</v>
      </c>
      <c r="CR456" s="20">
        <f ca="1">IF(Table1[[#This Row],[County]]="Warwickshire",Table1[[#This Row],[income]],0)</f>
        <v>0</v>
      </c>
      <c r="CS456" s="20">
        <f ca="1">IF(Table1[[#This Row],[County]]="Tyne and Wear",Table1[[#This Row],[income]],0)</f>
        <v>0</v>
      </c>
      <c r="CT456" s="20">
        <f ca="1">IF(Table1[[#This Row],[County]]="Worcestershire",Table1[[#This Row],[income]],0)</f>
        <v>0</v>
      </c>
      <c r="CU456" s="20">
        <f ca="1">IF(Table1[[#This Row],[County]]="Rutland",Table1[[#This Row],[income]],0)</f>
        <v>0</v>
      </c>
      <c r="CV456" s="20">
        <f ca="1">IF(Table1[[#This Row],[County]]="Shropshire",Table1[[#This Row],[income]],0)</f>
        <v>0</v>
      </c>
      <c r="CW456" s="20">
        <f ca="1">IF(Table1[[#This Row],[County]]="Dorset",Table1[[#This Row],[income]],0)</f>
        <v>0</v>
      </c>
      <c r="CX456" s="20">
        <f ca="1">IF(Table1[[#This Row],[County]]="Buckinghamshire",Table1[[#This Row],[income]],0)</f>
        <v>0</v>
      </c>
      <c r="CY456" s="20">
        <f ca="1">IF(Table1[[#This Row],[County]]="Suffolk",Table1[[#This Row],[income]],0)</f>
        <v>0</v>
      </c>
      <c r="CZ456" s="20">
        <f ca="1">IF(Table1[[#This Row],[County]]="North Yorkshire",Table1[[#This Row],[income]],0)</f>
        <v>0</v>
      </c>
      <c r="DA456" s="20">
        <f ca="1">IF(Table1[[#This Row],[County]]="Kent",Table1[[#This Row],[income]],0)</f>
        <v>54386</v>
      </c>
      <c r="DB456" s="5">
        <f ca="1">IF(Table1[[#This Row],[County]]="Derbyshire",Table1[[#This Row],[income]],0)</f>
        <v>0</v>
      </c>
      <c r="DD456" s="6">
        <f ca="1">IF(Table1[[#This Row],[Column1]]="Health",Table1[[#This Row],[income]],0)</f>
        <v>0</v>
      </c>
      <c r="DE456" s="20">
        <f ca="1">IF(Table1[[#This Row],[Column1]]="Agriculture",Table1[[#This Row],[income]],0)</f>
        <v>0</v>
      </c>
      <c r="DF456" s="20">
        <f ca="1">IF(Table1[[#This Row],[Column1]]="Technology",Table1[[#This Row],[income]],0)</f>
        <v>0</v>
      </c>
      <c r="DG456" s="20">
        <f ca="1">IF(Table1[[#This Row],[Column1]]="Social Service",Table1[[#This Row],[income]],0)</f>
        <v>54386</v>
      </c>
      <c r="DH456" s="20">
        <f ca="1">IF(Table1[[#This Row],[Column1]]="Education",Table1[[#This Row],[income]],0)</f>
        <v>0</v>
      </c>
      <c r="DI456" s="5">
        <f ca="1">IF(Table1[[#This Row],[Column1]]="Construction",Table1[[#This Row],[income]],0)</f>
        <v>0</v>
      </c>
      <c r="DK456" s="6">
        <f ca="1">IF(Table1[[#This Row],[Value of Debts]]&gt;Table1[[#This Row],[income]],1,0)</f>
        <v>1</v>
      </c>
      <c r="DL456" s="20"/>
      <c r="DM456" s="20"/>
      <c r="DN456" s="5"/>
      <c r="DP456" s="6">
        <f ca="1">IF(Table1[[#This Row],[Net Worth (£)]]&gt;$DS$5,C456,0)</f>
        <v>0</v>
      </c>
      <c r="DQ456" s="20"/>
      <c r="DR456" s="20"/>
      <c r="DS456" s="5"/>
    </row>
    <row r="457" spans="1:123" x14ac:dyDescent="0.2">
      <c r="A457">
        <f t="shared" ca="1" si="22"/>
        <v>2</v>
      </c>
      <c r="B457" s="1" t="str">
        <f ca="1">IF(A457=1, "men", "women")</f>
        <v>women</v>
      </c>
      <c r="C457" s="1">
        <f ca="1">RANDBETWEEN(25,50)</f>
        <v>47</v>
      </c>
      <c r="D457">
        <f ca="1">RANDBETWEEN(1,6)</f>
        <v>2</v>
      </c>
      <c r="E457" t="str">
        <f ca="1">VLOOKUP(D457,$W$5:$X$10,2)</f>
        <v>Construction</v>
      </c>
      <c r="F457">
        <f ca="1">RANDBETWEEN(1,5)</f>
        <v>4</v>
      </c>
      <c r="G457" t="str">
        <f ca="1">VLOOKUP(F457,$Y$5:$Z$9,2)</f>
        <v xml:space="preserve">Technical </v>
      </c>
      <c r="H457">
        <f ca="1">RANDBETWEEN(0,4)</f>
        <v>4</v>
      </c>
      <c r="I457">
        <f ca="1">RANDBETWEEN(1,3)</f>
        <v>3</v>
      </c>
      <c r="J457">
        <f ca="1">RANDBETWEEN(30000,100000)</f>
        <v>86570</v>
      </c>
      <c r="K457">
        <f ca="1">RANDBETWEEN(1,48)</f>
        <v>25</v>
      </c>
      <c r="L457" t="str">
        <f ca="1">VLOOKUP(K457,$AA$5:$AB$52,2)</f>
        <v>Lancashire</v>
      </c>
      <c r="M457">
        <f ca="1">J457*(RANDBETWEEN(2,5))</f>
        <v>346280</v>
      </c>
      <c r="N457">
        <f ca="1">RAND()*M457</f>
        <v>15863.259872815854</v>
      </c>
      <c r="O457">
        <f ca="1">I457*RAND()*J457</f>
        <v>225810.89772529437</v>
      </c>
      <c r="P457">
        <f ca="1">RANDBETWEEN(0,O457)</f>
        <v>81567</v>
      </c>
      <c r="Q457">
        <f ca="1">RAND()*J457*2</f>
        <v>143144.1895928231</v>
      </c>
      <c r="R457">
        <f ca="1">RAND()*J457*1.5</f>
        <v>18790.288195459845</v>
      </c>
      <c r="S457">
        <f ca="1">J457+R457+O457</f>
        <v>331171.18592075421</v>
      </c>
      <c r="T457">
        <f ca="1">N457+P457+Q457</f>
        <v>240574.44946563896</v>
      </c>
      <c r="U457">
        <f ca="1">S457-T457</f>
        <v>90596.736455115257</v>
      </c>
      <c r="AC457" s="6">
        <f ca="1">IF(Table1[[#This Row],[gender]]="men",1,0)</f>
        <v>0</v>
      </c>
      <c r="AD457">
        <f ca="1">IF(Table1[[#This Row],[gender]]="women",1,0)</f>
        <v>1</v>
      </c>
      <c r="AH457" s="5"/>
      <c r="AJ457" s="6">
        <f ca="1">IF(Table1[[#This Row],[Column1]]="Health",1,0)</f>
        <v>0</v>
      </c>
      <c r="AK457">
        <f ca="1">IF(Table1[[#This Row],[Column1]]="Construction",1,0)</f>
        <v>1</v>
      </c>
      <c r="AL457">
        <f ca="1">IF(Table1[[#This Row],[Column1]]="Technology",1,0)</f>
        <v>0</v>
      </c>
      <c r="AM457">
        <f ca="1">IF(Table1[[#This Row],[Column1]]="Education",1,0)</f>
        <v>0</v>
      </c>
      <c r="AN457">
        <f ca="1">IF(Table1[[#This Row],[Column1]]="Agriculture",1,0)</f>
        <v>0</v>
      </c>
      <c r="AO457">
        <f ca="1">IF(Table1[[#This Row],[Column1]]="Social Service", 1, 0)</f>
        <v>0</v>
      </c>
      <c r="AT457" s="5"/>
      <c r="AV457" s="17">
        <f t="shared" ca="1" si="21"/>
        <v>4719.4415951809451</v>
      </c>
      <c r="AW457" s="5"/>
      <c r="AX457" s="6">
        <f ca="1">IF(Table1[[#This Row],[Value of Debts]]&gt;$AY$4,1,0)</f>
        <v>1</v>
      </c>
      <c r="AY457" s="20"/>
      <c r="AZ457" s="20"/>
      <c r="BA457" s="5"/>
      <c r="BB457" s="25">
        <f ca="1">Table1[[#This Row],[Mortage Left]]/Table1[[#This Row],[Value of House]]</f>
        <v>4.5810499805983174E-2</v>
      </c>
      <c r="BC457" s="20">
        <f t="shared" ca="1" si="23"/>
        <v>1</v>
      </c>
      <c r="BD457" s="20"/>
      <c r="BE457" s="20"/>
      <c r="BF457" s="20"/>
      <c r="BG457" s="6">
        <f ca="1">IF(Table1[[#This Row],[County]]="Cumbria",Table1[[#This Row],[income]],0)</f>
        <v>0</v>
      </c>
      <c r="BH457" s="20">
        <f ca="1">IF(Table1[[#This Row],[County]]="Cheshire",Table1[[#This Row],[income]],0)</f>
        <v>0</v>
      </c>
      <c r="BI457" s="20">
        <f ca="1">IF(Table1[[#This Row],[County]]="Bristol",Table1[[#This Row],[income]],0)</f>
        <v>0</v>
      </c>
      <c r="BJ457" s="20">
        <f ca="1">IF(Table1[[#This Row],[County]]="Surrey",Table1[[#This Row],[income]],0)</f>
        <v>0</v>
      </c>
      <c r="BK457" s="20">
        <f ca="1">IF(Table1[[#This Row],[County]]="Norfolk",Table1[[#This Row],[income]],0)</f>
        <v>0</v>
      </c>
      <c r="BL457" s="20">
        <f ca="1">IF(Table1[[#This Row],[County]]="Lincolnshire",Table1[[#This Row],[income]],0)</f>
        <v>0</v>
      </c>
      <c r="BM457" s="20">
        <f ca="1">IF(Table1[[#This Row],[County]]="Somerset",Table1[[#This Row],[income]],0)</f>
        <v>0</v>
      </c>
      <c r="BN457" s="20">
        <f ca="1">IF(Table1[[#This Row],[County]]="Cambridgeshire",Table1[[#This Row],[income]],0)</f>
        <v>0</v>
      </c>
      <c r="BO457" s="20">
        <f ca="1">IF(Table1[[#This Row],[County]]="South Yorkshire",Table1[[#This Row],[income]],0)</f>
        <v>0</v>
      </c>
      <c r="BP457" s="20">
        <f ca="1">IF(Table1[[#This Row],[County]]="Greater London",Table1[[#This Row],[income]],0)</f>
        <v>0</v>
      </c>
      <c r="BQ457" s="20">
        <f ca="1">IF(Table1[[#This Row],[County]]="Hampshire",Table1[[#This Row],[income]],0)</f>
        <v>0</v>
      </c>
      <c r="BR457" s="20">
        <f ca="1">IF(Table1[[#This Row],[County]]="Gloucestershire",Table1[[#This Row],[income]],0)</f>
        <v>0</v>
      </c>
      <c r="BS457" s="20">
        <f ca="1">IF(Table1[[#This Row],[County]]="West Sussex",Table1[[#This Row],[income]],0)</f>
        <v>0</v>
      </c>
      <c r="BT457" s="20">
        <f ca="1">IF(Table1[[#This Row],[County]]="Devon",Table1[[#This Row],[income]],0)</f>
        <v>0</v>
      </c>
      <c r="BU457" s="20">
        <f ca="1">IF(Table1[[#This Row],[County]]="Berkshire",Table1[[#This Row],[income]],0)</f>
        <v>0</v>
      </c>
      <c r="BV457" s="20">
        <f ca="1">IF(Table1[[#This Row],[County]]="Staffordshire",Table1[[#This Row],[income]],0)</f>
        <v>0</v>
      </c>
      <c r="BW457" s="20">
        <f ca="1">IF(Table1[[#This Row],[County]]="Leicestershire",Table1[[#This Row],[income]],0)</f>
        <v>0</v>
      </c>
      <c r="BX457" s="20">
        <f ca="1">IF(Table1[[#This Row],[County]]="Cornwall",Table1[[#This Row],[income]],0)</f>
        <v>0</v>
      </c>
      <c r="BY457" s="20">
        <f ca="1">IF(Table1[[#This Row],[County]]="Isle of Wight",Table1[[#This Row],[income]],0)</f>
        <v>0</v>
      </c>
      <c r="BZ457" s="20">
        <f ca="1">IF(Table1[[#This Row],[County]]="Surrey",Table1[[#This Row],[income]],0)</f>
        <v>0</v>
      </c>
      <c r="CA457" s="20">
        <f ca="1">IF(Table1[[#This Row],[County]]="Derbyshire",Table1[[#This Row],[income]],0)</f>
        <v>0</v>
      </c>
      <c r="CB457" s="20">
        <f ca="1">IF(Table1[[#This Row],[County]]="City of London",Table1[[#This Row],[income]],0)</f>
        <v>0</v>
      </c>
      <c r="CC457" s="20">
        <f ca="1">IF(Table1[[#This Row],[County]]="Bedfordshire",Table1[[#This Row],[income]],0)</f>
        <v>0</v>
      </c>
      <c r="CD457" s="20">
        <f ca="1">IF(Table1[[#This Row],[County]]="County Durham",Table1[[#This Row],[income]],0)</f>
        <v>0</v>
      </c>
      <c r="CE457" s="20">
        <f ca="1">IF(Table1[[#This Row],[County]]="East Riding of Yorkshire",Table1[[#This Row],[income]],0)</f>
        <v>0</v>
      </c>
      <c r="CF457" s="20">
        <f ca="1">IF(Table1[[#This Row],[County]]="West Yorkshire",Table1[[#This Row],[income]],0)</f>
        <v>0</v>
      </c>
      <c r="CG457" s="20">
        <f ca="1">IF(Table1[[#This Row],[County]]="Essex",Table1[[#This Row],[income]],0)</f>
        <v>0</v>
      </c>
      <c r="CH457" s="20">
        <f ca="1">IF(Table1[[#This Row],[County]]="East Sussex",Table1[[#This Row],[income]],0)</f>
        <v>0</v>
      </c>
      <c r="CI457" s="20">
        <f ca="1">IF(Table1[[#This Row],[County]]="Greater Manchester",Table1[[#This Row],[income]],0)</f>
        <v>0</v>
      </c>
      <c r="CJ457" s="20">
        <f ca="1">IF(Table1[[#This Row],[County]]="Hertfordshire",Table1[[#This Row],[income]],0)</f>
        <v>0</v>
      </c>
      <c r="CK457" s="20">
        <f ca="1">IF(Table1[[#This Row],[County]]="Herefordshire",Table1[[#This Row],[income]],0)</f>
        <v>0</v>
      </c>
      <c r="CL457" s="20">
        <f ca="1">IF(Table1[[#This Row],[County]]="Lancashire",Table1[[#This Row],[income]],0)</f>
        <v>86570</v>
      </c>
      <c r="CM457" s="20">
        <f ca="1">IF(Table1[[#This Row],[County]]="Merseyside",Table1[[#This Row],[income]],0)</f>
        <v>0</v>
      </c>
      <c r="CN457" s="20">
        <f ca="1">IF(Table1[[#This Row],[County]]="Northamptonshire",Table1[[#This Row],[income]],0)</f>
        <v>0</v>
      </c>
      <c r="CO457" s="20">
        <f ca="1">IF(Table1[[#This Row],[County]]="Northumberland",Table1[[#This Row],[income]],0)</f>
        <v>0</v>
      </c>
      <c r="CP457" s="20">
        <f ca="1">IF(Table1[[#This Row],[County]]="Wiltshire",Table1[[#This Row],[income]],0)</f>
        <v>0</v>
      </c>
      <c r="CQ457" s="20">
        <f ca="1">IF(Table1[[#This Row],[County]]="West Midlands",Table1[[#This Row],[income]],0)</f>
        <v>0</v>
      </c>
      <c r="CR457" s="20">
        <f ca="1">IF(Table1[[#This Row],[County]]="Warwickshire",Table1[[#This Row],[income]],0)</f>
        <v>0</v>
      </c>
      <c r="CS457" s="20">
        <f ca="1">IF(Table1[[#This Row],[County]]="Tyne and Wear",Table1[[#This Row],[income]],0)</f>
        <v>0</v>
      </c>
      <c r="CT457" s="20">
        <f ca="1">IF(Table1[[#This Row],[County]]="Worcestershire",Table1[[#This Row],[income]],0)</f>
        <v>0</v>
      </c>
      <c r="CU457" s="20">
        <f ca="1">IF(Table1[[#This Row],[County]]="Rutland",Table1[[#This Row],[income]],0)</f>
        <v>0</v>
      </c>
      <c r="CV457" s="20">
        <f ca="1">IF(Table1[[#This Row],[County]]="Shropshire",Table1[[#This Row],[income]],0)</f>
        <v>0</v>
      </c>
      <c r="CW457" s="20">
        <f ca="1">IF(Table1[[#This Row],[County]]="Dorset",Table1[[#This Row],[income]],0)</f>
        <v>0</v>
      </c>
      <c r="CX457" s="20">
        <f ca="1">IF(Table1[[#This Row],[County]]="Buckinghamshire",Table1[[#This Row],[income]],0)</f>
        <v>0</v>
      </c>
      <c r="CY457" s="20">
        <f ca="1">IF(Table1[[#This Row],[County]]="Suffolk",Table1[[#This Row],[income]],0)</f>
        <v>0</v>
      </c>
      <c r="CZ457" s="20">
        <f ca="1">IF(Table1[[#This Row],[County]]="North Yorkshire",Table1[[#This Row],[income]],0)</f>
        <v>0</v>
      </c>
      <c r="DA457" s="20">
        <f ca="1">IF(Table1[[#This Row],[County]]="Kent",Table1[[#This Row],[income]],0)</f>
        <v>0</v>
      </c>
      <c r="DB457" s="5">
        <f ca="1">IF(Table1[[#This Row],[County]]="Derbyshire",Table1[[#This Row],[income]],0)</f>
        <v>0</v>
      </c>
      <c r="DD457" s="6">
        <f ca="1">IF(Table1[[#This Row],[Column1]]="Health",Table1[[#This Row],[income]],0)</f>
        <v>0</v>
      </c>
      <c r="DE457" s="20">
        <f ca="1">IF(Table1[[#This Row],[Column1]]="Agriculture",Table1[[#This Row],[income]],0)</f>
        <v>0</v>
      </c>
      <c r="DF457" s="20">
        <f ca="1">IF(Table1[[#This Row],[Column1]]="Technology",Table1[[#This Row],[income]],0)</f>
        <v>0</v>
      </c>
      <c r="DG457" s="20">
        <f ca="1">IF(Table1[[#This Row],[Column1]]="Social Service",Table1[[#This Row],[income]],0)</f>
        <v>0</v>
      </c>
      <c r="DH457" s="20">
        <f ca="1">IF(Table1[[#This Row],[Column1]]="Education",Table1[[#This Row],[income]],0)</f>
        <v>0</v>
      </c>
      <c r="DI457" s="5">
        <f ca="1">IF(Table1[[#This Row],[Column1]]="Construction",Table1[[#This Row],[income]],0)</f>
        <v>86570</v>
      </c>
      <c r="DK457" s="6">
        <f ca="1">IF(Table1[[#This Row],[Value of Debts]]&gt;Table1[[#This Row],[income]],1,0)</f>
        <v>1</v>
      </c>
      <c r="DL457" s="20"/>
      <c r="DM457" s="20"/>
      <c r="DN457" s="5"/>
      <c r="DP457" s="6">
        <f ca="1">IF(Table1[[#This Row],[Net Worth (£)]]&gt;$DS$5,C457,0)</f>
        <v>47</v>
      </c>
      <c r="DQ457" s="20"/>
      <c r="DR457" s="20"/>
      <c r="DS457" s="5"/>
    </row>
    <row r="458" spans="1:123" x14ac:dyDescent="0.2">
      <c r="A458">
        <f t="shared" ca="1" si="22"/>
        <v>2</v>
      </c>
      <c r="B458" s="1" t="str">
        <f ca="1">IF(A458=1, "men", "women")</f>
        <v>women</v>
      </c>
      <c r="C458" s="1">
        <f ca="1">RANDBETWEEN(25,50)</f>
        <v>41</v>
      </c>
      <c r="D458">
        <f ca="1">RANDBETWEEN(1,6)</f>
        <v>6</v>
      </c>
      <c r="E458" t="str">
        <f ca="1">VLOOKUP(D458,$W$5:$X$10,2)</f>
        <v>Agriculture</v>
      </c>
      <c r="F458">
        <f ca="1">RANDBETWEEN(1,5)</f>
        <v>1</v>
      </c>
      <c r="G458" t="str">
        <f ca="1">VLOOKUP(F458,$Y$5:$Z$9,2)</f>
        <v>High School</v>
      </c>
      <c r="H458">
        <f ca="1">RANDBETWEEN(0,4)</f>
        <v>0</v>
      </c>
      <c r="I458">
        <f ca="1">RANDBETWEEN(1,3)</f>
        <v>2</v>
      </c>
      <c r="J458">
        <f ca="1">RANDBETWEEN(30000,100000)</f>
        <v>78826</v>
      </c>
      <c r="K458">
        <f ca="1">RANDBETWEEN(1,48)</f>
        <v>39</v>
      </c>
      <c r="L458" t="str">
        <f ca="1">VLOOKUP(K458,$AA$5:$AB$52,2)</f>
        <v>Staffordshire</v>
      </c>
      <c r="M458">
        <f ca="1">J458*(RANDBETWEEN(2,5))</f>
        <v>236478</v>
      </c>
      <c r="N458">
        <f ca="1">RAND()*M458</f>
        <v>206329.48375254721</v>
      </c>
      <c r="O458">
        <f ca="1">I458*RAND()*J458</f>
        <v>9438.8831903618902</v>
      </c>
      <c r="P458">
        <f ca="1">RANDBETWEEN(0,O458)</f>
        <v>7399</v>
      </c>
      <c r="Q458">
        <f ca="1">RAND()*J458*2</f>
        <v>52880.319102369089</v>
      </c>
      <c r="R458">
        <f ca="1">RAND()*J458*1.5</f>
        <v>56712.875413841815</v>
      </c>
      <c r="S458">
        <f ca="1">J458+R458+O458</f>
        <v>144977.7586042037</v>
      </c>
      <c r="T458">
        <f ca="1">N458+P458+Q458</f>
        <v>266608.80285491631</v>
      </c>
      <c r="U458">
        <f ca="1">S458-T458</f>
        <v>-121631.04425071261</v>
      </c>
      <c r="AC458" s="6">
        <f ca="1">IF(Table1[[#This Row],[gender]]="men",1,0)</f>
        <v>0</v>
      </c>
      <c r="AD458">
        <f ca="1">IF(Table1[[#This Row],[gender]]="women",1,0)</f>
        <v>1</v>
      </c>
      <c r="AH458" s="5"/>
      <c r="AJ458" s="6">
        <f ca="1">IF(Table1[[#This Row],[Column1]]="Health",1,0)</f>
        <v>0</v>
      </c>
      <c r="AK458">
        <f ca="1">IF(Table1[[#This Row],[Column1]]="Construction",1,0)</f>
        <v>0</v>
      </c>
      <c r="AL458">
        <f ca="1">IF(Table1[[#This Row],[Column1]]="Technology",1,0)</f>
        <v>0</v>
      </c>
      <c r="AM458">
        <f ca="1">IF(Table1[[#This Row],[Column1]]="Education",1,0)</f>
        <v>0</v>
      </c>
      <c r="AN458">
        <f ca="1">IF(Table1[[#This Row],[Column1]]="Agriculture",1,0)</f>
        <v>1</v>
      </c>
      <c r="AO458">
        <f ca="1">IF(Table1[[#This Row],[Column1]]="Social Service", 1, 0)</f>
        <v>0</v>
      </c>
      <c r="AT458" s="5"/>
      <c r="AV458" s="17">
        <f t="shared" ca="1" si="21"/>
        <v>23632.64660932064</v>
      </c>
      <c r="AW458" s="5"/>
      <c r="AX458" s="6">
        <f ca="1">IF(Table1[[#This Row],[Value of Debts]]&gt;$AY$4,1,0)</f>
        <v>1</v>
      </c>
      <c r="AY458" s="20"/>
      <c r="AZ458" s="20"/>
      <c r="BA458" s="5"/>
      <c r="BB458" s="25">
        <f ca="1">Table1[[#This Row],[Mortage Left]]/Table1[[#This Row],[Value of House]]</f>
        <v>0.87251027052219321</v>
      </c>
      <c r="BC458" s="20">
        <f t="shared" ca="1" si="23"/>
        <v>0</v>
      </c>
      <c r="BD458" s="20"/>
      <c r="BE458" s="20"/>
      <c r="BF458" s="20"/>
      <c r="BG458" s="6">
        <f ca="1">IF(Table1[[#This Row],[County]]="Cumbria",Table1[[#This Row],[income]],0)</f>
        <v>0</v>
      </c>
      <c r="BH458" s="20">
        <f ca="1">IF(Table1[[#This Row],[County]]="Cheshire",Table1[[#This Row],[income]],0)</f>
        <v>0</v>
      </c>
      <c r="BI458" s="20">
        <f ca="1">IF(Table1[[#This Row],[County]]="Bristol",Table1[[#This Row],[income]],0)</f>
        <v>0</v>
      </c>
      <c r="BJ458" s="20">
        <f ca="1">IF(Table1[[#This Row],[County]]="Surrey",Table1[[#This Row],[income]],0)</f>
        <v>0</v>
      </c>
      <c r="BK458" s="20">
        <f ca="1">IF(Table1[[#This Row],[County]]="Norfolk",Table1[[#This Row],[income]],0)</f>
        <v>0</v>
      </c>
      <c r="BL458" s="20">
        <f ca="1">IF(Table1[[#This Row],[County]]="Lincolnshire",Table1[[#This Row],[income]],0)</f>
        <v>0</v>
      </c>
      <c r="BM458" s="20">
        <f ca="1">IF(Table1[[#This Row],[County]]="Somerset",Table1[[#This Row],[income]],0)</f>
        <v>0</v>
      </c>
      <c r="BN458" s="20">
        <f ca="1">IF(Table1[[#This Row],[County]]="Cambridgeshire",Table1[[#This Row],[income]],0)</f>
        <v>0</v>
      </c>
      <c r="BO458" s="20">
        <f ca="1">IF(Table1[[#This Row],[County]]="South Yorkshire",Table1[[#This Row],[income]],0)</f>
        <v>0</v>
      </c>
      <c r="BP458" s="20">
        <f ca="1">IF(Table1[[#This Row],[County]]="Greater London",Table1[[#This Row],[income]],0)</f>
        <v>0</v>
      </c>
      <c r="BQ458" s="20">
        <f ca="1">IF(Table1[[#This Row],[County]]="Hampshire",Table1[[#This Row],[income]],0)</f>
        <v>0</v>
      </c>
      <c r="BR458" s="20">
        <f ca="1">IF(Table1[[#This Row],[County]]="Gloucestershire",Table1[[#This Row],[income]],0)</f>
        <v>0</v>
      </c>
      <c r="BS458" s="20">
        <f ca="1">IF(Table1[[#This Row],[County]]="West Sussex",Table1[[#This Row],[income]],0)</f>
        <v>0</v>
      </c>
      <c r="BT458" s="20">
        <f ca="1">IF(Table1[[#This Row],[County]]="Devon",Table1[[#This Row],[income]],0)</f>
        <v>0</v>
      </c>
      <c r="BU458" s="20">
        <f ca="1">IF(Table1[[#This Row],[County]]="Berkshire",Table1[[#This Row],[income]],0)</f>
        <v>0</v>
      </c>
      <c r="BV458" s="20">
        <f ca="1">IF(Table1[[#This Row],[County]]="Staffordshire",Table1[[#This Row],[income]],0)</f>
        <v>78826</v>
      </c>
      <c r="BW458" s="20">
        <f ca="1">IF(Table1[[#This Row],[County]]="Leicestershire",Table1[[#This Row],[income]],0)</f>
        <v>0</v>
      </c>
      <c r="BX458" s="20">
        <f ca="1">IF(Table1[[#This Row],[County]]="Cornwall",Table1[[#This Row],[income]],0)</f>
        <v>0</v>
      </c>
      <c r="BY458" s="20">
        <f ca="1">IF(Table1[[#This Row],[County]]="Isle of Wight",Table1[[#This Row],[income]],0)</f>
        <v>0</v>
      </c>
      <c r="BZ458" s="20">
        <f ca="1">IF(Table1[[#This Row],[County]]="Surrey",Table1[[#This Row],[income]],0)</f>
        <v>0</v>
      </c>
      <c r="CA458" s="20">
        <f ca="1">IF(Table1[[#This Row],[County]]="Derbyshire",Table1[[#This Row],[income]],0)</f>
        <v>0</v>
      </c>
      <c r="CB458" s="20">
        <f ca="1">IF(Table1[[#This Row],[County]]="City of London",Table1[[#This Row],[income]],0)</f>
        <v>0</v>
      </c>
      <c r="CC458" s="20">
        <f ca="1">IF(Table1[[#This Row],[County]]="Bedfordshire",Table1[[#This Row],[income]],0)</f>
        <v>0</v>
      </c>
      <c r="CD458" s="20">
        <f ca="1">IF(Table1[[#This Row],[County]]="County Durham",Table1[[#This Row],[income]],0)</f>
        <v>0</v>
      </c>
      <c r="CE458" s="20">
        <f ca="1">IF(Table1[[#This Row],[County]]="East Riding of Yorkshire",Table1[[#This Row],[income]],0)</f>
        <v>0</v>
      </c>
      <c r="CF458" s="20">
        <f ca="1">IF(Table1[[#This Row],[County]]="West Yorkshire",Table1[[#This Row],[income]],0)</f>
        <v>0</v>
      </c>
      <c r="CG458" s="20">
        <f ca="1">IF(Table1[[#This Row],[County]]="Essex",Table1[[#This Row],[income]],0)</f>
        <v>0</v>
      </c>
      <c r="CH458" s="20">
        <f ca="1">IF(Table1[[#This Row],[County]]="East Sussex",Table1[[#This Row],[income]],0)</f>
        <v>0</v>
      </c>
      <c r="CI458" s="20">
        <f ca="1">IF(Table1[[#This Row],[County]]="Greater Manchester",Table1[[#This Row],[income]],0)</f>
        <v>0</v>
      </c>
      <c r="CJ458" s="20">
        <f ca="1">IF(Table1[[#This Row],[County]]="Hertfordshire",Table1[[#This Row],[income]],0)</f>
        <v>0</v>
      </c>
      <c r="CK458" s="20">
        <f ca="1">IF(Table1[[#This Row],[County]]="Herefordshire",Table1[[#This Row],[income]],0)</f>
        <v>0</v>
      </c>
      <c r="CL458" s="20">
        <f ca="1">IF(Table1[[#This Row],[County]]="Lancashire",Table1[[#This Row],[income]],0)</f>
        <v>0</v>
      </c>
      <c r="CM458" s="20">
        <f ca="1">IF(Table1[[#This Row],[County]]="Merseyside",Table1[[#This Row],[income]],0)</f>
        <v>0</v>
      </c>
      <c r="CN458" s="20">
        <f ca="1">IF(Table1[[#This Row],[County]]="Northamptonshire",Table1[[#This Row],[income]],0)</f>
        <v>0</v>
      </c>
      <c r="CO458" s="20">
        <f ca="1">IF(Table1[[#This Row],[County]]="Northumberland",Table1[[#This Row],[income]],0)</f>
        <v>0</v>
      </c>
      <c r="CP458" s="20">
        <f ca="1">IF(Table1[[#This Row],[County]]="Wiltshire",Table1[[#This Row],[income]],0)</f>
        <v>0</v>
      </c>
      <c r="CQ458" s="20">
        <f ca="1">IF(Table1[[#This Row],[County]]="West Midlands",Table1[[#This Row],[income]],0)</f>
        <v>0</v>
      </c>
      <c r="CR458" s="20">
        <f ca="1">IF(Table1[[#This Row],[County]]="Warwickshire",Table1[[#This Row],[income]],0)</f>
        <v>0</v>
      </c>
      <c r="CS458" s="20">
        <f ca="1">IF(Table1[[#This Row],[County]]="Tyne and Wear",Table1[[#This Row],[income]],0)</f>
        <v>0</v>
      </c>
      <c r="CT458" s="20">
        <f ca="1">IF(Table1[[#This Row],[County]]="Worcestershire",Table1[[#This Row],[income]],0)</f>
        <v>0</v>
      </c>
      <c r="CU458" s="20">
        <f ca="1">IF(Table1[[#This Row],[County]]="Rutland",Table1[[#This Row],[income]],0)</f>
        <v>0</v>
      </c>
      <c r="CV458" s="20">
        <f ca="1">IF(Table1[[#This Row],[County]]="Shropshire",Table1[[#This Row],[income]],0)</f>
        <v>0</v>
      </c>
      <c r="CW458" s="20">
        <f ca="1">IF(Table1[[#This Row],[County]]="Dorset",Table1[[#This Row],[income]],0)</f>
        <v>0</v>
      </c>
      <c r="CX458" s="20">
        <f ca="1">IF(Table1[[#This Row],[County]]="Buckinghamshire",Table1[[#This Row],[income]],0)</f>
        <v>0</v>
      </c>
      <c r="CY458" s="20">
        <f ca="1">IF(Table1[[#This Row],[County]]="Suffolk",Table1[[#This Row],[income]],0)</f>
        <v>0</v>
      </c>
      <c r="CZ458" s="20">
        <f ca="1">IF(Table1[[#This Row],[County]]="North Yorkshire",Table1[[#This Row],[income]],0)</f>
        <v>0</v>
      </c>
      <c r="DA458" s="20">
        <f ca="1">IF(Table1[[#This Row],[County]]="Kent",Table1[[#This Row],[income]],0)</f>
        <v>0</v>
      </c>
      <c r="DB458" s="5">
        <f ca="1">IF(Table1[[#This Row],[County]]="Derbyshire",Table1[[#This Row],[income]],0)</f>
        <v>0</v>
      </c>
      <c r="DD458" s="6">
        <f ca="1">IF(Table1[[#This Row],[Column1]]="Health",Table1[[#This Row],[income]],0)</f>
        <v>0</v>
      </c>
      <c r="DE458" s="20">
        <f ca="1">IF(Table1[[#This Row],[Column1]]="Agriculture",Table1[[#This Row],[income]],0)</f>
        <v>78826</v>
      </c>
      <c r="DF458" s="20">
        <f ca="1">IF(Table1[[#This Row],[Column1]]="Technology",Table1[[#This Row],[income]],0)</f>
        <v>0</v>
      </c>
      <c r="DG458" s="20">
        <f ca="1">IF(Table1[[#This Row],[Column1]]="Social Service",Table1[[#This Row],[income]],0)</f>
        <v>0</v>
      </c>
      <c r="DH458" s="20">
        <f ca="1">IF(Table1[[#This Row],[Column1]]="Education",Table1[[#This Row],[income]],0)</f>
        <v>0</v>
      </c>
      <c r="DI458" s="5">
        <f ca="1">IF(Table1[[#This Row],[Column1]]="Construction",Table1[[#This Row],[income]],0)</f>
        <v>0</v>
      </c>
      <c r="DK458" s="6">
        <f ca="1">IF(Table1[[#This Row],[Value of Debts]]&gt;Table1[[#This Row],[income]],1,0)</f>
        <v>1</v>
      </c>
      <c r="DL458" s="20"/>
      <c r="DM458" s="20"/>
      <c r="DN458" s="5"/>
      <c r="DP458" s="6">
        <f ca="1">IF(Table1[[#This Row],[Net Worth (£)]]&gt;$DS$5,C458,0)</f>
        <v>0</v>
      </c>
      <c r="DQ458" s="20"/>
      <c r="DR458" s="20"/>
      <c r="DS458" s="5"/>
    </row>
    <row r="459" spans="1:123" x14ac:dyDescent="0.2">
      <c r="A459">
        <f t="shared" ca="1" si="22"/>
        <v>2</v>
      </c>
      <c r="B459" s="1" t="str">
        <f ca="1">IF(A459=1, "men", "women")</f>
        <v>women</v>
      </c>
      <c r="C459" s="1">
        <f ca="1">RANDBETWEEN(25,50)</f>
        <v>47</v>
      </c>
      <c r="D459">
        <f ca="1">RANDBETWEEN(1,6)</f>
        <v>5</v>
      </c>
      <c r="E459" t="str">
        <f ca="1">VLOOKUP(D459,$W$5:$X$10,2)</f>
        <v>Social Service</v>
      </c>
      <c r="F459">
        <f ca="1">RANDBETWEEN(1,5)</f>
        <v>5</v>
      </c>
      <c r="G459" t="str">
        <f ca="1">VLOOKUP(F459,$Y$5:$Z$9,2)</f>
        <v>Other</v>
      </c>
      <c r="H459">
        <f ca="1">RANDBETWEEN(0,4)</f>
        <v>4</v>
      </c>
      <c r="I459">
        <f ca="1">RANDBETWEEN(1,3)</f>
        <v>2</v>
      </c>
      <c r="J459">
        <f ca="1">RANDBETWEEN(30000,100000)</f>
        <v>63457</v>
      </c>
      <c r="K459">
        <f ca="1">RANDBETWEEN(1,48)</f>
        <v>5</v>
      </c>
      <c r="L459" t="str">
        <f ca="1">VLOOKUP(K459,$AA$5:$AB$52,2)</f>
        <v>Cambridgeshire</v>
      </c>
      <c r="M459">
        <f ca="1">J459*(RANDBETWEEN(2,5))</f>
        <v>190371</v>
      </c>
      <c r="N459">
        <f ca="1">RAND()*M459</f>
        <v>59676.536697560121</v>
      </c>
      <c r="O459">
        <f ca="1">I459*RAND()*J459</f>
        <v>47265.29321864128</v>
      </c>
      <c r="P459">
        <f ca="1">RANDBETWEEN(0,O459)</f>
        <v>15578</v>
      </c>
      <c r="Q459">
        <f ca="1">RAND()*J459*2</f>
        <v>7764.4647283867243</v>
      </c>
      <c r="R459">
        <f ca="1">RAND()*J459*1.5</f>
        <v>89026.731275311642</v>
      </c>
      <c r="S459">
        <f ca="1">J459+R459+O459</f>
        <v>199749.02449395292</v>
      </c>
      <c r="T459">
        <f ca="1">N459+P459+Q459</f>
        <v>83019.001425946844</v>
      </c>
      <c r="U459">
        <f ca="1">S459-T459</f>
        <v>116730.02306800608</v>
      </c>
      <c r="AC459" s="6">
        <f ca="1">IF(Table1[[#This Row],[gender]]="men",1,0)</f>
        <v>0</v>
      </c>
      <c r="AD459">
        <f ca="1">IF(Table1[[#This Row],[gender]]="women",1,0)</f>
        <v>1</v>
      </c>
      <c r="AH459" s="5"/>
      <c r="AJ459" s="6">
        <f ca="1">IF(Table1[[#This Row],[Column1]]="Health",1,0)</f>
        <v>0</v>
      </c>
      <c r="AK459">
        <f ca="1">IF(Table1[[#This Row],[Column1]]="Construction",1,0)</f>
        <v>0</v>
      </c>
      <c r="AL459">
        <f ca="1">IF(Table1[[#This Row],[Column1]]="Technology",1,0)</f>
        <v>0</v>
      </c>
      <c r="AM459">
        <f ca="1">IF(Table1[[#This Row],[Column1]]="Education",1,0)</f>
        <v>0</v>
      </c>
      <c r="AN459">
        <f ca="1">IF(Table1[[#This Row],[Column1]]="Agriculture",1,0)</f>
        <v>0</v>
      </c>
      <c r="AO459">
        <f ca="1">IF(Table1[[#This Row],[Column1]]="Social Service", 1, 0)</f>
        <v>1</v>
      </c>
      <c r="AT459" s="5"/>
      <c r="AV459" s="17">
        <f t="shared" ca="1" si="21"/>
        <v>74789.252530588143</v>
      </c>
      <c r="AW459" s="5"/>
      <c r="AX459" s="6">
        <f ca="1">IF(Table1[[#This Row],[Value of Debts]]&gt;$AY$4,1,0)</f>
        <v>0</v>
      </c>
      <c r="AY459" s="20"/>
      <c r="AZ459" s="20"/>
      <c r="BA459" s="5"/>
      <c r="BB459" s="25">
        <f ca="1">Table1[[#This Row],[Mortage Left]]/Table1[[#This Row],[Value of House]]</f>
        <v>0.3134749341945996</v>
      </c>
      <c r="BC459" s="20">
        <f t="shared" ca="1" si="23"/>
        <v>0</v>
      </c>
      <c r="BD459" s="20"/>
      <c r="BE459" s="20"/>
      <c r="BF459" s="20"/>
      <c r="BG459" s="6">
        <f ca="1">IF(Table1[[#This Row],[County]]="Cumbria",Table1[[#This Row],[income]],0)</f>
        <v>0</v>
      </c>
      <c r="BH459" s="20">
        <f ca="1">IF(Table1[[#This Row],[County]]="Cheshire",Table1[[#This Row],[income]],0)</f>
        <v>0</v>
      </c>
      <c r="BI459" s="20">
        <f ca="1">IF(Table1[[#This Row],[County]]="Bristol",Table1[[#This Row],[income]],0)</f>
        <v>0</v>
      </c>
      <c r="BJ459" s="20">
        <f ca="1">IF(Table1[[#This Row],[County]]="Surrey",Table1[[#This Row],[income]],0)</f>
        <v>0</v>
      </c>
      <c r="BK459" s="20">
        <f ca="1">IF(Table1[[#This Row],[County]]="Norfolk",Table1[[#This Row],[income]],0)</f>
        <v>0</v>
      </c>
      <c r="BL459" s="20">
        <f ca="1">IF(Table1[[#This Row],[County]]="Lincolnshire",Table1[[#This Row],[income]],0)</f>
        <v>0</v>
      </c>
      <c r="BM459" s="20">
        <f ca="1">IF(Table1[[#This Row],[County]]="Somerset",Table1[[#This Row],[income]],0)</f>
        <v>0</v>
      </c>
      <c r="BN459" s="20">
        <f ca="1">IF(Table1[[#This Row],[County]]="Cambridgeshire",Table1[[#This Row],[income]],0)</f>
        <v>63457</v>
      </c>
      <c r="BO459" s="20">
        <f ca="1">IF(Table1[[#This Row],[County]]="South Yorkshire",Table1[[#This Row],[income]],0)</f>
        <v>0</v>
      </c>
      <c r="BP459" s="20">
        <f ca="1">IF(Table1[[#This Row],[County]]="Greater London",Table1[[#This Row],[income]],0)</f>
        <v>0</v>
      </c>
      <c r="BQ459" s="20">
        <f ca="1">IF(Table1[[#This Row],[County]]="Hampshire",Table1[[#This Row],[income]],0)</f>
        <v>0</v>
      </c>
      <c r="BR459" s="20">
        <f ca="1">IF(Table1[[#This Row],[County]]="Gloucestershire",Table1[[#This Row],[income]],0)</f>
        <v>0</v>
      </c>
      <c r="BS459" s="20">
        <f ca="1">IF(Table1[[#This Row],[County]]="West Sussex",Table1[[#This Row],[income]],0)</f>
        <v>0</v>
      </c>
      <c r="BT459" s="20">
        <f ca="1">IF(Table1[[#This Row],[County]]="Devon",Table1[[#This Row],[income]],0)</f>
        <v>0</v>
      </c>
      <c r="BU459" s="20">
        <f ca="1">IF(Table1[[#This Row],[County]]="Berkshire",Table1[[#This Row],[income]],0)</f>
        <v>0</v>
      </c>
      <c r="BV459" s="20">
        <f ca="1">IF(Table1[[#This Row],[County]]="Staffordshire",Table1[[#This Row],[income]],0)</f>
        <v>0</v>
      </c>
      <c r="BW459" s="20">
        <f ca="1">IF(Table1[[#This Row],[County]]="Leicestershire",Table1[[#This Row],[income]],0)</f>
        <v>0</v>
      </c>
      <c r="BX459" s="20">
        <f ca="1">IF(Table1[[#This Row],[County]]="Cornwall",Table1[[#This Row],[income]],0)</f>
        <v>0</v>
      </c>
      <c r="BY459" s="20">
        <f ca="1">IF(Table1[[#This Row],[County]]="Isle of Wight",Table1[[#This Row],[income]],0)</f>
        <v>0</v>
      </c>
      <c r="BZ459" s="20">
        <f ca="1">IF(Table1[[#This Row],[County]]="Surrey",Table1[[#This Row],[income]],0)</f>
        <v>0</v>
      </c>
      <c r="CA459" s="20">
        <f ca="1">IF(Table1[[#This Row],[County]]="Derbyshire",Table1[[#This Row],[income]],0)</f>
        <v>0</v>
      </c>
      <c r="CB459" s="20">
        <f ca="1">IF(Table1[[#This Row],[County]]="City of London",Table1[[#This Row],[income]],0)</f>
        <v>0</v>
      </c>
      <c r="CC459" s="20">
        <f ca="1">IF(Table1[[#This Row],[County]]="Bedfordshire",Table1[[#This Row],[income]],0)</f>
        <v>0</v>
      </c>
      <c r="CD459" s="20">
        <f ca="1">IF(Table1[[#This Row],[County]]="County Durham",Table1[[#This Row],[income]],0)</f>
        <v>0</v>
      </c>
      <c r="CE459" s="20">
        <f ca="1">IF(Table1[[#This Row],[County]]="East Riding of Yorkshire",Table1[[#This Row],[income]],0)</f>
        <v>0</v>
      </c>
      <c r="CF459" s="20">
        <f ca="1">IF(Table1[[#This Row],[County]]="West Yorkshire",Table1[[#This Row],[income]],0)</f>
        <v>0</v>
      </c>
      <c r="CG459" s="20">
        <f ca="1">IF(Table1[[#This Row],[County]]="Essex",Table1[[#This Row],[income]],0)</f>
        <v>0</v>
      </c>
      <c r="CH459" s="20">
        <f ca="1">IF(Table1[[#This Row],[County]]="East Sussex",Table1[[#This Row],[income]],0)</f>
        <v>0</v>
      </c>
      <c r="CI459" s="20">
        <f ca="1">IF(Table1[[#This Row],[County]]="Greater Manchester",Table1[[#This Row],[income]],0)</f>
        <v>0</v>
      </c>
      <c r="CJ459" s="20">
        <f ca="1">IF(Table1[[#This Row],[County]]="Hertfordshire",Table1[[#This Row],[income]],0)</f>
        <v>0</v>
      </c>
      <c r="CK459" s="20">
        <f ca="1">IF(Table1[[#This Row],[County]]="Herefordshire",Table1[[#This Row],[income]],0)</f>
        <v>0</v>
      </c>
      <c r="CL459" s="20">
        <f ca="1">IF(Table1[[#This Row],[County]]="Lancashire",Table1[[#This Row],[income]],0)</f>
        <v>0</v>
      </c>
      <c r="CM459" s="20">
        <f ca="1">IF(Table1[[#This Row],[County]]="Merseyside",Table1[[#This Row],[income]],0)</f>
        <v>0</v>
      </c>
      <c r="CN459" s="20">
        <f ca="1">IF(Table1[[#This Row],[County]]="Northamptonshire",Table1[[#This Row],[income]],0)</f>
        <v>0</v>
      </c>
      <c r="CO459" s="20">
        <f ca="1">IF(Table1[[#This Row],[County]]="Northumberland",Table1[[#This Row],[income]],0)</f>
        <v>0</v>
      </c>
      <c r="CP459" s="20">
        <f ca="1">IF(Table1[[#This Row],[County]]="Wiltshire",Table1[[#This Row],[income]],0)</f>
        <v>0</v>
      </c>
      <c r="CQ459" s="20">
        <f ca="1">IF(Table1[[#This Row],[County]]="West Midlands",Table1[[#This Row],[income]],0)</f>
        <v>0</v>
      </c>
      <c r="CR459" s="20">
        <f ca="1">IF(Table1[[#This Row],[County]]="Warwickshire",Table1[[#This Row],[income]],0)</f>
        <v>0</v>
      </c>
      <c r="CS459" s="20">
        <f ca="1">IF(Table1[[#This Row],[County]]="Tyne and Wear",Table1[[#This Row],[income]],0)</f>
        <v>0</v>
      </c>
      <c r="CT459" s="20">
        <f ca="1">IF(Table1[[#This Row],[County]]="Worcestershire",Table1[[#This Row],[income]],0)</f>
        <v>0</v>
      </c>
      <c r="CU459" s="20">
        <f ca="1">IF(Table1[[#This Row],[County]]="Rutland",Table1[[#This Row],[income]],0)</f>
        <v>0</v>
      </c>
      <c r="CV459" s="20">
        <f ca="1">IF(Table1[[#This Row],[County]]="Shropshire",Table1[[#This Row],[income]],0)</f>
        <v>0</v>
      </c>
      <c r="CW459" s="20">
        <f ca="1">IF(Table1[[#This Row],[County]]="Dorset",Table1[[#This Row],[income]],0)</f>
        <v>0</v>
      </c>
      <c r="CX459" s="20">
        <f ca="1">IF(Table1[[#This Row],[County]]="Buckinghamshire",Table1[[#This Row],[income]],0)</f>
        <v>0</v>
      </c>
      <c r="CY459" s="20">
        <f ca="1">IF(Table1[[#This Row],[County]]="Suffolk",Table1[[#This Row],[income]],0)</f>
        <v>0</v>
      </c>
      <c r="CZ459" s="20">
        <f ca="1">IF(Table1[[#This Row],[County]]="North Yorkshire",Table1[[#This Row],[income]],0)</f>
        <v>0</v>
      </c>
      <c r="DA459" s="20">
        <f ca="1">IF(Table1[[#This Row],[County]]="Kent",Table1[[#This Row],[income]],0)</f>
        <v>0</v>
      </c>
      <c r="DB459" s="5">
        <f ca="1">IF(Table1[[#This Row],[County]]="Derbyshire",Table1[[#This Row],[income]],0)</f>
        <v>0</v>
      </c>
      <c r="DD459" s="6">
        <f ca="1">IF(Table1[[#This Row],[Column1]]="Health",Table1[[#This Row],[income]],0)</f>
        <v>0</v>
      </c>
      <c r="DE459" s="20">
        <f ca="1">IF(Table1[[#This Row],[Column1]]="Agriculture",Table1[[#This Row],[income]],0)</f>
        <v>0</v>
      </c>
      <c r="DF459" s="20">
        <f ca="1">IF(Table1[[#This Row],[Column1]]="Technology",Table1[[#This Row],[income]],0)</f>
        <v>0</v>
      </c>
      <c r="DG459" s="20">
        <f ca="1">IF(Table1[[#This Row],[Column1]]="Social Service",Table1[[#This Row],[income]],0)</f>
        <v>63457</v>
      </c>
      <c r="DH459" s="20">
        <f ca="1">IF(Table1[[#This Row],[Column1]]="Education",Table1[[#This Row],[income]],0)</f>
        <v>0</v>
      </c>
      <c r="DI459" s="5">
        <f ca="1">IF(Table1[[#This Row],[Column1]]="Construction",Table1[[#This Row],[income]],0)</f>
        <v>0</v>
      </c>
      <c r="DK459" s="6">
        <f ca="1">IF(Table1[[#This Row],[Value of Debts]]&gt;Table1[[#This Row],[income]],1,0)</f>
        <v>1</v>
      </c>
      <c r="DL459" s="20"/>
      <c r="DM459" s="20"/>
      <c r="DN459" s="5"/>
      <c r="DP459" s="6">
        <f ca="1">IF(Table1[[#This Row],[Net Worth (£)]]&gt;$DS$5,C459,0)</f>
        <v>47</v>
      </c>
      <c r="DQ459" s="20"/>
      <c r="DR459" s="20"/>
      <c r="DS459" s="5"/>
    </row>
    <row r="460" spans="1:123" x14ac:dyDescent="0.2">
      <c r="A460">
        <f t="shared" ca="1" si="22"/>
        <v>2</v>
      </c>
      <c r="B460" s="1" t="str">
        <f ca="1">IF(A460=1, "men", "women")</f>
        <v>women</v>
      </c>
      <c r="C460" s="1">
        <f ca="1">RANDBETWEEN(25,50)</f>
        <v>47</v>
      </c>
      <c r="D460">
        <f ca="1">RANDBETWEEN(1,6)</f>
        <v>6</v>
      </c>
      <c r="E460" t="str">
        <f ca="1">VLOOKUP(D460,$W$5:$X$10,2)</f>
        <v>Agriculture</v>
      </c>
      <c r="F460">
        <f ca="1">RANDBETWEEN(1,5)</f>
        <v>3</v>
      </c>
      <c r="G460" t="str">
        <f ca="1">VLOOKUP(F460,$Y$5:$Z$9,2)</f>
        <v>University</v>
      </c>
      <c r="H460">
        <f ca="1">RANDBETWEEN(0,4)</f>
        <v>3</v>
      </c>
      <c r="I460">
        <f ca="1">RANDBETWEEN(1,3)</f>
        <v>1</v>
      </c>
      <c r="J460">
        <f ca="1">RANDBETWEEN(30000,100000)</f>
        <v>89163</v>
      </c>
      <c r="K460">
        <f ca="1">RANDBETWEEN(1,48)</f>
        <v>13</v>
      </c>
      <c r="L460" t="str">
        <f ca="1">VLOOKUP(K460,$AA$5:$AB$52,2)</f>
        <v>County Durham</v>
      </c>
      <c r="M460">
        <f ca="1">J460*(RANDBETWEEN(2,5))</f>
        <v>267489</v>
      </c>
      <c r="N460">
        <f ca="1">RAND()*M460</f>
        <v>203617.83593962018</v>
      </c>
      <c r="O460">
        <f ca="1">I460*RAND()*J460</f>
        <v>74789.252530588143</v>
      </c>
      <c r="P460">
        <f ca="1">RANDBETWEEN(0,O460)</f>
        <v>13087</v>
      </c>
      <c r="Q460">
        <f ca="1">RAND()*J460*2</f>
        <v>122810.04165407739</v>
      </c>
      <c r="R460">
        <f ca="1">RAND()*J460*1.5</f>
        <v>42126.125421381876</v>
      </c>
      <c r="S460">
        <f ca="1">J460+R460+O460</f>
        <v>206078.37795197003</v>
      </c>
      <c r="T460">
        <f ca="1">N460+P460+Q460</f>
        <v>339514.87759369757</v>
      </c>
      <c r="U460">
        <f ca="1">S460-T460</f>
        <v>-133436.49964172754</v>
      </c>
      <c r="AC460" s="6">
        <f ca="1">IF(Table1[[#This Row],[gender]]="men",1,0)</f>
        <v>0</v>
      </c>
      <c r="AD460">
        <f ca="1">IF(Table1[[#This Row],[gender]]="women",1,0)</f>
        <v>1</v>
      </c>
      <c r="AH460" s="5"/>
      <c r="AJ460" s="6">
        <f ca="1">IF(Table1[[#This Row],[Column1]]="Health",1,0)</f>
        <v>0</v>
      </c>
      <c r="AK460">
        <f ca="1">IF(Table1[[#This Row],[Column1]]="Construction",1,0)</f>
        <v>0</v>
      </c>
      <c r="AL460">
        <f ca="1">IF(Table1[[#This Row],[Column1]]="Technology",1,0)</f>
        <v>0</v>
      </c>
      <c r="AM460">
        <f ca="1">IF(Table1[[#This Row],[Column1]]="Education",1,0)</f>
        <v>0</v>
      </c>
      <c r="AN460">
        <f ca="1">IF(Table1[[#This Row],[Column1]]="Agriculture",1,0)</f>
        <v>1</v>
      </c>
      <c r="AO460">
        <f ca="1">IF(Table1[[#This Row],[Column1]]="Social Service", 1, 0)</f>
        <v>0</v>
      </c>
      <c r="AT460" s="5"/>
      <c r="AV460" s="17">
        <f t="shared" ca="1" si="21"/>
        <v>69777.652161101971</v>
      </c>
      <c r="AW460" s="5"/>
      <c r="AX460" s="6">
        <f ca="1">IF(Table1[[#This Row],[Value of Debts]]&gt;$AY$4,1,0)</f>
        <v>1</v>
      </c>
      <c r="AY460" s="20"/>
      <c r="AZ460" s="20"/>
      <c r="BA460" s="5"/>
      <c r="BB460" s="25">
        <f ca="1">Table1[[#This Row],[Mortage Left]]/Table1[[#This Row],[Value of House]]</f>
        <v>0.76121947421994995</v>
      </c>
      <c r="BC460" s="20">
        <f t="shared" ca="1" si="23"/>
        <v>0</v>
      </c>
      <c r="BD460" s="20"/>
      <c r="BE460" s="20"/>
      <c r="BF460" s="20"/>
      <c r="BG460" s="6">
        <f ca="1">IF(Table1[[#This Row],[County]]="Cumbria",Table1[[#This Row],[income]],0)</f>
        <v>0</v>
      </c>
      <c r="BH460" s="20">
        <f ca="1">IF(Table1[[#This Row],[County]]="Cheshire",Table1[[#This Row],[income]],0)</f>
        <v>0</v>
      </c>
      <c r="BI460" s="20">
        <f ca="1">IF(Table1[[#This Row],[County]]="Bristol",Table1[[#This Row],[income]],0)</f>
        <v>0</v>
      </c>
      <c r="BJ460" s="20">
        <f ca="1">IF(Table1[[#This Row],[County]]="Surrey",Table1[[#This Row],[income]],0)</f>
        <v>0</v>
      </c>
      <c r="BK460" s="20">
        <f ca="1">IF(Table1[[#This Row],[County]]="Norfolk",Table1[[#This Row],[income]],0)</f>
        <v>0</v>
      </c>
      <c r="BL460" s="20">
        <f ca="1">IF(Table1[[#This Row],[County]]="Lincolnshire",Table1[[#This Row],[income]],0)</f>
        <v>0</v>
      </c>
      <c r="BM460" s="20">
        <f ca="1">IF(Table1[[#This Row],[County]]="Somerset",Table1[[#This Row],[income]],0)</f>
        <v>0</v>
      </c>
      <c r="BN460" s="20">
        <f ca="1">IF(Table1[[#This Row],[County]]="Cambridgeshire",Table1[[#This Row],[income]],0)</f>
        <v>0</v>
      </c>
      <c r="BO460" s="20">
        <f ca="1">IF(Table1[[#This Row],[County]]="South Yorkshire",Table1[[#This Row],[income]],0)</f>
        <v>0</v>
      </c>
      <c r="BP460" s="20">
        <f ca="1">IF(Table1[[#This Row],[County]]="Greater London",Table1[[#This Row],[income]],0)</f>
        <v>0</v>
      </c>
      <c r="BQ460" s="20">
        <f ca="1">IF(Table1[[#This Row],[County]]="Hampshire",Table1[[#This Row],[income]],0)</f>
        <v>0</v>
      </c>
      <c r="BR460" s="20">
        <f ca="1">IF(Table1[[#This Row],[County]]="Gloucestershire",Table1[[#This Row],[income]],0)</f>
        <v>0</v>
      </c>
      <c r="BS460" s="20">
        <f ca="1">IF(Table1[[#This Row],[County]]="West Sussex",Table1[[#This Row],[income]],0)</f>
        <v>0</v>
      </c>
      <c r="BT460" s="20">
        <f ca="1">IF(Table1[[#This Row],[County]]="Devon",Table1[[#This Row],[income]],0)</f>
        <v>0</v>
      </c>
      <c r="BU460" s="20">
        <f ca="1">IF(Table1[[#This Row],[County]]="Berkshire",Table1[[#This Row],[income]],0)</f>
        <v>0</v>
      </c>
      <c r="BV460" s="20">
        <f ca="1">IF(Table1[[#This Row],[County]]="Staffordshire",Table1[[#This Row],[income]],0)</f>
        <v>0</v>
      </c>
      <c r="BW460" s="20">
        <f ca="1">IF(Table1[[#This Row],[County]]="Leicestershire",Table1[[#This Row],[income]],0)</f>
        <v>0</v>
      </c>
      <c r="BX460" s="20">
        <f ca="1">IF(Table1[[#This Row],[County]]="Cornwall",Table1[[#This Row],[income]],0)</f>
        <v>0</v>
      </c>
      <c r="BY460" s="20">
        <f ca="1">IF(Table1[[#This Row],[County]]="Isle of Wight",Table1[[#This Row],[income]],0)</f>
        <v>0</v>
      </c>
      <c r="BZ460" s="20">
        <f ca="1">IF(Table1[[#This Row],[County]]="Surrey",Table1[[#This Row],[income]],0)</f>
        <v>0</v>
      </c>
      <c r="CA460" s="20">
        <f ca="1">IF(Table1[[#This Row],[County]]="Derbyshire",Table1[[#This Row],[income]],0)</f>
        <v>0</v>
      </c>
      <c r="CB460" s="20">
        <f ca="1">IF(Table1[[#This Row],[County]]="City of London",Table1[[#This Row],[income]],0)</f>
        <v>0</v>
      </c>
      <c r="CC460" s="20">
        <f ca="1">IF(Table1[[#This Row],[County]]="Bedfordshire",Table1[[#This Row],[income]],0)</f>
        <v>0</v>
      </c>
      <c r="CD460" s="20">
        <f ca="1">IF(Table1[[#This Row],[County]]="County Durham",Table1[[#This Row],[income]],0)</f>
        <v>89163</v>
      </c>
      <c r="CE460" s="20">
        <f ca="1">IF(Table1[[#This Row],[County]]="East Riding of Yorkshire",Table1[[#This Row],[income]],0)</f>
        <v>0</v>
      </c>
      <c r="CF460" s="20">
        <f ca="1">IF(Table1[[#This Row],[County]]="West Yorkshire",Table1[[#This Row],[income]],0)</f>
        <v>0</v>
      </c>
      <c r="CG460" s="20">
        <f ca="1">IF(Table1[[#This Row],[County]]="Essex",Table1[[#This Row],[income]],0)</f>
        <v>0</v>
      </c>
      <c r="CH460" s="20">
        <f ca="1">IF(Table1[[#This Row],[County]]="East Sussex",Table1[[#This Row],[income]],0)</f>
        <v>0</v>
      </c>
      <c r="CI460" s="20">
        <f ca="1">IF(Table1[[#This Row],[County]]="Greater Manchester",Table1[[#This Row],[income]],0)</f>
        <v>0</v>
      </c>
      <c r="CJ460" s="20">
        <f ca="1">IF(Table1[[#This Row],[County]]="Hertfordshire",Table1[[#This Row],[income]],0)</f>
        <v>0</v>
      </c>
      <c r="CK460" s="20">
        <f ca="1">IF(Table1[[#This Row],[County]]="Herefordshire",Table1[[#This Row],[income]],0)</f>
        <v>0</v>
      </c>
      <c r="CL460" s="20">
        <f ca="1">IF(Table1[[#This Row],[County]]="Lancashire",Table1[[#This Row],[income]],0)</f>
        <v>0</v>
      </c>
      <c r="CM460" s="20">
        <f ca="1">IF(Table1[[#This Row],[County]]="Merseyside",Table1[[#This Row],[income]],0)</f>
        <v>0</v>
      </c>
      <c r="CN460" s="20">
        <f ca="1">IF(Table1[[#This Row],[County]]="Northamptonshire",Table1[[#This Row],[income]],0)</f>
        <v>0</v>
      </c>
      <c r="CO460" s="20">
        <f ca="1">IF(Table1[[#This Row],[County]]="Northumberland",Table1[[#This Row],[income]],0)</f>
        <v>0</v>
      </c>
      <c r="CP460" s="20">
        <f ca="1">IF(Table1[[#This Row],[County]]="Wiltshire",Table1[[#This Row],[income]],0)</f>
        <v>0</v>
      </c>
      <c r="CQ460" s="20">
        <f ca="1">IF(Table1[[#This Row],[County]]="West Midlands",Table1[[#This Row],[income]],0)</f>
        <v>0</v>
      </c>
      <c r="CR460" s="20">
        <f ca="1">IF(Table1[[#This Row],[County]]="Warwickshire",Table1[[#This Row],[income]],0)</f>
        <v>0</v>
      </c>
      <c r="CS460" s="20">
        <f ca="1">IF(Table1[[#This Row],[County]]="Tyne and Wear",Table1[[#This Row],[income]],0)</f>
        <v>0</v>
      </c>
      <c r="CT460" s="20">
        <f ca="1">IF(Table1[[#This Row],[County]]="Worcestershire",Table1[[#This Row],[income]],0)</f>
        <v>0</v>
      </c>
      <c r="CU460" s="20">
        <f ca="1">IF(Table1[[#This Row],[County]]="Rutland",Table1[[#This Row],[income]],0)</f>
        <v>0</v>
      </c>
      <c r="CV460" s="20">
        <f ca="1">IF(Table1[[#This Row],[County]]="Shropshire",Table1[[#This Row],[income]],0)</f>
        <v>0</v>
      </c>
      <c r="CW460" s="20">
        <f ca="1">IF(Table1[[#This Row],[County]]="Dorset",Table1[[#This Row],[income]],0)</f>
        <v>0</v>
      </c>
      <c r="CX460" s="20">
        <f ca="1">IF(Table1[[#This Row],[County]]="Buckinghamshire",Table1[[#This Row],[income]],0)</f>
        <v>0</v>
      </c>
      <c r="CY460" s="20">
        <f ca="1">IF(Table1[[#This Row],[County]]="Suffolk",Table1[[#This Row],[income]],0)</f>
        <v>0</v>
      </c>
      <c r="CZ460" s="20">
        <f ca="1">IF(Table1[[#This Row],[County]]="North Yorkshire",Table1[[#This Row],[income]],0)</f>
        <v>0</v>
      </c>
      <c r="DA460" s="20">
        <f ca="1">IF(Table1[[#This Row],[County]]="Kent",Table1[[#This Row],[income]],0)</f>
        <v>0</v>
      </c>
      <c r="DB460" s="5">
        <f ca="1">IF(Table1[[#This Row],[County]]="Derbyshire",Table1[[#This Row],[income]],0)</f>
        <v>0</v>
      </c>
      <c r="DD460" s="6">
        <f ca="1">IF(Table1[[#This Row],[Column1]]="Health",Table1[[#This Row],[income]],0)</f>
        <v>0</v>
      </c>
      <c r="DE460" s="20">
        <f ca="1">IF(Table1[[#This Row],[Column1]]="Agriculture",Table1[[#This Row],[income]],0)</f>
        <v>89163</v>
      </c>
      <c r="DF460" s="20">
        <f ca="1">IF(Table1[[#This Row],[Column1]]="Technology",Table1[[#This Row],[income]],0)</f>
        <v>0</v>
      </c>
      <c r="DG460" s="20">
        <f ca="1">IF(Table1[[#This Row],[Column1]]="Social Service",Table1[[#This Row],[income]],0)</f>
        <v>0</v>
      </c>
      <c r="DH460" s="20">
        <f ca="1">IF(Table1[[#This Row],[Column1]]="Education",Table1[[#This Row],[income]],0)</f>
        <v>0</v>
      </c>
      <c r="DI460" s="5">
        <f ca="1">IF(Table1[[#This Row],[Column1]]="Construction",Table1[[#This Row],[income]],0)</f>
        <v>0</v>
      </c>
      <c r="DK460" s="6">
        <f ca="1">IF(Table1[[#This Row],[Value of Debts]]&gt;Table1[[#This Row],[income]],1,0)</f>
        <v>1</v>
      </c>
      <c r="DL460" s="20"/>
      <c r="DM460" s="20"/>
      <c r="DN460" s="5"/>
      <c r="DP460" s="6">
        <f ca="1">IF(Table1[[#This Row],[Net Worth (£)]]&gt;$DS$5,C460,0)</f>
        <v>0</v>
      </c>
      <c r="DQ460" s="20"/>
      <c r="DR460" s="20"/>
      <c r="DS460" s="5"/>
    </row>
    <row r="461" spans="1:123" x14ac:dyDescent="0.2">
      <c r="A461">
        <f t="shared" ca="1" si="22"/>
        <v>2</v>
      </c>
      <c r="B461" s="1" t="str">
        <f ca="1">IF(A461=1, "men", "women")</f>
        <v>women</v>
      </c>
      <c r="C461" s="1">
        <f ca="1">RANDBETWEEN(25,50)</f>
        <v>44</v>
      </c>
      <c r="D461">
        <f ca="1">RANDBETWEEN(1,6)</f>
        <v>5</v>
      </c>
      <c r="E461" t="str">
        <f ca="1">VLOOKUP(D461,$W$5:$X$10,2)</f>
        <v>Social Service</v>
      </c>
      <c r="F461">
        <f ca="1">RANDBETWEEN(1,5)</f>
        <v>4</v>
      </c>
      <c r="G461" t="str">
        <f ca="1">VLOOKUP(F461,$Y$5:$Z$9,2)</f>
        <v xml:space="preserve">Technical </v>
      </c>
      <c r="H461">
        <f ca="1">RANDBETWEEN(0,4)</f>
        <v>1</v>
      </c>
      <c r="I461">
        <f ca="1">RANDBETWEEN(1,3)</f>
        <v>3</v>
      </c>
      <c r="J461">
        <f ca="1">RANDBETWEEN(30000,100000)</f>
        <v>86410</v>
      </c>
      <c r="K461">
        <f ca="1">RANDBETWEEN(1,48)</f>
        <v>48</v>
      </c>
      <c r="L461" t="str">
        <f ca="1">VLOOKUP(K461,$AA$5:$AB$52,2)</f>
        <v>Worcestershire</v>
      </c>
      <c r="M461">
        <f ca="1">J461*(RANDBETWEEN(2,5))</f>
        <v>345640</v>
      </c>
      <c r="N461">
        <f ca="1">RAND()*M461</f>
        <v>231846.16424542406</v>
      </c>
      <c r="O461">
        <f ca="1">I461*RAND()*J461</f>
        <v>209332.95648330593</v>
      </c>
      <c r="P461">
        <f ca="1">RANDBETWEEN(0,O461)</f>
        <v>121649</v>
      </c>
      <c r="Q461">
        <f ca="1">RAND()*J461*2</f>
        <v>48648.473728550067</v>
      </c>
      <c r="R461">
        <f ca="1">RAND()*J461*1.5</f>
        <v>7233.0884112116746</v>
      </c>
      <c r="S461">
        <f ca="1">J461+R461+O461</f>
        <v>302976.04489451763</v>
      </c>
      <c r="T461">
        <f ca="1">N461+P461+Q461</f>
        <v>402143.63797397417</v>
      </c>
      <c r="U461">
        <f ca="1">S461-T461</f>
        <v>-99167.593079456536</v>
      </c>
      <c r="AC461" s="6">
        <f ca="1">IF(Table1[[#This Row],[gender]]="men",1,0)</f>
        <v>0</v>
      </c>
      <c r="AD461">
        <f ca="1">IF(Table1[[#This Row],[gender]]="women",1,0)</f>
        <v>1</v>
      </c>
      <c r="AH461" s="5"/>
      <c r="AJ461" s="6">
        <f ca="1">IF(Table1[[#This Row],[Column1]]="Health",1,0)</f>
        <v>0</v>
      </c>
      <c r="AK461">
        <f ca="1">IF(Table1[[#This Row],[Column1]]="Construction",1,0)</f>
        <v>0</v>
      </c>
      <c r="AL461">
        <f ca="1">IF(Table1[[#This Row],[Column1]]="Technology",1,0)</f>
        <v>0</v>
      </c>
      <c r="AM461">
        <f ca="1">IF(Table1[[#This Row],[Column1]]="Education",1,0)</f>
        <v>0</v>
      </c>
      <c r="AN461">
        <f ca="1">IF(Table1[[#This Row],[Column1]]="Agriculture",1,0)</f>
        <v>0</v>
      </c>
      <c r="AO461">
        <f ca="1">IF(Table1[[#This Row],[Column1]]="Social Service", 1, 0)</f>
        <v>1</v>
      </c>
      <c r="AT461" s="5"/>
      <c r="AV461" s="17">
        <f t="shared" ca="1" si="21"/>
        <v>12438.988278479557</v>
      </c>
      <c r="AW461" s="5"/>
      <c r="AX461" s="6">
        <f ca="1">IF(Table1[[#This Row],[Value of Debts]]&gt;$AY$4,1,0)</f>
        <v>1</v>
      </c>
      <c r="AY461" s="20"/>
      <c r="AZ461" s="20"/>
      <c r="BA461" s="5"/>
      <c r="BB461" s="25">
        <f ca="1">Table1[[#This Row],[Mortage Left]]/Table1[[#This Row],[Value of House]]</f>
        <v>0.67077353386594163</v>
      </c>
      <c r="BC461" s="20">
        <f t="shared" ca="1" si="23"/>
        <v>0</v>
      </c>
      <c r="BD461" s="20"/>
      <c r="BE461" s="20"/>
      <c r="BF461" s="20"/>
      <c r="BG461" s="6">
        <f ca="1">IF(Table1[[#This Row],[County]]="Cumbria",Table1[[#This Row],[income]],0)</f>
        <v>0</v>
      </c>
      <c r="BH461" s="20">
        <f ca="1">IF(Table1[[#This Row],[County]]="Cheshire",Table1[[#This Row],[income]],0)</f>
        <v>0</v>
      </c>
      <c r="BI461" s="20">
        <f ca="1">IF(Table1[[#This Row],[County]]="Bristol",Table1[[#This Row],[income]],0)</f>
        <v>0</v>
      </c>
      <c r="BJ461" s="20">
        <f ca="1">IF(Table1[[#This Row],[County]]="Surrey",Table1[[#This Row],[income]],0)</f>
        <v>0</v>
      </c>
      <c r="BK461" s="20">
        <f ca="1">IF(Table1[[#This Row],[County]]="Norfolk",Table1[[#This Row],[income]],0)</f>
        <v>0</v>
      </c>
      <c r="BL461" s="20">
        <f ca="1">IF(Table1[[#This Row],[County]]="Lincolnshire",Table1[[#This Row],[income]],0)</f>
        <v>0</v>
      </c>
      <c r="BM461" s="20">
        <f ca="1">IF(Table1[[#This Row],[County]]="Somerset",Table1[[#This Row],[income]],0)</f>
        <v>0</v>
      </c>
      <c r="BN461" s="20">
        <f ca="1">IF(Table1[[#This Row],[County]]="Cambridgeshire",Table1[[#This Row],[income]],0)</f>
        <v>0</v>
      </c>
      <c r="BO461" s="20">
        <f ca="1">IF(Table1[[#This Row],[County]]="South Yorkshire",Table1[[#This Row],[income]],0)</f>
        <v>0</v>
      </c>
      <c r="BP461" s="20">
        <f ca="1">IF(Table1[[#This Row],[County]]="Greater London",Table1[[#This Row],[income]],0)</f>
        <v>0</v>
      </c>
      <c r="BQ461" s="20">
        <f ca="1">IF(Table1[[#This Row],[County]]="Hampshire",Table1[[#This Row],[income]],0)</f>
        <v>0</v>
      </c>
      <c r="BR461" s="20">
        <f ca="1">IF(Table1[[#This Row],[County]]="Gloucestershire",Table1[[#This Row],[income]],0)</f>
        <v>0</v>
      </c>
      <c r="BS461" s="20">
        <f ca="1">IF(Table1[[#This Row],[County]]="West Sussex",Table1[[#This Row],[income]],0)</f>
        <v>0</v>
      </c>
      <c r="BT461" s="20">
        <f ca="1">IF(Table1[[#This Row],[County]]="Devon",Table1[[#This Row],[income]],0)</f>
        <v>0</v>
      </c>
      <c r="BU461" s="20">
        <f ca="1">IF(Table1[[#This Row],[County]]="Berkshire",Table1[[#This Row],[income]],0)</f>
        <v>0</v>
      </c>
      <c r="BV461" s="20">
        <f ca="1">IF(Table1[[#This Row],[County]]="Staffordshire",Table1[[#This Row],[income]],0)</f>
        <v>0</v>
      </c>
      <c r="BW461" s="20">
        <f ca="1">IF(Table1[[#This Row],[County]]="Leicestershire",Table1[[#This Row],[income]],0)</f>
        <v>0</v>
      </c>
      <c r="BX461" s="20">
        <f ca="1">IF(Table1[[#This Row],[County]]="Cornwall",Table1[[#This Row],[income]],0)</f>
        <v>0</v>
      </c>
      <c r="BY461" s="20">
        <f ca="1">IF(Table1[[#This Row],[County]]="Isle of Wight",Table1[[#This Row],[income]],0)</f>
        <v>0</v>
      </c>
      <c r="BZ461" s="20">
        <f ca="1">IF(Table1[[#This Row],[County]]="Surrey",Table1[[#This Row],[income]],0)</f>
        <v>0</v>
      </c>
      <c r="CA461" s="20">
        <f ca="1">IF(Table1[[#This Row],[County]]="Derbyshire",Table1[[#This Row],[income]],0)</f>
        <v>0</v>
      </c>
      <c r="CB461" s="20">
        <f ca="1">IF(Table1[[#This Row],[County]]="City of London",Table1[[#This Row],[income]],0)</f>
        <v>0</v>
      </c>
      <c r="CC461" s="20">
        <f ca="1">IF(Table1[[#This Row],[County]]="Bedfordshire",Table1[[#This Row],[income]],0)</f>
        <v>0</v>
      </c>
      <c r="CD461" s="20">
        <f ca="1">IF(Table1[[#This Row],[County]]="County Durham",Table1[[#This Row],[income]],0)</f>
        <v>0</v>
      </c>
      <c r="CE461" s="20">
        <f ca="1">IF(Table1[[#This Row],[County]]="East Riding of Yorkshire",Table1[[#This Row],[income]],0)</f>
        <v>0</v>
      </c>
      <c r="CF461" s="20">
        <f ca="1">IF(Table1[[#This Row],[County]]="West Yorkshire",Table1[[#This Row],[income]],0)</f>
        <v>0</v>
      </c>
      <c r="CG461" s="20">
        <f ca="1">IF(Table1[[#This Row],[County]]="Essex",Table1[[#This Row],[income]],0)</f>
        <v>0</v>
      </c>
      <c r="CH461" s="20">
        <f ca="1">IF(Table1[[#This Row],[County]]="East Sussex",Table1[[#This Row],[income]],0)</f>
        <v>0</v>
      </c>
      <c r="CI461" s="20">
        <f ca="1">IF(Table1[[#This Row],[County]]="Greater Manchester",Table1[[#This Row],[income]],0)</f>
        <v>0</v>
      </c>
      <c r="CJ461" s="20">
        <f ca="1">IF(Table1[[#This Row],[County]]="Hertfordshire",Table1[[#This Row],[income]],0)</f>
        <v>0</v>
      </c>
      <c r="CK461" s="20">
        <f ca="1">IF(Table1[[#This Row],[County]]="Herefordshire",Table1[[#This Row],[income]],0)</f>
        <v>0</v>
      </c>
      <c r="CL461" s="20">
        <f ca="1">IF(Table1[[#This Row],[County]]="Lancashire",Table1[[#This Row],[income]],0)</f>
        <v>0</v>
      </c>
      <c r="CM461" s="20">
        <f ca="1">IF(Table1[[#This Row],[County]]="Merseyside",Table1[[#This Row],[income]],0)</f>
        <v>0</v>
      </c>
      <c r="CN461" s="20">
        <f ca="1">IF(Table1[[#This Row],[County]]="Northamptonshire",Table1[[#This Row],[income]],0)</f>
        <v>0</v>
      </c>
      <c r="CO461" s="20">
        <f ca="1">IF(Table1[[#This Row],[County]]="Northumberland",Table1[[#This Row],[income]],0)</f>
        <v>0</v>
      </c>
      <c r="CP461" s="20">
        <f ca="1">IF(Table1[[#This Row],[County]]="Wiltshire",Table1[[#This Row],[income]],0)</f>
        <v>0</v>
      </c>
      <c r="CQ461" s="20">
        <f ca="1">IF(Table1[[#This Row],[County]]="West Midlands",Table1[[#This Row],[income]],0)</f>
        <v>0</v>
      </c>
      <c r="CR461" s="20">
        <f ca="1">IF(Table1[[#This Row],[County]]="Warwickshire",Table1[[#This Row],[income]],0)</f>
        <v>0</v>
      </c>
      <c r="CS461" s="20">
        <f ca="1">IF(Table1[[#This Row],[County]]="Tyne and Wear",Table1[[#This Row],[income]],0)</f>
        <v>0</v>
      </c>
      <c r="CT461" s="20">
        <f ca="1">IF(Table1[[#This Row],[County]]="Worcestershire",Table1[[#This Row],[income]],0)</f>
        <v>86410</v>
      </c>
      <c r="CU461" s="20">
        <f ca="1">IF(Table1[[#This Row],[County]]="Rutland",Table1[[#This Row],[income]],0)</f>
        <v>0</v>
      </c>
      <c r="CV461" s="20">
        <f ca="1">IF(Table1[[#This Row],[County]]="Shropshire",Table1[[#This Row],[income]],0)</f>
        <v>0</v>
      </c>
      <c r="CW461" s="20">
        <f ca="1">IF(Table1[[#This Row],[County]]="Dorset",Table1[[#This Row],[income]],0)</f>
        <v>0</v>
      </c>
      <c r="CX461" s="20">
        <f ca="1">IF(Table1[[#This Row],[County]]="Buckinghamshire",Table1[[#This Row],[income]],0)</f>
        <v>0</v>
      </c>
      <c r="CY461" s="20">
        <f ca="1">IF(Table1[[#This Row],[County]]="Suffolk",Table1[[#This Row],[income]],0)</f>
        <v>0</v>
      </c>
      <c r="CZ461" s="20">
        <f ca="1">IF(Table1[[#This Row],[County]]="North Yorkshire",Table1[[#This Row],[income]],0)</f>
        <v>0</v>
      </c>
      <c r="DA461" s="20">
        <f ca="1">IF(Table1[[#This Row],[County]]="Kent",Table1[[#This Row],[income]],0)</f>
        <v>0</v>
      </c>
      <c r="DB461" s="5">
        <f ca="1">IF(Table1[[#This Row],[County]]="Derbyshire",Table1[[#This Row],[income]],0)</f>
        <v>0</v>
      </c>
      <c r="DD461" s="6">
        <f ca="1">IF(Table1[[#This Row],[Column1]]="Health",Table1[[#This Row],[income]],0)</f>
        <v>0</v>
      </c>
      <c r="DE461" s="20">
        <f ca="1">IF(Table1[[#This Row],[Column1]]="Agriculture",Table1[[#This Row],[income]],0)</f>
        <v>0</v>
      </c>
      <c r="DF461" s="20">
        <f ca="1">IF(Table1[[#This Row],[Column1]]="Technology",Table1[[#This Row],[income]],0)</f>
        <v>0</v>
      </c>
      <c r="DG461" s="20">
        <f ca="1">IF(Table1[[#This Row],[Column1]]="Social Service",Table1[[#This Row],[income]],0)</f>
        <v>86410</v>
      </c>
      <c r="DH461" s="20">
        <f ca="1">IF(Table1[[#This Row],[Column1]]="Education",Table1[[#This Row],[income]],0)</f>
        <v>0</v>
      </c>
      <c r="DI461" s="5">
        <f ca="1">IF(Table1[[#This Row],[Column1]]="Construction",Table1[[#This Row],[income]],0)</f>
        <v>0</v>
      </c>
      <c r="DK461" s="6">
        <f ca="1">IF(Table1[[#This Row],[Value of Debts]]&gt;Table1[[#This Row],[income]],1,0)</f>
        <v>1</v>
      </c>
      <c r="DL461" s="20"/>
      <c r="DM461" s="20"/>
      <c r="DN461" s="5"/>
      <c r="DP461" s="6">
        <f ca="1">IF(Table1[[#This Row],[Net Worth (£)]]&gt;$DS$5,C461,0)</f>
        <v>0</v>
      </c>
      <c r="DQ461" s="20"/>
      <c r="DR461" s="20"/>
      <c r="DS461" s="5"/>
    </row>
    <row r="462" spans="1:123" x14ac:dyDescent="0.2">
      <c r="A462">
        <f t="shared" ca="1" si="22"/>
        <v>2</v>
      </c>
      <c r="B462" s="1" t="str">
        <f ca="1">IF(A462=1, "men", "women")</f>
        <v>women</v>
      </c>
      <c r="C462" s="1">
        <f ca="1">RANDBETWEEN(25,50)</f>
        <v>39</v>
      </c>
      <c r="D462">
        <f ca="1">RANDBETWEEN(1,6)</f>
        <v>5</v>
      </c>
      <c r="E462" t="str">
        <f ca="1">VLOOKUP(D462,$W$5:$X$10,2)</f>
        <v>Social Service</v>
      </c>
      <c r="F462">
        <f ca="1">RANDBETWEEN(1,5)</f>
        <v>3</v>
      </c>
      <c r="G462" t="str">
        <f ca="1">VLOOKUP(F462,$Y$5:$Z$9,2)</f>
        <v>University</v>
      </c>
      <c r="H462">
        <f ca="1">RANDBETWEEN(0,4)</f>
        <v>0</v>
      </c>
      <c r="I462">
        <f ca="1">RANDBETWEEN(1,3)</f>
        <v>3</v>
      </c>
      <c r="J462">
        <f ca="1">RANDBETWEEN(30000,100000)</f>
        <v>89667</v>
      </c>
      <c r="K462">
        <f ca="1">RANDBETWEEN(1,48)</f>
        <v>29</v>
      </c>
      <c r="L462" t="str">
        <f ca="1">VLOOKUP(K462,$AA$5:$AB$52,2)</f>
        <v>Norfolk</v>
      </c>
      <c r="M462">
        <f ca="1">J462*(RANDBETWEEN(2,5))</f>
        <v>179334</v>
      </c>
      <c r="N462">
        <f ca="1">RAND()*M462</f>
        <v>151690.37964083237</v>
      </c>
      <c r="O462">
        <f ca="1">I462*RAND()*J462</f>
        <v>37316.964835438674</v>
      </c>
      <c r="P462">
        <f ca="1">RANDBETWEEN(0,O462)</f>
        <v>35007</v>
      </c>
      <c r="Q462">
        <f ca="1">RAND()*J462*2</f>
        <v>81542.625967489235</v>
      </c>
      <c r="R462">
        <f ca="1">RAND()*J462*1.5</f>
        <v>67150.899855404103</v>
      </c>
      <c r="S462">
        <f ca="1">J462+R462+O462</f>
        <v>194134.86469084278</v>
      </c>
      <c r="T462">
        <f ca="1">N462+P462+Q462</f>
        <v>268240.00560832163</v>
      </c>
      <c r="U462">
        <f ca="1">S462-T462</f>
        <v>-74105.140917478857</v>
      </c>
      <c r="AC462" s="6">
        <f ca="1">IF(Table1[[#This Row],[gender]]="men",1,0)</f>
        <v>0</v>
      </c>
      <c r="AD462">
        <f ca="1">IF(Table1[[#This Row],[gender]]="women",1,0)</f>
        <v>1</v>
      </c>
      <c r="AH462" s="5"/>
      <c r="AJ462" s="6">
        <f ca="1">IF(Table1[[#This Row],[Column1]]="Health",1,0)</f>
        <v>0</v>
      </c>
      <c r="AK462">
        <f ca="1">IF(Table1[[#This Row],[Column1]]="Construction",1,0)</f>
        <v>0</v>
      </c>
      <c r="AL462">
        <f ca="1">IF(Table1[[#This Row],[Column1]]="Technology",1,0)</f>
        <v>0</v>
      </c>
      <c r="AM462">
        <f ca="1">IF(Table1[[#This Row],[Column1]]="Education",1,0)</f>
        <v>0</v>
      </c>
      <c r="AN462">
        <f ca="1">IF(Table1[[#This Row],[Column1]]="Agriculture",1,0)</f>
        <v>0</v>
      </c>
      <c r="AO462">
        <f ca="1">IF(Table1[[#This Row],[Column1]]="Social Service", 1, 0)</f>
        <v>1</v>
      </c>
      <c r="AT462" s="5"/>
      <c r="AV462" s="17">
        <f t="shared" ca="1" si="21"/>
        <v>7870.2430586431974</v>
      </c>
      <c r="AW462" s="5"/>
      <c r="AX462" s="6">
        <f ca="1">IF(Table1[[#This Row],[Value of Debts]]&gt;$AY$4,1,0)</f>
        <v>1</v>
      </c>
      <c r="AY462" s="20"/>
      <c r="AZ462" s="20"/>
      <c r="BA462" s="5"/>
      <c r="BB462" s="25">
        <f ca="1">Table1[[#This Row],[Mortage Left]]/Table1[[#This Row],[Value of House]]</f>
        <v>0.84585399110504622</v>
      </c>
      <c r="BC462" s="20">
        <f t="shared" ca="1" si="23"/>
        <v>0</v>
      </c>
      <c r="BD462" s="20"/>
      <c r="BE462" s="20"/>
      <c r="BF462" s="20"/>
      <c r="BG462" s="6">
        <f ca="1">IF(Table1[[#This Row],[County]]="Cumbria",Table1[[#This Row],[income]],0)</f>
        <v>0</v>
      </c>
      <c r="BH462" s="20">
        <f ca="1">IF(Table1[[#This Row],[County]]="Cheshire",Table1[[#This Row],[income]],0)</f>
        <v>0</v>
      </c>
      <c r="BI462" s="20">
        <f ca="1">IF(Table1[[#This Row],[County]]="Bristol",Table1[[#This Row],[income]],0)</f>
        <v>0</v>
      </c>
      <c r="BJ462" s="20">
        <f ca="1">IF(Table1[[#This Row],[County]]="Surrey",Table1[[#This Row],[income]],0)</f>
        <v>0</v>
      </c>
      <c r="BK462" s="20">
        <f ca="1">IF(Table1[[#This Row],[County]]="Norfolk",Table1[[#This Row],[income]],0)</f>
        <v>89667</v>
      </c>
      <c r="BL462" s="20">
        <f ca="1">IF(Table1[[#This Row],[County]]="Lincolnshire",Table1[[#This Row],[income]],0)</f>
        <v>0</v>
      </c>
      <c r="BM462" s="20">
        <f ca="1">IF(Table1[[#This Row],[County]]="Somerset",Table1[[#This Row],[income]],0)</f>
        <v>0</v>
      </c>
      <c r="BN462" s="20">
        <f ca="1">IF(Table1[[#This Row],[County]]="Cambridgeshire",Table1[[#This Row],[income]],0)</f>
        <v>0</v>
      </c>
      <c r="BO462" s="20">
        <f ca="1">IF(Table1[[#This Row],[County]]="South Yorkshire",Table1[[#This Row],[income]],0)</f>
        <v>0</v>
      </c>
      <c r="BP462" s="20">
        <f ca="1">IF(Table1[[#This Row],[County]]="Greater London",Table1[[#This Row],[income]],0)</f>
        <v>0</v>
      </c>
      <c r="BQ462" s="20">
        <f ca="1">IF(Table1[[#This Row],[County]]="Hampshire",Table1[[#This Row],[income]],0)</f>
        <v>0</v>
      </c>
      <c r="BR462" s="20">
        <f ca="1">IF(Table1[[#This Row],[County]]="Gloucestershire",Table1[[#This Row],[income]],0)</f>
        <v>0</v>
      </c>
      <c r="BS462" s="20">
        <f ca="1">IF(Table1[[#This Row],[County]]="West Sussex",Table1[[#This Row],[income]],0)</f>
        <v>0</v>
      </c>
      <c r="BT462" s="20">
        <f ca="1">IF(Table1[[#This Row],[County]]="Devon",Table1[[#This Row],[income]],0)</f>
        <v>0</v>
      </c>
      <c r="BU462" s="20">
        <f ca="1">IF(Table1[[#This Row],[County]]="Berkshire",Table1[[#This Row],[income]],0)</f>
        <v>0</v>
      </c>
      <c r="BV462" s="20">
        <f ca="1">IF(Table1[[#This Row],[County]]="Staffordshire",Table1[[#This Row],[income]],0)</f>
        <v>0</v>
      </c>
      <c r="BW462" s="20">
        <f ca="1">IF(Table1[[#This Row],[County]]="Leicestershire",Table1[[#This Row],[income]],0)</f>
        <v>0</v>
      </c>
      <c r="BX462" s="20">
        <f ca="1">IF(Table1[[#This Row],[County]]="Cornwall",Table1[[#This Row],[income]],0)</f>
        <v>0</v>
      </c>
      <c r="BY462" s="20">
        <f ca="1">IF(Table1[[#This Row],[County]]="Isle of Wight",Table1[[#This Row],[income]],0)</f>
        <v>0</v>
      </c>
      <c r="BZ462" s="20">
        <f ca="1">IF(Table1[[#This Row],[County]]="Surrey",Table1[[#This Row],[income]],0)</f>
        <v>0</v>
      </c>
      <c r="CA462" s="20">
        <f ca="1">IF(Table1[[#This Row],[County]]="Derbyshire",Table1[[#This Row],[income]],0)</f>
        <v>0</v>
      </c>
      <c r="CB462" s="20">
        <f ca="1">IF(Table1[[#This Row],[County]]="City of London",Table1[[#This Row],[income]],0)</f>
        <v>0</v>
      </c>
      <c r="CC462" s="20">
        <f ca="1">IF(Table1[[#This Row],[County]]="Bedfordshire",Table1[[#This Row],[income]],0)</f>
        <v>0</v>
      </c>
      <c r="CD462" s="20">
        <f ca="1">IF(Table1[[#This Row],[County]]="County Durham",Table1[[#This Row],[income]],0)</f>
        <v>0</v>
      </c>
      <c r="CE462" s="20">
        <f ca="1">IF(Table1[[#This Row],[County]]="East Riding of Yorkshire",Table1[[#This Row],[income]],0)</f>
        <v>0</v>
      </c>
      <c r="CF462" s="20">
        <f ca="1">IF(Table1[[#This Row],[County]]="West Yorkshire",Table1[[#This Row],[income]],0)</f>
        <v>0</v>
      </c>
      <c r="CG462" s="20">
        <f ca="1">IF(Table1[[#This Row],[County]]="Essex",Table1[[#This Row],[income]],0)</f>
        <v>0</v>
      </c>
      <c r="CH462" s="20">
        <f ca="1">IF(Table1[[#This Row],[County]]="East Sussex",Table1[[#This Row],[income]],0)</f>
        <v>0</v>
      </c>
      <c r="CI462" s="20">
        <f ca="1">IF(Table1[[#This Row],[County]]="Greater Manchester",Table1[[#This Row],[income]],0)</f>
        <v>0</v>
      </c>
      <c r="CJ462" s="20">
        <f ca="1">IF(Table1[[#This Row],[County]]="Hertfordshire",Table1[[#This Row],[income]],0)</f>
        <v>0</v>
      </c>
      <c r="CK462" s="20">
        <f ca="1">IF(Table1[[#This Row],[County]]="Herefordshire",Table1[[#This Row],[income]],0)</f>
        <v>0</v>
      </c>
      <c r="CL462" s="20">
        <f ca="1">IF(Table1[[#This Row],[County]]="Lancashire",Table1[[#This Row],[income]],0)</f>
        <v>0</v>
      </c>
      <c r="CM462" s="20">
        <f ca="1">IF(Table1[[#This Row],[County]]="Merseyside",Table1[[#This Row],[income]],0)</f>
        <v>0</v>
      </c>
      <c r="CN462" s="20">
        <f ca="1">IF(Table1[[#This Row],[County]]="Northamptonshire",Table1[[#This Row],[income]],0)</f>
        <v>0</v>
      </c>
      <c r="CO462" s="20">
        <f ca="1">IF(Table1[[#This Row],[County]]="Northumberland",Table1[[#This Row],[income]],0)</f>
        <v>0</v>
      </c>
      <c r="CP462" s="20">
        <f ca="1">IF(Table1[[#This Row],[County]]="Wiltshire",Table1[[#This Row],[income]],0)</f>
        <v>0</v>
      </c>
      <c r="CQ462" s="20">
        <f ca="1">IF(Table1[[#This Row],[County]]="West Midlands",Table1[[#This Row],[income]],0)</f>
        <v>0</v>
      </c>
      <c r="CR462" s="20">
        <f ca="1">IF(Table1[[#This Row],[County]]="Warwickshire",Table1[[#This Row],[income]],0)</f>
        <v>0</v>
      </c>
      <c r="CS462" s="20">
        <f ca="1">IF(Table1[[#This Row],[County]]="Tyne and Wear",Table1[[#This Row],[income]],0)</f>
        <v>0</v>
      </c>
      <c r="CT462" s="20">
        <f ca="1">IF(Table1[[#This Row],[County]]="Worcestershire",Table1[[#This Row],[income]],0)</f>
        <v>0</v>
      </c>
      <c r="CU462" s="20">
        <f ca="1">IF(Table1[[#This Row],[County]]="Rutland",Table1[[#This Row],[income]],0)</f>
        <v>0</v>
      </c>
      <c r="CV462" s="20">
        <f ca="1">IF(Table1[[#This Row],[County]]="Shropshire",Table1[[#This Row],[income]],0)</f>
        <v>0</v>
      </c>
      <c r="CW462" s="20">
        <f ca="1">IF(Table1[[#This Row],[County]]="Dorset",Table1[[#This Row],[income]],0)</f>
        <v>0</v>
      </c>
      <c r="CX462" s="20">
        <f ca="1">IF(Table1[[#This Row],[County]]="Buckinghamshire",Table1[[#This Row],[income]],0)</f>
        <v>0</v>
      </c>
      <c r="CY462" s="20">
        <f ca="1">IF(Table1[[#This Row],[County]]="Suffolk",Table1[[#This Row],[income]],0)</f>
        <v>0</v>
      </c>
      <c r="CZ462" s="20">
        <f ca="1">IF(Table1[[#This Row],[County]]="North Yorkshire",Table1[[#This Row],[income]],0)</f>
        <v>0</v>
      </c>
      <c r="DA462" s="20">
        <f ca="1">IF(Table1[[#This Row],[County]]="Kent",Table1[[#This Row],[income]],0)</f>
        <v>0</v>
      </c>
      <c r="DB462" s="5">
        <f ca="1">IF(Table1[[#This Row],[County]]="Derbyshire",Table1[[#This Row],[income]],0)</f>
        <v>0</v>
      </c>
      <c r="DD462" s="6">
        <f ca="1">IF(Table1[[#This Row],[Column1]]="Health",Table1[[#This Row],[income]],0)</f>
        <v>0</v>
      </c>
      <c r="DE462" s="20">
        <f ca="1">IF(Table1[[#This Row],[Column1]]="Agriculture",Table1[[#This Row],[income]],0)</f>
        <v>0</v>
      </c>
      <c r="DF462" s="20">
        <f ca="1">IF(Table1[[#This Row],[Column1]]="Technology",Table1[[#This Row],[income]],0)</f>
        <v>0</v>
      </c>
      <c r="DG462" s="20">
        <f ca="1">IF(Table1[[#This Row],[Column1]]="Social Service",Table1[[#This Row],[income]],0)</f>
        <v>89667</v>
      </c>
      <c r="DH462" s="20">
        <f ca="1">IF(Table1[[#This Row],[Column1]]="Education",Table1[[#This Row],[income]],0)</f>
        <v>0</v>
      </c>
      <c r="DI462" s="5">
        <f ca="1">IF(Table1[[#This Row],[Column1]]="Construction",Table1[[#This Row],[income]],0)</f>
        <v>0</v>
      </c>
      <c r="DK462" s="6">
        <f ca="1">IF(Table1[[#This Row],[Value of Debts]]&gt;Table1[[#This Row],[income]],1,0)</f>
        <v>1</v>
      </c>
      <c r="DL462" s="20"/>
      <c r="DM462" s="20"/>
      <c r="DN462" s="5"/>
      <c r="DP462" s="6">
        <f ca="1">IF(Table1[[#This Row],[Net Worth (£)]]&gt;$DS$5,C462,0)</f>
        <v>0</v>
      </c>
      <c r="DQ462" s="20"/>
      <c r="DR462" s="20"/>
      <c r="DS462" s="5"/>
    </row>
    <row r="463" spans="1:123" x14ac:dyDescent="0.2">
      <c r="A463">
        <f t="shared" ca="1" si="22"/>
        <v>1</v>
      </c>
      <c r="B463" s="1" t="str">
        <f ca="1">IF(A463=1, "men", "women")</f>
        <v>men</v>
      </c>
      <c r="C463" s="1">
        <f ca="1">RANDBETWEEN(25,50)</f>
        <v>38</v>
      </c>
      <c r="D463">
        <f ca="1">RANDBETWEEN(1,6)</f>
        <v>2</v>
      </c>
      <c r="E463" t="str">
        <f ca="1">VLOOKUP(D463,$W$5:$X$10,2)</f>
        <v>Construction</v>
      </c>
      <c r="F463">
        <f ca="1">RANDBETWEEN(1,5)</f>
        <v>2</v>
      </c>
      <c r="G463" t="str">
        <f ca="1">VLOOKUP(F463,$Y$5:$Z$9,2)</f>
        <v>College</v>
      </c>
      <c r="H463">
        <f ca="1">RANDBETWEEN(0,4)</f>
        <v>4</v>
      </c>
      <c r="I463">
        <f ca="1">RANDBETWEEN(1,3)</f>
        <v>1</v>
      </c>
      <c r="J463">
        <f ca="1">RANDBETWEEN(30000,100000)</f>
        <v>51330</v>
      </c>
      <c r="K463">
        <f ca="1">RANDBETWEEN(1,48)</f>
        <v>17</v>
      </c>
      <c r="L463" t="str">
        <f ca="1">VLOOKUP(K463,$AA$5:$AB$52,2)</f>
        <v>Gloucestershire</v>
      </c>
      <c r="M463">
        <f ca="1">J463*(RANDBETWEEN(2,5))</f>
        <v>256650</v>
      </c>
      <c r="N463">
        <f ca="1">RAND()*M463</f>
        <v>92077.236821578437</v>
      </c>
      <c r="O463">
        <f ca="1">I463*RAND()*J463</f>
        <v>7870.2430586431974</v>
      </c>
      <c r="P463">
        <f ca="1">RANDBETWEEN(0,O463)</f>
        <v>4999</v>
      </c>
      <c r="Q463">
        <f ca="1">RAND()*J463*2</f>
        <v>97587.074928475762</v>
      </c>
      <c r="R463">
        <f ca="1">RAND()*J463*1.5</f>
        <v>67108.688364271875</v>
      </c>
      <c r="S463">
        <f ca="1">J463+R463+O463</f>
        <v>126308.93142291508</v>
      </c>
      <c r="T463">
        <f ca="1">N463+P463+Q463</f>
        <v>194663.31175005418</v>
      </c>
      <c r="U463">
        <f ca="1">S463-T463</f>
        <v>-68354.380327139108</v>
      </c>
      <c r="AC463" s="6">
        <f ca="1">IF(Table1[[#This Row],[gender]]="men",1,0)</f>
        <v>1</v>
      </c>
      <c r="AD463">
        <f ca="1">IF(Table1[[#This Row],[gender]]="women",1,0)</f>
        <v>0</v>
      </c>
      <c r="AH463" s="5"/>
      <c r="AJ463" s="6">
        <f ca="1">IF(Table1[[#This Row],[Column1]]="Health",1,0)</f>
        <v>0</v>
      </c>
      <c r="AK463">
        <f ca="1">IF(Table1[[#This Row],[Column1]]="Construction",1,0)</f>
        <v>1</v>
      </c>
      <c r="AL463">
        <f ca="1">IF(Table1[[#This Row],[Column1]]="Technology",1,0)</f>
        <v>0</v>
      </c>
      <c r="AM463">
        <f ca="1">IF(Table1[[#This Row],[Column1]]="Education",1,0)</f>
        <v>0</v>
      </c>
      <c r="AN463">
        <f ca="1">IF(Table1[[#This Row],[Column1]]="Agriculture",1,0)</f>
        <v>0</v>
      </c>
      <c r="AO463">
        <f ca="1">IF(Table1[[#This Row],[Column1]]="Social Service", 1, 0)</f>
        <v>0</v>
      </c>
      <c r="AT463" s="5"/>
      <c r="AV463" s="17">
        <f t="shared" ca="1" si="21"/>
        <v>100.31298191860579</v>
      </c>
      <c r="AW463" s="5"/>
      <c r="AX463" s="6">
        <f ca="1">IF(Table1[[#This Row],[Value of Debts]]&gt;$AY$4,1,0)</f>
        <v>1</v>
      </c>
      <c r="AY463" s="20"/>
      <c r="AZ463" s="20"/>
      <c r="BA463" s="5"/>
      <c r="BB463" s="25">
        <f ca="1">Table1[[#This Row],[Mortage Left]]/Table1[[#This Row],[Value of House]]</f>
        <v>0.35876577760209793</v>
      </c>
      <c r="BC463" s="20">
        <f t="shared" ca="1" si="23"/>
        <v>0</v>
      </c>
      <c r="BD463" s="20"/>
      <c r="BE463" s="20"/>
      <c r="BF463" s="20"/>
      <c r="BG463" s="6">
        <f ca="1">IF(Table1[[#This Row],[County]]="Cumbria",Table1[[#This Row],[income]],0)</f>
        <v>0</v>
      </c>
      <c r="BH463" s="20">
        <f ca="1">IF(Table1[[#This Row],[County]]="Cheshire",Table1[[#This Row],[income]],0)</f>
        <v>0</v>
      </c>
      <c r="BI463" s="20">
        <f ca="1">IF(Table1[[#This Row],[County]]="Bristol",Table1[[#This Row],[income]],0)</f>
        <v>0</v>
      </c>
      <c r="BJ463" s="20">
        <f ca="1">IF(Table1[[#This Row],[County]]="Surrey",Table1[[#This Row],[income]],0)</f>
        <v>0</v>
      </c>
      <c r="BK463" s="20">
        <f ca="1">IF(Table1[[#This Row],[County]]="Norfolk",Table1[[#This Row],[income]],0)</f>
        <v>0</v>
      </c>
      <c r="BL463" s="20">
        <f ca="1">IF(Table1[[#This Row],[County]]="Lincolnshire",Table1[[#This Row],[income]],0)</f>
        <v>0</v>
      </c>
      <c r="BM463" s="20">
        <f ca="1">IF(Table1[[#This Row],[County]]="Somerset",Table1[[#This Row],[income]],0)</f>
        <v>0</v>
      </c>
      <c r="BN463" s="20">
        <f ca="1">IF(Table1[[#This Row],[County]]="Cambridgeshire",Table1[[#This Row],[income]],0)</f>
        <v>0</v>
      </c>
      <c r="BO463" s="20">
        <f ca="1">IF(Table1[[#This Row],[County]]="South Yorkshire",Table1[[#This Row],[income]],0)</f>
        <v>0</v>
      </c>
      <c r="BP463" s="20">
        <f ca="1">IF(Table1[[#This Row],[County]]="Greater London",Table1[[#This Row],[income]],0)</f>
        <v>0</v>
      </c>
      <c r="BQ463" s="20">
        <f ca="1">IF(Table1[[#This Row],[County]]="Hampshire",Table1[[#This Row],[income]],0)</f>
        <v>0</v>
      </c>
      <c r="BR463" s="20">
        <f ca="1">IF(Table1[[#This Row],[County]]="Gloucestershire",Table1[[#This Row],[income]],0)</f>
        <v>51330</v>
      </c>
      <c r="BS463" s="20">
        <f ca="1">IF(Table1[[#This Row],[County]]="West Sussex",Table1[[#This Row],[income]],0)</f>
        <v>0</v>
      </c>
      <c r="BT463" s="20">
        <f ca="1">IF(Table1[[#This Row],[County]]="Devon",Table1[[#This Row],[income]],0)</f>
        <v>0</v>
      </c>
      <c r="BU463" s="20">
        <f ca="1">IF(Table1[[#This Row],[County]]="Berkshire",Table1[[#This Row],[income]],0)</f>
        <v>0</v>
      </c>
      <c r="BV463" s="20">
        <f ca="1">IF(Table1[[#This Row],[County]]="Staffordshire",Table1[[#This Row],[income]],0)</f>
        <v>0</v>
      </c>
      <c r="BW463" s="20">
        <f ca="1">IF(Table1[[#This Row],[County]]="Leicestershire",Table1[[#This Row],[income]],0)</f>
        <v>0</v>
      </c>
      <c r="BX463" s="20">
        <f ca="1">IF(Table1[[#This Row],[County]]="Cornwall",Table1[[#This Row],[income]],0)</f>
        <v>0</v>
      </c>
      <c r="BY463" s="20">
        <f ca="1">IF(Table1[[#This Row],[County]]="Isle of Wight",Table1[[#This Row],[income]],0)</f>
        <v>0</v>
      </c>
      <c r="BZ463" s="20">
        <f ca="1">IF(Table1[[#This Row],[County]]="Surrey",Table1[[#This Row],[income]],0)</f>
        <v>0</v>
      </c>
      <c r="CA463" s="20">
        <f ca="1">IF(Table1[[#This Row],[County]]="Derbyshire",Table1[[#This Row],[income]],0)</f>
        <v>0</v>
      </c>
      <c r="CB463" s="20">
        <f ca="1">IF(Table1[[#This Row],[County]]="City of London",Table1[[#This Row],[income]],0)</f>
        <v>0</v>
      </c>
      <c r="CC463" s="20">
        <f ca="1">IF(Table1[[#This Row],[County]]="Bedfordshire",Table1[[#This Row],[income]],0)</f>
        <v>0</v>
      </c>
      <c r="CD463" s="20">
        <f ca="1">IF(Table1[[#This Row],[County]]="County Durham",Table1[[#This Row],[income]],0)</f>
        <v>0</v>
      </c>
      <c r="CE463" s="20">
        <f ca="1">IF(Table1[[#This Row],[County]]="East Riding of Yorkshire",Table1[[#This Row],[income]],0)</f>
        <v>0</v>
      </c>
      <c r="CF463" s="20">
        <f ca="1">IF(Table1[[#This Row],[County]]="West Yorkshire",Table1[[#This Row],[income]],0)</f>
        <v>0</v>
      </c>
      <c r="CG463" s="20">
        <f ca="1">IF(Table1[[#This Row],[County]]="Essex",Table1[[#This Row],[income]],0)</f>
        <v>0</v>
      </c>
      <c r="CH463" s="20">
        <f ca="1">IF(Table1[[#This Row],[County]]="East Sussex",Table1[[#This Row],[income]],0)</f>
        <v>0</v>
      </c>
      <c r="CI463" s="20">
        <f ca="1">IF(Table1[[#This Row],[County]]="Greater Manchester",Table1[[#This Row],[income]],0)</f>
        <v>0</v>
      </c>
      <c r="CJ463" s="20">
        <f ca="1">IF(Table1[[#This Row],[County]]="Hertfordshire",Table1[[#This Row],[income]],0)</f>
        <v>0</v>
      </c>
      <c r="CK463" s="20">
        <f ca="1">IF(Table1[[#This Row],[County]]="Herefordshire",Table1[[#This Row],[income]],0)</f>
        <v>0</v>
      </c>
      <c r="CL463" s="20">
        <f ca="1">IF(Table1[[#This Row],[County]]="Lancashire",Table1[[#This Row],[income]],0)</f>
        <v>0</v>
      </c>
      <c r="CM463" s="20">
        <f ca="1">IF(Table1[[#This Row],[County]]="Merseyside",Table1[[#This Row],[income]],0)</f>
        <v>0</v>
      </c>
      <c r="CN463" s="20">
        <f ca="1">IF(Table1[[#This Row],[County]]="Northamptonshire",Table1[[#This Row],[income]],0)</f>
        <v>0</v>
      </c>
      <c r="CO463" s="20">
        <f ca="1">IF(Table1[[#This Row],[County]]="Northumberland",Table1[[#This Row],[income]],0)</f>
        <v>0</v>
      </c>
      <c r="CP463" s="20">
        <f ca="1">IF(Table1[[#This Row],[County]]="Wiltshire",Table1[[#This Row],[income]],0)</f>
        <v>0</v>
      </c>
      <c r="CQ463" s="20">
        <f ca="1">IF(Table1[[#This Row],[County]]="West Midlands",Table1[[#This Row],[income]],0)</f>
        <v>0</v>
      </c>
      <c r="CR463" s="20">
        <f ca="1">IF(Table1[[#This Row],[County]]="Warwickshire",Table1[[#This Row],[income]],0)</f>
        <v>0</v>
      </c>
      <c r="CS463" s="20">
        <f ca="1">IF(Table1[[#This Row],[County]]="Tyne and Wear",Table1[[#This Row],[income]],0)</f>
        <v>0</v>
      </c>
      <c r="CT463" s="20">
        <f ca="1">IF(Table1[[#This Row],[County]]="Worcestershire",Table1[[#This Row],[income]],0)</f>
        <v>0</v>
      </c>
      <c r="CU463" s="20">
        <f ca="1">IF(Table1[[#This Row],[County]]="Rutland",Table1[[#This Row],[income]],0)</f>
        <v>0</v>
      </c>
      <c r="CV463" s="20">
        <f ca="1">IF(Table1[[#This Row],[County]]="Shropshire",Table1[[#This Row],[income]],0)</f>
        <v>0</v>
      </c>
      <c r="CW463" s="20">
        <f ca="1">IF(Table1[[#This Row],[County]]="Dorset",Table1[[#This Row],[income]],0)</f>
        <v>0</v>
      </c>
      <c r="CX463" s="20">
        <f ca="1">IF(Table1[[#This Row],[County]]="Buckinghamshire",Table1[[#This Row],[income]],0)</f>
        <v>0</v>
      </c>
      <c r="CY463" s="20">
        <f ca="1">IF(Table1[[#This Row],[County]]="Suffolk",Table1[[#This Row],[income]],0)</f>
        <v>0</v>
      </c>
      <c r="CZ463" s="20">
        <f ca="1">IF(Table1[[#This Row],[County]]="North Yorkshire",Table1[[#This Row],[income]],0)</f>
        <v>0</v>
      </c>
      <c r="DA463" s="20">
        <f ca="1">IF(Table1[[#This Row],[County]]="Kent",Table1[[#This Row],[income]],0)</f>
        <v>0</v>
      </c>
      <c r="DB463" s="5">
        <f ca="1">IF(Table1[[#This Row],[County]]="Derbyshire",Table1[[#This Row],[income]],0)</f>
        <v>0</v>
      </c>
      <c r="DD463" s="6">
        <f ca="1">IF(Table1[[#This Row],[Column1]]="Health",Table1[[#This Row],[income]],0)</f>
        <v>0</v>
      </c>
      <c r="DE463" s="20">
        <f ca="1">IF(Table1[[#This Row],[Column1]]="Agriculture",Table1[[#This Row],[income]],0)</f>
        <v>0</v>
      </c>
      <c r="DF463" s="20">
        <f ca="1">IF(Table1[[#This Row],[Column1]]="Technology",Table1[[#This Row],[income]],0)</f>
        <v>0</v>
      </c>
      <c r="DG463" s="20">
        <f ca="1">IF(Table1[[#This Row],[Column1]]="Social Service",Table1[[#This Row],[income]],0)</f>
        <v>0</v>
      </c>
      <c r="DH463" s="20">
        <f ca="1">IF(Table1[[#This Row],[Column1]]="Education",Table1[[#This Row],[income]],0)</f>
        <v>0</v>
      </c>
      <c r="DI463" s="5">
        <f ca="1">IF(Table1[[#This Row],[Column1]]="Construction",Table1[[#This Row],[income]],0)</f>
        <v>51330</v>
      </c>
      <c r="DK463" s="6">
        <f ca="1">IF(Table1[[#This Row],[Value of Debts]]&gt;Table1[[#This Row],[income]],1,0)</f>
        <v>1</v>
      </c>
      <c r="DL463" s="20"/>
      <c r="DM463" s="20"/>
      <c r="DN463" s="5"/>
      <c r="DP463" s="6">
        <f ca="1">IF(Table1[[#This Row],[Net Worth (£)]]&gt;$DS$5,C463,0)</f>
        <v>0</v>
      </c>
      <c r="DQ463" s="20"/>
      <c r="DR463" s="20"/>
      <c r="DS463" s="5"/>
    </row>
    <row r="464" spans="1:123" x14ac:dyDescent="0.2">
      <c r="A464">
        <f t="shared" ca="1" si="22"/>
        <v>1</v>
      </c>
      <c r="B464" s="1" t="str">
        <f ca="1">IF(A464=1, "men", "women")</f>
        <v>men</v>
      </c>
      <c r="C464" s="1">
        <f ca="1">RANDBETWEEN(25,50)</f>
        <v>30</v>
      </c>
      <c r="D464">
        <f ca="1">RANDBETWEEN(1,6)</f>
        <v>6</v>
      </c>
      <c r="E464" t="str">
        <f ca="1">VLOOKUP(D464,$W$5:$X$10,2)</f>
        <v>Agriculture</v>
      </c>
      <c r="F464">
        <f ca="1">RANDBETWEEN(1,5)</f>
        <v>5</v>
      </c>
      <c r="G464" t="str">
        <f ca="1">VLOOKUP(F464,$Y$5:$Z$9,2)</f>
        <v>Other</v>
      </c>
      <c r="H464">
        <f ca="1">RANDBETWEEN(0,4)</f>
        <v>2</v>
      </c>
      <c r="I464">
        <f ca="1">RANDBETWEEN(1,3)</f>
        <v>2</v>
      </c>
      <c r="J464">
        <f ca="1">RANDBETWEEN(30000,100000)</f>
        <v>48352</v>
      </c>
      <c r="K464">
        <f ca="1">RANDBETWEEN(1,48)</f>
        <v>5</v>
      </c>
      <c r="L464" t="str">
        <f ca="1">VLOOKUP(K464,$AA$5:$AB$52,2)</f>
        <v>Cambridgeshire</v>
      </c>
      <c r="M464">
        <f ca="1">J464*(RANDBETWEEN(2,5))</f>
        <v>241760</v>
      </c>
      <c r="N464">
        <f ca="1">RAND()*M464</f>
        <v>151291.68539478732</v>
      </c>
      <c r="O464">
        <f ca="1">I464*RAND()*J464</f>
        <v>200.62596383721157</v>
      </c>
      <c r="P464">
        <f ca="1">RANDBETWEEN(0,O464)</f>
        <v>41</v>
      </c>
      <c r="Q464">
        <f ca="1">RAND()*J464*2</f>
        <v>85148.519814653162</v>
      </c>
      <c r="R464">
        <f ca="1">RAND()*J464*1.5</f>
        <v>67238.915322995745</v>
      </c>
      <c r="S464">
        <f ca="1">J464+R464+O464</f>
        <v>115791.54128683296</v>
      </c>
      <c r="T464">
        <f ca="1">N464+P464+Q464</f>
        <v>236481.20520944049</v>
      </c>
      <c r="U464">
        <f ca="1">S464-T464</f>
        <v>-120689.66392260753</v>
      </c>
      <c r="AC464" s="6">
        <f ca="1">IF(Table1[[#This Row],[gender]]="men",1,0)</f>
        <v>1</v>
      </c>
      <c r="AD464">
        <f ca="1">IF(Table1[[#This Row],[gender]]="women",1,0)</f>
        <v>0</v>
      </c>
      <c r="AH464" s="5"/>
      <c r="AJ464" s="6">
        <f ca="1">IF(Table1[[#This Row],[Column1]]="Health",1,0)</f>
        <v>0</v>
      </c>
      <c r="AK464">
        <f ca="1">IF(Table1[[#This Row],[Column1]]="Construction",1,0)</f>
        <v>0</v>
      </c>
      <c r="AL464">
        <f ca="1">IF(Table1[[#This Row],[Column1]]="Technology",1,0)</f>
        <v>0</v>
      </c>
      <c r="AM464">
        <f ca="1">IF(Table1[[#This Row],[Column1]]="Education",1,0)</f>
        <v>0</v>
      </c>
      <c r="AN464">
        <f ca="1">IF(Table1[[#This Row],[Column1]]="Agriculture",1,0)</f>
        <v>1</v>
      </c>
      <c r="AO464">
        <f ca="1">IF(Table1[[#This Row],[Column1]]="Social Service", 1, 0)</f>
        <v>0</v>
      </c>
      <c r="AT464" s="5"/>
      <c r="AV464" s="17">
        <f t="shared" ca="1" si="21"/>
        <v>37966.858366718523</v>
      </c>
      <c r="AW464" s="5"/>
      <c r="AX464" s="6">
        <f ca="1">IF(Table1[[#This Row],[Value of Debts]]&gt;$AY$4,1,0)</f>
        <v>1</v>
      </c>
      <c r="AY464" s="20"/>
      <c r="AZ464" s="20"/>
      <c r="BA464" s="5"/>
      <c r="BB464" s="25">
        <f ca="1">Table1[[#This Row],[Mortage Left]]/Table1[[#This Row],[Value of House]]</f>
        <v>0.62579287473025857</v>
      </c>
      <c r="BC464" s="20">
        <f t="shared" ca="1" si="23"/>
        <v>0</v>
      </c>
      <c r="BD464" s="20"/>
      <c r="BE464" s="20"/>
      <c r="BF464" s="20"/>
      <c r="BG464" s="6">
        <f ca="1">IF(Table1[[#This Row],[County]]="Cumbria",Table1[[#This Row],[income]],0)</f>
        <v>0</v>
      </c>
      <c r="BH464" s="20">
        <f ca="1">IF(Table1[[#This Row],[County]]="Cheshire",Table1[[#This Row],[income]],0)</f>
        <v>0</v>
      </c>
      <c r="BI464" s="20">
        <f ca="1">IF(Table1[[#This Row],[County]]="Bristol",Table1[[#This Row],[income]],0)</f>
        <v>0</v>
      </c>
      <c r="BJ464" s="20">
        <f ca="1">IF(Table1[[#This Row],[County]]="Surrey",Table1[[#This Row],[income]],0)</f>
        <v>0</v>
      </c>
      <c r="BK464" s="20">
        <f ca="1">IF(Table1[[#This Row],[County]]="Norfolk",Table1[[#This Row],[income]],0)</f>
        <v>0</v>
      </c>
      <c r="BL464" s="20">
        <f ca="1">IF(Table1[[#This Row],[County]]="Lincolnshire",Table1[[#This Row],[income]],0)</f>
        <v>0</v>
      </c>
      <c r="BM464" s="20">
        <f ca="1">IF(Table1[[#This Row],[County]]="Somerset",Table1[[#This Row],[income]],0)</f>
        <v>0</v>
      </c>
      <c r="BN464" s="20">
        <f ca="1">IF(Table1[[#This Row],[County]]="Cambridgeshire",Table1[[#This Row],[income]],0)</f>
        <v>48352</v>
      </c>
      <c r="BO464" s="20">
        <f ca="1">IF(Table1[[#This Row],[County]]="South Yorkshire",Table1[[#This Row],[income]],0)</f>
        <v>0</v>
      </c>
      <c r="BP464" s="20">
        <f ca="1">IF(Table1[[#This Row],[County]]="Greater London",Table1[[#This Row],[income]],0)</f>
        <v>0</v>
      </c>
      <c r="BQ464" s="20">
        <f ca="1">IF(Table1[[#This Row],[County]]="Hampshire",Table1[[#This Row],[income]],0)</f>
        <v>0</v>
      </c>
      <c r="BR464" s="20">
        <f ca="1">IF(Table1[[#This Row],[County]]="Gloucestershire",Table1[[#This Row],[income]],0)</f>
        <v>0</v>
      </c>
      <c r="BS464" s="20">
        <f ca="1">IF(Table1[[#This Row],[County]]="West Sussex",Table1[[#This Row],[income]],0)</f>
        <v>0</v>
      </c>
      <c r="BT464" s="20">
        <f ca="1">IF(Table1[[#This Row],[County]]="Devon",Table1[[#This Row],[income]],0)</f>
        <v>0</v>
      </c>
      <c r="BU464" s="20">
        <f ca="1">IF(Table1[[#This Row],[County]]="Berkshire",Table1[[#This Row],[income]],0)</f>
        <v>0</v>
      </c>
      <c r="BV464" s="20">
        <f ca="1">IF(Table1[[#This Row],[County]]="Staffordshire",Table1[[#This Row],[income]],0)</f>
        <v>0</v>
      </c>
      <c r="BW464" s="20">
        <f ca="1">IF(Table1[[#This Row],[County]]="Leicestershire",Table1[[#This Row],[income]],0)</f>
        <v>0</v>
      </c>
      <c r="BX464" s="20">
        <f ca="1">IF(Table1[[#This Row],[County]]="Cornwall",Table1[[#This Row],[income]],0)</f>
        <v>0</v>
      </c>
      <c r="BY464" s="20">
        <f ca="1">IF(Table1[[#This Row],[County]]="Isle of Wight",Table1[[#This Row],[income]],0)</f>
        <v>0</v>
      </c>
      <c r="BZ464" s="20">
        <f ca="1">IF(Table1[[#This Row],[County]]="Surrey",Table1[[#This Row],[income]],0)</f>
        <v>0</v>
      </c>
      <c r="CA464" s="20">
        <f ca="1">IF(Table1[[#This Row],[County]]="Derbyshire",Table1[[#This Row],[income]],0)</f>
        <v>0</v>
      </c>
      <c r="CB464" s="20">
        <f ca="1">IF(Table1[[#This Row],[County]]="City of London",Table1[[#This Row],[income]],0)</f>
        <v>0</v>
      </c>
      <c r="CC464" s="20">
        <f ca="1">IF(Table1[[#This Row],[County]]="Bedfordshire",Table1[[#This Row],[income]],0)</f>
        <v>0</v>
      </c>
      <c r="CD464" s="20">
        <f ca="1">IF(Table1[[#This Row],[County]]="County Durham",Table1[[#This Row],[income]],0)</f>
        <v>0</v>
      </c>
      <c r="CE464" s="20">
        <f ca="1">IF(Table1[[#This Row],[County]]="East Riding of Yorkshire",Table1[[#This Row],[income]],0)</f>
        <v>0</v>
      </c>
      <c r="CF464" s="20">
        <f ca="1">IF(Table1[[#This Row],[County]]="West Yorkshire",Table1[[#This Row],[income]],0)</f>
        <v>0</v>
      </c>
      <c r="CG464" s="20">
        <f ca="1">IF(Table1[[#This Row],[County]]="Essex",Table1[[#This Row],[income]],0)</f>
        <v>0</v>
      </c>
      <c r="CH464" s="20">
        <f ca="1">IF(Table1[[#This Row],[County]]="East Sussex",Table1[[#This Row],[income]],0)</f>
        <v>0</v>
      </c>
      <c r="CI464" s="20">
        <f ca="1">IF(Table1[[#This Row],[County]]="Greater Manchester",Table1[[#This Row],[income]],0)</f>
        <v>0</v>
      </c>
      <c r="CJ464" s="20">
        <f ca="1">IF(Table1[[#This Row],[County]]="Hertfordshire",Table1[[#This Row],[income]],0)</f>
        <v>0</v>
      </c>
      <c r="CK464" s="20">
        <f ca="1">IF(Table1[[#This Row],[County]]="Herefordshire",Table1[[#This Row],[income]],0)</f>
        <v>0</v>
      </c>
      <c r="CL464" s="20">
        <f ca="1">IF(Table1[[#This Row],[County]]="Lancashire",Table1[[#This Row],[income]],0)</f>
        <v>0</v>
      </c>
      <c r="CM464" s="20">
        <f ca="1">IF(Table1[[#This Row],[County]]="Merseyside",Table1[[#This Row],[income]],0)</f>
        <v>0</v>
      </c>
      <c r="CN464" s="20">
        <f ca="1">IF(Table1[[#This Row],[County]]="Northamptonshire",Table1[[#This Row],[income]],0)</f>
        <v>0</v>
      </c>
      <c r="CO464" s="20">
        <f ca="1">IF(Table1[[#This Row],[County]]="Northumberland",Table1[[#This Row],[income]],0)</f>
        <v>0</v>
      </c>
      <c r="CP464" s="20">
        <f ca="1">IF(Table1[[#This Row],[County]]="Wiltshire",Table1[[#This Row],[income]],0)</f>
        <v>0</v>
      </c>
      <c r="CQ464" s="20">
        <f ca="1">IF(Table1[[#This Row],[County]]="West Midlands",Table1[[#This Row],[income]],0)</f>
        <v>0</v>
      </c>
      <c r="CR464" s="20">
        <f ca="1">IF(Table1[[#This Row],[County]]="Warwickshire",Table1[[#This Row],[income]],0)</f>
        <v>0</v>
      </c>
      <c r="CS464" s="20">
        <f ca="1">IF(Table1[[#This Row],[County]]="Tyne and Wear",Table1[[#This Row],[income]],0)</f>
        <v>0</v>
      </c>
      <c r="CT464" s="20">
        <f ca="1">IF(Table1[[#This Row],[County]]="Worcestershire",Table1[[#This Row],[income]],0)</f>
        <v>0</v>
      </c>
      <c r="CU464" s="20">
        <f ca="1">IF(Table1[[#This Row],[County]]="Rutland",Table1[[#This Row],[income]],0)</f>
        <v>0</v>
      </c>
      <c r="CV464" s="20">
        <f ca="1">IF(Table1[[#This Row],[County]]="Shropshire",Table1[[#This Row],[income]],0)</f>
        <v>0</v>
      </c>
      <c r="CW464" s="20">
        <f ca="1">IF(Table1[[#This Row],[County]]="Dorset",Table1[[#This Row],[income]],0)</f>
        <v>0</v>
      </c>
      <c r="CX464" s="20">
        <f ca="1">IF(Table1[[#This Row],[County]]="Buckinghamshire",Table1[[#This Row],[income]],0)</f>
        <v>0</v>
      </c>
      <c r="CY464" s="20">
        <f ca="1">IF(Table1[[#This Row],[County]]="Suffolk",Table1[[#This Row],[income]],0)</f>
        <v>0</v>
      </c>
      <c r="CZ464" s="20">
        <f ca="1">IF(Table1[[#This Row],[County]]="North Yorkshire",Table1[[#This Row],[income]],0)</f>
        <v>0</v>
      </c>
      <c r="DA464" s="20">
        <f ca="1">IF(Table1[[#This Row],[County]]="Kent",Table1[[#This Row],[income]],0)</f>
        <v>0</v>
      </c>
      <c r="DB464" s="5">
        <f ca="1">IF(Table1[[#This Row],[County]]="Derbyshire",Table1[[#This Row],[income]],0)</f>
        <v>0</v>
      </c>
      <c r="DD464" s="6">
        <f ca="1">IF(Table1[[#This Row],[Column1]]="Health",Table1[[#This Row],[income]],0)</f>
        <v>0</v>
      </c>
      <c r="DE464" s="20">
        <f ca="1">IF(Table1[[#This Row],[Column1]]="Agriculture",Table1[[#This Row],[income]],0)</f>
        <v>48352</v>
      </c>
      <c r="DF464" s="20">
        <f ca="1">IF(Table1[[#This Row],[Column1]]="Technology",Table1[[#This Row],[income]],0)</f>
        <v>0</v>
      </c>
      <c r="DG464" s="20">
        <f ca="1">IF(Table1[[#This Row],[Column1]]="Social Service",Table1[[#This Row],[income]],0)</f>
        <v>0</v>
      </c>
      <c r="DH464" s="20">
        <f ca="1">IF(Table1[[#This Row],[Column1]]="Education",Table1[[#This Row],[income]],0)</f>
        <v>0</v>
      </c>
      <c r="DI464" s="5">
        <f ca="1">IF(Table1[[#This Row],[Column1]]="Construction",Table1[[#This Row],[income]],0)</f>
        <v>0</v>
      </c>
      <c r="DK464" s="6">
        <f ca="1">IF(Table1[[#This Row],[Value of Debts]]&gt;Table1[[#This Row],[income]],1,0)</f>
        <v>1</v>
      </c>
      <c r="DL464" s="20"/>
      <c r="DM464" s="20"/>
      <c r="DN464" s="5"/>
      <c r="DP464" s="6">
        <f ca="1">IF(Table1[[#This Row],[Net Worth (£)]]&gt;$DS$5,C464,0)</f>
        <v>0</v>
      </c>
      <c r="DQ464" s="20"/>
      <c r="DR464" s="20"/>
      <c r="DS464" s="5"/>
    </row>
    <row r="465" spans="1:123" x14ac:dyDescent="0.2">
      <c r="A465">
        <f t="shared" ca="1" si="22"/>
        <v>2</v>
      </c>
      <c r="B465" s="1" t="str">
        <f ca="1">IF(A465=1, "men", "women")</f>
        <v>women</v>
      </c>
      <c r="C465" s="1">
        <f ca="1">RANDBETWEEN(25,50)</f>
        <v>44</v>
      </c>
      <c r="D465">
        <f ca="1">RANDBETWEEN(1,6)</f>
        <v>1</v>
      </c>
      <c r="E465" t="str">
        <f ca="1">VLOOKUP(D465,$W$5:$X$10,2)</f>
        <v>Health</v>
      </c>
      <c r="F465">
        <f ca="1">RANDBETWEEN(1,5)</f>
        <v>2</v>
      </c>
      <c r="G465" t="str">
        <f ca="1">VLOOKUP(F465,$Y$5:$Z$9,2)</f>
        <v>College</v>
      </c>
      <c r="H465">
        <f ca="1">RANDBETWEEN(0,4)</f>
        <v>0</v>
      </c>
      <c r="I465">
        <f ca="1">RANDBETWEEN(1,3)</f>
        <v>2</v>
      </c>
      <c r="J465">
        <f ca="1">RANDBETWEEN(30000,100000)</f>
        <v>45569</v>
      </c>
      <c r="K465">
        <f ca="1">RANDBETWEEN(1,48)</f>
        <v>3</v>
      </c>
      <c r="L465" t="str">
        <f ca="1">VLOOKUP(K465,$AA$5:$AB$52,2)</f>
        <v>Bristol</v>
      </c>
      <c r="M465">
        <f ca="1">J465*(RANDBETWEEN(2,5))</f>
        <v>182276</v>
      </c>
      <c r="N465">
        <f ca="1">RAND()*M465</f>
        <v>46768.641406993484</v>
      </c>
      <c r="O465">
        <f ca="1">I465*RAND()*J465</f>
        <v>75933.716733437046</v>
      </c>
      <c r="P465">
        <f ca="1">RANDBETWEEN(0,O465)</f>
        <v>15231</v>
      </c>
      <c r="Q465">
        <f ca="1">RAND()*J465*2</f>
        <v>6414.9202710958762</v>
      </c>
      <c r="R465">
        <f ca="1">RAND()*J465*1.5</f>
        <v>22240.257562555038</v>
      </c>
      <c r="S465">
        <f ca="1">J465+R465+O465</f>
        <v>143742.97429599208</v>
      </c>
      <c r="T465">
        <f ca="1">N465+P465+Q465</f>
        <v>68414.561678089362</v>
      </c>
      <c r="U465">
        <f ca="1">S465-T465</f>
        <v>75328.412617902723</v>
      </c>
      <c r="AC465" s="6">
        <f ca="1">IF(Table1[[#This Row],[gender]]="men",1,0)</f>
        <v>0</v>
      </c>
      <c r="AD465">
        <f ca="1">IF(Table1[[#This Row],[gender]]="women",1,0)</f>
        <v>1</v>
      </c>
      <c r="AH465" s="5"/>
      <c r="AJ465" s="6">
        <f ca="1">IF(Table1[[#This Row],[Column1]]="Health",1,0)</f>
        <v>1</v>
      </c>
      <c r="AK465">
        <f ca="1">IF(Table1[[#This Row],[Column1]]="Construction",1,0)</f>
        <v>0</v>
      </c>
      <c r="AL465">
        <f ca="1">IF(Table1[[#This Row],[Column1]]="Technology",1,0)</f>
        <v>0</v>
      </c>
      <c r="AM465">
        <f ca="1">IF(Table1[[#This Row],[Column1]]="Education",1,0)</f>
        <v>0</v>
      </c>
      <c r="AN465">
        <f ca="1">IF(Table1[[#This Row],[Column1]]="Agriculture",1,0)</f>
        <v>0</v>
      </c>
      <c r="AO465">
        <f ca="1">IF(Table1[[#This Row],[Column1]]="Social Service", 1, 0)</f>
        <v>0</v>
      </c>
      <c r="AT465" s="5"/>
      <c r="AV465" s="17">
        <f t="shared" ca="1" si="21"/>
        <v>37506.048389775839</v>
      </c>
      <c r="AW465" s="5"/>
      <c r="AX465" s="6">
        <f ca="1">IF(Table1[[#This Row],[Value of Debts]]&gt;$AY$4,1,0)</f>
        <v>0</v>
      </c>
      <c r="AY465" s="20"/>
      <c r="AZ465" s="20"/>
      <c r="BA465" s="5"/>
      <c r="BB465" s="25">
        <f ca="1">Table1[[#This Row],[Mortage Left]]/Table1[[#This Row],[Value of House]]</f>
        <v>0.2565814556331798</v>
      </c>
      <c r="BC465" s="20">
        <f t="shared" ca="1" si="23"/>
        <v>1</v>
      </c>
      <c r="BD465" s="20"/>
      <c r="BE465" s="20"/>
      <c r="BF465" s="20"/>
      <c r="BG465" s="6">
        <f ca="1">IF(Table1[[#This Row],[County]]="Cumbria",Table1[[#This Row],[income]],0)</f>
        <v>0</v>
      </c>
      <c r="BH465" s="20">
        <f ca="1">IF(Table1[[#This Row],[County]]="Cheshire",Table1[[#This Row],[income]],0)</f>
        <v>0</v>
      </c>
      <c r="BI465" s="20">
        <f ca="1">IF(Table1[[#This Row],[County]]="Bristol",Table1[[#This Row],[income]],0)</f>
        <v>45569</v>
      </c>
      <c r="BJ465" s="20">
        <f ca="1">IF(Table1[[#This Row],[County]]="Surrey",Table1[[#This Row],[income]],0)</f>
        <v>0</v>
      </c>
      <c r="BK465" s="20">
        <f ca="1">IF(Table1[[#This Row],[County]]="Norfolk",Table1[[#This Row],[income]],0)</f>
        <v>0</v>
      </c>
      <c r="BL465" s="20">
        <f ca="1">IF(Table1[[#This Row],[County]]="Lincolnshire",Table1[[#This Row],[income]],0)</f>
        <v>0</v>
      </c>
      <c r="BM465" s="20">
        <f ca="1">IF(Table1[[#This Row],[County]]="Somerset",Table1[[#This Row],[income]],0)</f>
        <v>0</v>
      </c>
      <c r="BN465" s="20">
        <f ca="1">IF(Table1[[#This Row],[County]]="Cambridgeshire",Table1[[#This Row],[income]],0)</f>
        <v>0</v>
      </c>
      <c r="BO465" s="20">
        <f ca="1">IF(Table1[[#This Row],[County]]="South Yorkshire",Table1[[#This Row],[income]],0)</f>
        <v>0</v>
      </c>
      <c r="BP465" s="20">
        <f ca="1">IF(Table1[[#This Row],[County]]="Greater London",Table1[[#This Row],[income]],0)</f>
        <v>0</v>
      </c>
      <c r="BQ465" s="20">
        <f ca="1">IF(Table1[[#This Row],[County]]="Hampshire",Table1[[#This Row],[income]],0)</f>
        <v>0</v>
      </c>
      <c r="BR465" s="20">
        <f ca="1">IF(Table1[[#This Row],[County]]="Gloucestershire",Table1[[#This Row],[income]],0)</f>
        <v>0</v>
      </c>
      <c r="BS465" s="20">
        <f ca="1">IF(Table1[[#This Row],[County]]="West Sussex",Table1[[#This Row],[income]],0)</f>
        <v>0</v>
      </c>
      <c r="BT465" s="20">
        <f ca="1">IF(Table1[[#This Row],[County]]="Devon",Table1[[#This Row],[income]],0)</f>
        <v>0</v>
      </c>
      <c r="BU465" s="20">
        <f ca="1">IF(Table1[[#This Row],[County]]="Berkshire",Table1[[#This Row],[income]],0)</f>
        <v>0</v>
      </c>
      <c r="BV465" s="20">
        <f ca="1">IF(Table1[[#This Row],[County]]="Staffordshire",Table1[[#This Row],[income]],0)</f>
        <v>0</v>
      </c>
      <c r="BW465" s="20">
        <f ca="1">IF(Table1[[#This Row],[County]]="Leicestershire",Table1[[#This Row],[income]],0)</f>
        <v>0</v>
      </c>
      <c r="BX465" s="20">
        <f ca="1">IF(Table1[[#This Row],[County]]="Cornwall",Table1[[#This Row],[income]],0)</f>
        <v>0</v>
      </c>
      <c r="BY465" s="20">
        <f ca="1">IF(Table1[[#This Row],[County]]="Isle of Wight",Table1[[#This Row],[income]],0)</f>
        <v>0</v>
      </c>
      <c r="BZ465" s="20">
        <f ca="1">IF(Table1[[#This Row],[County]]="Surrey",Table1[[#This Row],[income]],0)</f>
        <v>0</v>
      </c>
      <c r="CA465" s="20">
        <f ca="1">IF(Table1[[#This Row],[County]]="Derbyshire",Table1[[#This Row],[income]],0)</f>
        <v>0</v>
      </c>
      <c r="CB465" s="20">
        <f ca="1">IF(Table1[[#This Row],[County]]="City of London",Table1[[#This Row],[income]],0)</f>
        <v>0</v>
      </c>
      <c r="CC465" s="20">
        <f ca="1">IF(Table1[[#This Row],[County]]="Bedfordshire",Table1[[#This Row],[income]],0)</f>
        <v>0</v>
      </c>
      <c r="CD465" s="20">
        <f ca="1">IF(Table1[[#This Row],[County]]="County Durham",Table1[[#This Row],[income]],0)</f>
        <v>0</v>
      </c>
      <c r="CE465" s="20">
        <f ca="1">IF(Table1[[#This Row],[County]]="East Riding of Yorkshire",Table1[[#This Row],[income]],0)</f>
        <v>0</v>
      </c>
      <c r="CF465" s="20">
        <f ca="1">IF(Table1[[#This Row],[County]]="West Yorkshire",Table1[[#This Row],[income]],0)</f>
        <v>0</v>
      </c>
      <c r="CG465" s="20">
        <f ca="1">IF(Table1[[#This Row],[County]]="Essex",Table1[[#This Row],[income]],0)</f>
        <v>0</v>
      </c>
      <c r="CH465" s="20">
        <f ca="1">IF(Table1[[#This Row],[County]]="East Sussex",Table1[[#This Row],[income]],0)</f>
        <v>0</v>
      </c>
      <c r="CI465" s="20">
        <f ca="1">IF(Table1[[#This Row],[County]]="Greater Manchester",Table1[[#This Row],[income]],0)</f>
        <v>0</v>
      </c>
      <c r="CJ465" s="20">
        <f ca="1">IF(Table1[[#This Row],[County]]="Hertfordshire",Table1[[#This Row],[income]],0)</f>
        <v>0</v>
      </c>
      <c r="CK465" s="20">
        <f ca="1">IF(Table1[[#This Row],[County]]="Herefordshire",Table1[[#This Row],[income]],0)</f>
        <v>0</v>
      </c>
      <c r="CL465" s="20">
        <f ca="1">IF(Table1[[#This Row],[County]]="Lancashire",Table1[[#This Row],[income]],0)</f>
        <v>0</v>
      </c>
      <c r="CM465" s="20">
        <f ca="1">IF(Table1[[#This Row],[County]]="Merseyside",Table1[[#This Row],[income]],0)</f>
        <v>0</v>
      </c>
      <c r="CN465" s="20">
        <f ca="1">IF(Table1[[#This Row],[County]]="Northamptonshire",Table1[[#This Row],[income]],0)</f>
        <v>0</v>
      </c>
      <c r="CO465" s="20">
        <f ca="1">IF(Table1[[#This Row],[County]]="Northumberland",Table1[[#This Row],[income]],0)</f>
        <v>0</v>
      </c>
      <c r="CP465" s="20">
        <f ca="1">IF(Table1[[#This Row],[County]]="Wiltshire",Table1[[#This Row],[income]],0)</f>
        <v>0</v>
      </c>
      <c r="CQ465" s="20">
        <f ca="1">IF(Table1[[#This Row],[County]]="West Midlands",Table1[[#This Row],[income]],0)</f>
        <v>0</v>
      </c>
      <c r="CR465" s="20">
        <f ca="1">IF(Table1[[#This Row],[County]]="Warwickshire",Table1[[#This Row],[income]],0)</f>
        <v>0</v>
      </c>
      <c r="CS465" s="20">
        <f ca="1">IF(Table1[[#This Row],[County]]="Tyne and Wear",Table1[[#This Row],[income]],0)</f>
        <v>0</v>
      </c>
      <c r="CT465" s="20">
        <f ca="1">IF(Table1[[#This Row],[County]]="Worcestershire",Table1[[#This Row],[income]],0)</f>
        <v>0</v>
      </c>
      <c r="CU465" s="20">
        <f ca="1">IF(Table1[[#This Row],[County]]="Rutland",Table1[[#This Row],[income]],0)</f>
        <v>0</v>
      </c>
      <c r="CV465" s="20">
        <f ca="1">IF(Table1[[#This Row],[County]]="Shropshire",Table1[[#This Row],[income]],0)</f>
        <v>0</v>
      </c>
      <c r="CW465" s="20">
        <f ca="1">IF(Table1[[#This Row],[County]]="Dorset",Table1[[#This Row],[income]],0)</f>
        <v>0</v>
      </c>
      <c r="CX465" s="20">
        <f ca="1">IF(Table1[[#This Row],[County]]="Buckinghamshire",Table1[[#This Row],[income]],0)</f>
        <v>0</v>
      </c>
      <c r="CY465" s="20">
        <f ca="1">IF(Table1[[#This Row],[County]]="Suffolk",Table1[[#This Row],[income]],0)</f>
        <v>0</v>
      </c>
      <c r="CZ465" s="20">
        <f ca="1">IF(Table1[[#This Row],[County]]="North Yorkshire",Table1[[#This Row],[income]],0)</f>
        <v>0</v>
      </c>
      <c r="DA465" s="20">
        <f ca="1">IF(Table1[[#This Row],[County]]="Kent",Table1[[#This Row],[income]],0)</f>
        <v>0</v>
      </c>
      <c r="DB465" s="5">
        <f ca="1">IF(Table1[[#This Row],[County]]="Derbyshire",Table1[[#This Row],[income]],0)</f>
        <v>0</v>
      </c>
      <c r="DD465" s="6">
        <f ca="1">IF(Table1[[#This Row],[Column1]]="Health",Table1[[#This Row],[income]],0)</f>
        <v>45569</v>
      </c>
      <c r="DE465" s="20">
        <f ca="1">IF(Table1[[#This Row],[Column1]]="Agriculture",Table1[[#This Row],[income]],0)</f>
        <v>0</v>
      </c>
      <c r="DF465" s="20">
        <f ca="1">IF(Table1[[#This Row],[Column1]]="Technology",Table1[[#This Row],[income]],0)</f>
        <v>0</v>
      </c>
      <c r="DG465" s="20">
        <f ca="1">IF(Table1[[#This Row],[Column1]]="Social Service",Table1[[#This Row],[income]],0)</f>
        <v>0</v>
      </c>
      <c r="DH465" s="20">
        <f ca="1">IF(Table1[[#This Row],[Column1]]="Education",Table1[[#This Row],[income]],0)</f>
        <v>0</v>
      </c>
      <c r="DI465" s="5">
        <f ca="1">IF(Table1[[#This Row],[Column1]]="Construction",Table1[[#This Row],[income]],0)</f>
        <v>0</v>
      </c>
      <c r="DK465" s="6">
        <f ca="1">IF(Table1[[#This Row],[Value of Debts]]&gt;Table1[[#This Row],[income]],1,0)</f>
        <v>1</v>
      </c>
      <c r="DL465" s="20"/>
      <c r="DM465" s="20"/>
      <c r="DN465" s="5"/>
      <c r="DP465" s="6">
        <f ca="1">IF(Table1[[#This Row],[Net Worth (£)]]&gt;$DS$5,C465,0)</f>
        <v>44</v>
      </c>
      <c r="DQ465" s="20"/>
      <c r="DR465" s="20"/>
      <c r="DS465" s="5"/>
    </row>
    <row r="466" spans="1:123" x14ac:dyDescent="0.2">
      <c r="A466">
        <f t="shared" ca="1" si="22"/>
        <v>1</v>
      </c>
      <c r="B466" s="1" t="str">
        <f ca="1">IF(A466=1, "men", "women")</f>
        <v>men</v>
      </c>
      <c r="C466" s="1">
        <f ca="1">RANDBETWEEN(25,50)</f>
        <v>38</v>
      </c>
      <c r="D466">
        <f ca="1">RANDBETWEEN(1,6)</f>
        <v>2</v>
      </c>
      <c r="E466" t="str">
        <f ca="1">VLOOKUP(D466,$W$5:$X$10,2)</f>
        <v>Construction</v>
      </c>
      <c r="F466">
        <f ca="1">RANDBETWEEN(1,5)</f>
        <v>5</v>
      </c>
      <c r="G466" t="str">
        <f ca="1">VLOOKUP(F466,$Y$5:$Z$9,2)</f>
        <v>Other</v>
      </c>
      <c r="H466">
        <f ca="1">RANDBETWEEN(0,4)</f>
        <v>1</v>
      </c>
      <c r="I466">
        <f ca="1">RANDBETWEEN(1,3)</f>
        <v>2</v>
      </c>
      <c r="J466">
        <f ca="1">RANDBETWEEN(30000,100000)</f>
        <v>42026</v>
      </c>
      <c r="K466">
        <f ca="1">RANDBETWEEN(1,48)</f>
        <v>13</v>
      </c>
      <c r="L466" t="str">
        <f ca="1">VLOOKUP(K466,$AA$5:$AB$52,2)</f>
        <v>County Durham</v>
      </c>
      <c r="M466">
        <f ca="1">J466*(RANDBETWEEN(2,5))</f>
        <v>126078</v>
      </c>
      <c r="N466">
        <f ca="1">RAND()*M466</f>
        <v>26158.172206532257</v>
      </c>
      <c r="O466">
        <f ca="1">I466*RAND()*J466</f>
        <v>75012.096779551677</v>
      </c>
      <c r="P466">
        <f ca="1">RANDBETWEEN(0,O466)</f>
        <v>39530</v>
      </c>
      <c r="Q466">
        <f ca="1">RAND()*J466*2</f>
        <v>1756.2475978602556</v>
      </c>
      <c r="R466">
        <f ca="1">RAND()*J466*1.5</f>
        <v>20428.432523967349</v>
      </c>
      <c r="S466">
        <f ca="1">J466+R466+O466</f>
        <v>137466.52930351903</v>
      </c>
      <c r="T466">
        <f ca="1">N466+P466+Q466</f>
        <v>67444.419804392513</v>
      </c>
      <c r="U466">
        <f ca="1">S466-T466</f>
        <v>70022.109499126513</v>
      </c>
      <c r="AC466" s="6">
        <f ca="1">IF(Table1[[#This Row],[gender]]="men",1,0)</f>
        <v>1</v>
      </c>
      <c r="AD466">
        <f ca="1">IF(Table1[[#This Row],[gender]]="women",1,0)</f>
        <v>0</v>
      </c>
      <c r="AH466" s="5"/>
      <c r="AJ466" s="6">
        <f ca="1">IF(Table1[[#This Row],[Column1]]="Health",1,0)</f>
        <v>0</v>
      </c>
      <c r="AK466">
        <f ca="1">IF(Table1[[#This Row],[Column1]]="Construction",1,0)</f>
        <v>1</v>
      </c>
      <c r="AL466">
        <f ca="1">IF(Table1[[#This Row],[Column1]]="Technology",1,0)</f>
        <v>0</v>
      </c>
      <c r="AM466">
        <f ca="1">IF(Table1[[#This Row],[Column1]]="Education",1,0)</f>
        <v>0</v>
      </c>
      <c r="AN466">
        <f ca="1">IF(Table1[[#This Row],[Column1]]="Agriculture",1,0)</f>
        <v>0</v>
      </c>
      <c r="AO466">
        <f ca="1">IF(Table1[[#This Row],[Column1]]="Social Service", 1, 0)</f>
        <v>0</v>
      </c>
      <c r="AT466" s="5"/>
      <c r="AV466" s="17">
        <f t="shared" ca="1" si="21"/>
        <v>4428.8818752521238</v>
      </c>
      <c r="AW466" s="5"/>
      <c r="AX466" s="6">
        <f ca="1">IF(Table1[[#This Row],[Value of Debts]]&gt;$AY$4,1,0)</f>
        <v>0</v>
      </c>
      <c r="AY466" s="20"/>
      <c r="AZ466" s="20"/>
      <c r="BA466" s="5"/>
      <c r="BB466" s="25">
        <f ca="1">Table1[[#This Row],[Mortage Left]]/Table1[[#This Row],[Value of House]]</f>
        <v>0.20747610373365899</v>
      </c>
      <c r="BC466" s="20">
        <f t="shared" ca="1" si="23"/>
        <v>1</v>
      </c>
      <c r="BD466" s="20"/>
      <c r="BE466" s="20"/>
      <c r="BF466" s="20"/>
      <c r="BG466" s="6">
        <f ca="1">IF(Table1[[#This Row],[County]]="Cumbria",Table1[[#This Row],[income]],0)</f>
        <v>0</v>
      </c>
      <c r="BH466" s="20">
        <f ca="1">IF(Table1[[#This Row],[County]]="Cheshire",Table1[[#This Row],[income]],0)</f>
        <v>0</v>
      </c>
      <c r="BI466" s="20">
        <f ca="1">IF(Table1[[#This Row],[County]]="Bristol",Table1[[#This Row],[income]],0)</f>
        <v>0</v>
      </c>
      <c r="BJ466" s="20">
        <f ca="1">IF(Table1[[#This Row],[County]]="Surrey",Table1[[#This Row],[income]],0)</f>
        <v>0</v>
      </c>
      <c r="BK466" s="20">
        <f ca="1">IF(Table1[[#This Row],[County]]="Norfolk",Table1[[#This Row],[income]],0)</f>
        <v>0</v>
      </c>
      <c r="BL466" s="20">
        <f ca="1">IF(Table1[[#This Row],[County]]="Lincolnshire",Table1[[#This Row],[income]],0)</f>
        <v>0</v>
      </c>
      <c r="BM466" s="20">
        <f ca="1">IF(Table1[[#This Row],[County]]="Somerset",Table1[[#This Row],[income]],0)</f>
        <v>0</v>
      </c>
      <c r="BN466" s="20">
        <f ca="1">IF(Table1[[#This Row],[County]]="Cambridgeshire",Table1[[#This Row],[income]],0)</f>
        <v>0</v>
      </c>
      <c r="BO466" s="20">
        <f ca="1">IF(Table1[[#This Row],[County]]="South Yorkshire",Table1[[#This Row],[income]],0)</f>
        <v>0</v>
      </c>
      <c r="BP466" s="20">
        <f ca="1">IF(Table1[[#This Row],[County]]="Greater London",Table1[[#This Row],[income]],0)</f>
        <v>0</v>
      </c>
      <c r="BQ466" s="20">
        <f ca="1">IF(Table1[[#This Row],[County]]="Hampshire",Table1[[#This Row],[income]],0)</f>
        <v>0</v>
      </c>
      <c r="BR466" s="20">
        <f ca="1">IF(Table1[[#This Row],[County]]="Gloucestershire",Table1[[#This Row],[income]],0)</f>
        <v>0</v>
      </c>
      <c r="BS466" s="20">
        <f ca="1">IF(Table1[[#This Row],[County]]="West Sussex",Table1[[#This Row],[income]],0)</f>
        <v>0</v>
      </c>
      <c r="BT466" s="20">
        <f ca="1">IF(Table1[[#This Row],[County]]="Devon",Table1[[#This Row],[income]],0)</f>
        <v>0</v>
      </c>
      <c r="BU466" s="20">
        <f ca="1">IF(Table1[[#This Row],[County]]="Berkshire",Table1[[#This Row],[income]],0)</f>
        <v>0</v>
      </c>
      <c r="BV466" s="20">
        <f ca="1">IF(Table1[[#This Row],[County]]="Staffordshire",Table1[[#This Row],[income]],0)</f>
        <v>0</v>
      </c>
      <c r="BW466" s="20">
        <f ca="1">IF(Table1[[#This Row],[County]]="Leicestershire",Table1[[#This Row],[income]],0)</f>
        <v>0</v>
      </c>
      <c r="BX466" s="20">
        <f ca="1">IF(Table1[[#This Row],[County]]="Cornwall",Table1[[#This Row],[income]],0)</f>
        <v>0</v>
      </c>
      <c r="BY466" s="20">
        <f ca="1">IF(Table1[[#This Row],[County]]="Isle of Wight",Table1[[#This Row],[income]],0)</f>
        <v>0</v>
      </c>
      <c r="BZ466" s="20">
        <f ca="1">IF(Table1[[#This Row],[County]]="Surrey",Table1[[#This Row],[income]],0)</f>
        <v>0</v>
      </c>
      <c r="CA466" s="20">
        <f ca="1">IF(Table1[[#This Row],[County]]="Derbyshire",Table1[[#This Row],[income]],0)</f>
        <v>0</v>
      </c>
      <c r="CB466" s="20">
        <f ca="1">IF(Table1[[#This Row],[County]]="City of London",Table1[[#This Row],[income]],0)</f>
        <v>0</v>
      </c>
      <c r="CC466" s="20">
        <f ca="1">IF(Table1[[#This Row],[County]]="Bedfordshire",Table1[[#This Row],[income]],0)</f>
        <v>0</v>
      </c>
      <c r="CD466" s="20">
        <f ca="1">IF(Table1[[#This Row],[County]]="County Durham",Table1[[#This Row],[income]],0)</f>
        <v>42026</v>
      </c>
      <c r="CE466" s="20">
        <f ca="1">IF(Table1[[#This Row],[County]]="East Riding of Yorkshire",Table1[[#This Row],[income]],0)</f>
        <v>0</v>
      </c>
      <c r="CF466" s="20">
        <f ca="1">IF(Table1[[#This Row],[County]]="West Yorkshire",Table1[[#This Row],[income]],0)</f>
        <v>0</v>
      </c>
      <c r="CG466" s="20">
        <f ca="1">IF(Table1[[#This Row],[County]]="Essex",Table1[[#This Row],[income]],0)</f>
        <v>0</v>
      </c>
      <c r="CH466" s="20">
        <f ca="1">IF(Table1[[#This Row],[County]]="East Sussex",Table1[[#This Row],[income]],0)</f>
        <v>0</v>
      </c>
      <c r="CI466" s="20">
        <f ca="1">IF(Table1[[#This Row],[County]]="Greater Manchester",Table1[[#This Row],[income]],0)</f>
        <v>0</v>
      </c>
      <c r="CJ466" s="20">
        <f ca="1">IF(Table1[[#This Row],[County]]="Hertfordshire",Table1[[#This Row],[income]],0)</f>
        <v>0</v>
      </c>
      <c r="CK466" s="20">
        <f ca="1">IF(Table1[[#This Row],[County]]="Herefordshire",Table1[[#This Row],[income]],0)</f>
        <v>0</v>
      </c>
      <c r="CL466" s="20">
        <f ca="1">IF(Table1[[#This Row],[County]]="Lancashire",Table1[[#This Row],[income]],0)</f>
        <v>0</v>
      </c>
      <c r="CM466" s="20">
        <f ca="1">IF(Table1[[#This Row],[County]]="Merseyside",Table1[[#This Row],[income]],0)</f>
        <v>0</v>
      </c>
      <c r="CN466" s="20">
        <f ca="1">IF(Table1[[#This Row],[County]]="Northamptonshire",Table1[[#This Row],[income]],0)</f>
        <v>0</v>
      </c>
      <c r="CO466" s="20">
        <f ca="1">IF(Table1[[#This Row],[County]]="Northumberland",Table1[[#This Row],[income]],0)</f>
        <v>0</v>
      </c>
      <c r="CP466" s="20">
        <f ca="1">IF(Table1[[#This Row],[County]]="Wiltshire",Table1[[#This Row],[income]],0)</f>
        <v>0</v>
      </c>
      <c r="CQ466" s="20">
        <f ca="1">IF(Table1[[#This Row],[County]]="West Midlands",Table1[[#This Row],[income]],0)</f>
        <v>0</v>
      </c>
      <c r="CR466" s="20">
        <f ca="1">IF(Table1[[#This Row],[County]]="Warwickshire",Table1[[#This Row],[income]],0)</f>
        <v>0</v>
      </c>
      <c r="CS466" s="20">
        <f ca="1">IF(Table1[[#This Row],[County]]="Tyne and Wear",Table1[[#This Row],[income]],0)</f>
        <v>0</v>
      </c>
      <c r="CT466" s="20">
        <f ca="1">IF(Table1[[#This Row],[County]]="Worcestershire",Table1[[#This Row],[income]],0)</f>
        <v>0</v>
      </c>
      <c r="CU466" s="20">
        <f ca="1">IF(Table1[[#This Row],[County]]="Rutland",Table1[[#This Row],[income]],0)</f>
        <v>0</v>
      </c>
      <c r="CV466" s="20">
        <f ca="1">IF(Table1[[#This Row],[County]]="Shropshire",Table1[[#This Row],[income]],0)</f>
        <v>0</v>
      </c>
      <c r="CW466" s="20">
        <f ca="1">IF(Table1[[#This Row],[County]]="Dorset",Table1[[#This Row],[income]],0)</f>
        <v>0</v>
      </c>
      <c r="CX466" s="20">
        <f ca="1">IF(Table1[[#This Row],[County]]="Buckinghamshire",Table1[[#This Row],[income]],0)</f>
        <v>0</v>
      </c>
      <c r="CY466" s="20">
        <f ca="1">IF(Table1[[#This Row],[County]]="Suffolk",Table1[[#This Row],[income]],0)</f>
        <v>0</v>
      </c>
      <c r="CZ466" s="20">
        <f ca="1">IF(Table1[[#This Row],[County]]="North Yorkshire",Table1[[#This Row],[income]],0)</f>
        <v>0</v>
      </c>
      <c r="DA466" s="20">
        <f ca="1">IF(Table1[[#This Row],[County]]="Kent",Table1[[#This Row],[income]],0)</f>
        <v>0</v>
      </c>
      <c r="DB466" s="5">
        <f ca="1">IF(Table1[[#This Row],[County]]="Derbyshire",Table1[[#This Row],[income]],0)</f>
        <v>0</v>
      </c>
      <c r="DD466" s="6">
        <f ca="1">IF(Table1[[#This Row],[Column1]]="Health",Table1[[#This Row],[income]],0)</f>
        <v>0</v>
      </c>
      <c r="DE466" s="20">
        <f ca="1">IF(Table1[[#This Row],[Column1]]="Agriculture",Table1[[#This Row],[income]],0)</f>
        <v>0</v>
      </c>
      <c r="DF466" s="20">
        <f ca="1">IF(Table1[[#This Row],[Column1]]="Technology",Table1[[#This Row],[income]],0)</f>
        <v>0</v>
      </c>
      <c r="DG466" s="20">
        <f ca="1">IF(Table1[[#This Row],[Column1]]="Social Service",Table1[[#This Row],[income]],0)</f>
        <v>0</v>
      </c>
      <c r="DH466" s="20">
        <f ca="1">IF(Table1[[#This Row],[Column1]]="Education",Table1[[#This Row],[income]],0)</f>
        <v>0</v>
      </c>
      <c r="DI466" s="5">
        <f ca="1">IF(Table1[[#This Row],[Column1]]="Construction",Table1[[#This Row],[income]],0)</f>
        <v>42026</v>
      </c>
      <c r="DK466" s="6">
        <f ca="1">IF(Table1[[#This Row],[Value of Debts]]&gt;Table1[[#This Row],[income]],1,0)</f>
        <v>1</v>
      </c>
      <c r="DL466" s="20"/>
      <c r="DM466" s="20"/>
      <c r="DN466" s="5"/>
      <c r="DP466" s="6">
        <f ca="1">IF(Table1[[#This Row],[Net Worth (£)]]&gt;$DS$5,C466,0)</f>
        <v>38</v>
      </c>
      <c r="DQ466" s="20"/>
      <c r="DR466" s="20"/>
      <c r="DS466" s="5"/>
    </row>
    <row r="467" spans="1:123" x14ac:dyDescent="0.2">
      <c r="A467">
        <f t="shared" ca="1" si="22"/>
        <v>1</v>
      </c>
      <c r="B467" s="1" t="str">
        <f ca="1">IF(A467=1, "men", "women")</f>
        <v>men</v>
      </c>
      <c r="C467" s="1">
        <f ca="1">RANDBETWEEN(25,50)</f>
        <v>49</v>
      </c>
      <c r="D467">
        <f ca="1">RANDBETWEEN(1,6)</f>
        <v>1</v>
      </c>
      <c r="E467" t="str">
        <f ca="1">VLOOKUP(D467,$W$5:$X$10,2)</f>
        <v>Health</v>
      </c>
      <c r="F467">
        <f ca="1">RANDBETWEEN(1,5)</f>
        <v>3</v>
      </c>
      <c r="G467" t="str">
        <f ca="1">VLOOKUP(F467,$Y$5:$Z$9,2)</f>
        <v>University</v>
      </c>
      <c r="H467">
        <f ca="1">RANDBETWEEN(0,4)</f>
        <v>3</v>
      </c>
      <c r="I467">
        <f ca="1">RANDBETWEEN(1,3)</f>
        <v>2</v>
      </c>
      <c r="J467">
        <f ca="1">RANDBETWEEN(30000,100000)</f>
        <v>48684</v>
      </c>
      <c r="K467">
        <f ca="1">RANDBETWEEN(1,48)</f>
        <v>5</v>
      </c>
      <c r="L467" t="str">
        <f ca="1">VLOOKUP(K467,$AA$5:$AB$52,2)</f>
        <v>Cambridgeshire</v>
      </c>
      <c r="M467">
        <f ca="1">J467*(RANDBETWEEN(2,5))</f>
        <v>243420</v>
      </c>
      <c r="N467">
        <f ca="1">RAND()*M467</f>
        <v>8756.688524614985</v>
      </c>
      <c r="O467">
        <f ca="1">I467*RAND()*J467</f>
        <v>8857.7637505042476</v>
      </c>
      <c r="P467">
        <f ca="1">RANDBETWEEN(0,O467)</f>
        <v>7248</v>
      </c>
      <c r="Q467">
        <f ca="1">RAND()*J467*2</f>
        <v>87449.484682561641</v>
      </c>
      <c r="R467">
        <f ca="1">RAND()*J467*1.5</f>
        <v>34210.242973656656</v>
      </c>
      <c r="S467">
        <f ca="1">J467+R467+O467</f>
        <v>91752.006724160907</v>
      </c>
      <c r="T467">
        <f ca="1">N467+P467+Q467</f>
        <v>103454.17320717663</v>
      </c>
      <c r="U467">
        <f ca="1">S467-T467</f>
        <v>-11702.166483015724</v>
      </c>
      <c r="AC467" s="6">
        <f ca="1">IF(Table1[[#This Row],[gender]]="men",1,0)</f>
        <v>1</v>
      </c>
      <c r="AD467">
        <f ca="1">IF(Table1[[#This Row],[gender]]="women",1,0)</f>
        <v>0</v>
      </c>
      <c r="AH467" s="5"/>
      <c r="AJ467" s="6">
        <f ca="1">IF(Table1[[#This Row],[Column1]]="Health",1,0)</f>
        <v>1</v>
      </c>
      <c r="AK467">
        <f ca="1">IF(Table1[[#This Row],[Column1]]="Construction",1,0)</f>
        <v>0</v>
      </c>
      <c r="AL467">
        <f ca="1">IF(Table1[[#This Row],[Column1]]="Technology",1,0)</f>
        <v>0</v>
      </c>
      <c r="AM467">
        <f ca="1">IF(Table1[[#This Row],[Column1]]="Education",1,0)</f>
        <v>0</v>
      </c>
      <c r="AN467">
        <f ca="1">IF(Table1[[#This Row],[Column1]]="Agriculture",1,0)</f>
        <v>0</v>
      </c>
      <c r="AO467">
        <f ca="1">IF(Table1[[#This Row],[Column1]]="Social Service", 1, 0)</f>
        <v>0</v>
      </c>
      <c r="AT467" s="5"/>
      <c r="AV467" s="17">
        <f t="shared" ca="1" si="21"/>
        <v>66857.617061221346</v>
      </c>
      <c r="AW467" s="5"/>
      <c r="AX467" s="6">
        <f ca="1">IF(Table1[[#This Row],[Value of Debts]]&gt;$AY$4,1,0)</f>
        <v>1</v>
      </c>
      <c r="AY467" s="20"/>
      <c r="AZ467" s="20"/>
      <c r="BA467" s="5"/>
      <c r="BB467" s="25">
        <f ca="1">Table1[[#This Row],[Mortage Left]]/Table1[[#This Row],[Value of House]]</f>
        <v>3.5973578689569408E-2</v>
      </c>
      <c r="BC467" s="20">
        <f t="shared" ca="1" si="23"/>
        <v>1</v>
      </c>
      <c r="BD467" s="20"/>
      <c r="BE467" s="20"/>
      <c r="BF467" s="20"/>
      <c r="BG467" s="6">
        <f ca="1">IF(Table1[[#This Row],[County]]="Cumbria",Table1[[#This Row],[income]],0)</f>
        <v>0</v>
      </c>
      <c r="BH467" s="20">
        <f ca="1">IF(Table1[[#This Row],[County]]="Cheshire",Table1[[#This Row],[income]],0)</f>
        <v>0</v>
      </c>
      <c r="BI467" s="20">
        <f ca="1">IF(Table1[[#This Row],[County]]="Bristol",Table1[[#This Row],[income]],0)</f>
        <v>0</v>
      </c>
      <c r="BJ467" s="20">
        <f ca="1">IF(Table1[[#This Row],[County]]="Surrey",Table1[[#This Row],[income]],0)</f>
        <v>0</v>
      </c>
      <c r="BK467" s="20">
        <f ca="1">IF(Table1[[#This Row],[County]]="Norfolk",Table1[[#This Row],[income]],0)</f>
        <v>0</v>
      </c>
      <c r="BL467" s="20">
        <f ca="1">IF(Table1[[#This Row],[County]]="Lincolnshire",Table1[[#This Row],[income]],0)</f>
        <v>0</v>
      </c>
      <c r="BM467" s="20">
        <f ca="1">IF(Table1[[#This Row],[County]]="Somerset",Table1[[#This Row],[income]],0)</f>
        <v>0</v>
      </c>
      <c r="BN467" s="20">
        <f ca="1">IF(Table1[[#This Row],[County]]="Cambridgeshire",Table1[[#This Row],[income]],0)</f>
        <v>48684</v>
      </c>
      <c r="BO467" s="20">
        <f ca="1">IF(Table1[[#This Row],[County]]="South Yorkshire",Table1[[#This Row],[income]],0)</f>
        <v>0</v>
      </c>
      <c r="BP467" s="20">
        <f ca="1">IF(Table1[[#This Row],[County]]="Greater London",Table1[[#This Row],[income]],0)</f>
        <v>0</v>
      </c>
      <c r="BQ467" s="20">
        <f ca="1">IF(Table1[[#This Row],[County]]="Hampshire",Table1[[#This Row],[income]],0)</f>
        <v>0</v>
      </c>
      <c r="BR467" s="20">
        <f ca="1">IF(Table1[[#This Row],[County]]="Gloucestershire",Table1[[#This Row],[income]],0)</f>
        <v>0</v>
      </c>
      <c r="BS467" s="20">
        <f ca="1">IF(Table1[[#This Row],[County]]="West Sussex",Table1[[#This Row],[income]],0)</f>
        <v>0</v>
      </c>
      <c r="BT467" s="20">
        <f ca="1">IF(Table1[[#This Row],[County]]="Devon",Table1[[#This Row],[income]],0)</f>
        <v>0</v>
      </c>
      <c r="BU467" s="20">
        <f ca="1">IF(Table1[[#This Row],[County]]="Berkshire",Table1[[#This Row],[income]],0)</f>
        <v>0</v>
      </c>
      <c r="BV467" s="20">
        <f ca="1">IF(Table1[[#This Row],[County]]="Staffordshire",Table1[[#This Row],[income]],0)</f>
        <v>0</v>
      </c>
      <c r="BW467" s="20">
        <f ca="1">IF(Table1[[#This Row],[County]]="Leicestershire",Table1[[#This Row],[income]],0)</f>
        <v>0</v>
      </c>
      <c r="BX467" s="20">
        <f ca="1">IF(Table1[[#This Row],[County]]="Cornwall",Table1[[#This Row],[income]],0)</f>
        <v>0</v>
      </c>
      <c r="BY467" s="20">
        <f ca="1">IF(Table1[[#This Row],[County]]="Isle of Wight",Table1[[#This Row],[income]],0)</f>
        <v>0</v>
      </c>
      <c r="BZ467" s="20">
        <f ca="1">IF(Table1[[#This Row],[County]]="Surrey",Table1[[#This Row],[income]],0)</f>
        <v>0</v>
      </c>
      <c r="CA467" s="20">
        <f ca="1">IF(Table1[[#This Row],[County]]="Derbyshire",Table1[[#This Row],[income]],0)</f>
        <v>0</v>
      </c>
      <c r="CB467" s="20">
        <f ca="1">IF(Table1[[#This Row],[County]]="City of London",Table1[[#This Row],[income]],0)</f>
        <v>0</v>
      </c>
      <c r="CC467" s="20">
        <f ca="1">IF(Table1[[#This Row],[County]]="Bedfordshire",Table1[[#This Row],[income]],0)</f>
        <v>0</v>
      </c>
      <c r="CD467" s="20">
        <f ca="1">IF(Table1[[#This Row],[County]]="County Durham",Table1[[#This Row],[income]],0)</f>
        <v>0</v>
      </c>
      <c r="CE467" s="20">
        <f ca="1">IF(Table1[[#This Row],[County]]="East Riding of Yorkshire",Table1[[#This Row],[income]],0)</f>
        <v>0</v>
      </c>
      <c r="CF467" s="20">
        <f ca="1">IF(Table1[[#This Row],[County]]="West Yorkshire",Table1[[#This Row],[income]],0)</f>
        <v>0</v>
      </c>
      <c r="CG467" s="20">
        <f ca="1">IF(Table1[[#This Row],[County]]="Essex",Table1[[#This Row],[income]],0)</f>
        <v>0</v>
      </c>
      <c r="CH467" s="20">
        <f ca="1">IF(Table1[[#This Row],[County]]="East Sussex",Table1[[#This Row],[income]],0)</f>
        <v>0</v>
      </c>
      <c r="CI467" s="20">
        <f ca="1">IF(Table1[[#This Row],[County]]="Greater Manchester",Table1[[#This Row],[income]],0)</f>
        <v>0</v>
      </c>
      <c r="CJ467" s="20">
        <f ca="1">IF(Table1[[#This Row],[County]]="Hertfordshire",Table1[[#This Row],[income]],0)</f>
        <v>0</v>
      </c>
      <c r="CK467" s="20">
        <f ca="1">IF(Table1[[#This Row],[County]]="Herefordshire",Table1[[#This Row],[income]],0)</f>
        <v>0</v>
      </c>
      <c r="CL467" s="20">
        <f ca="1">IF(Table1[[#This Row],[County]]="Lancashire",Table1[[#This Row],[income]],0)</f>
        <v>0</v>
      </c>
      <c r="CM467" s="20">
        <f ca="1">IF(Table1[[#This Row],[County]]="Merseyside",Table1[[#This Row],[income]],0)</f>
        <v>0</v>
      </c>
      <c r="CN467" s="20">
        <f ca="1">IF(Table1[[#This Row],[County]]="Northamptonshire",Table1[[#This Row],[income]],0)</f>
        <v>0</v>
      </c>
      <c r="CO467" s="20">
        <f ca="1">IF(Table1[[#This Row],[County]]="Northumberland",Table1[[#This Row],[income]],0)</f>
        <v>0</v>
      </c>
      <c r="CP467" s="20">
        <f ca="1">IF(Table1[[#This Row],[County]]="Wiltshire",Table1[[#This Row],[income]],0)</f>
        <v>0</v>
      </c>
      <c r="CQ467" s="20">
        <f ca="1">IF(Table1[[#This Row],[County]]="West Midlands",Table1[[#This Row],[income]],0)</f>
        <v>0</v>
      </c>
      <c r="CR467" s="20">
        <f ca="1">IF(Table1[[#This Row],[County]]="Warwickshire",Table1[[#This Row],[income]],0)</f>
        <v>0</v>
      </c>
      <c r="CS467" s="20">
        <f ca="1">IF(Table1[[#This Row],[County]]="Tyne and Wear",Table1[[#This Row],[income]],0)</f>
        <v>0</v>
      </c>
      <c r="CT467" s="20">
        <f ca="1">IF(Table1[[#This Row],[County]]="Worcestershire",Table1[[#This Row],[income]],0)</f>
        <v>0</v>
      </c>
      <c r="CU467" s="20">
        <f ca="1">IF(Table1[[#This Row],[County]]="Rutland",Table1[[#This Row],[income]],0)</f>
        <v>0</v>
      </c>
      <c r="CV467" s="20">
        <f ca="1">IF(Table1[[#This Row],[County]]="Shropshire",Table1[[#This Row],[income]],0)</f>
        <v>0</v>
      </c>
      <c r="CW467" s="20">
        <f ca="1">IF(Table1[[#This Row],[County]]="Dorset",Table1[[#This Row],[income]],0)</f>
        <v>0</v>
      </c>
      <c r="CX467" s="20">
        <f ca="1">IF(Table1[[#This Row],[County]]="Buckinghamshire",Table1[[#This Row],[income]],0)</f>
        <v>0</v>
      </c>
      <c r="CY467" s="20">
        <f ca="1">IF(Table1[[#This Row],[County]]="Suffolk",Table1[[#This Row],[income]],0)</f>
        <v>0</v>
      </c>
      <c r="CZ467" s="20">
        <f ca="1">IF(Table1[[#This Row],[County]]="North Yorkshire",Table1[[#This Row],[income]],0)</f>
        <v>0</v>
      </c>
      <c r="DA467" s="20">
        <f ca="1">IF(Table1[[#This Row],[County]]="Kent",Table1[[#This Row],[income]],0)</f>
        <v>0</v>
      </c>
      <c r="DB467" s="5">
        <f ca="1">IF(Table1[[#This Row],[County]]="Derbyshire",Table1[[#This Row],[income]],0)</f>
        <v>0</v>
      </c>
      <c r="DD467" s="6">
        <f ca="1">IF(Table1[[#This Row],[Column1]]="Health",Table1[[#This Row],[income]],0)</f>
        <v>48684</v>
      </c>
      <c r="DE467" s="20">
        <f ca="1">IF(Table1[[#This Row],[Column1]]="Agriculture",Table1[[#This Row],[income]],0)</f>
        <v>0</v>
      </c>
      <c r="DF467" s="20">
        <f ca="1">IF(Table1[[#This Row],[Column1]]="Technology",Table1[[#This Row],[income]],0)</f>
        <v>0</v>
      </c>
      <c r="DG467" s="20">
        <f ca="1">IF(Table1[[#This Row],[Column1]]="Social Service",Table1[[#This Row],[income]],0)</f>
        <v>0</v>
      </c>
      <c r="DH467" s="20">
        <f ca="1">IF(Table1[[#This Row],[Column1]]="Education",Table1[[#This Row],[income]],0)</f>
        <v>0</v>
      </c>
      <c r="DI467" s="5">
        <f ca="1">IF(Table1[[#This Row],[Column1]]="Construction",Table1[[#This Row],[income]],0)</f>
        <v>0</v>
      </c>
      <c r="DK467" s="6">
        <f ca="1">IF(Table1[[#This Row],[Value of Debts]]&gt;Table1[[#This Row],[income]],1,0)</f>
        <v>1</v>
      </c>
      <c r="DL467" s="20"/>
      <c r="DM467" s="20"/>
      <c r="DN467" s="5"/>
      <c r="DP467" s="6">
        <f ca="1">IF(Table1[[#This Row],[Net Worth (£)]]&gt;$DS$5,C467,0)</f>
        <v>0</v>
      </c>
      <c r="DQ467" s="20"/>
      <c r="DR467" s="20"/>
      <c r="DS467" s="5"/>
    </row>
    <row r="468" spans="1:123" hidden="1" x14ac:dyDescent="0.2">
      <c r="A468">
        <f t="shared" ca="1" si="22"/>
        <v>2</v>
      </c>
      <c r="B468" s="1" t="str">
        <f ca="1">IF(A468=1, "men", "women")</f>
        <v>women</v>
      </c>
      <c r="C468" s="1">
        <f ca="1">RANDBETWEEN(25,50)</f>
        <v>29</v>
      </c>
      <c r="D468">
        <f ca="1">RANDBETWEEN(1,6)</f>
        <v>3</v>
      </c>
      <c r="E468" t="str">
        <f ca="1">VLOOKUP(D468,$W$5:$X$10,2)</f>
        <v>Education</v>
      </c>
      <c r="F468">
        <f ca="1">RANDBETWEEN(1,5)</f>
        <v>1</v>
      </c>
      <c r="G468" t="str">
        <f ca="1">VLOOKUP(F468,$Y$5:$Z$9,2)</f>
        <v>High School</v>
      </c>
      <c r="H468">
        <f ca="1">RANDBETWEEN(0,4)</f>
        <v>0</v>
      </c>
      <c r="I468">
        <f ca="1">RANDBETWEEN(1,3)</f>
        <v>3</v>
      </c>
      <c r="J468">
        <f ca="1">RANDBETWEEN(30000,100000)</f>
        <v>82053</v>
      </c>
      <c r="K468">
        <f ca="1">RANDBETWEEN(1,48)</f>
        <v>36</v>
      </c>
      <c r="L468" t="str">
        <f ca="1">VLOOKUP(K468,$AA$5:$AB$52,2)</f>
        <v>Shropshire</v>
      </c>
      <c r="M468">
        <f ca="1">J468*(RANDBETWEEN(2,5))</f>
        <v>164106</v>
      </c>
      <c r="N468">
        <f ca="1">RAND()*M468</f>
        <v>11345.148091019661</v>
      </c>
      <c r="O468">
        <f ca="1">I468*RAND()*J468</f>
        <v>200572.85118366405</v>
      </c>
      <c r="P468">
        <f ca="1">RANDBETWEEN(0,O468)</f>
        <v>143960</v>
      </c>
      <c r="Q468">
        <f ca="1">RAND()*J468*2</f>
        <v>119972.77669895395</v>
      </c>
      <c r="R468">
        <f ca="1">RAND()*J468*1.5</f>
        <v>41920.48891284586</v>
      </c>
      <c r="S468">
        <f ca="1">J468+R468+O468</f>
        <v>324546.3400965099</v>
      </c>
      <c r="T468">
        <f ca="1">N468+P468+Q468</f>
        <v>275277.92478997359</v>
      </c>
      <c r="U468">
        <f ca="1">S468-T468</f>
        <v>49268.415306536306</v>
      </c>
      <c r="AC468" s="6">
        <f ca="1">IF(Table1[[#This Row],[gender]]="men",1,0)</f>
        <v>0</v>
      </c>
      <c r="AD468">
        <f ca="1">IF(Table1[[#This Row],[gender]]="women",1,0)</f>
        <v>1</v>
      </c>
      <c r="AH468" s="5"/>
      <c r="AJ468" s="6">
        <f ca="1">IF(Table1[[#This Row],[Column1]]="Health",1,0)</f>
        <v>0</v>
      </c>
      <c r="AK468">
        <f ca="1">IF(Table1[[#This Row],[Column1]]="Construction",1,0)</f>
        <v>0</v>
      </c>
      <c r="AL468">
        <f ca="1">IF(Table1[[#This Row],[Column1]]="Technology",1,0)</f>
        <v>0</v>
      </c>
      <c r="AM468">
        <f ca="1">IF(Table1[[#This Row],[Column1]]="Education",1,0)</f>
        <v>1</v>
      </c>
      <c r="AN468">
        <f ca="1">IF(Table1[[#This Row],[Column1]]="Agriculture",1,0)</f>
        <v>0</v>
      </c>
      <c r="AO468">
        <f ca="1">IF(Table1[[#This Row],[Column1]]="Social Service", 1, 0)</f>
        <v>0</v>
      </c>
      <c r="AT468" s="5"/>
      <c r="AV468" s="17">
        <f t="shared" ca="1" si="21"/>
        <v>6514.1147747286659</v>
      </c>
      <c r="AW468" s="5"/>
      <c r="AX468" s="6">
        <f ca="1">IF(Table1[[#This Row],[Value of Debts]]&gt;$AY$4,1,0)</f>
        <v>1</v>
      </c>
      <c r="AY468" s="20"/>
      <c r="AZ468" s="20"/>
      <c r="BA468" s="5"/>
      <c r="BB468" s="25">
        <f ca="1">Table1[[#This Row],[Mortage Left]]/Table1[[#This Row],[Value of House]]</f>
        <v>6.9133048706443767E-2</v>
      </c>
      <c r="BC468" s="20">
        <f t="shared" ca="1" si="23"/>
        <v>1</v>
      </c>
      <c r="BD468" s="20"/>
      <c r="BE468" s="20"/>
      <c r="BF468" s="20"/>
      <c r="BG468" s="6">
        <f ca="1">IF(Table1[[#This Row],[County]]="Cumbria",Table1[[#This Row],[income]],0)</f>
        <v>0</v>
      </c>
      <c r="BH468" s="20">
        <f ca="1">IF(Table1[[#This Row],[County]]="Cheshire",Table1[[#This Row],[income]],0)</f>
        <v>0</v>
      </c>
      <c r="BI468" s="20">
        <f ca="1">IF(Table1[[#This Row],[County]]="Bristol",Table1[[#This Row],[income]],0)</f>
        <v>0</v>
      </c>
      <c r="BJ468" s="20">
        <f ca="1">IF(Table1[[#This Row],[County]]="Surrey",Table1[[#This Row],[income]],0)</f>
        <v>0</v>
      </c>
      <c r="BK468" s="20">
        <f ca="1">IF(Table1[[#This Row],[County]]="Norfolk",Table1[[#This Row],[income]],0)</f>
        <v>0</v>
      </c>
      <c r="BL468" s="20">
        <f ca="1">IF(Table1[[#This Row],[County]]="Lincolnshire",Table1[[#This Row],[income]],0)</f>
        <v>0</v>
      </c>
      <c r="BM468" s="20">
        <f ca="1">IF(Table1[[#This Row],[County]]="Somerset",Table1[[#This Row],[income]],0)</f>
        <v>0</v>
      </c>
      <c r="BN468" s="20">
        <f ca="1">IF(Table1[[#This Row],[County]]="Cambridgeshire",Table1[[#This Row],[income]],0)</f>
        <v>0</v>
      </c>
      <c r="BO468" s="20">
        <f ca="1">IF(Table1[[#This Row],[County]]="South Yorkshire",Table1[[#This Row],[income]],0)</f>
        <v>0</v>
      </c>
      <c r="BP468" s="20">
        <f ca="1">IF(Table1[[#This Row],[County]]="Greater London",Table1[[#This Row],[income]],0)</f>
        <v>0</v>
      </c>
      <c r="BQ468" s="20">
        <f ca="1">IF(Table1[[#This Row],[County]]="Hampshire",Table1[[#This Row],[income]],0)</f>
        <v>0</v>
      </c>
      <c r="BR468" s="20">
        <f ca="1">IF(Table1[[#This Row],[County]]="Gloucestershire",Table1[[#This Row],[income]],0)</f>
        <v>0</v>
      </c>
      <c r="BS468" s="20">
        <f ca="1">IF(Table1[[#This Row],[County]]="West Sussex",Table1[[#This Row],[income]],0)</f>
        <v>0</v>
      </c>
      <c r="BT468" s="20">
        <f ca="1">IF(Table1[[#This Row],[County]]="Devon",Table1[[#This Row],[income]],0)</f>
        <v>0</v>
      </c>
      <c r="BU468" s="20">
        <f ca="1">IF(Table1[[#This Row],[County]]="Berkshire",Table1[[#This Row],[income]],0)</f>
        <v>0</v>
      </c>
      <c r="BV468" s="20">
        <f ca="1">IF(Table1[[#This Row],[County]]="Staffordshire",Table1[[#This Row],[income]],0)</f>
        <v>0</v>
      </c>
      <c r="BW468" s="20">
        <f ca="1">IF(Table1[[#This Row],[County]]="Leicestershire",Table1[[#This Row],[income]],0)</f>
        <v>0</v>
      </c>
      <c r="BX468" s="20">
        <f ca="1">IF(Table1[[#This Row],[County]]="Cornwall",Table1[[#This Row],[income]],0)</f>
        <v>0</v>
      </c>
      <c r="BY468" s="20">
        <f ca="1">IF(Table1[[#This Row],[County]]="Isle of Wight",Table1[[#This Row],[income]],0)</f>
        <v>0</v>
      </c>
      <c r="BZ468" s="20">
        <f ca="1">IF(Table1[[#This Row],[County]]="Surrey",Table1[[#This Row],[income]],0)</f>
        <v>0</v>
      </c>
      <c r="CA468" s="20">
        <f ca="1">IF(Table1[[#This Row],[County]]="Derbyshire",Table1[[#This Row],[income]],0)</f>
        <v>0</v>
      </c>
      <c r="CB468" s="20">
        <f ca="1">IF(Table1[[#This Row],[County]]="City of London",Table1[[#This Row],[income]],0)</f>
        <v>0</v>
      </c>
      <c r="CC468" s="20">
        <f ca="1">IF(Table1[[#This Row],[County]]="Bedfordshire",Table1[[#This Row],[income]],0)</f>
        <v>0</v>
      </c>
      <c r="CD468" s="20">
        <f ca="1">IF(Table1[[#This Row],[County]]="County Durham",Table1[[#This Row],[income]],0)</f>
        <v>0</v>
      </c>
      <c r="CE468" s="20">
        <f ca="1">IF(Table1[[#This Row],[County]]="East Riding of Yorkshire",Table1[[#This Row],[income]],0)</f>
        <v>0</v>
      </c>
      <c r="CF468" s="20">
        <f ca="1">IF(Table1[[#This Row],[County]]="West Yorkshire",Table1[[#This Row],[income]],0)</f>
        <v>0</v>
      </c>
      <c r="CG468" s="20">
        <f ca="1">IF(Table1[[#This Row],[County]]="Essex",Table1[[#This Row],[income]],0)</f>
        <v>0</v>
      </c>
      <c r="CH468" s="20">
        <f ca="1">IF(Table1[[#This Row],[County]]="East Sussex",Table1[[#This Row],[income]],0)</f>
        <v>0</v>
      </c>
      <c r="CI468" s="20">
        <f ca="1">IF(Table1[[#This Row],[County]]="Greater Manchester",Table1[[#This Row],[income]],0)</f>
        <v>0</v>
      </c>
      <c r="CJ468" s="20">
        <f ca="1">IF(Table1[[#This Row],[County]]="Hertfordshire",Table1[[#This Row],[income]],0)</f>
        <v>0</v>
      </c>
      <c r="CK468" s="20">
        <f ca="1">IF(Table1[[#This Row],[County]]="Herefordshire",Table1[[#This Row],[income]],0)</f>
        <v>0</v>
      </c>
      <c r="CL468" s="20">
        <f ca="1">IF(Table1[[#This Row],[County]]="Lancashire",Table1[[#This Row],[income]],0)</f>
        <v>0</v>
      </c>
      <c r="CM468" s="20">
        <f ca="1">IF(Table1[[#This Row],[County]]="Merseyside",Table1[[#This Row],[income]],0)</f>
        <v>0</v>
      </c>
      <c r="CN468" s="20">
        <f ca="1">IF(Table1[[#This Row],[County]]="Northamptonshire",Table1[[#This Row],[income]],0)</f>
        <v>0</v>
      </c>
      <c r="CO468" s="20">
        <f ca="1">IF(Table1[[#This Row],[County]]="Northumberland",Table1[[#This Row],[income]],0)</f>
        <v>0</v>
      </c>
      <c r="CP468" s="20">
        <f ca="1">IF(Table1[[#This Row],[County]]="Wiltshire",Table1[[#This Row],[income]],0)</f>
        <v>0</v>
      </c>
      <c r="CQ468" s="20">
        <f ca="1">IF(Table1[[#This Row],[County]]="West Midlands",Table1[[#This Row],[income]],0)</f>
        <v>0</v>
      </c>
      <c r="CR468" s="20">
        <f ca="1">IF(Table1[[#This Row],[County]]="Warwickshire",Table1[[#This Row],[income]],0)</f>
        <v>0</v>
      </c>
      <c r="CS468" s="20">
        <f ca="1">IF(Table1[[#This Row],[County]]="Tyne and Wear",Table1[[#This Row],[income]],0)</f>
        <v>0</v>
      </c>
      <c r="CT468" s="20">
        <f ca="1">IF(Table1[[#This Row],[County]]="Worcestershire",Table1[[#This Row],[income]],0)</f>
        <v>0</v>
      </c>
      <c r="CU468" s="20">
        <f ca="1">IF(Table1[[#This Row],[County]]="Rutland",Table1[[#This Row],[income]],0)</f>
        <v>0</v>
      </c>
      <c r="CV468" s="20">
        <f ca="1">IF(Table1[[#This Row],[County]]="Shropshire",Table1[[#This Row],[income]],0)</f>
        <v>82053</v>
      </c>
      <c r="CW468" s="20">
        <f ca="1">IF(Table1[[#This Row],[County]]="Dorset",Table1[[#This Row],[income]],0)</f>
        <v>0</v>
      </c>
      <c r="CX468" s="20">
        <f ca="1">IF(Table1[[#This Row],[County]]="Buckinghamshire",Table1[[#This Row],[income]],0)</f>
        <v>0</v>
      </c>
      <c r="CY468" s="20">
        <f ca="1">IF(Table1[[#This Row],[County]]="Suffolk",Table1[[#This Row],[income]],0)</f>
        <v>0</v>
      </c>
      <c r="CZ468" s="20">
        <f ca="1">IF(Table1[[#This Row],[County]]="North Yorkshire",Table1[[#This Row],[income]],0)</f>
        <v>0</v>
      </c>
      <c r="DA468" s="20">
        <f ca="1">IF(Table1[[#This Row],[County]]="Kent",Table1[[#This Row],[income]],0)</f>
        <v>0</v>
      </c>
      <c r="DB468" s="5">
        <f ca="1">IF(Table1[[#This Row],[County]]="Derbyshire",Table1[[#This Row],[income]],0)</f>
        <v>0</v>
      </c>
      <c r="DD468" s="6">
        <f ca="1">IF(Table1[[#This Row],[Column1]]="Health",Table1[[#This Row],[income]],0)</f>
        <v>0</v>
      </c>
      <c r="DE468" s="20">
        <f ca="1">IF(Table1[[#This Row],[Column1]]="Agriculture",Table1[[#This Row],[income]],0)</f>
        <v>0</v>
      </c>
      <c r="DF468" s="20">
        <f ca="1">IF(Table1[[#This Row],[Column1]]="Technology",Table1[[#This Row],[income]],0)</f>
        <v>0</v>
      </c>
      <c r="DG468" s="20">
        <f ca="1">IF(Table1[[#This Row],[Column1]]="Social Service",Table1[[#This Row],[income]],0)</f>
        <v>0</v>
      </c>
      <c r="DH468" s="20">
        <f ca="1">IF(Table1[[#This Row],[Column1]]="Education",Table1[[#This Row],[income]],0)</f>
        <v>82053</v>
      </c>
      <c r="DI468" s="5">
        <f ca="1">IF(Table1[[#This Row],[Column1]]="Construction",Table1[[#This Row],[income]],0)</f>
        <v>0</v>
      </c>
      <c r="DK468" s="6">
        <f ca="1">IF(Table1[[#This Row],[Value of Debts]]&gt;Table1[[#This Row],[income]],1,0)</f>
        <v>1</v>
      </c>
      <c r="DL468" s="20"/>
      <c r="DM468" s="20"/>
      <c r="DN468" s="5"/>
      <c r="DP468" s="6">
        <f ca="1">IF(Table1[[#This Row],[Net Worth (£)]]&gt;$DS$5,C468,0)</f>
        <v>0</v>
      </c>
      <c r="DQ468" s="20"/>
      <c r="DR468" s="20"/>
      <c r="DS468" s="5"/>
    </row>
    <row r="469" spans="1:123" x14ac:dyDescent="0.2">
      <c r="A469">
        <f t="shared" ca="1" si="22"/>
        <v>1</v>
      </c>
      <c r="B469" s="1" t="str">
        <f ca="1">IF(A469=1, "men", "women")</f>
        <v>men</v>
      </c>
      <c r="C469" s="1">
        <f ca="1">RANDBETWEEN(25,50)</f>
        <v>25</v>
      </c>
      <c r="D469">
        <f ca="1">RANDBETWEEN(1,6)</f>
        <v>6</v>
      </c>
      <c r="E469" t="str">
        <f ca="1">VLOOKUP(D469,$W$5:$X$10,2)</f>
        <v>Agriculture</v>
      </c>
      <c r="F469">
        <f ca="1">RANDBETWEEN(1,5)</f>
        <v>4</v>
      </c>
      <c r="G469" t="str">
        <f ca="1">VLOOKUP(F469,$Y$5:$Z$9,2)</f>
        <v xml:space="preserve">Technical </v>
      </c>
      <c r="H469">
        <f ca="1">RANDBETWEEN(0,4)</f>
        <v>3</v>
      </c>
      <c r="I469">
        <f ca="1">RANDBETWEEN(1,3)</f>
        <v>2</v>
      </c>
      <c r="J469">
        <f ca="1">RANDBETWEEN(30000,100000)</f>
        <v>45105</v>
      </c>
      <c r="K469">
        <f ca="1">RANDBETWEEN(1,48)</f>
        <v>27</v>
      </c>
      <c r="L469" t="str">
        <f ca="1">VLOOKUP(K469,$AA$5:$AB$52,2)</f>
        <v>Merseyside</v>
      </c>
      <c r="M469">
        <f ca="1">J469*(RANDBETWEEN(2,5))</f>
        <v>90210</v>
      </c>
      <c r="N469">
        <f ca="1">RAND()*M469</f>
        <v>32383.578964110875</v>
      </c>
      <c r="O469">
        <f ca="1">I469*RAND()*J469</f>
        <v>13028.229549457332</v>
      </c>
      <c r="P469">
        <f ca="1">RANDBETWEEN(0,O469)</f>
        <v>2297</v>
      </c>
      <c r="Q469">
        <f ca="1">RAND()*J469*2</f>
        <v>40857.423205834879</v>
      </c>
      <c r="R469">
        <f ca="1">RAND()*J469*1.5</f>
        <v>15468.3551567371</v>
      </c>
      <c r="S469">
        <f ca="1">J469+R469+O469</f>
        <v>73601.584706194437</v>
      </c>
      <c r="T469">
        <f ca="1">N469+P469+Q469</f>
        <v>75538.002169945743</v>
      </c>
      <c r="U469">
        <f ca="1">S469-T469</f>
        <v>-1936.4174637513061</v>
      </c>
      <c r="AC469" s="6">
        <f ca="1">IF(Table1[[#This Row],[gender]]="men",1,0)</f>
        <v>1</v>
      </c>
      <c r="AD469">
        <f ca="1">IF(Table1[[#This Row],[gender]]="women",1,0)</f>
        <v>0</v>
      </c>
      <c r="AH469" s="5"/>
      <c r="AJ469" s="6">
        <f ca="1">IF(Table1[[#This Row],[Column1]]="Health",1,0)</f>
        <v>0</v>
      </c>
      <c r="AK469">
        <f ca="1">IF(Table1[[#This Row],[Column1]]="Construction",1,0)</f>
        <v>0</v>
      </c>
      <c r="AL469">
        <f ca="1">IF(Table1[[#This Row],[Column1]]="Technology",1,0)</f>
        <v>0</v>
      </c>
      <c r="AM469">
        <f ca="1">IF(Table1[[#This Row],[Column1]]="Education",1,0)</f>
        <v>0</v>
      </c>
      <c r="AN469">
        <f ca="1">IF(Table1[[#This Row],[Column1]]="Agriculture",1,0)</f>
        <v>1</v>
      </c>
      <c r="AO469">
        <f ca="1">IF(Table1[[#This Row],[Column1]]="Social Service", 1, 0)</f>
        <v>0</v>
      </c>
      <c r="AT469" s="5"/>
      <c r="AV469" s="17">
        <f t="shared" ca="1" si="21"/>
        <v>31819.047881435832</v>
      </c>
      <c r="AW469" s="5"/>
      <c r="AX469" s="6">
        <f ca="1">IF(Table1[[#This Row],[Value of Debts]]&gt;$AY$4,1,0)</f>
        <v>0</v>
      </c>
      <c r="AY469" s="20"/>
      <c r="AZ469" s="20"/>
      <c r="BA469" s="5"/>
      <c r="BB469" s="25">
        <f ca="1">Table1[[#This Row],[Mortage Left]]/Table1[[#This Row],[Value of House]]</f>
        <v>0.35897992422249059</v>
      </c>
      <c r="BC469" s="20">
        <f t="shared" ca="1" si="23"/>
        <v>0</v>
      </c>
      <c r="BD469" s="20"/>
      <c r="BE469" s="20"/>
      <c r="BF469" s="20"/>
      <c r="BG469" s="6">
        <f ca="1">IF(Table1[[#This Row],[County]]="Cumbria",Table1[[#This Row],[income]],0)</f>
        <v>0</v>
      </c>
      <c r="BH469" s="20">
        <f ca="1">IF(Table1[[#This Row],[County]]="Cheshire",Table1[[#This Row],[income]],0)</f>
        <v>0</v>
      </c>
      <c r="BI469" s="20">
        <f ca="1">IF(Table1[[#This Row],[County]]="Bristol",Table1[[#This Row],[income]],0)</f>
        <v>0</v>
      </c>
      <c r="BJ469" s="20">
        <f ca="1">IF(Table1[[#This Row],[County]]="Surrey",Table1[[#This Row],[income]],0)</f>
        <v>0</v>
      </c>
      <c r="BK469" s="20">
        <f ca="1">IF(Table1[[#This Row],[County]]="Norfolk",Table1[[#This Row],[income]],0)</f>
        <v>0</v>
      </c>
      <c r="BL469" s="20">
        <f ca="1">IF(Table1[[#This Row],[County]]="Lincolnshire",Table1[[#This Row],[income]],0)</f>
        <v>0</v>
      </c>
      <c r="BM469" s="20">
        <f ca="1">IF(Table1[[#This Row],[County]]="Somerset",Table1[[#This Row],[income]],0)</f>
        <v>0</v>
      </c>
      <c r="BN469" s="20">
        <f ca="1">IF(Table1[[#This Row],[County]]="Cambridgeshire",Table1[[#This Row],[income]],0)</f>
        <v>0</v>
      </c>
      <c r="BO469" s="20">
        <f ca="1">IF(Table1[[#This Row],[County]]="South Yorkshire",Table1[[#This Row],[income]],0)</f>
        <v>0</v>
      </c>
      <c r="BP469" s="20">
        <f ca="1">IF(Table1[[#This Row],[County]]="Greater London",Table1[[#This Row],[income]],0)</f>
        <v>0</v>
      </c>
      <c r="BQ469" s="20">
        <f ca="1">IF(Table1[[#This Row],[County]]="Hampshire",Table1[[#This Row],[income]],0)</f>
        <v>0</v>
      </c>
      <c r="BR469" s="20">
        <f ca="1">IF(Table1[[#This Row],[County]]="Gloucestershire",Table1[[#This Row],[income]],0)</f>
        <v>0</v>
      </c>
      <c r="BS469" s="20">
        <f ca="1">IF(Table1[[#This Row],[County]]="West Sussex",Table1[[#This Row],[income]],0)</f>
        <v>0</v>
      </c>
      <c r="BT469" s="20">
        <f ca="1">IF(Table1[[#This Row],[County]]="Devon",Table1[[#This Row],[income]],0)</f>
        <v>0</v>
      </c>
      <c r="BU469" s="20">
        <f ca="1">IF(Table1[[#This Row],[County]]="Berkshire",Table1[[#This Row],[income]],0)</f>
        <v>0</v>
      </c>
      <c r="BV469" s="20">
        <f ca="1">IF(Table1[[#This Row],[County]]="Staffordshire",Table1[[#This Row],[income]],0)</f>
        <v>0</v>
      </c>
      <c r="BW469" s="20">
        <f ca="1">IF(Table1[[#This Row],[County]]="Leicestershire",Table1[[#This Row],[income]],0)</f>
        <v>0</v>
      </c>
      <c r="BX469" s="20">
        <f ca="1">IF(Table1[[#This Row],[County]]="Cornwall",Table1[[#This Row],[income]],0)</f>
        <v>0</v>
      </c>
      <c r="BY469" s="20">
        <f ca="1">IF(Table1[[#This Row],[County]]="Isle of Wight",Table1[[#This Row],[income]],0)</f>
        <v>0</v>
      </c>
      <c r="BZ469" s="20">
        <f ca="1">IF(Table1[[#This Row],[County]]="Surrey",Table1[[#This Row],[income]],0)</f>
        <v>0</v>
      </c>
      <c r="CA469" s="20">
        <f ca="1">IF(Table1[[#This Row],[County]]="Derbyshire",Table1[[#This Row],[income]],0)</f>
        <v>0</v>
      </c>
      <c r="CB469" s="20">
        <f ca="1">IF(Table1[[#This Row],[County]]="City of London",Table1[[#This Row],[income]],0)</f>
        <v>0</v>
      </c>
      <c r="CC469" s="20">
        <f ca="1">IF(Table1[[#This Row],[County]]="Bedfordshire",Table1[[#This Row],[income]],0)</f>
        <v>0</v>
      </c>
      <c r="CD469" s="20">
        <f ca="1">IF(Table1[[#This Row],[County]]="County Durham",Table1[[#This Row],[income]],0)</f>
        <v>0</v>
      </c>
      <c r="CE469" s="20">
        <f ca="1">IF(Table1[[#This Row],[County]]="East Riding of Yorkshire",Table1[[#This Row],[income]],0)</f>
        <v>0</v>
      </c>
      <c r="CF469" s="20">
        <f ca="1">IF(Table1[[#This Row],[County]]="West Yorkshire",Table1[[#This Row],[income]],0)</f>
        <v>0</v>
      </c>
      <c r="CG469" s="20">
        <f ca="1">IF(Table1[[#This Row],[County]]="Essex",Table1[[#This Row],[income]],0)</f>
        <v>0</v>
      </c>
      <c r="CH469" s="20">
        <f ca="1">IF(Table1[[#This Row],[County]]="East Sussex",Table1[[#This Row],[income]],0)</f>
        <v>0</v>
      </c>
      <c r="CI469" s="20">
        <f ca="1">IF(Table1[[#This Row],[County]]="Greater Manchester",Table1[[#This Row],[income]],0)</f>
        <v>0</v>
      </c>
      <c r="CJ469" s="20">
        <f ca="1">IF(Table1[[#This Row],[County]]="Hertfordshire",Table1[[#This Row],[income]],0)</f>
        <v>0</v>
      </c>
      <c r="CK469" s="20">
        <f ca="1">IF(Table1[[#This Row],[County]]="Herefordshire",Table1[[#This Row],[income]],0)</f>
        <v>0</v>
      </c>
      <c r="CL469" s="20">
        <f ca="1">IF(Table1[[#This Row],[County]]="Lancashire",Table1[[#This Row],[income]],0)</f>
        <v>0</v>
      </c>
      <c r="CM469" s="20">
        <f ca="1">IF(Table1[[#This Row],[County]]="Merseyside",Table1[[#This Row],[income]],0)</f>
        <v>45105</v>
      </c>
      <c r="CN469" s="20">
        <f ca="1">IF(Table1[[#This Row],[County]]="Northamptonshire",Table1[[#This Row],[income]],0)</f>
        <v>0</v>
      </c>
      <c r="CO469" s="20">
        <f ca="1">IF(Table1[[#This Row],[County]]="Northumberland",Table1[[#This Row],[income]],0)</f>
        <v>0</v>
      </c>
      <c r="CP469" s="20">
        <f ca="1">IF(Table1[[#This Row],[County]]="Wiltshire",Table1[[#This Row],[income]],0)</f>
        <v>0</v>
      </c>
      <c r="CQ469" s="20">
        <f ca="1">IF(Table1[[#This Row],[County]]="West Midlands",Table1[[#This Row],[income]],0)</f>
        <v>0</v>
      </c>
      <c r="CR469" s="20">
        <f ca="1">IF(Table1[[#This Row],[County]]="Warwickshire",Table1[[#This Row],[income]],0)</f>
        <v>0</v>
      </c>
      <c r="CS469" s="20">
        <f ca="1">IF(Table1[[#This Row],[County]]="Tyne and Wear",Table1[[#This Row],[income]],0)</f>
        <v>0</v>
      </c>
      <c r="CT469" s="20">
        <f ca="1">IF(Table1[[#This Row],[County]]="Worcestershire",Table1[[#This Row],[income]],0)</f>
        <v>0</v>
      </c>
      <c r="CU469" s="20">
        <f ca="1">IF(Table1[[#This Row],[County]]="Rutland",Table1[[#This Row],[income]],0)</f>
        <v>0</v>
      </c>
      <c r="CV469" s="20">
        <f ca="1">IF(Table1[[#This Row],[County]]="Shropshire",Table1[[#This Row],[income]],0)</f>
        <v>0</v>
      </c>
      <c r="CW469" s="20">
        <f ca="1">IF(Table1[[#This Row],[County]]="Dorset",Table1[[#This Row],[income]],0)</f>
        <v>0</v>
      </c>
      <c r="CX469" s="20">
        <f ca="1">IF(Table1[[#This Row],[County]]="Buckinghamshire",Table1[[#This Row],[income]],0)</f>
        <v>0</v>
      </c>
      <c r="CY469" s="20">
        <f ca="1">IF(Table1[[#This Row],[County]]="Suffolk",Table1[[#This Row],[income]],0)</f>
        <v>0</v>
      </c>
      <c r="CZ469" s="20">
        <f ca="1">IF(Table1[[#This Row],[County]]="North Yorkshire",Table1[[#This Row],[income]],0)</f>
        <v>0</v>
      </c>
      <c r="DA469" s="20">
        <f ca="1">IF(Table1[[#This Row],[County]]="Kent",Table1[[#This Row],[income]],0)</f>
        <v>0</v>
      </c>
      <c r="DB469" s="5">
        <f ca="1">IF(Table1[[#This Row],[County]]="Derbyshire",Table1[[#This Row],[income]],0)</f>
        <v>0</v>
      </c>
      <c r="DD469" s="6">
        <f ca="1">IF(Table1[[#This Row],[Column1]]="Health",Table1[[#This Row],[income]],0)</f>
        <v>0</v>
      </c>
      <c r="DE469" s="20">
        <f ca="1">IF(Table1[[#This Row],[Column1]]="Agriculture",Table1[[#This Row],[income]],0)</f>
        <v>45105</v>
      </c>
      <c r="DF469" s="20">
        <f ca="1">IF(Table1[[#This Row],[Column1]]="Technology",Table1[[#This Row],[income]],0)</f>
        <v>0</v>
      </c>
      <c r="DG469" s="20">
        <f ca="1">IF(Table1[[#This Row],[Column1]]="Social Service",Table1[[#This Row],[income]],0)</f>
        <v>0</v>
      </c>
      <c r="DH469" s="20">
        <f ca="1">IF(Table1[[#This Row],[Column1]]="Education",Table1[[#This Row],[income]],0)</f>
        <v>0</v>
      </c>
      <c r="DI469" s="5">
        <f ca="1">IF(Table1[[#This Row],[Column1]]="Construction",Table1[[#This Row],[income]],0)</f>
        <v>0</v>
      </c>
      <c r="DK469" s="6">
        <f ca="1">IF(Table1[[#This Row],[Value of Debts]]&gt;Table1[[#This Row],[income]],1,0)</f>
        <v>1</v>
      </c>
      <c r="DL469" s="20"/>
      <c r="DM469" s="20"/>
      <c r="DN469" s="5"/>
      <c r="DP469" s="6">
        <f ca="1">IF(Table1[[#This Row],[Net Worth (£)]]&gt;$DS$5,C469,0)</f>
        <v>0</v>
      </c>
      <c r="DQ469" s="20"/>
      <c r="DR469" s="20"/>
      <c r="DS469" s="5"/>
    </row>
    <row r="470" spans="1:123" x14ac:dyDescent="0.2">
      <c r="A470">
        <f t="shared" ca="1" si="22"/>
        <v>2</v>
      </c>
      <c r="B470" s="1" t="str">
        <f ca="1">IF(A470=1, "men", "women")</f>
        <v>women</v>
      </c>
      <c r="C470" s="1">
        <f ca="1">RANDBETWEEN(25,50)</f>
        <v>34</v>
      </c>
      <c r="D470">
        <f ca="1">RANDBETWEEN(1,6)</f>
        <v>1</v>
      </c>
      <c r="E470" t="str">
        <f ca="1">VLOOKUP(D470,$W$5:$X$10,2)</f>
        <v>Health</v>
      </c>
      <c r="F470">
        <f ca="1">RANDBETWEEN(1,5)</f>
        <v>5</v>
      </c>
      <c r="G470" t="str">
        <f ca="1">VLOOKUP(F470,$Y$5:$Z$9,2)</f>
        <v>Other</v>
      </c>
      <c r="H470">
        <f ca="1">RANDBETWEEN(0,4)</f>
        <v>1</v>
      </c>
      <c r="I470">
        <f ca="1">RANDBETWEEN(1,3)</f>
        <v>1</v>
      </c>
      <c r="J470">
        <f ca="1">RANDBETWEEN(30000,100000)</f>
        <v>43924</v>
      </c>
      <c r="K470">
        <f ca="1">RANDBETWEEN(1,48)</f>
        <v>37</v>
      </c>
      <c r="L470" t="str">
        <f ca="1">VLOOKUP(K470,$AA$5:$AB$52,2)</f>
        <v>Somerset</v>
      </c>
      <c r="M470">
        <f ca="1">J470*(RANDBETWEEN(2,5))</f>
        <v>131772</v>
      </c>
      <c r="N470">
        <f ca="1">RAND()*M470</f>
        <v>7370.4310051824159</v>
      </c>
      <c r="O470">
        <f ca="1">I470*RAND()*J470</f>
        <v>31819.047881435832</v>
      </c>
      <c r="P470">
        <f ca="1">RANDBETWEEN(0,O470)</f>
        <v>12563</v>
      </c>
      <c r="Q470">
        <f ca="1">RAND()*J470*2</f>
        <v>9085.2114903592828</v>
      </c>
      <c r="R470">
        <f ca="1">RAND()*J470*1.5</f>
        <v>57015.13225061768</v>
      </c>
      <c r="S470">
        <f ca="1">J470+R470+O470</f>
        <v>132758.1801320535</v>
      </c>
      <c r="T470">
        <f ca="1">N470+P470+Q470</f>
        <v>29018.642495541695</v>
      </c>
      <c r="U470">
        <f ca="1">S470-T470</f>
        <v>103739.53763651181</v>
      </c>
      <c r="AC470" s="6">
        <f ca="1">IF(Table1[[#This Row],[gender]]="men",1,0)</f>
        <v>0</v>
      </c>
      <c r="AD470">
        <f ca="1">IF(Table1[[#This Row],[gender]]="women",1,0)</f>
        <v>1</v>
      </c>
      <c r="AH470" s="5"/>
      <c r="AJ470" s="6">
        <f ca="1">IF(Table1[[#This Row],[Column1]]="Health",1,0)</f>
        <v>1</v>
      </c>
      <c r="AK470">
        <f ca="1">IF(Table1[[#This Row],[Column1]]="Construction",1,0)</f>
        <v>0</v>
      </c>
      <c r="AL470">
        <f ca="1">IF(Table1[[#This Row],[Column1]]="Technology",1,0)</f>
        <v>0</v>
      </c>
      <c r="AM470">
        <f ca="1">IF(Table1[[#This Row],[Column1]]="Education",1,0)</f>
        <v>0</v>
      </c>
      <c r="AN470">
        <f ca="1">IF(Table1[[#This Row],[Column1]]="Agriculture",1,0)</f>
        <v>0</v>
      </c>
      <c r="AO470">
        <f ca="1">IF(Table1[[#This Row],[Column1]]="Social Service", 1, 0)</f>
        <v>0</v>
      </c>
      <c r="AT470" s="5"/>
      <c r="AV470" s="17">
        <f t="shared" ca="1" si="21"/>
        <v>14264.140570722362</v>
      </c>
      <c r="AW470" s="5"/>
      <c r="AX470" s="6">
        <f ca="1">IF(Table1[[#This Row],[Value of Debts]]&gt;$AY$4,1,0)</f>
        <v>0</v>
      </c>
      <c r="AY470" s="20"/>
      <c r="AZ470" s="20"/>
      <c r="BA470" s="5"/>
      <c r="BB470" s="25">
        <f ca="1">Table1[[#This Row],[Mortage Left]]/Table1[[#This Row],[Value of House]]</f>
        <v>5.5933210433039005E-2</v>
      </c>
      <c r="BC470" s="20">
        <f t="shared" ca="1" si="23"/>
        <v>1</v>
      </c>
      <c r="BD470" s="20"/>
      <c r="BE470" s="20"/>
      <c r="BF470" s="20"/>
      <c r="BG470" s="6">
        <f ca="1">IF(Table1[[#This Row],[County]]="Cumbria",Table1[[#This Row],[income]],0)</f>
        <v>0</v>
      </c>
      <c r="BH470" s="20">
        <f ca="1">IF(Table1[[#This Row],[County]]="Cheshire",Table1[[#This Row],[income]],0)</f>
        <v>0</v>
      </c>
      <c r="BI470" s="20">
        <f ca="1">IF(Table1[[#This Row],[County]]="Bristol",Table1[[#This Row],[income]],0)</f>
        <v>0</v>
      </c>
      <c r="BJ470" s="20">
        <f ca="1">IF(Table1[[#This Row],[County]]="Surrey",Table1[[#This Row],[income]],0)</f>
        <v>0</v>
      </c>
      <c r="BK470" s="20">
        <f ca="1">IF(Table1[[#This Row],[County]]="Norfolk",Table1[[#This Row],[income]],0)</f>
        <v>0</v>
      </c>
      <c r="BL470" s="20">
        <f ca="1">IF(Table1[[#This Row],[County]]="Lincolnshire",Table1[[#This Row],[income]],0)</f>
        <v>0</v>
      </c>
      <c r="BM470" s="20">
        <f ca="1">IF(Table1[[#This Row],[County]]="Somerset",Table1[[#This Row],[income]],0)</f>
        <v>43924</v>
      </c>
      <c r="BN470" s="20">
        <f ca="1">IF(Table1[[#This Row],[County]]="Cambridgeshire",Table1[[#This Row],[income]],0)</f>
        <v>0</v>
      </c>
      <c r="BO470" s="20">
        <f ca="1">IF(Table1[[#This Row],[County]]="South Yorkshire",Table1[[#This Row],[income]],0)</f>
        <v>0</v>
      </c>
      <c r="BP470" s="20">
        <f ca="1">IF(Table1[[#This Row],[County]]="Greater London",Table1[[#This Row],[income]],0)</f>
        <v>0</v>
      </c>
      <c r="BQ470" s="20">
        <f ca="1">IF(Table1[[#This Row],[County]]="Hampshire",Table1[[#This Row],[income]],0)</f>
        <v>0</v>
      </c>
      <c r="BR470" s="20">
        <f ca="1">IF(Table1[[#This Row],[County]]="Gloucestershire",Table1[[#This Row],[income]],0)</f>
        <v>0</v>
      </c>
      <c r="BS470" s="20">
        <f ca="1">IF(Table1[[#This Row],[County]]="West Sussex",Table1[[#This Row],[income]],0)</f>
        <v>0</v>
      </c>
      <c r="BT470" s="20">
        <f ca="1">IF(Table1[[#This Row],[County]]="Devon",Table1[[#This Row],[income]],0)</f>
        <v>0</v>
      </c>
      <c r="BU470" s="20">
        <f ca="1">IF(Table1[[#This Row],[County]]="Berkshire",Table1[[#This Row],[income]],0)</f>
        <v>0</v>
      </c>
      <c r="BV470" s="20">
        <f ca="1">IF(Table1[[#This Row],[County]]="Staffordshire",Table1[[#This Row],[income]],0)</f>
        <v>0</v>
      </c>
      <c r="BW470" s="20">
        <f ca="1">IF(Table1[[#This Row],[County]]="Leicestershire",Table1[[#This Row],[income]],0)</f>
        <v>0</v>
      </c>
      <c r="BX470" s="20">
        <f ca="1">IF(Table1[[#This Row],[County]]="Cornwall",Table1[[#This Row],[income]],0)</f>
        <v>0</v>
      </c>
      <c r="BY470" s="20">
        <f ca="1">IF(Table1[[#This Row],[County]]="Isle of Wight",Table1[[#This Row],[income]],0)</f>
        <v>0</v>
      </c>
      <c r="BZ470" s="20">
        <f ca="1">IF(Table1[[#This Row],[County]]="Surrey",Table1[[#This Row],[income]],0)</f>
        <v>0</v>
      </c>
      <c r="CA470" s="20">
        <f ca="1">IF(Table1[[#This Row],[County]]="Derbyshire",Table1[[#This Row],[income]],0)</f>
        <v>0</v>
      </c>
      <c r="CB470" s="20">
        <f ca="1">IF(Table1[[#This Row],[County]]="City of London",Table1[[#This Row],[income]],0)</f>
        <v>0</v>
      </c>
      <c r="CC470" s="20">
        <f ca="1">IF(Table1[[#This Row],[County]]="Bedfordshire",Table1[[#This Row],[income]],0)</f>
        <v>0</v>
      </c>
      <c r="CD470" s="20">
        <f ca="1">IF(Table1[[#This Row],[County]]="County Durham",Table1[[#This Row],[income]],0)</f>
        <v>0</v>
      </c>
      <c r="CE470" s="20">
        <f ca="1">IF(Table1[[#This Row],[County]]="East Riding of Yorkshire",Table1[[#This Row],[income]],0)</f>
        <v>0</v>
      </c>
      <c r="CF470" s="20">
        <f ca="1">IF(Table1[[#This Row],[County]]="West Yorkshire",Table1[[#This Row],[income]],0)</f>
        <v>0</v>
      </c>
      <c r="CG470" s="20">
        <f ca="1">IF(Table1[[#This Row],[County]]="Essex",Table1[[#This Row],[income]],0)</f>
        <v>0</v>
      </c>
      <c r="CH470" s="20">
        <f ca="1">IF(Table1[[#This Row],[County]]="East Sussex",Table1[[#This Row],[income]],0)</f>
        <v>0</v>
      </c>
      <c r="CI470" s="20">
        <f ca="1">IF(Table1[[#This Row],[County]]="Greater Manchester",Table1[[#This Row],[income]],0)</f>
        <v>0</v>
      </c>
      <c r="CJ470" s="20">
        <f ca="1">IF(Table1[[#This Row],[County]]="Hertfordshire",Table1[[#This Row],[income]],0)</f>
        <v>0</v>
      </c>
      <c r="CK470" s="20">
        <f ca="1">IF(Table1[[#This Row],[County]]="Herefordshire",Table1[[#This Row],[income]],0)</f>
        <v>0</v>
      </c>
      <c r="CL470" s="20">
        <f ca="1">IF(Table1[[#This Row],[County]]="Lancashire",Table1[[#This Row],[income]],0)</f>
        <v>0</v>
      </c>
      <c r="CM470" s="20">
        <f ca="1">IF(Table1[[#This Row],[County]]="Merseyside",Table1[[#This Row],[income]],0)</f>
        <v>0</v>
      </c>
      <c r="CN470" s="20">
        <f ca="1">IF(Table1[[#This Row],[County]]="Northamptonshire",Table1[[#This Row],[income]],0)</f>
        <v>0</v>
      </c>
      <c r="CO470" s="20">
        <f ca="1">IF(Table1[[#This Row],[County]]="Northumberland",Table1[[#This Row],[income]],0)</f>
        <v>0</v>
      </c>
      <c r="CP470" s="20">
        <f ca="1">IF(Table1[[#This Row],[County]]="Wiltshire",Table1[[#This Row],[income]],0)</f>
        <v>0</v>
      </c>
      <c r="CQ470" s="20">
        <f ca="1">IF(Table1[[#This Row],[County]]="West Midlands",Table1[[#This Row],[income]],0)</f>
        <v>0</v>
      </c>
      <c r="CR470" s="20">
        <f ca="1">IF(Table1[[#This Row],[County]]="Warwickshire",Table1[[#This Row],[income]],0)</f>
        <v>0</v>
      </c>
      <c r="CS470" s="20">
        <f ca="1">IF(Table1[[#This Row],[County]]="Tyne and Wear",Table1[[#This Row],[income]],0)</f>
        <v>0</v>
      </c>
      <c r="CT470" s="20">
        <f ca="1">IF(Table1[[#This Row],[County]]="Worcestershire",Table1[[#This Row],[income]],0)</f>
        <v>0</v>
      </c>
      <c r="CU470" s="20">
        <f ca="1">IF(Table1[[#This Row],[County]]="Rutland",Table1[[#This Row],[income]],0)</f>
        <v>0</v>
      </c>
      <c r="CV470" s="20">
        <f ca="1">IF(Table1[[#This Row],[County]]="Shropshire",Table1[[#This Row],[income]],0)</f>
        <v>0</v>
      </c>
      <c r="CW470" s="20">
        <f ca="1">IF(Table1[[#This Row],[County]]="Dorset",Table1[[#This Row],[income]],0)</f>
        <v>0</v>
      </c>
      <c r="CX470" s="20">
        <f ca="1">IF(Table1[[#This Row],[County]]="Buckinghamshire",Table1[[#This Row],[income]],0)</f>
        <v>0</v>
      </c>
      <c r="CY470" s="20">
        <f ca="1">IF(Table1[[#This Row],[County]]="Suffolk",Table1[[#This Row],[income]],0)</f>
        <v>0</v>
      </c>
      <c r="CZ470" s="20">
        <f ca="1">IF(Table1[[#This Row],[County]]="North Yorkshire",Table1[[#This Row],[income]],0)</f>
        <v>0</v>
      </c>
      <c r="DA470" s="20">
        <f ca="1">IF(Table1[[#This Row],[County]]="Kent",Table1[[#This Row],[income]],0)</f>
        <v>0</v>
      </c>
      <c r="DB470" s="5">
        <f ca="1">IF(Table1[[#This Row],[County]]="Derbyshire",Table1[[#This Row],[income]],0)</f>
        <v>0</v>
      </c>
      <c r="DD470" s="6">
        <f ca="1">IF(Table1[[#This Row],[Column1]]="Health",Table1[[#This Row],[income]],0)</f>
        <v>43924</v>
      </c>
      <c r="DE470" s="20">
        <f ca="1">IF(Table1[[#This Row],[Column1]]="Agriculture",Table1[[#This Row],[income]],0)</f>
        <v>0</v>
      </c>
      <c r="DF470" s="20">
        <f ca="1">IF(Table1[[#This Row],[Column1]]="Technology",Table1[[#This Row],[income]],0)</f>
        <v>0</v>
      </c>
      <c r="DG470" s="20">
        <f ca="1">IF(Table1[[#This Row],[Column1]]="Social Service",Table1[[#This Row],[income]],0)</f>
        <v>0</v>
      </c>
      <c r="DH470" s="20">
        <f ca="1">IF(Table1[[#This Row],[Column1]]="Education",Table1[[#This Row],[income]],0)</f>
        <v>0</v>
      </c>
      <c r="DI470" s="5">
        <f ca="1">IF(Table1[[#This Row],[Column1]]="Construction",Table1[[#This Row],[income]],0)</f>
        <v>0</v>
      </c>
      <c r="DK470" s="6">
        <f ca="1">IF(Table1[[#This Row],[Value of Debts]]&gt;Table1[[#This Row],[income]],1,0)</f>
        <v>0</v>
      </c>
      <c r="DL470" s="20"/>
      <c r="DM470" s="20"/>
      <c r="DN470" s="5"/>
      <c r="DP470" s="6">
        <f ca="1">IF(Table1[[#This Row],[Net Worth (£)]]&gt;$DS$5,C470,0)</f>
        <v>34</v>
      </c>
      <c r="DQ470" s="20"/>
      <c r="DR470" s="20"/>
      <c r="DS470" s="5"/>
    </row>
    <row r="471" spans="1:123" x14ac:dyDescent="0.2">
      <c r="A471">
        <f t="shared" ca="1" si="22"/>
        <v>2</v>
      </c>
      <c r="B471" s="1" t="str">
        <f ca="1">IF(A471=1, "men", "women")</f>
        <v>women</v>
      </c>
      <c r="C471" s="1">
        <f ca="1">RANDBETWEEN(25,50)</f>
        <v>32</v>
      </c>
      <c r="D471">
        <f ca="1">RANDBETWEEN(1,6)</f>
        <v>4</v>
      </c>
      <c r="E471" t="str">
        <f ca="1">VLOOKUP(D471,$W$5:$X$10,2)</f>
        <v>Technology</v>
      </c>
      <c r="F471">
        <f ca="1">RANDBETWEEN(1,5)</f>
        <v>2</v>
      </c>
      <c r="G471" t="str">
        <f ca="1">VLOOKUP(F471,$Y$5:$Z$9,2)</f>
        <v>College</v>
      </c>
      <c r="H471">
        <f ca="1">RANDBETWEEN(0,4)</f>
        <v>4</v>
      </c>
      <c r="I471">
        <f ca="1">RANDBETWEEN(1,3)</f>
        <v>1</v>
      </c>
      <c r="J471">
        <f ca="1">RANDBETWEEN(30000,100000)</f>
        <v>82723</v>
      </c>
      <c r="K471">
        <f ca="1">RANDBETWEEN(1,48)</f>
        <v>12</v>
      </c>
      <c r="L471" t="str">
        <f ca="1">VLOOKUP(K471,$AA$5:$AB$52,2)</f>
        <v>Dorset</v>
      </c>
      <c r="M471">
        <f ca="1">J471*(RANDBETWEEN(2,5))</f>
        <v>413615</v>
      </c>
      <c r="N471">
        <f ca="1">RAND()*M471</f>
        <v>313697.8599765831</v>
      </c>
      <c r="O471">
        <f ca="1">I471*RAND()*J471</f>
        <v>14264.140570722362</v>
      </c>
      <c r="P471">
        <f ca="1">RANDBETWEEN(0,O471)</f>
        <v>5111</v>
      </c>
      <c r="Q471">
        <f ca="1">RAND()*J471*2</f>
        <v>112425.66489866393</v>
      </c>
      <c r="R471">
        <f ca="1">RAND()*J471*1.5</f>
        <v>3367.854818575458</v>
      </c>
      <c r="S471">
        <f ca="1">J471+R471+O471</f>
        <v>100354.99538929782</v>
      </c>
      <c r="T471">
        <f ca="1">N471+P471+Q471</f>
        <v>431234.52487524704</v>
      </c>
      <c r="U471">
        <f ca="1">S471-T471</f>
        <v>-330879.5294859492</v>
      </c>
      <c r="AC471" s="6">
        <f ca="1">IF(Table1[[#This Row],[gender]]="men",1,0)</f>
        <v>0</v>
      </c>
      <c r="AD471">
        <f ca="1">IF(Table1[[#This Row],[gender]]="women",1,0)</f>
        <v>1</v>
      </c>
      <c r="AH471" s="5"/>
      <c r="AJ471" s="6">
        <f ca="1">IF(Table1[[#This Row],[Column1]]="Health",1,0)</f>
        <v>0</v>
      </c>
      <c r="AK471">
        <f ca="1">IF(Table1[[#This Row],[Column1]]="Construction",1,0)</f>
        <v>0</v>
      </c>
      <c r="AL471">
        <f ca="1">IF(Table1[[#This Row],[Column1]]="Technology",1,0)</f>
        <v>1</v>
      </c>
      <c r="AM471">
        <f ca="1">IF(Table1[[#This Row],[Column1]]="Education",1,0)</f>
        <v>0</v>
      </c>
      <c r="AN471">
        <f ca="1">IF(Table1[[#This Row],[Column1]]="Agriculture",1,0)</f>
        <v>0</v>
      </c>
      <c r="AO471">
        <f ca="1">IF(Table1[[#This Row],[Column1]]="Social Service", 1, 0)</f>
        <v>0</v>
      </c>
      <c r="AT471" s="5"/>
      <c r="AV471" s="17">
        <f t="shared" ca="1" si="21"/>
        <v>925.12508324905559</v>
      </c>
      <c r="AW471" s="5"/>
      <c r="AX471" s="6">
        <f ca="1">IF(Table1[[#This Row],[Value of Debts]]&gt;$AY$4,1,0)</f>
        <v>1</v>
      </c>
      <c r="AY471" s="20"/>
      <c r="AZ471" s="20"/>
      <c r="BA471" s="5"/>
      <c r="BB471" s="25">
        <f ca="1">Table1[[#This Row],[Mortage Left]]/Table1[[#This Row],[Value of House]]</f>
        <v>0.75842960235142121</v>
      </c>
      <c r="BC471" s="20">
        <f t="shared" ca="1" si="23"/>
        <v>0</v>
      </c>
      <c r="BD471" s="20"/>
      <c r="BE471" s="20"/>
      <c r="BF471" s="20"/>
      <c r="BG471" s="6">
        <f ca="1">IF(Table1[[#This Row],[County]]="Cumbria",Table1[[#This Row],[income]],0)</f>
        <v>0</v>
      </c>
      <c r="BH471" s="20">
        <f ca="1">IF(Table1[[#This Row],[County]]="Cheshire",Table1[[#This Row],[income]],0)</f>
        <v>0</v>
      </c>
      <c r="BI471" s="20">
        <f ca="1">IF(Table1[[#This Row],[County]]="Bristol",Table1[[#This Row],[income]],0)</f>
        <v>0</v>
      </c>
      <c r="BJ471" s="20">
        <f ca="1">IF(Table1[[#This Row],[County]]="Surrey",Table1[[#This Row],[income]],0)</f>
        <v>0</v>
      </c>
      <c r="BK471" s="20">
        <f ca="1">IF(Table1[[#This Row],[County]]="Norfolk",Table1[[#This Row],[income]],0)</f>
        <v>0</v>
      </c>
      <c r="BL471" s="20">
        <f ca="1">IF(Table1[[#This Row],[County]]="Lincolnshire",Table1[[#This Row],[income]],0)</f>
        <v>0</v>
      </c>
      <c r="BM471" s="20">
        <f ca="1">IF(Table1[[#This Row],[County]]="Somerset",Table1[[#This Row],[income]],0)</f>
        <v>0</v>
      </c>
      <c r="BN471" s="20">
        <f ca="1">IF(Table1[[#This Row],[County]]="Cambridgeshire",Table1[[#This Row],[income]],0)</f>
        <v>0</v>
      </c>
      <c r="BO471" s="20">
        <f ca="1">IF(Table1[[#This Row],[County]]="South Yorkshire",Table1[[#This Row],[income]],0)</f>
        <v>0</v>
      </c>
      <c r="BP471" s="20">
        <f ca="1">IF(Table1[[#This Row],[County]]="Greater London",Table1[[#This Row],[income]],0)</f>
        <v>0</v>
      </c>
      <c r="BQ471" s="20">
        <f ca="1">IF(Table1[[#This Row],[County]]="Hampshire",Table1[[#This Row],[income]],0)</f>
        <v>0</v>
      </c>
      <c r="BR471" s="20">
        <f ca="1">IF(Table1[[#This Row],[County]]="Gloucestershire",Table1[[#This Row],[income]],0)</f>
        <v>0</v>
      </c>
      <c r="BS471" s="20">
        <f ca="1">IF(Table1[[#This Row],[County]]="West Sussex",Table1[[#This Row],[income]],0)</f>
        <v>0</v>
      </c>
      <c r="BT471" s="20">
        <f ca="1">IF(Table1[[#This Row],[County]]="Devon",Table1[[#This Row],[income]],0)</f>
        <v>0</v>
      </c>
      <c r="BU471" s="20">
        <f ca="1">IF(Table1[[#This Row],[County]]="Berkshire",Table1[[#This Row],[income]],0)</f>
        <v>0</v>
      </c>
      <c r="BV471" s="20">
        <f ca="1">IF(Table1[[#This Row],[County]]="Staffordshire",Table1[[#This Row],[income]],0)</f>
        <v>0</v>
      </c>
      <c r="BW471" s="20">
        <f ca="1">IF(Table1[[#This Row],[County]]="Leicestershire",Table1[[#This Row],[income]],0)</f>
        <v>0</v>
      </c>
      <c r="BX471" s="20">
        <f ca="1">IF(Table1[[#This Row],[County]]="Cornwall",Table1[[#This Row],[income]],0)</f>
        <v>0</v>
      </c>
      <c r="BY471" s="20">
        <f ca="1">IF(Table1[[#This Row],[County]]="Isle of Wight",Table1[[#This Row],[income]],0)</f>
        <v>0</v>
      </c>
      <c r="BZ471" s="20">
        <f ca="1">IF(Table1[[#This Row],[County]]="Surrey",Table1[[#This Row],[income]],0)</f>
        <v>0</v>
      </c>
      <c r="CA471" s="20">
        <f ca="1">IF(Table1[[#This Row],[County]]="Derbyshire",Table1[[#This Row],[income]],0)</f>
        <v>0</v>
      </c>
      <c r="CB471" s="20">
        <f ca="1">IF(Table1[[#This Row],[County]]="City of London",Table1[[#This Row],[income]],0)</f>
        <v>0</v>
      </c>
      <c r="CC471" s="20">
        <f ca="1">IF(Table1[[#This Row],[County]]="Bedfordshire",Table1[[#This Row],[income]],0)</f>
        <v>0</v>
      </c>
      <c r="CD471" s="20">
        <f ca="1">IF(Table1[[#This Row],[County]]="County Durham",Table1[[#This Row],[income]],0)</f>
        <v>0</v>
      </c>
      <c r="CE471" s="20">
        <f ca="1">IF(Table1[[#This Row],[County]]="East Riding of Yorkshire",Table1[[#This Row],[income]],0)</f>
        <v>0</v>
      </c>
      <c r="CF471" s="20">
        <f ca="1">IF(Table1[[#This Row],[County]]="West Yorkshire",Table1[[#This Row],[income]],0)</f>
        <v>0</v>
      </c>
      <c r="CG471" s="20">
        <f ca="1">IF(Table1[[#This Row],[County]]="Essex",Table1[[#This Row],[income]],0)</f>
        <v>0</v>
      </c>
      <c r="CH471" s="20">
        <f ca="1">IF(Table1[[#This Row],[County]]="East Sussex",Table1[[#This Row],[income]],0)</f>
        <v>0</v>
      </c>
      <c r="CI471" s="20">
        <f ca="1">IF(Table1[[#This Row],[County]]="Greater Manchester",Table1[[#This Row],[income]],0)</f>
        <v>0</v>
      </c>
      <c r="CJ471" s="20">
        <f ca="1">IF(Table1[[#This Row],[County]]="Hertfordshire",Table1[[#This Row],[income]],0)</f>
        <v>0</v>
      </c>
      <c r="CK471" s="20">
        <f ca="1">IF(Table1[[#This Row],[County]]="Herefordshire",Table1[[#This Row],[income]],0)</f>
        <v>0</v>
      </c>
      <c r="CL471" s="20">
        <f ca="1">IF(Table1[[#This Row],[County]]="Lancashire",Table1[[#This Row],[income]],0)</f>
        <v>0</v>
      </c>
      <c r="CM471" s="20">
        <f ca="1">IF(Table1[[#This Row],[County]]="Merseyside",Table1[[#This Row],[income]],0)</f>
        <v>0</v>
      </c>
      <c r="CN471" s="20">
        <f ca="1">IF(Table1[[#This Row],[County]]="Northamptonshire",Table1[[#This Row],[income]],0)</f>
        <v>0</v>
      </c>
      <c r="CO471" s="20">
        <f ca="1">IF(Table1[[#This Row],[County]]="Northumberland",Table1[[#This Row],[income]],0)</f>
        <v>0</v>
      </c>
      <c r="CP471" s="20">
        <f ca="1">IF(Table1[[#This Row],[County]]="Wiltshire",Table1[[#This Row],[income]],0)</f>
        <v>0</v>
      </c>
      <c r="CQ471" s="20">
        <f ca="1">IF(Table1[[#This Row],[County]]="West Midlands",Table1[[#This Row],[income]],0)</f>
        <v>0</v>
      </c>
      <c r="CR471" s="20">
        <f ca="1">IF(Table1[[#This Row],[County]]="Warwickshire",Table1[[#This Row],[income]],0)</f>
        <v>0</v>
      </c>
      <c r="CS471" s="20">
        <f ca="1">IF(Table1[[#This Row],[County]]="Tyne and Wear",Table1[[#This Row],[income]],0)</f>
        <v>0</v>
      </c>
      <c r="CT471" s="20">
        <f ca="1">IF(Table1[[#This Row],[County]]="Worcestershire",Table1[[#This Row],[income]],0)</f>
        <v>0</v>
      </c>
      <c r="CU471" s="20">
        <f ca="1">IF(Table1[[#This Row],[County]]="Rutland",Table1[[#This Row],[income]],0)</f>
        <v>0</v>
      </c>
      <c r="CV471" s="20">
        <f ca="1">IF(Table1[[#This Row],[County]]="Shropshire",Table1[[#This Row],[income]],0)</f>
        <v>0</v>
      </c>
      <c r="CW471" s="20">
        <f ca="1">IF(Table1[[#This Row],[County]]="Dorset",Table1[[#This Row],[income]],0)</f>
        <v>82723</v>
      </c>
      <c r="CX471" s="20">
        <f ca="1">IF(Table1[[#This Row],[County]]="Buckinghamshire",Table1[[#This Row],[income]],0)</f>
        <v>0</v>
      </c>
      <c r="CY471" s="20">
        <f ca="1">IF(Table1[[#This Row],[County]]="Suffolk",Table1[[#This Row],[income]],0)</f>
        <v>0</v>
      </c>
      <c r="CZ471" s="20">
        <f ca="1">IF(Table1[[#This Row],[County]]="North Yorkshire",Table1[[#This Row],[income]],0)</f>
        <v>0</v>
      </c>
      <c r="DA471" s="20">
        <f ca="1">IF(Table1[[#This Row],[County]]="Kent",Table1[[#This Row],[income]],0)</f>
        <v>0</v>
      </c>
      <c r="DB471" s="5">
        <f ca="1">IF(Table1[[#This Row],[County]]="Derbyshire",Table1[[#This Row],[income]],0)</f>
        <v>0</v>
      </c>
      <c r="DD471" s="6">
        <f ca="1">IF(Table1[[#This Row],[Column1]]="Health",Table1[[#This Row],[income]],0)</f>
        <v>0</v>
      </c>
      <c r="DE471" s="20">
        <f ca="1">IF(Table1[[#This Row],[Column1]]="Agriculture",Table1[[#This Row],[income]],0)</f>
        <v>0</v>
      </c>
      <c r="DF471" s="20">
        <f ca="1">IF(Table1[[#This Row],[Column1]]="Technology",Table1[[#This Row],[income]],0)</f>
        <v>82723</v>
      </c>
      <c r="DG471" s="20">
        <f ca="1">IF(Table1[[#This Row],[Column1]]="Social Service",Table1[[#This Row],[income]],0)</f>
        <v>0</v>
      </c>
      <c r="DH471" s="20">
        <f ca="1">IF(Table1[[#This Row],[Column1]]="Education",Table1[[#This Row],[income]],0)</f>
        <v>0</v>
      </c>
      <c r="DI471" s="5">
        <f ca="1">IF(Table1[[#This Row],[Column1]]="Construction",Table1[[#This Row],[income]],0)</f>
        <v>0</v>
      </c>
      <c r="DK471" s="6">
        <f ca="1">IF(Table1[[#This Row],[Value of Debts]]&gt;Table1[[#This Row],[income]],1,0)</f>
        <v>1</v>
      </c>
      <c r="DL471" s="20"/>
      <c r="DM471" s="20"/>
      <c r="DN471" s="5"/>
      <c r="DP471" s="6">
        <f ca="1">IF(Table1[[#This Row],[Net Worth (£)]]&gt;$DS$5,C471,0)</f>
        <v>0</v>
      </c>
      <c r="DQ471" s="20"/>
      <c r="DR471" s="20"/>
      <c r="DS471" s="5"/>
    </row>
    <row r="472" spans="1:123" x14ac:dyDescent="0.2">
      <c r="A472">
        <f t="shared" ca="1" si="22"/>
        <v>1</v>
      </c>
      <c r="B472" s="1" t="str">
        <f ca="1">IF(A472=1, "men", "women")</f>
        <v>men</v>
      </c>
      <c r="C472" s="1">
        <f ca="1">RANDBETWEEN(25,50)</f>
        <v>43</v>
      </c>
      <c r="D472">
        <f ca="1">RANDBETWEEN(1,6)</f>
        <v>6</v>
      </c>
      <c r="E472" t="str">
        <f ca="1">VLOOKUP(D472,$W$5:$X$10,2)</f>
        <v>Agriculture</v>
      </c>
      <c r="F472">
        <f ca="1">RANDBETWEEN(1,5)</f>
        <v>2</v>
      </c>
      <c r="G472" t="str">
        <f ca="1">VLOOKUP(F472,$Y$5:$Z$9,2)</f>
        <v>College</v>
      </c>
      <c r="H472">
        <f ca="1">RANDBETWEEN(0,4)</f>
        <v>2</v>
      </c>
      <c r="I472">
        <f ca="1">RANDBETWEEN(1,3)</f>
        <v>3</v>
      </c>
      <c r="J472">
        <f ca="1">RANDBETWEEN(30000,100000)</f>
        <v>32069</v>
      </c>
      <c r="K472">
        <f ca="1">RANDBETWEEN(1,48)</f>
        <v>45</v>
      </c>
      <c r="L472" t="str">
        <f ca="1">VLOOKUP(K472,$AA$5:$AB$52,2)</f>
        <v>West Sussex</v>
      </c>
      <c r="M472">
        <f ca="1">J472*(RANDBETWEEN(2,5))</f>
        <v>160345</v>
      </c>
      <c r="N472">
        <f ca="1">RAND()*M472</f>
        <v>145890.69635665635</v>
      </c>
      <c r="O472">
        <f ca="1">I472*RAND()*J472</f>
        <v>2775.3752497471669</v>
      </c>
      <c r="P472">
        <f ca="1">RANDBETWEEN(0,O472)</f>
        <v>2657</v>
      </c>
      <c r="Q472">
        <f ca="1">RAND()*J472*2</f>
        <v>40724.857327807862</v>
      </c>
      <c r="R472">
        <f ca="1">RAND()*J472*1.5</f>
        <v>39035.051028217655</v>
      </c>
      <c r="S472">
        <f ca="1">J472+R472+O472</f>
        <v>73879.426277964827</v>
      </c>
      <c r="T472">
        <f ca="1">N472+P472+Q472</f>
        <v>189272.55368446422</v>
      </c>
      <c r="U472">
        <f ca="1">S472-T472</f>
        <v>-115393.12740649939</v>
      </c>
      <c r="AC472" s="6">
        <f ca="1">IF(Table1[[#This Row],[gender]]="men",1,0)</f>
        <v>1</v>
      </c>
      <c r="AD472">
        <f ca="1">IF(Table1[[#This Row],[gender]]="women",1,0)</f>
        <v>0</v>
      </c>
      <c r="AH472" s="5"/>
      <c r="AJ472" s="6">
        <f ca="1">IF(Table1[[#This Row],[Column1]]="Health",1,0)</f>
        <v>0</v>
      </c>
      <c r="AK472">
        <f ca="1">IF(Table1[[#This Row],[Column1]]="Construction",1,0)</f>
        <v>0</v>
      </c>
      <c r="AL472">
        <f ca="1">IF(Table1[[#This Row],[Column1]]="Technology",1,0)</f>
        <v>0</v>
      </c>
      <c r="AM472">
        <f ca="1">IF(Table1[[#This Row],[Column1]]="Education",1,0)</f>
        <v>0</v>
      </c>
      <c r="AN472">
        <f ca="1">IF(Table1[[#This Row],[Column1]]="Agriculture",1,0)</f>
        <v>1</v>
      </c>
      <c r="AO472">
        <f ca="1">IF(Table1[[#This Row],[Column1]]="Social Service", 1, 0)</f>
        <v>0</v>
      </c>
      <c r="AT472" s="5"/>
      <c r="AV472" s="17">
        <f t="shared" ca="1" si="21"/>
        <v>80563.615550161281</v>
      </c>
      <c r="AW472" s="5"/>
      <c r="AX472" s="6">
        <f ca="1">IF(Table1[[#This Row],[Value of Debts]]&gt;$AY$4,1,0)</f>
        <v>1</v>
      </c>
      <c r="AY472" s="20"/>
      <c r="AZ472" s="20"/>
      <c r="BA472" s="5"/>
      <c r="BB472" s="25">
        <f ca="1">Table1[[#This Row],[Mortage Left]]/Table1[[#This Row],[Value of House]]</f>
        <v>0.90985497743401011</v>
      </c>
      <c r="BC472" s="20">
        <f t="shared" ca="1" si="23"/>
        <v>0</v>
      </c>
      <c r="BD472" s="20"/>
      <c r="BE472" s="20"/>
      <c r="BF472" s="20"/>
      <c r="BG472" s="6">
        <f ca="1">IF(Table1[[#This Row],[County]]="Cumbria",Table1[[#This Row],[income]],0)</f>
        <v>0</v>
      </c>
      <c r="BH472" s="20">
        <f ca="1">IF(Table1[[#This Row],[County]]="Cheshire",Table1[[#This Row],[income]],0)</f>
        <v>0</v>
      </c>
      <c r="BI472" s="20">
        <f ca="1">IF(Table1[[#This Row],[County]]="Bristol",Table1[[#This Row],[income]],0)</f>
        <v>0</v>
      </c>
      <c r="BJ472" s="20">
        <f ca="1">IF(Table1[[#This Row],[County]]="Surrey",Table1[[#This Row],[income]],0)</f>
        <v>0</v>
      </c>
      <c r="BK472" s="20">
        <f ca="1">IF(Table1[[#This Row],[County]]="Norfolk",Table1[[#This Row],[income]],0)</f>
        <v>0</v>
      </c>
      <c r="BL472" s="20">
        <f ca="1">IF(Table1[[#This Row],[County]]="Lincolnshire",Table1[[#This Row],[income]],0)</f>
        <v>0</v>
      </c>
      <c r="BM472" s="20">
        <f ca="1">IF(Table1[[#This Row],[County]]="Somerset",Table1[[#This Row],[income]],0)</f>
        <v>0</v>
      </c>
      <c r="BN472" s="20">
        <f ca="1">IF(Table1[[#This Row],[County]]="Cambridgeshire",Table1[[#This Row],[income]],0)</f>
        <v>0</v>
      </c>
      <c r="BO472" s="20">
        <f ca="1">IF(Table1[[#This Row],[County]]="South Yorkshire",Table1[[#This Row],[income]],0)</f>
        <v>0</v>
      </c>
      <c r="BP472" s="20">
        <f ca="1">IF(Table1[[#This Row],[County]]="Greater London",Table1[[#This Row],[income]],0)</f>
        <v>0</v>
      </c>
      <c r="BQ472" s="20">
        <f ca="1">IF(Table1[[#This Row],[County]]="Hampshire",Table1[[#This Row],[income]],0)</f>
        <v>0</v>
      </c>
      <c r="BR472" s="20">
        <f ca="1">IF(Table1[[#This Row],[County]]="Gloucestershire",Table1[[#This Row],[income]],0)</f>
        <v>0</v>
      </c>
      <c r="BS472" s="20">
        <f ca="1">IF(Table1[[#This Row],[County]]="West Sussex",Table1[[#This Row],[income]],0)</f>
        <v>32069</v>
      </c>
      <c r="BT472" s="20">
        <f ca="1">IF(Table1[[#This Row],[County]]="Devon",Table1[[#This Row],[income]],0)</f>
        <v>0</v>
      </c>
      <c r="BU472" s="20">
        <f ca="1">IF(Table1[[#This Row],[County]]="Berkshire",Table1[[#This Row],[income]],0)</f>
        <v>0</v>
      </c>
      <c r="BV472" s="20">
        <f ca="1">IF(Table1[[#This Row],[County]]="Staffordshire",Table1[[#This Row],[income]],0)</f>
        <v>0</v>
      </c>
      <c r="BW472" s="20">
        <f ca="1">IF(Table1[[#This Row],[County]]="Leicestershire",Table1[[#This Row],[income]],0)</f>
        <v>0</v>
      </c>
      <c r="BX472" s="20">
        <f ca="1">IF(Table1[[#This Row],[County]]="Cornwall",Table1[[#This Row],[income]],0)</f>
        <v>0</v>
      </c>
      <c r="BY472" s="20">
        <f ca="1">IF(Table1[[#This Row],[County]]="Isle of Wight",Table1[[#This Row],[income]],0)</f>
        <v>0</v>
      </c>
      <c r="BZ472" s="20">
        <f ca="1">IF(Table1[[#This Row],[County]]="Surrey",Table1[[#This Row],[income]],0)</f>
        <v>0</v>
      </c>
      <c r="CA472" s="20">
        <f ca="1">IF(Table1[[#This Row],[County]]="Derbyshire",Table1[[#This Row],[income]],0)</f>
        <v>0</v>
      </c>
      <c r="CB472" s="20">
        <f ca="1">IF(Table1[[#This Row],[County]]="City of London",Table1[[#This Row],[income]],0)</f>
        <v>0</v>
      </c>
      <c r="CC472" s="20">
        <f ca="1">IF(Table1[[#This Row],[County]]="Bedfordshire",Table1[[#This Row],[income]],0)</f>
        <v>0</v>
      </c>
      <c r="CD472" s="20">
        <f ca="1">IF(Table1[[#This Row],[County]]="County Durham",Table1[[#This Row],[income]],0)</f>
        <v>0</v>
      </c>
      <c r="CE472" s="20">
        <f ca="1">IF(Table1[[#This Row],[County]]="East Riding of Yorkshire",Table1[[#This Row],[income]],0)</f>
        <v>0</v>
      </c>
      <c r="CF472" s="20">
        <f ca="1">IF(Table1[[#This Row],[County]]="West Yorkshire",Table1[[#This Row],[income]],0)</f>
        <v>0</v>
      </c>
      <c r="CG472" s="20">
        <f ca="1">IF(Table1[[#This Row],[County]]="Essex",Table1[[#This Row],[income]],0)</f>
        <v>0</v>
      </c>
      <c r="CH472" s="20">
        <f ca="1">IF(Table1[[#This Row],[County]]="East Sussex",Table1[[#This Row],[income]],0)</f>
        <v>0</v>
      </c>
      <c r="CI472" s="20">
        <f ca="1">IF(Table1[[#This Row],[County]]="Greater Manchester",Table1[[#This Row],[income]],0)</f>
        <v>0</v>
      </c>
      <c r="CJ472" s="20">
        <f ca="1">IF(Table1[[#This Row],[County]]="Hertfordshire",Table1[[#This Row],[income]],0)</f>
        <v>0</v>
      </c>
      <c r="CK472" s="20">
        <f ca="1">IF(Table1[[#This Row],[County]]="Herefordshire",Table1[[#This Row],[income]],0)</f>
        <v>0</v>
      </c>
      <c r="CL472" s="20">
        <f ca="1">IF(Table1[[#This Row],[County]]="Lancashire",Table1[[#This Row],[income]],0)</f>
        <v>0</v>
      </c>
      <c r="CM472" s="20">
        <f ca="1">IF(Table1[[#This Row],[County]]="Merseyside",Table1[[#This Row],[income]],0)</f>
        <v>0</v>
      </c>
      <c r="CN472" s="20">
        <f ca="1">IF(Table1[[#This Row],[County]]="Northamptonshire",Table1[[#This Row],[income]],0)</f>
        <v>0</v>
      </c>
      <c r="CO472" s="20">
        <f ca="1">IF(Table1[[#This Row],[County]]="Northumberland",Table1[[#This Row],[income]],0)</f>
        <v>0</v>
      </c>
      <c r="CP472" s="20">
        <f ca="1">IF(Table1[[#This Row],[County]]="Wiltshire",Table1[[#This Row],[income]],0)</f>
        <v>0</v>
      </c>
      <c r="CQ472" s="20">
        <f ca="1">IF(Table1[[#This Row],[County]]="West Midlands",Table1[[#This Row],[income]],0)</f>
        <v>0</v>
      </c>
      <c r="CR472" s="20">
        <f ca="1">IF(Table1[[#This Row],[County]]="Warwickshire",Table1[[#This Row],[income]],0)</f>
        <v>0</v>
      </c>
      <c r="CS472" s="20">
        <f ca="1">IF(Table1[[#This Row],[County]]="Tyne and Wear",Table1[[#This Row],[income]],0)</f>
        <v>0</v>
      </c>
      <c r="CT472" s="20">
        <f ca="1">IF(Table1[[#This Row],[County]]="Worcestershire",Table1[[#This Row],[income]],0)</f>
        <v>0</v>
      </c>
      <c r="CU472" s="20">
        <f ca="1">IF(Table1[[#This Row],[County]]="Rutland",Table1[[#This Row],[income]],0)</f>
        <v>0</v>
      </c>
      <c r="CV472" s="20">
        <f ca="1">IF(Table1[[#This Row],[County]]="Shropshire",Table1[[#This Row],[income]],0)</f>
        <v>0</v>
      </c>
      <c r="CW472" s="20">
        <f ca="1">IF(Table1[[#This Row],[County]]="Dorset",Table1[[#This Row],[income]],0)</f>
        <v>0</v>
      </c>
      <c r="CX472" s="20">
        <f ca="1">IF(Table1[[#This Row],[County]]="Buckinghamshire",Table1[[#This Row],[income]],0)</f>
        <v>0</v>
      </c>
      <c r="CY472" s="20">
        <f ca="1">IF(Table1[[#This Row],[County]]="Suffolk",Table1[[#This Row],[income]],0)</f>
        <v>0</v>
      </c>
      <c r="CZ472" s="20">
        <f ca="1">IF(Table1[[#This Row],[County]]="North Yorkshire",Table1[[#This Row],[income]],0)</f>
        <v>0</v>
      </c>
      <c r="DA472" s="20">
        <f ca="1">IF(Table1[[#This Row],[County]]="Kent",Table1[[#This Row],[income]],0)</f>
        <v>0</v>
      </c>
      <c r="DB472" s="5">
        <f ca="1">IF(Table1[[#This Row],[County]]="Derbyshire",Table1[[#This Row],[income]],0)</f>
        <v>0</v>
      </c>
      <c r="DD472" s="6">
        <f ca="1">IF(Table1[[#This Row],[Column1]]="Health",Table1[[#This Row],[income]],0)</f>
        <v>0</v>
      </c>
      <c r="DE472" s="20">
        <f ca="1">IF(Table1[[#This Row],[Column1]]="Agriculture",Table1[[#This Row],[income]],0)</f>
        <v>32069</v>
      </c>
      <c r="DF472" s="20">
        <f ca="1">IF(Table1[[#This Row],[Column1]]="Technology",Table1[[#This Row],[income]],0)</f>
        <v>0</v>
      </c>
      <c r="DG472" s="20">
        <f ca="1">IF(Table1[[#This Row],[Column1]]="Social Service",Table1[[#This Row],[income]],0)</f>
        <v>0</v>
      </c>
      <c r="DH472" s="20">
        <f ca="1">IF(Table1[[#This Row],[Column1]]="Education",Table1[[#This Row],[income]],0)</f>
        <v>0</v>
      </c>
      <c r="DI472" s="5">
        <f ca="1">IF(Table1[[#This Row],[Column1]]="Construction",Table1[[#This Row],[income]],0)</f>
        <v>0</v>
      </c>
      <c r="DK472" s="6">
        <f ca="1">IF(Table1[[#This Row],[Value of Debts]]&gt;Table1[[#This Row],[income]],1,0)</f>
        <v>1</v>
      </c>
      <c r="DL472" s="20"/>
      <c r="DM472" s="20"/>
      <c r="DN472" s="5"/>
      <c r="DP472" s="6">
        <f ca="1">IF(Table1[[#This Row],[Net Worth (£)]]&gt;$DS$5,C472,0)</f>
        <v>0</v>
      </c>
      <c r="DQ472" s="20"/>
      <c r="DR472" s="20"/>
      <c r="DS472" s="5"/>
    </row>
    <row r="473" spans="1:123" x14ac:dyDescent="0.2">
      <c r="A473">
        <f t="shared" ca="1" si="22"/>
        <v>1</v>
      </c>
      <c r="B473" s="1" t="str">
        <f ca="1">IF(A473=1, "men", "women")</f>
        <v>men</v>
      </c>
      <c r="C473" s="1">
        <f ca="1">RANDBETWEEN(25,50)</f>
        <v>45</v>
      </c>
      <c r="D473">
        <f ca="1">RANDBETWEEN(1,6)</f>
        <v>6</v>
      </c>
      <c r="E473" t="str">
        <f ca="1">VLOOKUP(D473,$W$5:$X$10,2)</f>
        <v>Agriculture</v>
      </c>
      <c r="F473">
        <f ca="1">RANDBETWEEN(1,5)</f>
        <v>2</v>
      </c>
      <c r="G473" t="str">
        <f ca="1">VLOOKUP(F473,$Y$5:$Z$9,2)</f>
        <v>College</v>
      </c>
      <c r="H473">
        <f ca="1">RANDBETWEEN(0,4)</f>
        <v>4</v>
      </c>
      <c r="I473">
        <f ca="1">RANDBETWEEN(1,3)</f>
        <v>1</v>
      </c>
      <c r="J473">
        <f ca="1">RANDBETWEEN(30000,100000)</f>
        <v>99820</v>
      </c>
      <c r="K473">
        <f ca="1">RANDBETWEEN(1,48)</f>
        <v>39</v>
      </c>
      <c r="L473" t="str">
        <f ca="1">VLOOKUP(K473,$AA$5:$AB$52,2)</f>
        <v>Staffordshire</v>
      </c>
      <c r="M473">
        <f ca="1">J473*(RANDBETWEEN(2,5))</f>
        <v>299460</v>
      </c>
      <c r="N473">
        <f ca="1">RAND()*M473</f>
        <v>16459.476735858578</v>
      </c>
      <c r="O473">
        <f ca="1">I473*RAND()*J473</f>
        <v>80563.615550161281</v>
      </c>
      <c r="P473">
        <f ca="1">RANDBETWEEN(0,O473)</f>
        <v>47119</v>
      </c>
      <c r="Q473">
        <f ca="1">RAND()*J473*2</f>
        <v>185769.25060076869</v>
      </c>
      <c r="R473">
        <f ca="1">RAND()*J473*1.5</f>
        <v>112488.8517014917</v>
      </c>
      <c r="S473">
        <f ca="1">J473+R473+O473</f>
        <v>292872.46725165297</v>
      </c>
      <c r="T473">
        <f ca="1">N473+P473+Q473</f>
        <v>249347.72733662726</v>
      </c>
      <c r="U473">
        <f ca="1">S473-T473</f>
        <v>43524.739915025712</v>
      </c>
      <c r="AC473" s="6">
        <f ca="1">IF(Table1[[#This Row],[gender]]="men",1,0)</f>
        <v>1</v>
      </c>
      <c r="AD473">
        <f ca="1">IF(Table1[[#This Row],[gender]]="women",1,0)</f>
        <v>0</v>
      </c>
      <c r="AH473" s="5"/>
      <c r="AJ473" s="6">
        <f ca="1">IF(Table1[[#This Row],[Column1]]="Health",1,0)</f>
        <v>0</v>
      </c>
      <c r="AK473">
        <f ca="1">IF(Table1[[#This Row],[Column1]]="Construction",1,0)</f>
        <v>0</v>
      </c>
      <c r="AL473">
        <f ca="1">IF(Table1[[#This Row],[Column1]]="Technology",1,0)</f>
        <v>0</v>
      </c>
      <c r="AM473">
        <f ca="1">IF(Table1[[#This Row],[Column1]]="Education",1,0)</f>
        <v>0</v>
      </c>
      <c r="AN473">
        <f ca="1">IF(Table1[[#This Row],[Column1]]="Agriculture",1,0)</f>
        <v>1</v>
      </c>
      <c r="AO473">
        <f ca="1">IF(Table1[[#This Row],[Column1]]="Social Service", 1, 0)</f>
        <v>0</v>
      </c>
      <c r="AT473" s="5"/>
      <c r="AV473" s="17">
        <f t="shared" ca="1" si="21"/>
        <v>78428.29723774243</v>
      </c>
      <c r="AW473" s="5"/>
      <c r="AX473" s="6">
        <f ca="1">IF(Table1[[#This Row],[Value of Debts]]&gt;$AY$4,1,0)</f>
        <v>1</v>
      </c>
      <c r="AY473" s="20"/>
      <c r="AZ473" s="20"/>
      <c r="BA473" s="5"/>
      <c r="BB473" s="25">
        <f ca="1">Table1[[#This Row],[Mortage Left]]/Table1[[#This Row],[Value of House]]</f>
        <v>5.4963857396175042E-2</v>
      </c>
      <c r="BC473" s="20">
        <f t="shared" ca="1" si="23"/>
        <v>1</v>
      </c>
      <c r="BD473" s="20"/>
      <c r="BE473" s="20"/>
      <c r="BF473" s="20"/>
      <c r="BG473" s="6">
        <f ca="1">IF(Table1[[#This Row],[County]]="Cumbria",Table1[[#This Row],[income]],0)</f>
        <v>0</v>
      </c>
      <c r="BH473" s="20">
        <f ca="1">IF(Table1[[#This Row],[County]]="Cheshire",Table1[[#This Row],[income]],0)</f>
        <v>0</v>
      </c>
      <c r="BI473" s="20">
        <f ca="1">IF(Table1[[#This Row],[County]]="Bristol",Table1[[#This Row],[income]],0)</f>
        <v>0</v>
      </c>
      <c r="BJ473" s="20">
        <f ca="1">IF(Table1[[#This Row],[County]]="Surrey",Table1[[#This Row],[income]],0)</f>
        <v>0</v>
      </c>
      <c r="BK473" s="20">
        <f ca="1">IF(Table1[[#This Row],[County]]="Norfolk",Table1[[#This Row],[income]],0)</f>
        <v>0</v>
      </c>
      <c r="BL473" s="20">
        <f ca="1">IF(Table1[[#This Row],[County]]="Lincolnshire",Table1[[#This Row],[income]],0)</f>
        <v>0</v>
      </c>
      <c r="BM473" s="20">
        <f ca="1">IF(Table1[[#This Row],[County]]="Somerset",Table1[[#This Row],[income]],0)</f>
        <v>0</v>
      </c>
      <c r="BN473" s="20">
        <f ca="1">IF(Table1[[#This Row],[County]]="Cambridgeshire",Table1[[#This Row],[income]],0)</f>
        <v>0</v>
      </c>
      <c r="BO473" s="20">
        <f ca="1">IF(Table1[[#This Row],[County]]="South Yorkshire",Table1[[#This Row],[income]],0)</f>
        <v>0</v>
      </c>
      <c r="BP473" s="20">
        <f ca="1">IF(Table1[[#This Row],[County]]="Greater London",Table1[[#This Row],[income]],0)</f>
        <v>0</v>
      </c>
      <c r="BQ473" s="20">
        <f ca="1">IF(Table1[[#This Row],[County]]="Hampshire",Table1[[#This Row],[income]],0)</f>
        <v>0</v>
      </c>
      <c r="BR473" s="20">
        <f ca="1">IF(Table1[[#This Row],[County]]="Gloucestershire",Table1[[#This Row],[income]],0)</f>
        <v>0</v>
      </c>
      <c r="BS473" s="20">
        <f ca="1">IF(Table1[[#This Row],[County]]="West Sussex",Table1[[#This Row],[income]],0)</f>
        <v>0</v>
      </c>
      <c r="BT473" s="20">
        <f ca="1">IF(Table1[[#This Row],[County]]="Devon",Table1[[#This Row],[income]],0)</f>
        <v>0</v>
      </c>
      <c r="BU473" s="20">
        <f ca="1">IF(Table1[[#This Row],[County]]="Berkshire",Table1[[#This Row],[income]],0)</f>
        <v>0</v>
      </c>
      <c r="BV473" s="20">
        <f ca="1">IF(Table1[[#This Row],[County]]="Staffordshire",Table1[[#This Row],[income]],0)</f>
        <v>99820</v>
      </c>
      <c r="BW473" s="20">
        <f ca="1">IF(Table1[[#This Row],[County]]="Leicestershire",Table1[[#This Row],[income]],0)</f>
        <v>0</v>
      </c>
      <c r="BX473" s="20">
        <f ca="1">IF(Table1[[#This Row],[County]]="Cornwall",Table1[[#This Row],[income]],0)</f>
        <v>0</v>
      </c>
      <c r="BY473" s="20">
        <f ca="1">IF(Table1[[#This Row],[County]]="Isle of Wight",Table1[[#This Row],[income]],0)</f>
        <v>0</v>
      </c>
      <c r="BZ473" s="20">
        <f ca="1">IF(Table1[[#This Row],[County]]="Surrey",Table1[[#This Row],[income]],0)</f>
        <v>0</v>
      </c>
      <c r="CA473" s="20">
        <f ca="1">IF(Table1[[#This Row],[County]]="Derbyshire",Table1[[#This Row],[income]],0)</f>
        <v>0</v>
      </c>
      <c r="CB473" s="20">
        <f ca="1">IF(Table1[[#This Row],[County]]="City of London",Table1[[#This Row],[income]],0)</f>
        <v>0</v>
      </c>
      <c r="CC473" s="20">
        <f ca="1">IF(Table1[[#This Row],[County]]="Bedfordshire",Table1[[#This Row],[income]],0)</f>
        <v>0</v>
      </c>
      <c r="CD473" s="20">
        <f ca="1">IF(Table1[[#This Row],[County]]="County Durham",Table1[[#This Row],[income]],0)</f>
        <v>0</v>
      </c>
      <c r="CE473" s="20">
        <f ca="1">IF(Table1[[#This Row],[County]]="East Riding of Yorkshire",Table1[[#This Row],[income]],0)</f>
        <v>0</v>
      </c>
      <c r="CF473" s="20">
        <f ca="1">IF(Table1[[#This Row],[County]]="West Yorkshire",Table1[[#This Row],[income]],0)</f>
        <v>0</v>
      </c>
      <c r="CG473" s="20">
        <f ca="1">IF(Table1[[#This Row],[County]]="Essex",Table1[[#This Row],[income]],0)</f>
        <v>0</v>
      </c>
      <c r="CH473" s="20">
        <f ca="1">IF(Table1[[#This Row],[County]]="East Sussex",Table1[[#This Row],[income]],0)</f>
        <v>0</v>
      </c>
      <c r="CI473" s="20">
        <f ca="1">IF(Table1[[#This Row],[County]]="Greater Manchester",Table1[[#This Row],[income]],0)</f>
        <v>0</v>
      </c>
      <c r="CJ473" s="20">
        <f ca="1">IF(Table1[[#This Row],[County]]="Hertfordshire",Table1[[#This Row],[income]],0)</f>
        <v>0</v>
      </c>
      <c r="CK473" s="20">
        <f ca="1">IF(Table1[[#This Row],[County]]="Herefordshire",Table1[[#This Row],[income]],0)</f>
        <v>0</v>
      </c>
      <c r="CL473" s="20">
        <f ca="1">IF(Table1[[#This Row],[County]]="Lancashire",Table1[[#This Row],[income]],0)</f>
        <v>0</v>
      </c>
      <c r="CM473" s="20">
        <f ca="1">IF(Table1[[#This Row],[County]]="Merseyside",Table1[[#This Row],[income]],0)</f>
        <v>0</v>
      </c>
      <c r="CN473" s="20">
        <f ca="1">IF(Table1[[#This Row],[County]]="Northamptonshire",Table1[[#This Row],[income]],0)</f>
        <v>0</v>
      </c>
      <c r="CO473" s="20">
        <f ca="1">IF(Table1[[#This Row],[County]]="Northumberland",Table1[[#This Row],[income]],0)</f>
        <v>0</v>
      </c>
      <c r="CP473" s="20">
        <f ca="1">IF(Table1[[#This Row],[County]]="Wiltshire",Table1[[#This Row],[income]],0)</f>
        <v>0</v>
      </c>
      <c r="CQ473" s="20">
        <f ca="1">IF(Table1[[#This Row],[County]]="West Midlands",Table1[[#This Row],[income]],0)</f>
        <v>0</v>
      </c>
      <c r="CR473" s="20">
        <f ca="1">IF(Table1[[#This Row],[County]]="Warwickshire",Table1[[#This Row],[income]],0)</f>
        <v>0</v>
      </c>
      <c r="CS473" s="20">
        <f ca="1">IF(Table1[[#This Row],[County]]="Tyne and Wear",Table1[[#This Row],[income]],0)</f>
        <v>0</v>
      </c>
      <c r="CT473" s="20">
        <f ca="1">IF(Table1[[#This Row],[County]]="Worcestershire",Table1[[#This Row],[income]],0)</f>
        <v>0</v>
      </c>
      <c r="CU473" s="20">
        <f ca="1">IF(Table1[[#This Row],[County]]="Rutland",Table1[[#This Row],[income]],0)</f>
        <v>0</v>
      </c>
      <c r="CV473" s="20">
        <f ca="1">IF(Table1[[#This Row],[County]]="Shropshire",Table1[[#This Row],[income]],0)</f>
        <v>0</v>
      </c>
      <c r="CW473" s="20">
        <f ca="1">IF(Table1[[#This Row],[County]]="Dorset",Table1[[#This Row],[income]],0)</f>
        <v>0</v>
      </c>
      <c r="CX473" s="20">
        <f ca="1">IF(Table1[[#This Row],[County]]="Buckinghamshire",Table1[[#This Row],[income]],0)</f>
        <v>0</v>
      </c>
      <c r="CY473" s="20">
        <f ca="1">IF(Table1[[#This Row],[County]]="Suffolk",Table1[[#This Row],[income]],0)</f>
        <v>0</v>
      </c>
      <c r="CZ473" s="20">
        <f ca="1">IF(Table1[[#This Row],[County]]="North Yorkshire",Table1[[#This Row],[income]],0)</f>
        <v>0</v>
      </c>
      <c r="DA473" s="20">
        <f ca="1">IF(Table1[[#This Row],[County]]="Kent",Table1[[#This Row],[income]],0)</f>
        <v>0</v>
      </c>
      <c r="DB473" s="5">
        <f ca="1">IF(Table1[[#This Row],[County]]="Derbyshire",Table1[[#This Row],[income]],0)</f>
        <v>0</v>
      </c>
      <c r="DD473" s="6">
        <f ca="1">IF(Table1[[#This Row],[Column1]]="Health",Table1[[#This Row],[income]],0)</f>
        <v>0</v>
      </c>
      <c r="DE473" s="20">
        <f ca="1">IF(Table1[[#This Row],[Column1]]="Agriculture",Table1[[#This Row],[income]],0)</f>
        <v>99820</v>
      </c>
      <c r="DF473" s="20">
        <f ca="1">IF(Table1[[#This Row],[Column1]]="Technology",Table1[[#This Row],[income]],0)</f>
        <v>0</v>
      </c>
      <c r="DG473" s="20">
        <f ca="1">IF(Table1[[#This Row],[Column1]]="Social Service",Table1[[#This Row],[income]],0)</f>
        <v>0</v>
      </c>
      <c r="DH473" s="20">
        <f ca="1">IF(Table1[[#This Row],[Column1]]="Education",Table1[[#This Row],[income]],0)</f>
        <v>0</v>
      </c>
      <c r="DI473" s="5">
        <f ca="1">IF(Table1[[#This Row],[Column1]]="Construction",Table1[[#This Row],[income]],0)</f>
        <v>0</v>
      </c>
      <c r="DK473" s="6">
        <f ca="1">IF(Table1[[#This Row],[Value of Debts]]&gt;Table1[[#This Row],[income]],1,0)</f>
        <v>1</v>
      </c>
      <c r="DL473" s="20"/>
      <c r="DM473" s="20"/>
      <c r="DN473" s="5"/>
      <c r="DP473" s="6">
        <f ca="1">IF(Table1[[#This Row],[Net Worth (£)]]&gt;$DS$5,C473,0)</f>
        <v>0</v>
      </c>
      <c r="DQ473" s="20"/>
      <c r="DR473" s="20"/>
      <c r="DS473" s="5"/>
    </row>
    <row r="474" spans="1:123" x14ac:dyDescent="0.2">
      <c r="A474">
        <f t="shared" ca="1" si="22"/>
        <v>2</v>
      </c>
      <c r="B474" s="1" t="str">
        <f ca="1">IF(A474=1, "men", "women")</f>
        <v>women</v>
      </c>
      <c r="C474" s="1">
        <f ca="1">RANDBETWEEN(25,50)</f>
        <v>35</v>
      </c>
      <c r="D474">
        <f ca="1">RANDBETWEEN(1,6)</f>
        <v>4</v>
      </c>
      <c r="E474" t="str">
        <f ca="1">VLOOKUP(D474,$W$5:$X$10,2)</f>
        <v>Technology</v>
      </c>
      <c r="F474">
        <f ca="1">RANDBETWEEN(1,5)</f>
        <v>5</v>
      </c>
      <c r="G474" t="str">
        <f ca="1">VLOOKUP(F474,$Y$5:$Z$9,2)</f>
        <v>Other</v>
      </c>
      <c r="H474">
        <f ca="1">RANDBETWEEN(0,4)</f>
        <v>1</v>
      </c>
      <c r="I474">
        <f ca="1">RANDBETWEEN(1,3)</f>
        <v>1</v>
      </c>
      <c r="J474">
        <f ca="1">RANDBETWEEN(30000,100000)</f>
        <v>80080</v>
      </c>
      <c r="K474">
        <f ca="1">RANDBETWEEN(1,48)</f>
        <v>31</v>
      </c>
      <c r="L474" t="str">
        <f ca="1">VLOOKUP(K474,$AA$5:$AB$52,2)</f>
        <v>Northamptonshire</v>
      </c>
      <c r="M474">
        <f ca="1">J474*(RANDBETWEEN(2,5))</f>
        <v>160160</v>
      </c>
      <c r="N474">
        <f ca="1">RAND()*M474</f>
        <v>38856.006039142252</v>
      </c>
      <c r="O474">
        <f ca="1">I474*RAND()*J474</f>
        <v>78428.29723774243</v>
      </c>
      <c r="P474">
        <f ca="1">RANDBETWEEN(0,O474)</f>
        <v>8825</v>
      </c>
      <c r="Q474">
        <f ca="1">RAND()*J474*2</f>
        <v>51568.641030613806</v>
      </c>
      <c r="R474">
        <f ca="1">RAND()*J474*1.5</f>
        <v>48432.141132164841</v>
      </c>
      <c r="S474">
        <f ca="1">J474+R474+O474</f>
        <v>206940.43836990726</v>
      </c>
      <c r="T474">
        <f ca="1">N474+P474+Q474</f>
        <v>99249.647069756058</v>
      </c>
      <c r="U474">
        <f ca="1">S474-T474</f>
        <v>107690.79130015121</v>
      </c>
      <c r="AC474" s="6">
        <f ca="1">IF(Table1[[#This Row],[gender]]="men",1,0)</f>
        <v>0</v>
      </c>
      <c r="AD474">
        <f ca="1">IF(Table1[[#This Row],[gender]]="women",1,0)</f>
        <v>1</v>
      </c>
      <c r="AH474" s="5"/>
      <c r="AJ474" s="6">
        <f ca="1">IF(Table1[[#This Row],[Column1]]="Health",1,0)</f>
        <v>0</v>
      </c>
      <c r="AK474">
        <f ca="1">IF(Table1[[#This Row],[Column1]]="Construction",1,0)</f>
        <v>0</v>
      </c>
      <c r="AL474">
        <f ca="1">IF(Table1[[#This Row],[Column1]]="Technology",1,0)</f>
        <v>1</v>
      </c>
      <c r="AM474">
        <f ca="1">IF(Table1[[#This Row],[Column1]]="Education",1,0)</f>
        <v>0</v>
      </c>
      <c r="AN474">
        <f ca="1">IF(Table1[[#This Row],[Column1]]="Agriculture",1,0)</f>
        <v>0</v>
      </c>
      <c r="AO474">
        <f ca="1">IF(Table1[[#This Row],[Column1]]="Social Service", 1, 0)</f>
        <v>0</v>
      </c>
      <c r="AT474" s="5"/>
      <c r="AV474" s="17">
        <f t="shared" ca="1" si="21"/>
        <v>47824.443168012287</v>
      </c>
      <c r="AW474" s="5"/>
      <c r="AX474" s="6">
        <f ca="1">IF(Table1[[#This Row],[Value of Debts]]&gt;$AY$4,1,0)</f>
        <v>0</v>
      </c>
      <c r="AY474" s="20"/>
      <c r="AZ474" s="20"/>
      <c r="BA474" s="5"/>
      <c r="BB474" s="25">
        <f ca="1">Table1[[#This Row],[Mortage Left]]/Table1[[#This Row],[Value of House]]</f>
        <v>0.24260743031432475</v>
      </c>
      <c r="BC474" s="20">
        <f t="shared" ca="1" si="23"/>
        <v>1</v>
      </c>
      <c r="BD474" s="20"/>
      <c r="BE474" s="20"/>
      <c r="BF474" s="20"/>
      <c r="BG474" s="6">
        <f ca="1">IF(Table1[[#This Row],[County]]="Cumbria",Table1[[#This Row],[income]],0)</f>
        <v>0</v>
      </c>
      <c r="BH474" s="20">
        <f ca="1">IF(Table1[[#This Row],[County]]="Cheshire",Table1[[#This Row],[income]],0)</f>
        <v>0</v>
      </c>
      <c r="BI474" s="20">
        <f ca="1">IF(Table1[[#This Row],[County]]="Bristol",Table1[[#This Row],[income]],0)</f>
        <v>0</v>
      </c>
      <c r="BJ474" s="20">
        <f ca="1">IF(Table1[[#This Row],[County]]="Surrey",Table1[[#This Row],[income]],0)</f>
        <v>0</v>
      </c>
      <c r="BK474" s="20">
        <f ca="1">IF(Table1[[#This Row],[County]]="Norfolk",Table1[[#This Row],[income]],0)</f>
        <v>0</v>
      </c>
      <c r="BL474" s="20">
        <f ca="1">IF(Table1[[#This Row],[County]]="Lincolnshire",Table1[[#This Row],[income]],0)</f>
        <v>0</v>
      </c>
      <c r="BM474" s="20">
        <f ca="1">IF(Table1[[#This Row],[County]]="Somerset",Table1[[#This Row],[income]],0)</f>
        <v>0</v>
      </c>
      <c r="BN474" s="20">
        <f ca="1">IF(Table1[[#This Row],[County]]="Cambridgeshire",Table1[[#This Row],[income]],0)</f>
        <v>0</v>
      </c>
      <c r="BO474" s="20">
        <f ca="1">IF(Table1[[#This Row],[County]]="South Yorkshire",Table1[[#This Row],[income]],0)</f>
        <v>0</v>
      </c>
      <c r="BP474" s="20">
        <f ca="1">IF(Table1[[#This Row],[County]]="Greater London",Table1[[#This Row],[income]],0)</f>
        <v>0</v>
      </c>
      <c r="BQ474" s="20">
        <f ca="1">IF(Table1[[#This Row],[County]]="Hampshire",Table1[[#This Row],[income]],0)</f>
        <v>0</v>
      </c>
      <c r="BR474" s="20">
        <f ca="1">IF(Table1[[#This Row],[County]]="Gloucestershire",Table1[[#This Row],[income]],0)</f>
        <v>0</v>
      </c>
      <c r="BS474" s="20">
        <f ca="1">IF(Table1[[#This Row],[County]]="West Sussex",Table1[[#This Row],[income]],0)</f>
        <v>0</v>
      </c>
      <c r="BT474" s="20">
        <f ca="1">IF(Table1[[#This Row],[County]]="Devon",Table1[[#This Row],[income]],0)</f>
        <v>0</v>
      </c>
      <c r="BU474" s="20">
        <f ca="1">IF(Table1[[#This Row],[County]]="Berkshire",Table1[[#This Row],[income]],0)</f>
        <v>0</v>
      </c>
      <c r="BV474" s="20">
        <f ca="1">IF(Table1[[#This Row],[County]]="Staffordshire",Table1[[#This Row],[income]],0)</f>
        <v>0</v>
      </c>
      <c r="BW474" s="20">
        <f ca="1">IF(Table1[[#This Row],[County]]="Leicestershire",Table1[[#This Row],[income]],0)</f>
        <v>0</v>
      </c>
      <c r="BX474" s="20">
        <f ca="1">IF(Table1[[#This Row],[County]]="Cornwall",Table1[[#This Row],[income]],0)</f>
        <v>0</v>
      </c>
      <c r="BY474" s="20">
        <f ca="1">IF(Table1[[#This Row],[County]]="Isle of Wight",Table1[[#This Row],[income]],0)</f>
        <v>0</v>
      </c>
      <c r="BZ474" s="20">
        <f ca="1">IF(Table1[[#This Row],[County]]="Surrey",Table1[[#This Row],[income]],0)</f>
        <v>0</v>
      </c>
      <c r="CA474" s="20">
        <f ca="1">IF(Table1[[#This Row],[County]]="Derbyshire",Table1[[#This Row],[income]],0)</f>
        <v>0</v>
      </c>
      <c r="CB474" s="20">
        <f ca="1">IF(Table1[[#This Row],[County]]="City of London",Table1[[#This Row],[income]],0)</f>
        <v>0</v>
      </c>
      <c r="CC474" s="20">
        <f ca="1">IF(Table1[[#This Row],[County]]="Bedfordshire",Table1[[#This Row],[income]],0)</f>
        <v>0</v>
      </c>
      <c r="CD474" s="20">
        <f ca="1">IF(Table1[[#This Row],[County]]="County Durham",Table1[[#This Row],[income]],0)</f>
        <v>0</v>
      </c>
      <c r="CE474" s="20">
        <f ca="1">IF(Table1[[#This Row],[County]]="East Riding of Yorkshire",Table1[[#This Row],[income]],0)</f>
        <v>0</v>
      </c>
      <c r="CF474" s="20">
        <f ca="1">IF(Table1[[#This Row],[County]]="West Yorkshire",Table1[[#This Row],[income]],0)</f>
        <v>0</v>
      </c>
      <c r="CG474" s="20">
        <f ca="1">IF(Table1[[#This Row],[County]]="Essex",Table1[[#This Row],[income]],0)</f>
        <v>0</v>
      </c>
      <c r="CH474" s="20">
        <f ca="1">IF(Table1[[#This Row],[County]]="East Sussex",Table1[[#This Row],[income]],0)</f>
        <v>0</v>
      </c>
      <c r="CI474" s="20">
        <f ca="1">IF(Table1[[#This Row],[County]]="Greater Manchester",Table1[[#This Row],[income]],0)</f>
        <v>0</v>
      </c>
      <c r="CJ474" s="20">
        <f ca="1">IF(Table1[[#This Row],[County]]="Hertfordshire",Table1[[#This Row],[income]],0)</f>
        <v>0</v>
      </c>
      <c r="CK474" s="20">
        <f ca="1">IF(Table1[[#This Row],[County]]="Herefordshire",Table1[[#This Row],[income]],0)</f>
        <v>0</v>
      </c>
      <c r="CL474" s="20">
        <f ca="1">IF(Table1[[#This Row],[County]]="Lancashire",Table1[[#This Row],[income]],0)</f>
        <v>0</v>
      </c>
      <c r="CM474" s="20">
        <f ca="1">IF(Table1[[#This Row],[County]]="Merseyside",Table1[[#This Row],[income]],0)</f>
        <v>0</v>
      </c>
      <c r="CN474" s="20">
        <f ca="1">IF(Table1[[#This Row],[County]]="Northamptonshire",Table1[[#This Row],[income]],0)</f>
        <v>80080</v>
      </c>
      <c r="CO474" s="20">
        <f ca="1">IF(Table1[[#This Row],[County]]="Northumberland",Table1[[#This Row],[income]],0)</f>
        <v>0</v>
      </c>
      <c r="CP474" s="20">
        <f ca="1">IF(Table1[[#This Row],[County]]="Wiltshire",Table1[[#This Row],[income]],0)</f>
        <v>0</v>
      </c>
      <c r="CQ474" s="20">
        <f ca="1">IF(Table1[[#This Row],[County]]="West Midlands",Table1[[#This Row],[income]],0)</f>
        <v>0</v>
      </c>
      <c r="CR474" s="20">
        <f ca="1">IF(Table1[[#This Row],[County]]="Warwickshire",Table1[[#This Row],[income]],0)</f>
        <v>0</v>
      </c>
      <c r="CS474" s="20">
        <f ca="1">IF(Table1[[#This Row],[County]]="Tyne and Wear",Table1[[#This Row],[income]],0)</f>
        <v>0</v>
      </c>
      <c r="CT474" s="20">
        <f ca="1">IF(Table1[[#This Row],[County]]="Worcestershire",Table1[[#This Row],[income]],0)</f>
        <v>0</v>
      </c>
      <c r="CU474" s="20">
        <f ca="1">IF(Table1[[#This Row],[County]]="Rutland",Table1[[#This Row],[income]],0)</f>
        <v>0</v>
      </c>
      <c r="CV474" s="20">
        <f ca="1">IF(Table1[[#This Row],[County]]="Shropshire",Table1[[#This Row],[income]],0)</f>
        <v>0</v>
      </c>
      <c r="CW474" s="20">
        <f ca="1">IF(Table1[[#This Row],[County]]="Dorset",Table1[[#This Row],[income]],0)</f>
        <v>0</v>
      </c>
      <c r="CX474" s="20">
        <f ca="1">IF(Table1[[#This Row],[County]]="Buckinghamshire",Table1[[#This Row],[income]],0)</f>
        <v>0</v>
      </c>
      <c r="CY474" s="20">
        <f ca="1">IF(Table1[[#This Row],[County]]="Suffolk",Table1[[#This Row],[income]],0)</f>
        <v>0</v>
      </c>
      <c r="CZ474" s="20">
        <f ca="1">IF(Table1[[#This Row],[County]]="North Yorkshire",Table1[[#This Row],[income]],0)</f>
        <v>0</v>
      </c>
      <c r="DA474" s="20">
        <f ca="1">IF(Table1[[#This Row],[County]]="Kent",Table1[[#This Row],[income]],0)</f>
        <v>0</v>
      </c>
      <c r="DB474" s="5">
        <f ca="1">IF(Table1[[#This Row],[County]]="Derbyshire",Table1[[#This Row],[income]],0)</f>
        <v>0</v>
      </c>
      <c r="DD474" s="6">
        <f ca="1">IF(Table1[[#This Row],[Column1]]="Health",Table1[[#This Row],[income]],0)</f>
        <v>0</v>
      </c>
      <c r="DE474" s="20">
        <f ca="1">IF(Table1[[#This Row],[Column1]]="Agriculture",Table1[[#This Row],[income]],0)</f>
        <v>0</v>
      </c>
      <c r="DF474" s="20">
        <f ca="1">IF(Table1[[#This Row],[Column1]]="Technology",Table1[[#This Row],[income]],0)</f>
        <v>80080</v>
      </c>
      <c r="DG474" s="20">
        <f ca="1">IF(Table1[[#This Row],[Column1]]="Social Service",Table1[[#This Row],[income]],0)</f>
        <v>0</v>
      </c>
      <c r="DH474" s="20">
        <f ca="1">IF(Table1[[#This Row],[Column1]]="Education",Table1[[#This Row],[income]],0)</f>
        <v>0</v>
      </c>
      <c r="DI474" s="5">
        <f ca="1">IF(Table1[[#This Row],[Column1]]="Construction",Table1[[#This Row],[income]],0)</f>
        <v>0</v>
      </c>
      <c r="DK474" s="6">
        <f ca="1">IF(Table1[[#This Row],[Value of Debts]]&gt;Table1[[#This Row],[income]],1,0)</f>
        <v>1</v>
      </c>
      <c r="DL474" s="20"/>
      <c r="DM474" s="20"/>
      <c r="DN474" s="5"/>
      <c r="DP474" s="6">
        <f ca="1">IF(Table1[[#This Row],[Net Worth (£)]]&gt;$DS$5,C474,0)</f>
        <v>35</v>
      </c>
      <c r="DQ474" s="20"/>
      <c r="DR474" s="20"/>
      <c r="DS474" s="5"/>
    </row>
    <row r="475" spans="1:123" x14ac:dyDescent="0.2">
      <c r="A475">
        <f t="shared" ca="1" si="22"/>
        <v>1</v>
      </c>
      <c r="B475" s="1" t="str">
        <f ca="1">IF(A475=1, "men", "women")</f>
        <v>men</v>
      </c>
      <c r="C475" s="1">
        <f ca="1">RANDBETWEEN(25,50)</f>
        <v>46</v>
      </c>
      <c r="D475">
        <f ca="1">RANDBETWEEN(1,6)</f>
        <v>5</v>
      </c>
      <c r="E475" t="str">
        <f ca="1">VLOOKUP(D475,$W$5:$X$10,2)</f>
        <v>Social Service</v>
      </c>
      <c r="F475">
        <f ca="1">RANDBETWEEN(1,5)</f>
        <v>4</v>
      </c>
      <c r="G475" t="str">
        <f ca="1">VLOOKUP(F475,$Y$5:$Z$9,2)</f>
        <v xml:space="preserve">Technical </v>
      </c>
      <c r="H475">
        <f ca="1">RANDBETWEEN(0,4)</f>
        <v>0</v>
      </c>
      <c r="I475">
        <f ca="1">RANDBETWEEN(1,3)</f>
        <v>3</v>
      </c>
      <c r="J475">
        <f ca="1">RANDBETWEEN(30000,100000)</f>
        <v>60417</v>
      </c>
      <c r="K475">
        <f ca="1">RANDBETWEEN(1,48)</f>
        <v>48</v>
      </c>
      <c r="L475" t="str">
        <f ca="1">VLOOKUP(K475,$AA$5:$AB$52,2)</f>
        <v>Worcestershire</v>
      </c>
      <c r="M475">
        <f ca="1">J475*(RANDBETWEEN(2,5))</f>
        <v>302085</v>
      </c>
      <c r="N475">
        <f ca="1">RAND()*M475</f>
        <v>17169.480882290431</v>
      </c>
      <c r="O475">
        <f ca="1">I475*RAND()*J475</f>
        <v>143473.32950403687</v>
      </c>
      <c r="P475">
        <f ca="1">RANDBETWEEN(0,O475)</f>
        <v>65560</v>
      </c>
      <c r="Q475">
        <f ca="1">RAND()*J475*2</f>
        <v>113822.38358030813</v>
      </c>
      <c r="R475">
        <f ca="1">RAND()*J475*1.5</f>
        <v>87214.379925685527</v>
      </c>
      <c r="S475">
        <f ca="1">J475+R475+O475</f>
        <v>291104.7094297224</v>
      </c>
      <c r="T475">
        <f ca="1">N475+P475+Q475</f>
        <v>196551.86446259858</v>
      </c>
      <c r="U475">
        <f ca="1">S475-T475</f>
        <v>94552.84496712382</v>
      </c>
      <c r="AC475" s="6">
        <f ca="1">IF(Table1[[#This Row],[gender]]="men",1,0)</f>
        <v>1</v>
      </c>
      <c r="AD475">
        <f ca="1">IF(Table1[[#This Row],[gender]]="women",1,0)</f>
        <v>0</v>
      </c>
      <c r="AH475" s="5"/>
      <c r="AJ475" s="6">
        <f ca="1">IF(Table1[[#This Row],[Column1]]="Health",1,0)</f>
        <v>0</v>
      </c>
      <c r="AK475">
        <f ca="1">IF(Table1[[#This Row],[Column1]]="Construction",1,0)</f>
        <v>0</v>
      </c>
      <c r="AL475">
        <f ca="1">IF(Table1[[#This Row],[Column1]]="Technology",1,0)</f>
        <v>0</v>
      </c>
      <c r="AM475">
        <f ca="1">IF(Table1[[#This Row],[Column1]]="Education",1,0)</f>
        <v>0</v>
      </c>
      <c r="AN475">
        <f ca="1">IF(Table1[[#This Row],[Column1]]="Agriculture",1,0)</f>
        <v>0</v>
      </c>
      <c r="AO475">
        <f ca="1">IF(Table1[[#This Row],[Column1]]="Social Service", 1, 0)</f>
        <v>1</v>
      </c>
      <c r="AT475" s="5"/>
      <c r="AV475" s="17">
        <f t="shared" ca="1" si="21"/>
        <v>31387.833193965656</v>
      </c>
      <c r="AW475" s="5"/>
      <c r="AX475" s="6">
        <f ca="1">IF(Table1[[#This Row],[Value of Debts]]&gt;$AY$4,1,0)</f>
        <v>1</v>
      </c>
      <c r="AY475" s="20"/>
      <c r="AZ475" s="20"/>
      <c r="BA475" s="5"/>
      <c r="BB475" s="25">
        <f ca="1">Table1[[#This Row],[Mortage Left]]/Table1[[#This Row],[Value of House]]</f>
        <v>5.6836588649851631E-2</v>
      </c>
      <c r="BC475" s="20">
        <f t="shared" ca="1" si="23"/>
        <v>1</v>
      </c>
      <c r="BD475" s="20"/>
      <c r="BE475" s="20"/>
      <c r="BF475" s="20"/>
      <c r="BG475" s="6">
        <f ca="1">IF(Table1[[#This Row],[County]]="Cumbria",Table1[[#This Row],[income]],0)</f>
        <v>0</v>
      </c>
      <c r="BH475" s="20">
        <f ca="1">IF(Table1[[#This Row],[County]]="Cheshire",Table1[[#This Row],[income]],0)</f>
        <v>0</v>
      </c>
      <c r="BI475" s="20">
        <f ca="1">IF(Table1[[#This Row],[County]]="Bristol",Table1[[#This Row],[income]],0)</f>
        <v>0</v>
      </c>
      <c r="BJ475" s="20">
        <f ca="1">IF(Table1[[#This Row],[County]]="Surrey",Table1[[#This Row],[income]],0)</f>
        <v>0</v>
      </c>
      <c r="BK475" s="20">
        <f ca="1">IF(Table1[[#This Row],[County]]="Norfolk",Table1[[#This Row],[income]],0)</f>
        <v>0</v>
      </c>
      <c r="BL475" s="20">
        <f ca="1">IF(Table1[[#This Row],[County]]="Lincolnshire",Table1[[#This Row],[income]],0)</f>
        <v>0</v>
      </c>
      <c r="BM475" s="20">
        <f ca="1">IF(Table1[[#This Row],[County]]="Somerset",Table1[[#This Row],[income]],0)</f>
        <v>0</v>
      </c>
      <c r="BN475" s="20">
        <f ca="1">IF(Table1[[#This Row],[County]]="Cambridgeshire",Table1[[#This Row],[income]],0)</f>
        <v>0</v>
      </c>
      <c r="BO475" s="20">
        <f ca="1">IF(Table1[[#This Row],[County]]="South Yorkshire",Table1[[#This Row],[income]],0)</f>
        <v>0</v>
      </c>
      <c r="BP475" s="20">
        <f ca="1">IF(Table1[[#This Row],[County]]="Greater London",Table1[[#This Row],[income]],0)</f>
        <v>0</v>
      </c>
      <c r="BQ475" s="20">
        <f ca="1">IF(Table1[[#This Row],[County]]="Hampshire",Table1[[#This Row],[income]],0)</f>
        <v>0</v>
      </c>
      <c r="BR475" s="20">
        <f ca="1">IF(Table1[[#This Row],[County]]="Gloucestershire",Table1[[#This Row],[income]],0)</f>
        <v>0</v>
      </c>
      <c r="BS475" s="20">
        <f ca="1">IF(Table1[[#This Row],[County]]="West Sussex",Table1[[#This Row],[income]],0)</f>
        <v>0</v>
      </c>
      <c r="BT475" s="20">
        <f ca="1">IF(Table1[[#This Row],[County]]="Devon",Table1[[#This Row],[income]],0)</f>
        <v>0</v>
      </c>
      <c r="BU475" s="20">
        <f ca="1">IF(Table1[[#This Row],[County]]="Berkshire",Table1[[#This Row],[income]],0)</f>
        <v>0</v>
      </c>
      <c r="BV475" s="20">
        <f ca="1">IF(Table1[[#This Row],[County]]="Staffordshire",Table1[[#This Row],[income]],0)</f>
        <v>0</v>
      </c>
      <c r="BW475" s="20">
        <f ca="1">IF(Table1[[#This Row],[County]]="Leicestershire",Table1[[#This Row],[income]],0)</f>
        <v>0</v>
      </c>
      <c r="BX475" s="20">
        <f ca="1">IF(Table1[[#This Row],[County]]="Cornwall",Table1[[#This Row],[income]],0)</f>
        <v>0</v>
      </c>
      <c r="BY475" s="20">
        <f ca="1">IF(Table1[[#This Row],[County]]="Isle of Wight",Table1[[#This Row],[income]],0)</f>
        <v>0</v>
      </c>
      <c r="BZ475" s="20">
        <f ca="1">IF(Table1[[#This Row],[County]]="Surrey",Table1[[#This Row],[income]],0)</f>
        <v>0</v>
      </c>
      <c r="CA475" s="20">
        <f ca="1">IF(Table1[[#This Row],[County]]="Derbyshire",Table1[[#This Row],[income]],0)</f>
        <v>0</v>
      </c>
      <c r="CB475" s="20">
        <f ca="1">IF(Table1[[#This Row],[County]]="City of London",Table1[[#This Row],[income]],0)</f>
        <v>0</v>
      </c>
      <c r="CC475" s="20">
        <f ca="1">IF(Table1[[#This Row],[County]]="Bedfordshire",Table1[[#This Row],[income]],0)</f>
        <v>0</v>
      </c>
      <c r="CD475" s="20">
        <f ca="1">IF(Table1[[#This Row],[County]]="County Durham",Table1[[#This Row],[income]],0)</f>
        <v>0</v>
      </c>
      <c r="CE475" s="20">
        <f ca="1">IF(Table1[[#This Row],[County]]="East Riding of Yorkshire",Table1[[#This Row],[income]],0)</f>
        <v>0</v>
      </c>
      <c r="CF475" s="20">
        <f ca="1">IF(Table1[[#This Row],[County]]="West Yorkshire",Table1[[#This Row],[income]],0)</f>
        <v>0</v>
      </c>
      <c r="CG475" s="20">
        <f ca="1">IF(Table1[[#This Row],[County]]="Essex",Table1[[#This Row],[income]],0)</f>
        <v>0</v>
      </c>
      <c r="CH475" s="20">
        <f ca="1">IF(Table1[[#This Row],[County]]="East Sussex",Table1[[#This Row],[income]],0)</f>
        <v>0</v>
      </c>
      <c r="CI475" s="20">
        <f ca="1">IF(Table1[[#This Row],[County]]="Greater Manchester",Table1[[#This Row],[income]],0)</f>
        <v>0</v>
      </c>
      <c r="CJ475" s="20">
        <f ca="1">IF(Table1[[#This Row],[County]]="Hertfordshire",Table1[[#This Row],[income]],0)</f>
        <v>0</v>
      </c>
      <c r="CK475" s="20">
        <f ca="1">IF(Table1[[#This Row],[County]]="Herefordshire",Table1[[#This Row],[income]],0)</f>
        <v>0</v>
      </c>
      <c r="CL475" s="20">
        <f ca="1">IF(Table1[[#This Row],[County]]="Lancashire",Table1[[#This Row],[income]],0)</f>
        <v>0</v>
      </c>
      <c r="CM475" s="20">
        <f ca="1">IF(Table1[[#This Row],[County]]="Merseyside",Table1[[#This Row],[income]],0)</f>
        <v>0</v>
      </c>
      <c r="CN475" s="20">
        <f ca="1">IF(Table1[[#This Row],[County]]="Northamptonshire",Table1[[#This Row],[income]],0)</f>
        <v>0</v>
      </c>
      <c r="CO475" s="20">
        <f ca="1">IF(Table1[[#This Row],[County]]="Northumberland",Table1[[#This Row],[income]],0)</f>
        <v>0</v>
      </c>
      <c r="CP475" s="20">
        <f ca="1">IF(Table1[[#This Row],[County]]="Wiltshire",Table1[[#This Row],[income]],0)</f>
        <v>0</v>
      </c>
      <c r="CQ475" s="20">
        <f ca="1">IF(Table1[[#This Row],[County]]="West Midlands",Table1[[#This Row],[income]],0)</f>
        <v>0</v>
      </c>
      <c r="CR475" s="20">
        <f ca="1">IF(Table1[[#This Row],[County]]="Warwickshire",Table1[[#This Row],[income]],0)</f>
        <v>0</v>
      </c>
      <c r="CS475" s="20">
        <f ca="1">IF(Table1[[#This Row],[County]]="Tyne and Wear",Table1[[#This Row],[income]],0)</f>
        <v>0</v>
      </c>
      <c r="CT475" s="20">
        <f ca="1">IF(Table1[[#This Row],[County]]="Worcestershire",Table1[[#This Row],[income]],0)</f>
        <v>60417</v>
      </c>
      <c r="CU475" s="20">
        <f ca="1">IF(Table1[[#This Row],[County]]="Rutland",Table1[[#This Row],[income]],0)</f>
        <v>0</v>
      </c>
      <c r="CV475" s="20">
        <f ca="1">IF(Table1[[#This Row],[County]]="Shropshire",Table1[[#This Row],[income]],0)</f>
        <v>0</v>
      </c>
      <c r="CW475" s="20">
        <f ca="1">IF(Table1[[#This Row],[County]]="Dorset",Table1[[#This Row],[income]],0)</f>
        <v>0</v>
      </c>
      <c r="CX475" s="20">
        <f ca="1">IF(Table1[[#This Row],[County]]="Buckinghamshire",Table1[[#This Row],[income]],0)</f>
        <v>0</v>
      </c>
      <c r="CY475" s="20">
        <f ca="1">IF(Table1[[#This Row],[County]]="Suffolk",Table1[[#This Row],[income]],0)</f>
        <v>0</v>
      </c>
      <c r="CZ475" s="20">
        <f ca="1">IF(Table1[[#This Row],[County]]="North Yorkshire",Table1[[#This Row],[income]],0)</f>
        <v>0</v>
      </c>
      <c r="DA475" s="20">
        <f ca="1">IF(Table1[[#This Row],[County]]="Kent",Table1[[#This Row],[income]],0)</f>
        <v>0</v>
      </c>
      <c r="DB475" s="5">
        <f ca="1">IF(Table1[[#This Row],[County]]="Derbyshire",Table1[[#This Row],[income]],0)</f>
        <v>0</v>
      </c>
      <c r="DD475" s="6">
        <f ca="1">IF(Table1[[#This Row],[Column1]]="Health",Table1[[#This Row],[income]],0)</f>
        <v>0</v>
      </c>
      <c r="DE475" s="20">
        <f ca="1">IF(Table1[[#This Row],[Column1]]="Agriculture",Table1[[#This Row],[income]],0)</f>
        <v>0</v>
      </c>
      <c r="DF475" s="20">
        <f ca="1">IF(Table1[[#This Row],[Column1]]="Technology",Table1[[#This Row],[income]],0)</f>
        <v>0</v>
      </c>
      <c r="DG475" s="20">
        <f ca="1">IF(Table1[[#This Row],[Column1]]="Social Service",Table1[[#This Row],[income]],0)</f>
        <v>60417</v>
      </c>
      <c r="DH475" s="20">
        <f ca="1">IF(Table1[[#This Row],[Column1]]="Education",Table1[[#This Row],[income]],0)</f>
        <v>0</v>
      </c>
      <c r="DI475" s="5">
        <f ca="1">IF(Table1[[#This Row],[Column1]]="Construction",Table1[[#This Row],[income]],0)</f>
        <v>0</v>
      </c>
      <c r="DK475" s="6">
        <f ca="1">IF(Table1[[#This Row],[Value of Debts]]&gt;Table1[[#This Row],[income]],1,0)</f>
        <v>1</v>
      </c>
      <c r="DL475" s="20"/>
      <c r="DM475" s="20"/>
      <c r="DN475" s="5"/>
      <c r="DP475" s="6">
        <f ca="1">IF(Table1[[#This Row],[Net Worth (£)]]&gt;$DS$5,C475,0)</f>
        <v>46</v>
      </c>
      <c r="DQ475" s="20"/>
      <c r="DR475" s="20"/>
      <c r="DS475" s="5"/>
    </row>
    <row r="476" spans="1:123" x14ac:dyDescent="0.2">
      <c r="A476">
        <f t="shared" ca="1" si="22"/>
        <v>2</v>
      </c>
      <c r="B476" s="1" t="str">
        <f ca="1">IF(A476=1, "men", "women")</f>
        <v>women</v>
      </c>
      <c r="C476" s="1">
        <f ca="1">RANDBETWEEN(25,50)</f>
        <v>38</v>
      </c>
      <c r="D476">
        <f ca="1">RANDBETWEEN(1,6)</f>
        <v>5</v>
      </c>
      <c r="E476" t="str">
        <f ca="1">VLOOKUP(D476,$W$5:$X$10,2)</f>
        <v>Social Service</v>
      </c>
      <c r="F476">
        <f ca="1">RANDBETWEEN(1,5)</f>
        <v>4</v>
      </c>
      <c r="G476" t="str">
        <f ca="1">VLOOKUP(F476,$Y$5:$Z$9,2)</f>
        <v xml:space="preserve">Technical </v>
      </c>
      <c r="H476">
        <f ca="1">RANDBETWEEN(0,4)</f>
        <v>2</v>
      </c>
      <c r="I476">
        <f ca="1">RANDBETWEEN(1,3)</f>
        <v>1</v>
      </c>
      <c r="J476">
        <f ca="1">RANDBETWEEN(30000,100000)</f>
        <v>36397</v>
      </c>
      <c r="K476">
        <f ca="1">RANDBETWEEN(1,48)</f>
        <v>7</v>
      </c>
      <c r="L476" t="str">
        <f ca="1">VLOOKUP(K476,$AA$5:$AB$52,2)</f>
        <v>City of London</v>
      </c>
      <c r="M476">
        <f ca="1">J476*(RANDBETWEEN(2,5))</f>
        <v>145588</v>
      </c>
      <c r="N476">
        <f ca="1">RAND()*M476</f>
        <v>134868.07254456345</v>
      </c>
      <c r="O476">
        <f ca="1">I476*RAND()*J476</f>
        <v>31387.833193965656</v>
      </c>
      <c r="P476">
        <f ca="1">RANDBETWEEN(0,O476)</f>
        <v>26932</v>
      </c>
      <c r="Q476">
        <f ca="1">RAND()*J476*2</f>
        <v>33070.22815438734</v>
      </c>
      <c r="R476">
        <f ca="1">RAND()*J476*1.5</f>
        <v>11011.755604291664</v>
      </c>
      <c r="S476">
        <f ca="1">J476+R476+O476</f>
        <v>78796.588798257319</v>
      </c>
      <c r="T476">
        <f ca="1">N476+P476+Q476</f>
        <v>194870.30069895077</v>
      </c>
      <c r="U476">
        <f ca="1">S476-T476</f>
        <v>-116073.71190069345</v>
      </c>
      <c r="AC476" s="6">
        <f ca="1">IF(Table1[[#This Row],[gender]]="men",1,0)</f>
        <v>0</v>
      </c>
      <c r="AD476">
        <f ca="1">IF(Table1[[#This Row],[gender]]="women",1,0)</f>
        <v>1</v>
      </c>
      <c r="AH476" s="5"/>
      <c r="AJ476" s="6">
        <f ca="1">IF(Table1[[#This Row],[Column1]]="Health",1,0)</f>
        <v>0</v>
      </c>
      <c r="AK476">
        <f ca="1">IF(Table1[[#This Row],[Column1]]="Construction",1,0)</f>
        <v>0</v>
      </c>
      <c r="AL476">
        <f ca="1">IF(Table1[[#This Row],[Column1]]="Technology",1,0)</f>
        <v>0</v>
      </c>
      <c r="AM476">
        <f ca="1">IF(Table1[[#This Row],[Column1]]="Education",1,0)</f>
        <v>0</v>
      </c>
      <c r="AN476">
        <f ca="1">IF(Table1[[#This Row],[Column1]]="Agriculture",1,0)</f>
        <v>0</v>
      </c>
      <c r="AO476">
        <f ca="1">IF(Table1[[#This Row],[Column1]]="Social Service", 1, 0)</f>
        <v>1</v>
      </c>
      <c r="AT476" s="5"/>
      <c r="AV476" s="17">
        <f t="shared" ca="1" si="21"/>
        <v>18662.297568367721</v>
      </c>
      <c r="AW476" s="5"/>
      <c r="AX476" s="6">
        <f ca="1">IF(Table1[[#This Row],[Value of Debts]]&gt;$AY$4,1,0)</f>
        <v>1</v>
      </c>
      <c r="AY476" s="20"/>
      <c r="AZ476" s="20"/>
      <c r="BA476" s="5"/>
      <c r="BB476" s="25">
        <f ca="1">Table1[[#This Row],[Mortage Left]]/Table1[[#This Row],[Value of House]]</f>
        <v>0.92636805605244554</v>
      </c>
      <c r="BC476" s="20">
        <f t="shared" ca="1" si="23"/>
        <v>0</v>
      </c>
      <c r="BD476" s="20"/>
      <c r="BE476" s="20"/>
      <c r="BF476" s="20"/>
      <c r="BG476" s="6">
        <f ca="1">IF(Table1[[#This Row],[County]]="Cumbria",Table1[[#This Row],[income]],0)</f>
        <v>0</v>
      </c>
      <c r="BH476" s="20">
        <f ca="1">IF(Table1[[#This Row],[County]]="Cheshire",Table1[[#This Row],[income]],0)</f>
        <v>0</v>
      </c>
      <c r="BI476" s="20">
        <f ca="1">IF(Table1[[#This Row],[County]]="Bristol",Table1[[#This Row],[income]],0)</f>
        <v>0</v>
      </c>
      <c r="BJ476" s="20">
        <f ca="1">IF(Table1[[#This Row],[County]]="Surrey",Table1[[#This Row],[income]],0)</f>
        <v>0</v>
      </c>
      <c r="BK476" s="20">
        <f ca="1">IF(Table1[[#This Row],[County]]="Norfolk",Table1[[#This Row],[income]],0)</f>
        <v>0</v>
      </c>
      <c r="BL476" s="20">
        <f ca="1">IF(Table1[[#This Row],[County]]="Lincolnshire",Table1[[#This Row],[income]],0)</f>
        <v>0</v>
      </c>
      <c r="BM476" s="20">
        <f ca="1">IF(Table1[[#This Row],[County]]="Somerset",Table1[[#This Row],[income]],0)</f>
        <v>0</v>
      </c>
      <c r="BN476" s="20">
        <f ca="1">IF(Table1[[#This Row],[County]]="Cambridgeshire",Table1[[#This Row],[income]],0)</f>
        <v>0</v>
      </c>
      <c r="BO476" s="20">
        <f ca="1">IF(Table1[[#This Row],[County]]="South Yorkshire",Table1[[#This Row],[income]],0)</f>
        <v>0</v>
      </c>
      <c r="BP476" s="20">
        <f ca="1">IF(Table1[[#This Row],[County]]="Greater London",Table1[[#This Row],[income]],0)</f>
        <v>0</v>
      </c>
      <c r="BQ476" s="20">
        <f ca="1">IF(Table1[[#This Row],[County]]="Hampshire",Table1[[#This Row],[income]],0)</f>
        <v>0</v>
      </c>
      <c r="BR476" s="20">
        <f ca="1">IF(Table1[[#This Row],[County]]="Gloucestershire",Table1[[#This Row],[income]],0)</f>
        <v>0</v>
      </c>
      <c r="BS476" s="20">
        <f ca="1">IF(Table1[[#This Row],[County]]="West Sussex",Table1[[#This Row],[income]],0)</f>
        <v>0</v>
      </c>
      <c r="BT476" s="20">
        <f ca="1">IF(Table1[[#This Row],[County]]="Devon",Table1[[#This Row],[income]],0)</f>
        <v>0</v>
      </c>
      <c r="BU476" s="20">
        <f ca="1">IF(Table1[[#This Row],[County]]="Berkshire",Table1[[#This Row],[income]],0)</f>
        <v>0</v>
      </c>
      <c r="BV476" s="20">
        <f ca="1">IF(Table1[[#This Row],[County]]="Staffordshire",Table1[[#This Row],[income]],0)</f>
        <v>0</v>
      </c>
      <c r="BW476" s="20">
        <f ca="1">IF(Table1[[#This Row],[County]]="Leicestershire",Table1[[#This Row],[income]],0)</f>
        <v>0</v>
      </c>
      <c r="BX476" s="20">
        <f ca="1">IF(Table1[[#This Row],[County]]="Cornwall",Table1[[#This Row],[income]],0)</f>
        <v>0</v>
      </c>
      <c r="BY476" s="20">
        <f ca="1">IF(Table1[[#This Row],[County]]="Isle of Wight",Table1[[#This Row],[income]],0)</f>
        <v>0</v>
      </c>
      <c r="BZ476" s="20">
        <f ca="1">IF(Table1[[#This Row],[County]]="Surrey",Table1[[#This Row],[income]],0)</f>
        <v>0</v>
      </c>
      <c r="CA476" s="20">
        <f ca="1">IF(Table1[[#This Row],[County]]="Derbyshire",Table1[[#This Row],[income]],0)</f>
        <v>0</v>
      </c>
      <c r="CB476" s="20">
        <f ca="1">IF(Table1[[#This Row],[County]]="City of London",Table1[[#This Row],[income]],0)</f>
        <v>36397</v>
      </c>
      <c r="CC476" s="20">
        <f ca="1">IF(Table1[[#This Row],[County]]="Bedfordshire",Table1[[#This Row],[income]],0)</f>
        <v>0</v>
      </c>
      <c r="CD476" s="20">
        <f ca="1">IF(Table1[[#This Row],[County]]="County Durham",Table1[[#This Row],[income]],0)</f>
        <v>0</v>
      </c>
      <c r="CE476" s="20">
        <f ca="1">IF(Table1[[#This Row],[County]]="East Riding of Yorkshire",Table1[[#This Row],[income]],0)</f>
        <v>0</v>
      </c>
      <c r="CF476" s="20">
        <f ca="1">IF(Table1[[#This Row],[County]]="West Yorkshire",Table1[[#This Row],[income]],0)</f>
        <v>0</v>
      </c>
      <c r="CG476" s="20">
        <f ca="1">IF(Table1[[#This Row],[County]]="Essex",Table1[[#This Row],[income]],0)</f>
        <v>0</v>
      </c>
      <c r="CH476" s="20">
        <f ca="1">IF(Table1[[#This Row],[County]]="East Sussex",Table1[[#This Row],[income]],0)</f>
        <v>0</v>
      </c>
      <c r="CI476" s="20">
        <f ca="1">IF(Table1[[#This Row],[County]]="Greater Manchester",Table1[[#This Row],[income]],0)</f>
        <v>0</v>
      </c>
      <c r="CJ476" s="20">
        <f ca="1">IF(Table1[[#This Row],[County]]="Hertfordshire",Table1[[#This Row],[income]],0)</f>
        <v>0</v>
      </c>
      <c r="CK476" s="20">
        <f ca="1">IF(Table1[[#This Row],[County]]="Herefordshire",Table1[[#This Row],[income]],0)</f>
        <v>0</v>
      </c>
      <c r="CL476" s="20">
        <f ca="1">IF(Table1[[#This Row],[County]]="Lancashire",Table1[[#This Row],[income]],0)</f>
        <v>0</v>
      </c>
      <c r="CM476" s="20">
        <f ca="1">IF(Table1[[#This Row],[County]]="Merseyside",Table1[[#This Row],[income]],0)</f>
        <v>0</v>
      </c>
      <c r="CN476" s="20">
        <f ca="1">IF(Table1[[#This Row],[County]]="Northamptonshire",Table1[[#This Row],[income]],0)</f>
        <v>0</v>
      </c>
      <c r="CO476" s="20">
        <f ca="1">IF(Table1[[#This Row],[County]]="Northumberland",Table1[[#This Row],[income]],0)</f>
        <v>0</v>
      </c>
      <c r="CP476" s="20">
        <f ca="1">IF(Table1[[#This Row],[County]]="Wiltshire",Table1[[#This Row],[income]],0)</f>
        <v>0</v>
      </c>
      <c r="CQ476" s="20">
        <f ca="1">IF(Table1[[#This Row],[County]]="West Midlands",Table1[[#This Row],[income]],0)</f>
        <v>0</v>
      </c>
      <c r="CR476" s="20">
        <f ca="1">IF(Table1[[#This Row],[County]]="Warwickshire",Table1[[#This Row],[income]],0)</f>
        <v>0</v>
      </c>
      <c r="CS476" s="20">
        <f ca="1">IF(Table1[[#This Row],[County]]="Tyne and Wear",Table1[[#This Row],[income]],0)</f>
        <v>0</v>
      </c>
      <c r="CT476" s="20">
        <f ca="1">IF(Table1[[#This Row],[County]]="Worcestershire",Table1[[#This Row],[income]],0)</f>
        <v>0</v>
      </c>
      <c r="CU476" s="20">
        <f ca="1">IF(Table1[[#This Row],[County]]="Rutland",Table1[[#This Row],[income]],0)</f>
        <v>0</v>
      </c>
      <c r="CV476" s="20">
        <f ca="1">IF(Table1[[#This Row],[County]]="Shropshire",Table1[[#This Row],[income]],0)</f>
        <v>0</v>
      </c>
      <c r="CW476" s="20">
        <f ca="1">IF(Table1[[#This Row],[County]]="Dorset",Table1[[#This Row],[income]],0)</f>
        <v>0</v>
      </c>
      <c r="CX476" s="20">
        <f ca="1">IF(Table1[[#This Row],[County]]="Buckinghamshire",Table1[[#This Row],[income]],0)</f>
        <v>0</v>
      </c>
      <c r="CY476" s="20">
        <f ca="1">IF(Table1[[#This Row],[County]]="Suffolk",Table1[[#This Row],[income]],0)</f>
        <v>0</v>
      </c>
      <c r="CZ476" s="20">
        <f ca="1">IF(Table1[[#This Row],[County]]="North Yorkshire",Table1[[#This Row],[income]],0)</f>
        <v>0</v>
      </c>
      <c r="DA476" s="20">
        <f ca="1">IF(Table1[[#This Row],[County]]="Kent",Table1[[#This Row],[income]],0)</f>
        <v>0</v>
      </c>
      <c r="DB476" s="5">
        <f ca="1">IF(Table1[[#This Row],[County]]="Derbyshire",Table1[[#This Row],[income]],0)</f>
        <v>0</v>
      </c>
      <c r="DD476" s="6">
        <f ca="1">IF(Table1[[#This Row],[Column1]]="Health",Table1[[#This Row],[income]],0)</f>
        <v>0</v>
      </c>
      <c r="DE476" s="20">
        <f ca="1">IF(Table1[[#This Row],[Column1]]="Agriculture",Table1[[#This Row],[income]],0)</f>
        <v>0</v>
      </c>
      <c r="DF476" s="20">
        <f ca="1">IF(Table1[[#This Row],[Column1]]="Technology",Table1[[#This Row],[income]],0)</f>
        <v>0</v>
      </c>
      <c r="DG476" s="20">
        <f ca="1">IF(Table1[[#This Row],[Column1]]="Social Service",Table1[[#This Row],[income]],0)</f>
        <v>36397</v>
      </c>
      <c r="DH476" s="20">
        <f ca="1">IF(Table1[[#This Row],[Column1]]="Education",Table1[[#This Row],[income]],0)</f>
        <v>0</v>
      </c>
      <c r="DI476" s="5">
        <f ca="1">IF(Table1[[#This Row],[Column1]]="Construction",Table1[[#This Row],[income]],0)</f>
        <v>0</v>
      </c>
      <c r="DK476" s="6">
        <f ca="1">IF(Table1[[#This Row],[Value of Debts]]&gt;Table1[[#This Row],[income]],1,0)</f>
        <v>1</v>
      </c>
      <c r="DL476" s="20"/>
      <c r="DM476" s="20"/>
      <c r="DN476" s="5"/>
      <c r="DP476" s="6">
        <f ca="1">IF(Table1[[#This Row],[Net Worth (£)]]&gt;$DS$5,C476,0)</f>
        <v>0</v>
      </c>
      <c r="DQ476" s="20"/>
      <c r="DR476" s="20"/>
      <c r="DS476" s="5"/>
    </row>
    <row r="477" spans="1:123" x14ac:dyDescent="0.2">
      <c r="A477">
        <f t="shared" ca="1" si="22"/>
        <v>2</v>
      </c>
      <c r="B477" s="1" t="str">
        <f ca="1">IF(A477=1, "men", "women")</f>
        <v>women</v>
      </c>
      <c r="C477" s="1">
        <f ca="1">RANDBETWEEN(25,50)</f>
        <v>38</v>
      </c>
      <c r="D477">
        <f ca="1">RANDBETWEEN(1,6)</f>
        <v>6</v>
      </c>
      <c r="E477" t="str">
        <f ca="1">VLOOKUP(D477,$W$5:$X$10,2)</f>
        <v>Agriculture</v>
      </c>
      <c r="F477">
        <f ca="1">RANDBETWEEN(1,5)</f>
        <v>4</v>
      </c>
      <c r="G477" t="str">
        <f ca="1">VLOOKUP(F477,$Y$5:$Z$9,2)</f>
        <v xml:space="preserve">Technical </v>
      </c>
      <c r="H477">
        <f ca="1">RANDBETWEEN(0,4)</f>
        <v>3</v>
      </c>
      <c r="I477">
        <f ca="1">RANDBETWEEN(1,3)</f>
        <v>1</v>
      </c>
      <c r="J477">
        <f ca="1">RANDBETWEEN(30000,100000)</f>
        <v>32182</v>
      </c>
      <c r="K477">
        <f ca="1">RANDBETWEEN(1,48)</f>
        <v>9</v>
      </c>
      <c r="L477" t="str">
        <f ca="1">VLOOKUP(K477,$AA$5:$AB$52,2)</f>
        <v>Cumbria</v>
      </c>
      <c r="M477">
        <f ca="1">J477*(RANDBETWEEN(2,5))</f>
        <v>64364</v>
      </c>
      <c r="N477">
        <f ca="1">RAND()*M477</f>
        <v>9429.6833056216074</v>
      </c>
      <c r="O477">
        <f ca="1">I477*RAND()*J477</f>
        <v>18662.297568367721</v>
      </c>
      <c r="P477">
        <f ca="1">RANDBETWEEN(0,O477)</f>
        <v>17400</v>
      </c>
      <c r="Q477">
        <f ca="1">RAND()*J477*2</f>
        <v>22516.484517211673</v>
      </c>
      <c r="R477">
        <f ca="1">RAND()*J477*1.5</f>
        <v>38082.303761111114</v>
      </c>
      <c r="S477">
        <f ca="1">J477+R477+O477</f>
        <v>88926.601329478828</v>
      </c>
      <c r="T477">
        <f ca="1">N477+P477+Q477</f>
        <v>49346.167822833275</v>
      </c>
      <c r="U477">
        <f ca="1">S477-T477</f>
        <v>39580.433506645553</v>
      </c>
      <c r="AC477" s="6">
        <f ca="1">IF(Table1[[#This Row],[gender]]="men",1,0)</f>
        <v>0</v>
      </c>
      <c r="AD477">
        <f ca="1">IF(Table1[[#This Row],[gender]]="women",1,0)</f>
        <v>1</v>
      </c>
      <c r="AH477" s="5"/>
      <c r="AJ477" s="6">
        <f ca="1">IF(Table1[[#This Row],[Column1]]="Health",1,0)</f>
        <v>0</v>
      </c>
      <c r="AK477">
        <f ca="1">IF(Table1[[#This Row],[Column1]]="Construction",1,0)</f>
        <v>0</v>
      </c>
      <c r="AL477">
        <f ca="1">IF(Table1[[#This Row],[Column1]]="Technology",1,0)</f>
        <v>0</v>
      </c>
      <c r="AM477">
        <f ca="1">IF(Table1[[#This Row],[Column1]]="Education",1,0)</f>
        <v>0</v>
      </c>
      <c r="AN477">
        <f ca="1">IF(Table1[[#This Row],[Column1]]="Agriculture",1,0)</f>
        <v>1</v>
      </c>
      <c r="AO477">
        <f ca="1">IF(Table1[[#This Row],[Column1]]="Social Service", 1, 0)</f>
        <v>0</v>
      </c>
      <c r="AT477" s="5"/>
      <c r="AV477" s="17">
        <f t="shared" ca="1" si="21"/>
        <v>11463.004514036471</v>
      </c>
      <c r="AW477" s="5"/>
      <c r="AX477" s="6">
        <f ca="1">IF(Table1[[#This Row],[Value of Debts]]&gt;$AY$4,1,0)</f>
        <v>0</v>
      </c>
      <c r="AY477" s="20"/>
      <c r="AZ477" s="20"/>
      <c r="BA477" s="5"/>
      <c r="BB477" s="25">
        <f ca="1">Table1[[#This Row],[Mortage Left]]/Table1[[#This Row],[Value of House]]</f>
        <v>0.14650555132716436</v>
      </c>
      <c r="BC477" s="20">
        <f t="shared" ca="1" si="23"/>
        <v>1</v>
      </c>
      <c r="BD477" s="20"/>
      <c r="BE477" s="20"/>
      <c r="BF477" s="20"/>
      <c r="BG477" s="6">
        <f ca="1">IF(Table1[[#This Row],[County]]="Cumbria",Table1[[#This Row],[income]],0)</f>
        <v>32182</v>
      </c>
      <c r="BH477" s="20">
        <f ca="1">IF(Table1[[#This Row],[County]]="Cheshire",Table1[[#This Row],[income]],0)</f>
        <v>0</v>
      </c>
      <c r="BI477" s="20">
        <f ca="1">IF(Table1[[#This Row],[County]]="Bristol",Table1[[#This Row],[income]],0)</f>
        <v>0</v>
      </c>
      <c r="BJ477" s="20">
        <f ca="1">IF(Table1[[#This Row],[County]]="Surrey",Table1[[#This Row],[income]],0)</f>
        <v>0</v>
      </c>
      <c r="BK477" s="20">
        <f ca="1">IF(Table1[[#This Row],[County]]="Norfolk",Table1[[#This Row],[income]],0)</f>
        <v>0</v>
      </c>
      <c r="BL477" s="20">
        <f ca="1">IF(Table1[[#This Row],[County]]="Lincolnshire",Table1[[#This Row],[income]],0)</f>
        <v>0</v>
      </c>
      <c r="BM477" s="20">
        <f ca="1">IF(Table1[[#This Row],[County]]="Somerset",Table1[[#This Row],[income]],0)</f>
        <v>0</v>
      </c>
      <c r="BN477" s="20">
        <f ca="1">IF(Table1[[#This Row],[County]]="Cambridgeshire",Table1[[#This Row],[income]],0)</f>
        <v>0</v>
      </c>
      <c r="BO477" s="20">
        <f ca="1">IF(Table1[[#This Row],[County]]="South Yorkshire",Table1[[#This Row],[income]],0)</f>
        <v>0</v>
      </c>
      <c r="BP477" s="20">
        <f ca="1">IF(Table1[[#This Row],[County]]="Greater London",Table1[[#This Row],[income]],0)</f>
        <v>0</v>
      </c>
      <c r="BQ477" s="20">
        <f ca="1">IF(Table1[[#This Row],[County]]="Hampshire",Table1[[#This Row],[income]],0)</f>
        <v>0</v>
      </c>
      <c r="BR477" s="20">
        <f ca="1">IF(Table1[[#This Row],[County]]="Gloucestershire",Table1[[#This Row],[income]],0)</f>
        <v>0</v>
      </c>
      <c r="BS477" s="20">
        <f ca="1">IF(Table1[[#This Row],[County]]="West Sussex",Table1[[#This Row],[income]],0)</f>
        <v>0</v>
      </c>
      <c r="BT477" s="20">
        <f ca="1">IF(Table1[[#This Row],[County]]="Devon",Table1[[#This Row],[income]],0)</f>
        <v>0</v>
      </c>
      <c r="BU477" s="20">
        <f ca="1">IF(Table1[[#This Row],[County]]="Berkshire",Table1[[#This Row],[income]],0)</f>
        <v>0</v>
      </c>
      <c r="BV477" s="20">
        <f ca="1">IF(Table1[[#This Row],[County]]="Staffordshire",Table1[[#This Row],[income]],0)</f>
        <v>0</v>
      </c>
      <c r="BW477" s="20">
        <f ca="1">IF(Table1[[#This Row],[County]]="Leicestershire",Table1[[#This Row],[income]],0)</f>
        <v>0</v>
      </c>
      <c r="BX477" s="20">
        <f ca="1">IF(Table1[[#This Row],[County]]="Cornwall",Table1[[#This Row],[income]],0)</f>
        <v>0</v>
      </c>
      <c r="BY477" s="20">
        <f ca="1">IF(Table1[[#This Row],[County]]="Isle of Wight",Table1[[#This Row],[income]],0)</f>
        <v>0</v>
      </c>
      <c r="BZ477" s="20">
        <f ca="1">IF(Table1[[#This Row],[County]]="Surrey",Table1[[#This Row],[income]],0)</f>
        <v>0</v>
      </c>
      <c r="CA477" s="20">
        <f ca="1">IF(Table1[[#This Row],[County]]="Derbyshire",Table1[[#This Row],[income]],0)</f>
        <v>0</v>
      </c>
      <c r="CB477" s="20">
        <f ca="1">IF(Table1[[#This Row],[County]]="City of London",Table1[[#This Row],[income]],0)</f>
        <v>0</v>
      </c>
      <c r="CC477" s="20">
        <f ca="1">IF(Table1[[#This Row],[County]]="Bedfordshire",Table1[[#This Row],[income]],0)</f>
        <v>0</v>
      </c>
      <c r="CD477" s="20">
        <f ca="1">IF(Table1[[#This Row],[County]]="County Durham",Table1[[#This Row],[income]],0)</f>
        <v>0</v>
      </c>
      <c r="CE477" s="20">
        <f ca="1">IF(Table1[[#This Row],[County]]="East Riding of Yorkshire",Table1[[#This Row],[income]],0)</f>
        <v>0</v>
      </c>
      <c r="CF477" s="20">
        <f ca="1">IF(Table1[[#This Row],[County]]="West Yorkshire",Table1[[#This Row],[income]],0)</f>
        <v>0</v>
      </c>
      <c r="CG477" s="20">
        <f ca="1">IF(Table1[[#This Row],[County]]="Essex",Table1[[#This Row],[income]],0)</f>
        <v>0</v>
      </c>
      <c r="CH477" s="20">
        <f ca="1">IF(Table1[[#This Row],[County]]="East Sussex",Table1[[#This Row],[income]],0)</f>
        <v>0</v>
      </c>
      <c r="CI477" s="20">
        <f ca="1">IF(Table1[[#This Row],[County]]="Greater Manchester",Table1[[#This Row],[income]],0)</f>
        <v>0</v>
      </c>
      <c r="CJ477" s="20">
        <f ca="1">IF(Table1[[#This Row],[County]]="Hertfordshire",Table1[[#This Row],[income]],0)</f>
        <v>0</v>
      </c>
      <c r="CK477" s="20">
        <f ca="1">IF(Table1[[#This Row],[County]]="Herefordshire",Table1[[#This Row],[income]],0)</f>
        <v>0</v>
      </c>
      <c r="CL477" s="20">
        <f ca="1">IF(Table1[[#This Row],[County]]="Lancashire",Table1[[#This Row],[income]],0)</f>
        <v>0</v>
      </c>
      <c r="CM477" s="20">
        <f ca="1">IF(Table1[[#This Row],[County]]="Merseyside",Table1[[#This Row],[income]],0)</f>
        <v>0</v>
      </c>
      <c r="CN477" s="20">
        <f ca="1">IF(Table1[[#This Row],[County]]="Northamptonshire",Table1[[#This Row],[income]],0)</f>
        <v>0</v>
      </c>
      <c r="CO477" s="20">
        <f ca="1">IF(Table1[[#This Row],[County]]="Northumberland",Table1[[#This Row],[income]],0)</f>
        <v>0</v>
      </c>
      <c r="CP477" s="20">
        <f ca="1">IF(Table1[[#This Row],[County]]="Wiltshire",Table1[[#This Row],[income]],0)</f>
        <v>0</v>
      </c>
      <c r="CQ477" s="20">
        <f ca="1">IF(Table1[[#This Row],[County]]="West Midlands",Table1[[#This Row],[income]],0)</f>
        <v>0</v>
      </c>
      <c r="CR477" s="20">
        <f ca="1">IF(Table1[[#This Row],[County]]="Warwickshire",Table1[[#This Row],[income]],0)</f>
        <v>0</v>
      </c>
      <c r="CS477" s="20">
        <f ca="1">IF(Table1[[#This Row],[County]]="Tyne and Wear",Table1[[#This Row],[income]],0)</f>
        <v>0</v>
      </c>
      <c r="CT477" s="20">
        <f ca="1">IF(Table1[[#This Row],[County]]="Worcestershire",Table1[[#This Row],[income]],0)</f>
        <v>0</v>
      </c>
      <c r="CU477" s="20">
        <f ca="1">IF(Table1[[#This Row],[County]]="Rutland",Table1[[#This Row],[income]],0)</f>
        <v>0</v>
      </c>
      <c r="CV477" s="20">
        <f ca="1">IF(Table1[[#This Row],[County]]="Shropshire",Table1[[#This Row],[income]],0)</f>
        <v>0</v>
      </c>
      <c r="CW477" s="20">
        <f ca="1">IF(Table1[[#This Row],[County]]="Dorset",Table1[[#This Row],[income]],0)</f>
        <v>0</v>
      </c>
      <c r="CX477" s="20">
        <f ca="1">IF(Table1[[#This Row],[County]]="Buckinghamshire",Table1[[#This Row],[income]],0)</f>
        <v>0</v>
      </c>
      <c r="CY477" s="20">
        <f ca="1">IF(Table1[[#This Row],[County]]="Suffolk",Table1[[#This Row],[income]],0)</f>
        <v>0</v>
      </c>
      <c r="CZ477" s="20">
        <f ca="1">IF(Table1[[#This Row],[County]]="North Yorkshire",Table1[[#This Row],[income]],0)</f>
        <v>0</v>
      </c>
      <c r="DA477" s="20">
        <f ca="1">IF(Table1[[#This Row],[County]]="Kent",Table1[[#This Row],[income]],0)</f>
        <v>0</v>
      </c>
      <c r="DB477" s="5">
        <f ca="1">IF(Table1[[#This Row],[County]]="Derbyshire",Table1[[#This Row],[income]],0)</f>
        <v>0</v>
      </c>
      <c r="DD477" s="6">
        <f ca="1">IF(Table1[[#This Row],[Column1]]="Health",Table1[[#This Row],[income]],0)</f>
        <v>0</v>
      </c>
      <c r="DE477" s="20">
        <f ca="1">IF(Table1[[#This Row],[Column1]]="Agriculture",Table1[[#This Row],[income]],0)</f>
        <v>32182</v>
      </c>
      <c r="DF477" s="20">
        <f ca="1">IF(Table1[[#This Row],[Column1]]="Technology",Table1[[#This Row],[income]],0)</f>
        <v>0</v>
      </c>
      <c r="DG477" s="20">
        <f ca="1">IF(Table1[[#This Row],[Column1]]="Social Service",Table1[[#This Row],[income]],0)</f>
        <v>0</v>
      </c>
      <c r="DH477" s="20">
        <f ca="1">IF(Table1[[#This Row],[Column1]]="Education",Table1[[#This Row],[income]],0)</f>
        <v>0</v>
      </c>
      <c r="DI477" s="5">
        <f ca="1">IF(Table1[[#This Row],[Column1]]="Construction",Table1[[#This Row],[income]],0)</f>
        <v>0</v>
      </c>
      <c r="DK477" s="6">
        <f ca="1">IF(Table1[[#This Row],[Value of Debts]]&gt;Table1[[#This Row],[income]],1,0)</f>
        <v>1</v>
      </c>
      <c r="DL477" s="20"/>
      <c r="DM477" s="20"/>
      <c r="DN477" s="5"/>
      <c r="DP477" s="6">
        <f ca="1">IF(Table1[[#This Row],[Net Worth (£)]]&gt;$DS$5,C477,0)</f>
        <v>0</v>
      </c>
      <c r="DQ477" s="20"/>
      <c r="DR477" s="20"/>
      <c r="DS477" s="5"/>
    </row>
    <row r="478" spans="1:123" x14ac:dyDescent="0.2">
      <c r="A478">
        <f t="shared" ca="1" si="22"/>
        <v>1</v>
      </c>
      <c r="B478" s="1" t="str">
        <f ca="1">IF(A478=1, "men", "women")</f>
        <v>men</v>
      </c>
      <c r="C478" s="1">
        <f ca="1">RANDBETWEEN(25,50)</f>
        <v>42</v>
      </c>
      <c r="D478">
        <f ca="1">RANDBETWEEN(1,6)</f>
        <v>6</v>
      </c>
      <c r="E478" t="str">
        <f ca="1">VLOOKUP(D478,$W$5:$X$10,2)</f>
        <v>Agriculture</v>
      </c>
      <c r="F478">
        <f ca="1">RANDBETWEEN(1,5)</f>
        <v>2</v>
      </c>
      <c r="G478" t="str">
        <f ca="1">VLOOKUP(F478,$Y$5:$Z$9,2)</f>
        <v>College</v>
      </c>
      <c r="H478">
        <f ca="1">RANDBETWEEN(0,4)</f>
        <v>4</v>
      </c>
      <c r="I478">
        <f ca="1">RANDBETWEEN(1,3)</f>
        <v>1</v>
      </c>
      <c r="J478">
        <f ca="1">RANDBETWEEN(30000,100000)</f>
        <v>42341</v>
      </c>
      <c r="K478">
        <f ca="1">RANDBETWEEN(1,48)</f>
        <v>38</v>
      </c>
      <c r="L478" t="str">
        <f ca="1">VLOOKUP(K478,$AA$5:$AB$52,2)</f>
        <v>South Yorkshire</v>
      </c>
      <c r="M478">
        <f ca="1">J478*(RANDBETWEEN(2,5))</f>
        <v>127023</v>
      </c>
      <c r="N478">
        <f ca="1">RAND()*M478</f>
        <v>51668.733036514699</v>
      </c>
      <c r="O478">
        <f ca="1">I478*RAND()*J478</f>
        <v>11463.004514036471</v>
      </c>
      <c r="P478">
        <f ca="1">RANDBETWEEN(0,O478)</f>
        <v>6160</v>
      </c>
      <c r="Q478">
        <f ca="1">RAND()*J478*2</f>
        <v>17250.781742646144</v>
      </c>
      <c r="R478">
        <f ca="1">RAND()*J478*1.5</f>
        <v>24894.167289611923</v>
      </c>
      <c r="S478">
        <f ca="1">J478+R478+O478</f>
        <v>78698.171803648394</v>
      </c>
      <c r="T478">
        <f ca="1">N478+P478+Q478</f>
        <v>75079.514779160847</v>
      </c>
      <c r="U478">
        <f ca="1">S478-T478</f>
        <v>3618.6570244875475</v>
      </c>
      <c r="AC478" s="6">
        <f ca="1">IF(Table1[[#This Row],[gender]]="men",1,0)</f>
        <v>1</v>
      </c>
      <c r="AD478">
        <f ca="1">IF(Table1[[#This Row],[gender]]="women",1,0)</f>
        <v>0</v>
      </c>
      <c r="AH478" s="5"/>
      <c r="AJ478" s="6">
        <f ca="1">IF(Table1[[#This Row],[Column1]]="Health",1,0)</f>
        <v>0</v>
      </c>
      <c r="AK478">
        <f ca="1">IF(Table1[[#This Row],[Column1]]="Construction",1,0)</f>
        <v>0</v>
      </c>
      <c r="AL478">
        <f ca="1">IF(Table1[[#This Row],[Column1]]="Technology",1,0)</f>
        <v>0</v>
      </c>
      <c r="AM478">
        <f ca="1">IF(Table1[[#This Row],[Column1]]="Education",1,0)</f>
        <v>0</v>
      </c>
      <c r="AN478">
        <f ca="1">IF(Table1[[#This Row],[Column1]]="Agriculture",1,0)</f>
        <v>1</v>
      </c>
      <c r="AO478">
        <f ca="1">IF(Table1[[#This Row],[Column1]]="Social Service", 1, 0)</f>
        <v>0</v>
      </c>
      <c r="AT478" s="5"/>
      <c r="AV478" s="17">
        <f t="shared" ca="1" si="21"/>
        <v>20452.919140509683</v>
      </c>
      <c r="AW478" s="5"/>
      <c r="AX478" s="6">
        <f ca="1">IF(Table1[[#This Row],[Value of Debts]]&gt;$AY$4,1,0)</f>
        <v>0</v>
      </c>
      <c r="AY478" s="20"/>
      <c r="AZ478" s="20"/>
      <c r="BA478" s="5"/>
      <c r="BB478" s="25">
        <f ca="1">Table1[[#This Row],[Mortage Left]]/Table1[[#This Row],[Value of House]]</f>
        <v>0.40676675119084493</v>
      </c>
      <c r="BC478" s="20">
        <f t="shared" ca="1" si="23"/>
        <v>0</v>
      </c>
      <c r="BD478" s="20"/>
      <c r="BE478" s="20"/>
      <c r="BF478" s="20"/>
      <c r="BG478" s="6">
        <f ca="1">IF(Table1[[#This Row],[County]]="Cumbria",Table1[[#This Row],[income]],0)</f>
        <v>0</v>
      </c>
      <c r="BH478" s="20">
        <f ca="1">IF(Table1[[#This Row],[County]]="Cheshire",Table1[[#This Row],[income]],0)</f>
        <v>0</v>
      </c>
      <c r="BI478" s="20">
        <f ca="1">IF(Table1[[#This Row],[County]]="Bristol",Table1[[#This Row],[income]],0)</f>
        <v>0</v>
      </c>
      <c r="BJ478" s="20">
        <f ca="1">IF(Table1[[#This Row],[County]]="Surrey",Table1[[#This Row],[income]],0)</f>
        <v>0</v>
      </c>
      <c r="BK478" s="20">
        <f ca="1">IF(Table1[[#This Row],[County]]="Norfolk",Table1[[#This Row],[income]],0)</f>
        <v>0</v>
      </c>
      <c r="BL478" s="20">
        <f ca="1">IF(Table1[[#This Row],[County]]="Lincolnshire",Table1[[#This Row],[income]],0)</f>
        <v>0</v>
      </c>
      <c r="BM478" s="20">
        <f ca="1">IF(Table1[[#This Row],[County]]="Somerset",Table1[[#This Row],[income]],0)</f>
        <v>0</v>
      </c>
      <c r="BN478" s="20">
        <f ca="1">IF(Table1[[#This Row],[County]]="Cambridgeshire",Table1[[#This Row],[income]],0)</f>
        <v>0</v>
      </c>
      <c r="BO478" s="20">
        <f ca="1">IF(Table1[[#This Row],[County]]="South Yorkshire",Table1[[#This Row],[income]],0)</f>
        <v>42341</v>
      </c>
      <c r="BP478" s="20">
        <f ca="1">IF(Table1[[#This Row],[County]]="Greater London",Table1[[#This Row],[income]],0)</f>
        <v>0</v>
      </c>
      <c r="BQ478" s="20">
        <f ca="1">IF(Table1[[#This Row],[County]]="Hampshire",Table1[[#This Row],[income]],0)</f>
        <v>0</v>
      </c>
      <c r="BR478" s="20">
        <f ca="1">IF(Table1[[#This Row],[County]]="Gloucestershire",Table1[[#This Row],[income]],0)</f>
        <v>0</v>
      </c>
      <c r="BS478" s="20">
        <f ca="1">IF(Table1[[#This Row],[County]]="West Sussex",Table1[[#This Row],[income]],0)</f>
        <v>0</v>
      </c>
      <c r="BT478" s="20">
        <f ca="1">IF(Table1[[#This Row],[County]]="Devon",Table1[[#This Row],[income]],0)</f>
        <v>0</v>
      </c>
      <c r="BU478" s="20">
        <f ca="1">IF(Table1[[#This Row],[County]]="Berkshire",Table1[[#This Row],[income]],0)</f>
        <v>0</v>
      </c>
      <c r="BV478" s="20">
        <f ca="1">IF(Table1[[#This Row],[County]]="Staffordshire",Table1[[#This Row],[income]],0)</f>
        <v>0</v>
      </c>
      <c r="BW478" s="20">
        <f ca="1">IF(Table1[[#This Row],[County]]="Leicestershire",Table1[[#This Row],[income]],0)</f>
        <v>0</v>
      </c>
      <c r="BX478" s="20">
        <f ca="1">IF(Table1[[#This Row],[County]]="Cornwall",Table1[[#This Row],[income]],0)</f>
        <v>0</v>
      </c>
      <c r="BY478" s="20">
        <f ca="1">IF(Table1[[#This Row],[County]]="Isle of Wight",Table1[[#This Row],[income]],0)</f>
        <v>0</v>
      </c>
      <c r="BZ478" s="20">
        <f ca="1">IF(Table1[[#This Row],[County]]="Surrey",Table1[[#This Row],[income]],0)</f>
        <v>0</v>
      </c>
      <c r="CA478" s="20">
        <f ca="1">IF(Table1[[#This Row],[County]]="Derbyshire",Table1[[#This Row],[income]],0)</f>
        <v>0</v>
      </c>
      <c r="CB478" s="20">
        <f ca="1">IF(Table1[[#This Row],[County]]="City of London",Table1[[#This Row],[income]],0)</f>
        <v>0</v>
      </c>
      <c r="CC478" s="20">
        <f ca="1">IF(Table1[[#This Row],[County]]="Bedfordshire",Table1[[#This Row],[income]],0)</f>
        <v>0</v>
      </c>
      <c r="CD478" s="20">
        <f ca="1">IF(Table1[[#This Row],[County]]="County Durham",Table1[[#This Row],[income]],0)</f>
        <v>0</v>
      </c>
      <c r="CE478" s="20">
        <f ca="1">IF(Table1[[#This Row],[County]]="East Riding of Yorkshire",Table1[[#This Row],[income]],0)</f>
        <v>0</v>
      </c>
      <c r="CF478" s="20">
        <f ca="1">IF(Table1[[#This Row],[County]]="West Yorkshire",Table1[[#This Row],[income]],0)</f>
        <v>0</v>
      </c>
      <c r="CG478" s="20">
        <f ca="1">IF(Table1[[#This Row],[County]]="Essex",Table1[[#This Row],[income]],0)</f>
        <v>0</v>
      </c>
      <c r="CH478" s="20">
        <f ca="1">IF(Table1[[#This Row],[County]]="East Sussex",Table1[[#This Row],[income]],0)</f>
        <v>0</v>
      </c>
      <c r="CI478" s="20">
        <f ca="1">IF(Table1[[#This Row],[County]]="Greater Manchester",Table1[[#This Row],[income]],0)</f>
        <v>0</v>
      </c>
      <c r="CJ478" s="20">
        <f ca="1">IF(Table1[[#This Row],[County]]="Hertfordshire",Table1[[#This Row],[income]],0)</f>
        <v>0</v>
      </c>
      <c r="CK478" s="20">
        <f ca="1">IF(Table1[[#This Row],[County]]="Herefordshire",Table1[[#This Row],[income]],0)</f>
        <v>0</v>
      </c>
      <c r="CL478" s="20">
        <f ca="1">IF(Table1[[#This Row],[County]]="Lancashire",Table1[[#This Row],[income]],0)</f>
        <v>0</v>
      </c>
      <c r="CM478" s="20">
        <f ca="1">IF(Table1[[#This Row],[County]]="Merseyside",Table1[[#This Row],[income]],0)</f>
        <v>0</v>
      </c>
      <c r="CN478" s="20">
        <f ca="1">IF(Table1[[#This Row],[County]]="Northamptonshire",Table1[[#This Row],[income]],0)</f>
        <v>0</v>
      </c>
      <c r="CO478" s="20">
        <f ca="1">IF(Table1[[#This Row],[County]]="Northumberland",Table1[[#This Row],[income]],0)</f>
        <v>0</v>
      </c>
      <c r="CP478" s="20">
        <f ca="1">IF(Table1[[#This Row],[County]]="Wiltshire",Table1[[#This Row],[income]],0)</f>
        <v>0</v>
      </c>
      <c r="CQ478" s="20">
        <f ca="1">IF(Table1[[#This Row],[County]]="West Midlands",Table1[[#This Row],[income]],0)</f>
        <v>0</v>
      </c>
      <c r="CR478" s="20">
        <f ca="1">IF(Table1[[#This Row],[County]]="Warwickshire",Table1[[#This Row],[income]],0)</f>
        <v>0</v>
      </c>
      <c r="CS478" s="20">
        <f ca="1">IF(Table1[[#This Row],[County]]="Tyne and Wear",Table1[[#This Row],[income]],0)</f>
        <v>0</v>
      </c>
      <c r="CT478" s="20">
        <f ca="1">IF(Table1[[#This Row],[County]]="Worcestershire",Table1[[#This Row],[income]],0)</f>
        <v>0</v>
      </c>
      <c r="CU478" s="20">
        <f ca="1">IF(Table1[[#This Row],[County]]="Rutland",Table1[[#This Row],[income]],0)</f>
        <v>0</v>
      </c>
      <c r="CV478" s="20">
        <f ca="1">IF(Table1[[#This Row],[County]]="Shropshire",Table1[[#This Row],[income]],0)</f>
        <v>0</v>
      </c>
      <c r="CW478" s="20">
        <f ca="1">IF(Table1[[#This Row],[County]]="Dorset",Table1[[#This Row],[income]],0)</f>
        <v>0</v>
      </c>
      <c r="CX478" s="20">
        <f ca="1">IF(Table1[[#This Row],[County]]="Buckinghamshire",Table1[[#This Row],[income]],0)</f>
        <v>0</v>
      </c>
      <c r="CY478" s="20">
        <f ca="1">IF(Table1[[#This Row],[County]]="Suffolk",Table1[[#This Row],[income]],0)</f>
        <v>0</v>
      </c>
      <c r="CZ478" s="20">
        <f ca="1">IF(Table1[[#This Row],[County]]="North Yorkshire",Table1[[#This Row],[income]],0)</f>
        <v>0</v>
      </c>
      <c r="DA478" s="20">
        <f ca="1">IF(Table1[[#This Row],[County]]="Kent",Table1[[#This Row],[income]],0)</f>
        <v>0</v>
      </c>
      <c r="DB478" s="5">
        <f ca="1">IF(Table1[[#This Row],[County]]="Derbyshire",Table1[[#This Row],[income]],0)</f>
        <v>0</v>
      </c>
      <c r="DD478" s="6">
        <f ca="1">IF(Table1[[#This Row],[Column1]]="Health",Table1[[#This Row],[income]],0)</f>
        <v>0</v>
      </c>
      <c r="DE478" s="20">
        <f ca="1">IF(Table1[[#This Row],[Column1]]="Agriculture",Table1[[#This Row],[income]],0)</f>
        <v>42341</v>
      </c>
      <c r="DF478" s="20">
        <f ca="1">IF(Table1[[#This Row],[Column1]]="Technology",Table1[[#This Row],[income]],0)</f>
        <v>0</v>
      </c>
      <c r="DG478" s="20">
        <f ca="1">IF(Table1[[#This Row],[Column1]]="Social Service",Table1[[#This Row],[income]],0)</f>
        <v>0</v>
      </c>
      <c r="DH478" s="20">
        <f ca="1">IF(Table1[[#This Row],[Column1]]="Education",Table1[[#This Row],[income]],0)</f>
        <v>0</v>
      </c>
      <c r="DI478" s="5">
        <f ca="1">IF(Table1[[#This Row],[Column1]]="Construction",Table1[[#This Row],[income]],0)</f>
        <v>0</v>
      </c>
      <c r="DK478" s="6">
        <f ca="1">IF(Table1[[#This Row],[Value of Debts]]&gt;Table1[[#This Row],[income]],1,0)</f>
        <v>1</v>
      </c>
      <c r="DL478" s="20"/>
      <c r="DM478" s="20"/>
      <c r="DN478" s="5"/>
      <c r="DP478" s="6">
        <f ca="1">IF(Table1[[#This Row],[Net Worth (£)]]&gt;$DS$5,C478,0)</f>
        <v>0</v>
      </c>
      <c r="DQ478" s="20"/>
      <c r="DR478" s="20"/>
      <c r="DS478" s="5"/>
    </row>
    <row r="479" spans="1:123" x14ac:dyDescent="0.2">
      <c r="A479">
        <f t="shared" ca="1" si="22"/>
        <v>1</v>
      </c>
      <c r="B479" s="1" t="str">
        <f ca="1">IF(A479=1, "men", "women")</f>
        <v>men</v>
      </c>
      <c r="C479" s="1">
        <f ca="1">RANDBETWEEN(25,50)</f>
        <v>39</v>
      </c>
      <c r="D479">
        <f ca="1">RANDBETWEEN(1,6)</f>
        <v>1</v>
      </c>
      <c r="E479" t="str">
        <f ca="1">VLOOKUP(D479,$W$5:$X$10,2)</f>
        <v>Health</v>
      </c>
      <c r="F479">
        <f ca="1">RANDBETWEEN(1,5)</f>
        <v>5</v>
      </c>
      <c r="G479" t="str">
        <f ca="1">VLOOKUP(F479,$Y$5:$Z$9,2)</f>
        <v>Other</v>
      </c>
      <c r="H479">
        <f ca="1">RANDBETWEEN(0,4)</f>
        <v>3</v>
      </c>
      <c r="I479">
        <f ca="1">RANDBETWEEN(1,3)</f>
        <v>2</v>
      </c>
      <c r="J479">
        <f ca="1">RANDBETWEEN(30000,100000)</f>
        <v>32088</v>
      </c>
      <c r="K479">
        <f ca="1">RANDBETWEEN(1,48)</f>
        <v>8</v>
      </c>
      <c r="L479" t="str">
        <f ca="1">VLOOKUP(K479,$AA$5:$AB$52,2)</f>
        <v>Cornwall</v>
      </c>
      <c r="M479">
        <f ca="1">J479*(RANDBETWEEN(2,5))</f>
        <v>96264</v>
      </c>
      <c r="N479">
        <f ca="1">RAND()*M479</f>
        <v>76131.649902040561</v>
      </c>
      <c r="O479">
        <f ca="1">I479*RAND()*J479</f>
        <v>40905.838281019365</v>
      </c>
      <c r="P479">
        <f ca="1">RANDBETWEEN(0,O479)</f>
        <v>24980</v>
      </c>
      <c r="Q479">
        <f ca="1">RAND()*J479*2</f>
        <v>46594.365012786031</v>
      </c>
      <c r="R479">
        <f ca="1">RAND()*J479*1.5</f>
        <v>42833.036118911863</v>
      </c>
      <c r="S479">
        <f ca="1">J479+R479+O479</f>
        <v>115826.87439993123</v>
      </c>
      <c r="T479">
        <f ca="1">N479+P479+Q479</f>
        <v>147706.01491482661</v>
      </c>
      <c r="U479">
        <f ca="1">S479-T479</f>
        <v>-31879.140514895378</v>
      </c>
      <c r="AC479" s="6">
        <f ca="1">IF(Table1[[#This Row],[gender]]="men",1,0)</f>
        <v>1</v>
      </c>
      <c r="AD479">
        <f ca="1">IF(Table1[[#This Row],[gender]]="women",1,0)</f>
        <v>0</v>
      </c>
      <c r="AH479" s="5"/>
      <c r="AJ479" s="6">
        <f ca="1">IF(Table1[[#This Row],[Column1]]="Health",1,0)</f>
        <v>1</v>
      </c>
      <c r="AK479">
        <f ca="1">IF(Table1[[#This Row],[Column1]]="Construction",1,0)</f>
        <v>0</v>
      </c>
      <c r="AL479">
        <f ca="1">IF(Table1[[#This Row],[Column1]]="Technology",1,0)</f>
        <v>0</v>
      </c>
      <c r="AM479">
        <f ca="1">IF(Table1[[#This Row],[Column1]]="Education",1,0)</f>
        <v>0</v>
      </c>
      <c r="AN479">
        <f ca="1">IF(Table1[[#This Row],[Column1]]="Agriculture",1,0)</f>
        <v>0</v>
      </c>
      <c r="AO479">
        <f ca="1">IF(Table1[[#This Row],[Column1]]="Social Service", 1, 0)</f>
        <v>0</v>
      </c>
      <c r="AT479" s="5"/>
      <c r="AV479" s="17">
        <f t="shared" ca="1" si="21"/>
        <v>83612.921741229438</v>
      </c>
      <c r="AW479" s="5"/>
      <c r="AX479" s="6">
        <f ca="1">IF(Table1[[#This Row],[Value of Debts]]&gt;$AY$4,1,0)</f>
        <v>1</v>
      </c>
      <c r="AY479" s="20"/>
      <c r="AZ479" s="20"/>
      <c r="BA479" s="5"/>
      <c r="BB479" s="25">
        <f ca="1">Table1[[#This Row],[Mortage Left]]/Table1[[#This Row],[Value of House]]</f>
        <v>0.79086314616097986</v>
      </c>
      <c r="BC479" s="20">
        <f t="shared" ca="1" si="23"/>
        <v>0</v>
      </c>
      <c r="BD479" s="20"/>
      <c r="BE479" s="20"/>
      <c r="BF479" s="20"/>
      <c r="BG479" s="6">
        <f ca="1">IF(Table1[[#This Row],[County]]="Cumbria",Table1[[#This Row],[income]],0)</f>
        <v>0</v>
      </c>
      <c r="BH479" s="20">
        <f ca="1">IF(Table1[[#This Row],[County]]="Cheshire",Table1[[#This Row],[income]],0)</f>
        <v>0</v>
      </c>
      <c r="BI479" s="20">
        <f ca="1">IF(Table1[[#This Row],[County]]="Bristol",Table1[[#This Row],[income]],0)</f>
        <v>0</v>
      </c>
      <c r="BJ479" s="20">
        <f ca="1">IF(Table1[[#This Row],[County]]="Surrey",Table1[[#This Row],[income]],0)</f>
        <v>0</v>
      </c>
      <c r="BK479" s="20">
        <f ca="1">IF(Table1[[#This Row],[County]]="Norfolk",Table1[[#This Row],[income]],0)</f>
        <v>0</v>
      </c>
      <c r="BL479" s="20">
        <f ca="1">IF(Table1[[#This Row],[County]]="Lincolnshire",Table1[[#This Row],[income]],0)</f>
        <v>0</v>
      </c>
      <c r="BM479" s="20">
        <f ca="1">IF(Table1[[#This Row],[County]]="Somerset",Table1[[#This Row],[income]],0)</f>
        <v>0</v>
      </c>
      <c r="BN479" s="20">
        <f ca="1">IF(Table1[[#This Row],[County]]="Cambridgeshire",Table1[[#This Row],[income]],0)</f>
        <v>0</v>
      </c>
      <c r="BO479" s="20">
        <f ca="1">IF(Table1[[#This Row],[County]]="South Yorkshire",Table1[[#This Row],[income]],0)</f>
        <v>0</v>
      </c>
      <c r="BP479" s="20">
        <f ca="1">IF(Table1[[#This Row],[County]]="Greater London",Table1[[#This Row],[income]],0)</f>
        <v>0</v>
      </c>
      <c r="BQ479" s="20">
        <f ca="1">IF(Table1[[#This Row],[County]]="Hampshire",Table1[[#This Row],[income]],0)</f>
        <v>0</v>
      </c>
      <c r="BR479" s="20">
        <f ca="1">IF(Table1[[#This Row],[County]]="Gloucestershire",Table1[[#This Row],[income]],0)</f>
        <v>0</v>
      </c>
      <c r="BS479" s="20">
        <f ca="1">IF(Table1[[#This Row],[County]]="West Sussex",Table1[[#This Row],[income]],0)</f>
        <v>0</v>
      </c>
      <c r="BT479" s="20">
        <f ca="1">IF(Table1[[#This Row],[County]]="Devon",Table1[[#This Row],[income]],0)</f>
        <v>0</v>
      </c>
      <c r="BU479" s="20">
        <f ca="1">IF(Table1[[#This Row],[County]]="Berkshire",Table1[[#This Row],[income]],0)</f>
        <v>0</v>
      </c>
      <c r="BV479" s="20">
        <f ca="1">IF(Table1[[#This Row],[County]]="Staffordshire",Table1[[#This Row],[income]],0)</f>
        <v>0</v>
      </c>
      <c r="BW479" s="20">
        <f ca="1">IF(Table1[[#This Row],[County]]="Leicestershire",Table1[[#This Row],[income]],0)</f>
        <v>0</v>
      </c>
      <c r="BX479" s="20">
        <f ca="1">IF(Table1[[#This Row],[County]]="Cornwall",Table1[[#This Row],[income]],0)</f>
        <v>32088</v>
      </c>
      <c r="BY479" s="20">
        <f ca="1">IF(Table1[[#This Row],[County]]="Isle of Wight",Table1[[#This Row],[income]],0)</f>
        <v>0</v>
      </c>
      <c r="BZ479" s="20">
        <f ca="1">IF(Table1[[#This Row],[County]]="Surrey",Table1[[#This Row],[income]],0)</f>
        <v>0</v>
      </c>
      <c r="CA479" s="20">
        <f ca="1">IF(Table1[[#This Row],[County]]="Derbyshire",Table1[[#This Row],[income]],0)</f>
        <v>0</v>
      </c>
      <c r="CB479" s="20">
        <f ca="1">IF(Table1[[#This Row],[County]]="City of London",Table1[[#This Row],[income]],0)</f>
        <v>0</v>
      </c>
      <c r="CC479" s="20">
        <f ca="1">IF(Table1[[#This Row],[County]]="Bedfordshire",Table1[[#This Row],[income]],0)</f>
        <v>0</v>
      </c>
      <c r="CD479" s="20">
        <f ca="1">IF(Table1[[#This Row],[County]]="County Durham",Table1[[#This Row],[income]],0)</f>
        <v>0</v>
      </c>
      <c r="CE479" s="20">
        <f ca="1">IF(Table1[[#This Row],[County]]="East Riding of Yorkshire",Table1[[#This Row],[income]],0)</f>
        <v>0</v>
      </c>
      <c r="CF479" s="20">
        <f ca="1">IF(Table1[[#This Row],[County]]="West Yorkshire",Table1[[#This Row],[income]],0)</f>
        <v>0</v>
      </c>
      <c r="CG479" s="20">
        <f ca="1">IF(Table1[[#This Row],[County]]="Essex",Table1[[#This Row],[income]],0)</f>
        <v>0</v>
      </c>
      <c r="CH479" s="20">
        <f ca="1">IF(Table1[[#This Row],[County]]="East Sussex",Table1[[#This Row],[income]],0)</f>
        <v>0</v>
      </c>
      <c r="CI479" s="20">
        <f ca="1">IF(Table1[[#This Row],[County]]="Greater Manchester",Table1[[#This Row],[income]],0)</f>
        <v>0</v>
      </c>
      <c r="CJ479" s="20">
        <f ca="1">IF(Table1[[#This Row],[County]]="Hertfordshire",Table1[[#This Row],[income]],0)</f>
        <v>0</v>
      </c>
      <c r="CK479" s="20">
        <f ca="1">IF(Table1[[#This Row],[County]]="Herefordshire",Table1[[#This Row],[income]],0)</f>
        <v>0</v>
      </c>
      <c r="CL479" s="20">
        <f ca="1">IF(Table1[[#This Row],[County]]="Lancashire",Table1[[#This Row],[income]],0)</f>
        <v>0</v>
      </c>
      <c r="CM479" s="20">
        <f ca="1">IF(Table1[[#This Row],[County]]="Merseyside",Table1[[#This Row],[income]],0)</f>
        <v>0</v>
      </c>
      <c r="CN479" s="20">
        <f ca="1">IF(Table1[[#This Row],[County]]="Northamptonshire",Table1[[#This Row],[income]],0)</f>
        <v>0</v>
      </c>
      <c r="CO479" s="20">
        <f ca="1">IF(Table1[[#This Row],[County]]="Northumberland",Table1[[#This Row],[income]],0)</f>
        <v>0</v>
      </c>
      <c r="CP479" s="20">
        <f ca="1">IF(Table1[[#This Row],[County]]="Wiltshire",Table1[[#This Row],[income]],0)</f>
        <v>0</v>
      </c>
      <c r="CQ479" s="20">
        <f ca="1">IF(Table1[[#This Row],[County]]="West Midlands",Table1[[#This Row],[income]],0)</f>
        <v>0</v>
      </c>
      <c r="CR479" s="20">
        <f ca="1">IF(Table1[[#This Row],[County]]="Warwickshire",Table1[[#This Row],[income]],0)</f>
        <v>0</v>
      </c>
      <c r="CS479" s="20">
        <f ca="1">IF(Table1[[#This Row],[County]]="Tyne and Wear",Table1[[#This Row],[income]],0)</f>
        <v>0</v>
      </c>
      <c r="CT479" s="20">
        <f ca="1">IF(Table1[[#This Row],[County]]="Worcestershire",Table1[[#This Row],[income]],0)</f>
        <v>0</v>
      </c>
      <c r="CU479" s="20">
        <f ca="1">IF(Table1[[#This Row],[County]]="Rutland",Table1[[#This Row],[income]],0)</f>
        <v>0</v>
      </c>
      <c r="CV479" s="20">
        <f ca="1">IF(Table1[[#This Row],[County]]="Shropshire",Table1[[#This Row],[income]],0)</f>
        <v>0</v>
      </c>
      <c r="CW479" s="20">
        <f ca="1">IF(Table1[[#This Row],[County]]="Dorset",Table1[[#This Row],[income]],0)</f>
        <v>0</v>
      </c>
      <c r="CX479" s="20">
        <f ca="1">IF(Table1[[#This Row],[County]]="Buckinghamshire",Table1[[#This Row],[income]],0)</f>
        <v>0</v>
      </c>
      <c r="CY479" s="20">
        <f ca="1">IF(Table1[[#This Row],[County]]="Suffolk",Table1[[#This Row],[income]],0)</f>
        <v>0</v>
      </c>
      <c r="CZ479" s="20">
        <f ca="1">IF(Table1[[#This Row],[County]]="North Yorkshire",Table1[[#This Row],[income]],0)</f>
        <v>0</v>
      </c>
      <c r="DA479" s="20">
        <f ca="1">IF(Table1[[#This Row],[County]]="Kent",Table1[[#This Row],[income]],0)</f>
        <v>0</v>
      </c>
      <c r="DB479" s="5">
        <f ca="1">IF(Table1[[#This Row],[County]]="Derbyshire",Table1[[#This Row],[income]],0)</f>
        <v>0</v>
      </c>
      <c r="DD479" s="6">
        <f ca="1">IF(Table1[[#This Row],[Column1]]="Health",Table1[[#This Row],[income]],0)</f>
        <v>32088</v>
      </c>
      <c r="DE479" s="20">
        <f ca="1">IF(Table1[[#This Row],[Column1]]="Agriculture",Table1[[#This Row],[income]],0)</f>
        <v>0</v>
      </c>
      <c r="DF479" s="20">
        <f ca="1">IF(Table1[[#This Row],[Column1]]="Technology",Table1[[#This Row],[income]],0)</f>
        <v>0</v>
      </c>
      <c r="DG479" s="20">
        <f ca="1">IF(Table1[[#This Row],[Column1]]="Social Service",Table1[[#This Row],[income]],0)</f>
        <v>0</v>
      </c>
      <c r="DH479" s="20">
        <f ca="1">IF(Table1[[#This Row],[Column1]]="Education",Table1[[#This Row],[income]],0)</f>
        <v>0</v>
      </c>
      <c r="DI479" s="5">
        <f ca="1">IF(Table1[[#This Row],[Column1]]="Construction",Table1[[#This Row],[income]],0)</f>
        <v>0</v>
      </c>
      <c r="DK479" s="6">
        <f ca="1">IF(Table1[[#This Row],[Value of Debts]]&gt;Table1[[#This Row],[income]],1,0)</f>
        <v>1</v>
      </c>
      <c r="DL479" s="20"/>
      <c r="DM479" s="20"/>
      <c r="DN479" s="5"/>
      <c r="DP479" s="6">
        <f ca="1">IF(Table1[[#This Row],[Net Worth (£)]]&gt;$DS$5,C479,0)</f>
        <v>0</v>
      </c>
      <c r="DQ479" s="20"/>
      <c r="DR479" s="20"/>
      <c r="DS479" s="5"/>
    </row>
    <row r="480" spans="1:123" x14ac:dyDescent="0.2">
      <c r="A480">
        <f t="shared" ca="1" si="22"/>
        <v>2</v>
      </c>
      <c r="B480" s="1" t="str">
        <f ca="1">IF(A480=1, "men", "women")</f>
        <v>women</v>
      </c>
      <c r="C480" s="1">
        <f ca="1">RANDBETWEEN(25,50)</f>
        <v>50</v>
      </c>
      <c r="D480">
        <f ca="1">RANDBETWEEN(1,6)</f>
        <v>3</v>
      </c>
      <c r="E480" t="str">
        <f ca="1">VLOOKUP(D480,$W$5:$X$10,2)</f>
        <v>Education</v>
      </c>
      <c r="F480">
        <f ca="1">RANDBETWEEN(1,5)</f>
        <v>5</v>
      </c>
      <c r="G480" t="str">
        <f ca="1">VLOOKUP(F480,$Y$5:$Z$9,2)</f>
        <v>Other</v>
      </c>
      <c r="H480">
        <f ca="1">RANDBETWEEN(0,4)</f>
        <v>1</v>
      </c>
      <c r="I480">
        <f ca="1">RANDBETWEEN(1,3)</f>
        <v>2</v>
      </c>
      <c r="J480">
        <f ca="1">RANDBETWEEN(30000,100000)</f>
        <v>95392</v>
      </c>
      <c r="K480">
        <f ca="1">RANDBETWEEN(1,48)</f>
        <v>26</v>
      </c>
      <c r="L480" t="str">
        <f ca="1">VLOOKUP(K480,$AA$5:$AB$52,2)</f>
        <v>Leicestershire</v>
      </c>
      <c r="M480">
        <f ca="1">J480*(RANDBETWEEN(2,5))</f>
        <v>476960</v>
      </c>
      <c r="N480">
        <f ca="1">RAND()*M480</f>
        <v>121065.11572785903</v>
      </c>
      <c r="O480">
        <f ca="1">I480*RAND()*J480</f>
        <v>167225.84348245888</v>
      </c>
      <c r="P480">
        <f ca="1">RANDBETWEEN(0,O480)</f>
        <v>8813</v>
      </c>
      <c r="Q480">
        <f ca="1">RAND()*J480*2</f>
        <v>34064.040003134447</v>
      </c>
      <c r="R480">
        <f ca="1">RAND()*J480*1.5</f>
        <v>74236.889818567273</v>
      </c>
      <c r="S480">
        <f ca="1">J480+R480+O480</f>
        <v>336854.73330102616</v>
      </c>
      <c r="T480">
        <f ca="1">N480+P480+Q480</f>
        <v>163942.15573099349</v>
      </c>
      <c r="U480">
        <f ca="1">S480-T480</f>
        <v>172912.57757003268</v>
      </c>
      <c r="AC480" s="6">
        <f ca="1">IF(Table1[[#This Row],[gender]]="men",1,0)</f>
        <v>0</v>
      </c>
      <c r="AD480">
        <f ca="1">IF(Table1[[#This Row],[gender]]="women",1,0)</f>
        <v>1</v>
      </c>
      <c r="AH480" s="5"/>
      <c r="AJ480" s="6">
        <f ca="1">IF(Table1[[#This Row],[Column1]]="Health",1,0)</f>
        <v>0</v>
      </c>
      <c r="AK480">
        <f ca="1">IF(Table1[[#This Row],[Column1]]="Construction",1,0)</f>
        <v>0</v>
      </c>
      <c r="AL480">
        <f ca="1">IF(Table1[[#This Row],[Column1]]="Technology",1,0)</f>
        <v>0</v>
      </c>
      <c r="AM480">
        <f ca="1">IF(Table1[[#This Row],[Column1]]="Education",1,0)</f>
        <v>1</v>
      </c>
      <c r="AN480">
        <f ca="1">IF(Table1[[#This Row],[Column1]]="Agriculture",1,0)</f>
        <v>0</v>
      </c>
      <c r="AO480">
        <f ca="1">IF(Table1[[#This Row],[Column1]]="Social Service", 1, 0)</f>
        <v>0</v>
      </c>
      <c r="AT480" s="5"/>
      <c r="AV480" s="17">
        <f t="shared" ca="1" si="21"/>
        <v>56333.951245923607</v>
      </c>
      <c r="AW480" s="5"/>
      <c r="AX480" s="6">
        <f ca="1">IF(Table1[[#This Row],[Value of Debts]]&gt;$AY$4,1,0)</f>
        <v>1</v>
      </c>
      <c r="AY480" s="20"/>
      <c r="AZ480" s="20"/>
      <c r="BA480" s="5"/>
      <c r="BB480" s="25">
        <f ca="1">Table1[[#This Row],[Mortage Left]]/Table1[[#This Row],[Value of House]]</f>
        <v>0.25382655930866116</v>
      </c>
      <c r="BC480" s="20">
        <f t="shared" ca="1" si="23"/>
        <v>1</v>
      </c>
      <c r="BD480" s="20"/>
      <c r="BE480" s="20"/>
      <c r="BF480" s="20"/>
      <c r="BG480" s="6">
        <f ca="1">IF(Table1[[#This Row],[County]]="Cumbria",Table1[[#This Row],[income]],0)</f>
        <v>0</v>
      </c>
      <c r="BH480" s="20">
        <f ca="1">IF(Table1[[#This Row],[County]]="Cheshire",Table1[[#This Row],[income]],0)</f>
        <v>0</v>
      </c>
      <c r="BI480" s="20">
        <f ca="1">IF(Table1[[#This Row],[County]]="Bristol",Table1[[#This Row],[income]],0)</f>
        <v>0</v>
      </c>
      <c r="BJ480" s="20">
        <f ca="1">IF(Table1[[#This Row],[County]]="Surrey",Table1[[#This Row],[income]],0)</f>
        <v>0</v>
      </c>
      <c r="BK480" s="20">
        <f ca="1">IF(Table1[[#This Row],[County]]="Norfolk",Table1[[#This Row],[income]],0)</f>
        <v>0</v>
      </c>
      <c r="BL480" s="20">
        <f ca="1">IF(Table1[[#This Row],[County]]="Lincolnshire",Table1[[#This Row],[income]],0)</f>
        <v>0</v>
      </c>
      <c r="BM480" s="20">
        <f ca="1">IF(Table1[[#This Row],[County]]="Somerset",Table1[[#This Row],[income]],0)</f>
        <v>0</v>
      </c>
      <c r="BN480" s="20">
        <f ca="1">IF(Table1[[#This Row],[County]]="Cambridgeshire",Table1[[#This Row],[income]],0)</f>
        <v>0</v>
      </c>
      <c r="BO480" s="20">
        <f ca="1">IF(Table1[[#This Row],[County]]="South Yorkshire",Table1[[#This Row],[income]],0)</f>
        <v>0</v>
      </c>
      <c r="BP480" s="20">
        <f ca="1">IF(Table1[[#This Row],[County]]="Greater London",Table1[[#This Row],[income]],0)</f>
        <v>0</v>
      </c>
      <c r="BQ480" s="20">
        <f ca="1">IF(Table1[[#This Row],[County]]="Hampshire",Table1[[#This Row],[income]],0)</f>
        <v>0</v>
      </c>
      <c r="BR480" s="20">
        <f ca="1">IF(Table1[[#This Row],[County]]="Gloucestershire",Table1[[#This Row],[income]],0)</f>
        <v>0</v>
      </c>
      <c r="BS480" s="20">
        <f ca="1">IF(Table1[[#This Row],[County]]="West Sussex",Table1[[#This Row],[income]],0)</f>
        <v>0</v>
      </c>
      <c r="BT480" s="20">
        <f ca="1">IF(Table1[[#This Row],[County]]="Devon",Table1[[#This Row],[income]],0)</f>
        <v>0</v>
      </c>
      <c r="BU480" s="20">
        <f ca="1">IF(Table1[[#This Row],[County]]="Berkshire",Table1[[#This Row],[income]],0)</f>
        <v>0</v>
      </c>
      <c r="BV480" s="20">
        <f ca="1">IF(Table1[[#This Row],[County]]="Staffordshire",Table1[[#This Row],[income]],0)</f>
        <v>0</v>
      </c>
      <c r="BW480" s="20">
        <f ca="1">IF(Table1[[#This Row],[County]]="Leicestershire",Table1[[#This Row],[income]],0)</f>
        <v>95392</v>
      </c>
      <c r="BX480" s="20">
        <f ca="1">IF(Table1[[#This Row],[County]]="Cornwall",Table1[[#This Row],[income]],0)</f>
        <v>0</v>
      </c>
      <c r="BY480" s="20">
        <f ca="1">IF(Table1[[#This Row],[County]]="Isle of Wight",Table1[[#This Row],[income]],0)</f>
        <v>0</v>
      </c>
      <c r="BZ480" s="20">
        <f ca="1">IF(Table1[[#This Row],[County]]="Surrey",Table1[[#This Row],[income]],0)</f>
        <v>0</v>
      </c>
      <c r="CA480" s="20">
        <f ca="1">IF(Table1[[#This Row],[County]]="Derbyshire",Table1[[#This Row],[income]],0)</f>
        <v>0</v>
      </c>
      <c r="CB480" s="20">
        <f ca="1">IF(Table1[[#This Row],[County]]="City of London",Table1[[#This Row],[income]],0)</f>
        <v>0</v>
      </c>
      <c r="CC480" s="20">
        <f ca="1">IF(Table1[[#This Row],[County]]="Bedfordshire",Table1[[#This Row],[income]],0)</f>
        <v>0</v>
      </c>
      <c r="CD480" s="20">
        <f ca="1">IF(Table1[[#This Row],[County]]="County Durham",Table1[[#This Row],[income]],0)</f>
        <v>0</v>
      </c>
      <c r="CE480" s="20">
        <f ca="1">IF(Table1[[#This Row],[County]]="East Riding of Yorkshire",Table1[[#This Row],[income]],0)</f>
        <v>0</v>
      </c>
      <c r="CF480" s="20">
        <f ca="1">IF(Table1[[#This Row],[County]]="West Yorkshire",Table1[[#This Row],[income]],0)</f>
        <v>0</v>
      </c>
      <c r="CG480" s="20">
        <f ca="1">IF(Table1[[#This Row],[County]]="Essex",Table1[[#This Row],[income]],0)</f>
        <v>0</v>
      </c>
      <c r="CH480" s="20">
        <f ca="1">IF(Table1[[#This Row],[County]]="East Sussex",Table1[[#This Row],[income]],0)</f>
        <v>0</v>
      </c>
      <c r="CI480" s="20">
        <f ca="1">IF(Table1[[#This Row],[County]]="Greater Manchester",Table1[[#This Row],[income]],0)</f>
        <v>0</v>
      </c>
      <c r="CJ480" s="20">
        <f ca="1">IF(Table1[[#This Row],[County]]="Hertfordshire",Table1[[#This Row],[income]],0)</f>
        <v>0</v>
      </c>
      <c r="CK480" s="20">
        <f ca="1">IF(Table1[[#This Row],[County]]="Herefordshire",Table1[[#This Row],[income]],0)</f>
        <v>0</v>
      </c>
      <c r="CL480" s="20">
        <f ca="1">IF(Table1[[#This Row],[County]]="Lancashire",Table1[[#This Row],[income]],0)</f>
        <v>0</v>
      </c>
      <c r="CM480" s="20">
        <f ca="1">IF(Table1[[#This Row],[County]]="Merseyside",Table1[[#This Row],[income]],0)</f>
        <v>0</v>
      </c>
      <c r="CN480" s="20">
        <f ca="1">IF(Table1[[#This Row],[County]]="Northamptonshire",Table1[[#This Row],[income]],0)</f>
        <v>0</v>
      </c>
      <c r="CO480" s="20">
        <f ca="1">IF(Table1[[#This Row],[County]]="Northumberland",Table1[[#This Row],[income]],0)</f>
        <v>0</v>
      </c>
      <c r="CP480" s="20">
        <f ca="1">IF(Table1[[#This Row],[County]]="Wiltshire",Table1[[#This Row],[income]],0)</f>
        <v>0</v>
      </c>
      <c r="CQ480" s="20">
        <f ca="1">IF(Table1[[#This Row],[County]]="West Midlands",Table1[[#This Row],[income]],0)</f>
        <v>0</v>
      </c>
      <c r="CR480" s="20">
        <f ca="1">IF(Table1[[#This Row],[County]]="Warwickshire",Table1[[#This Row],[income]],0)</f>
        <v>0</v>
      </c>
      <c r="CS480" s="20">
        <f ca="1">IF(Table1[[#This Row],[County]]="Tyne and Wear",Table1[[#This Row],[income]],0)</f>
        <v>0</v>
      </c>
      <c r="CT480" s="20">
        <f ca="1">IF(Table1[[#This Row],[County]]="Worcestershire",Table1[[#This Row],[income]],0)</f>
        <v>0</v>
      </c>
      <c r="CU480" s="20">
        <f ca="1">IF(Table1[[#This Row],[County]]="Rutland",Table1[[#This Row],[income]],0)</f>
        <v>0</v>
      </c>
      <c r="CV480" s="20">
        <f ca="1">IF(Table1[[#This Row],[County]]="Shropshire",Table1[[#This Row],[income]],0)</f>
        <v>0</v>
      </c>
      <c r="CW480" s="20">
        <f ca="1">IF(Table1[[#This Row],[County]]="Dorset",Table1[[#This Row],[income]],0)</f>
        <v>0</v>
      </c>
      <c r="CX480" s="20">
        <f ca="1">IF(Table1[[#This Row],[County]]="Buckinghamshire",Table1[[#This Row],[income]],0)</f>
        <v>0</v>
      </c>
      <c r="CY480" s="20">
        <f ca="1">IF(Table1[[#This Row],[County]]="Suffolk",Table1[[#This Row],[income]],0)</f>
        <v>0</v>
      </c>
      <c r="CZ480" s="20">
        <f ca="1">IF(Table1[[#This Row],[County]]="North Yorkshire",Table1[[#This Row],[income]],0)</f>
        <v>0</v>
      </c>
      <c r="DA480" s="20">
        <f ca="1">IF(Table1[[#This Row],[County]]="Kent",Table1[[#This Row],[income]],0)</f>
        <v>0</v>
      </c>
      <c r="DB480" s="5">
        <f ca="1">IF(Table1[[#This Row],[County]]="Derbyshire",Table1[[#This Row],[income]],0)</f>
        <v>0</v>
      </c>
      <c r="DD480" s="6">
        <f ca="1">IF(Table1[[#This Row],[Column1]]="Health",Table1[[#This Row],[income]],0)</f>
        <v>0</v>
      </c>
      <c r="DE480" s="20">
        <f ca="1">IF(Table1[[#This Row],[Column1]]="Agriculture",Table1[[#This Row],[income]],0)</f>
        <v>0</v>
      </c>
      <c r="DF480" s="20">
        <f ca="1">IF(Table1[[#This Row],[Column1]]="Technology",Table1[[#This Row],[income]],0)</f>
        <v>0</v>
      </c>
      <c r="DG480" s="20">
        <f ca="1">IF(Table1[[#This Row],[Column1]]="Social Service",Table1[[#This Row],[income]],0)</f>
        <v>0</v>
      </c>
      <c r="DH480" s="20">
        <f ca="1">IF(Table1[[#This Row],[Column1]]="Education",Table1[[#This Row],[income]],0)</f>
        <v>95392</v>
      </c>
      <c r="DI480" s="5">
        <f ca="1">IF(Table1[[#This Row],[Column1]]="Construction",Table1[[#This Row],[income]],0)</f>
        <v>0</v>
      </c>
      <c r="DK480" s="6">
        <f ca="1">IF(Table1[[#This Row],[Value of Debts]]&gt;Table1[[#This Row],[income]],1,0)</f>
        <v>1</v>
      </c>
      <c r="DL480" s="20"/>
      <c r="DM480" s="20"/>
      <c r="DN480" s="5"/>
      <c r="DP480" s="6">
        <f ca="1">IF(Table1[[#This Row],[Net Worth (£)]]&gt;$DS$5,C480,0)</f>
        <v>50</v>
      </c>
      <c r="DQ480" s="20"/>
      <c r="DR480" s="20"/>
      <c r="DS480" s="5"/>
    </row>
    <row r="481" spans="1:123" x14ac:dyDescent="0.2">
      <c r="A481">
        <f t="shared" ca="1" si="22"/>
        <v>1</v>
      </c>
      <c r="B481" s="1" t="str">
        <f ca="1">IF(A481=1, "men", "women")</f>
        <v>men</v>
      </c>
      <c r="C481" s="1">
        <f ca="1">RANDBETWEEN(25,50)</f>
        <v>43</v>
      </c>
      <c r="D481">
        <f ca="1">RANDBETWEEN(1,6)</f>
        <v>1</v>
      </c>
      <c r="E481" t="str">
        <f ca="1">VLOOKUP(D481,$W$5:$X$10,2)</f>
        <v>Health</v>
      </c>
      <c r="F481">
        <f ca="1">RANDBETWEEN(1,5)</f>
        <v>3</v>
      </c>
      <c r="G481" t="str">
        <f ca="1">VLOOKUP(F481,$Y$5:$Z$9,2)</f>
        <v>University</v>
      </c>
      <c r="H481">
        <f ca="1">RANDBETWEEN(0,4)</f>
        <v>4</v>
      </c>
      <c r="I481">
        <f ca="1">RANDBETWEEN(1,3)</f>
        <v>3</v>
      </c>
      <c r="J481">
        <f ca="1">RANDBETWEEN(30000,100000)</f>
        <v>57492</v>
      </c>
      <c r="K481">
        <f ca="1">RANDBETWEEN(1,48)</f>
        <v>47</v>
      </c>
      <c r="L481" t="str">
        <f ca="1">VLOOKUP(K481,$AA$5:$AB$52,2)</f>
        <v>Wiltshire</v>
      </c>
      <c r="M481">
        <f ca="1">J481*(RANDBETWEEN(2,5))</f>
        <v>229968</v>
      </c>
      <c r="N481">
        <f ca="1">RAND()*M481</f>
        <v>46095.129678003592</v>
      </c>
      <c r="O481">
        <f ca="1">I481*RAND()*J481</f>
        <v>169001.85373777081</v>
      </c>
      <c r="P481">
        <f ca="1">RANDBETWEEN(0,O481)</f>
        <v>61623</v>
      </c>
      <c r="Q481">
        <f ca="1">RAND()*J481*2</f>
        <v>14925.639342351764</v>
      </c>
      <c r="R481">
        <f ca="1">RAND()*J481*1.5</f>
        <v>74983.596467475334</v>
      </c>
      <c r="S481">
        <f ca="1">J481+R481+O481</f>
        <v>301477.45020524616</v>
      </c>
      <c r="T481">
        <f ca="1">N481+P481+Q481</f>
        <v>122643.76902035535</v>
      </c>
      <c r="U481">
        <f ca="1">S481-T481</f>
        <v>178833.6811848908</v>
      </c>
      <c r="AC481" s="6">
        <f ca="1">IF(Table1[[#This Row],[gender]]="men",1,0)</f>
        <v>1</v>
      </c>
      <c r="AD481">
        <f ca="1">IF(Table1[[#This Row],[gender]]="women",1,0)</f>
        <v>0</v>
      </c>
      <c r="AH481" s="5"/>
      <c r="AJ481" s="6">
        <f ca="1">IF(Table1[[#This Row],[Column1]]="Health",1,0)</f>
        <v>1</v>
      </c>
      <c r="AK481">
        <f ca="1">IF(Table1[[#This Row],[Column1]]="Construction",1,0)</f>
        <v>0</v>
      </c>
      <c r="AL481">
        <f ca="1">IF(Table1[[#This Row],[Column1]]="Technology",1,0)</f>
        <v>0</v>
      </c>
      <c r="AM481">
        <f ca="1">IF(Table1[[#This Row],[Column1]]="Education",1,0)</f>
        <v>0</v>
      </c>
      <c r="AN481">
        <f ca="1">IF(Table1[[#This Row],[Column1]]="Agriculture",1,0)</f>
        <v>0</v>
      </c>
      <c r="AO481">
        <f ca="1">IF(Table1[[#This Row],[Column1]]="Social Service", 1, 0)</f>
        <v>0</v>
      </c>
      <c r="AT481" s="5"/>
      <c r="AV481" s="17">
        <f t="shared" ca="1" si="21"/>
        <v>30618.879511052972</v>
      </c>
      <c r="AW481" s="5"/>
      <c r="AX481" s="6">
        <f ca="1">IF(Table1[[#This Row],[Value of Debts]]&gt;$AY$4,1,0)</f>
        <v>1</v>
      </c>
      <c r="AY481" s="20"/>
      <c r="AZ481" s="20"/>
      <c r="BA481" s="5"/>
      <c r="BB481" s="25">
        <f ca="1">Table1[[#This Row],[Mortage Left]]/Table1[[#This Row],[Value of House]]</f>
        <v>0.2004414948079889</v>
      </c>
      <c r="BC481" s="20">
        <f t="shared" ca="1" si="23"/>
        <v>1</v>
      </c>
      <c r="BD481" s="20"/>
      <c r="BE481" s="20"/>
      <c r="BF481" s="20"/>
      <c r="BG481" s="6">
        <f ca="1">IF(Table1[[#This Row],[County]]="Cumbria",Table1[[#This Row],[income]],0)</f>
        <v>0</v>
      </c>
      <c r="BH481" s="20">
        <f ca="1">IF(Table1[[#This Row],[County]]="Cheshire",Table1[[#This Row],[income]],0)</f>
        <v>0</v>
      </c>
      <c r="BI481" s="20">
        <f ca="1">IF(Table1[[#This Row],[County]]="Bristol",Table1[[#This Row],[income]],0)</f>
        <v>0</v>
      </c>
      <c r="BJ481" s="20">
        <f ca="1">IF(Table1[[#This Row],[County]]="Surrey",Table1[[#This Row],[income]],0)</f>
        <v>0</v>
      </c>
      <c r="BK481" s="20">
        <f ca="1">IF(Table1[[#This Row],[County]]="Norfolk",Table1[[#This Row],[income]],0)</f>
        <v>0</v>
      </c>
      <c r="BL481" s="20">
        <f ca="1">IF(Table1[[#This Row],[County]]="Lincolnshire",Table1[[#This Row],[income]],0)</f>
        <v>0</v>
      </c>
      <c r="BM481" s="20">
        <f ca="1">IF(Table1[[#This Row],[County]]="Somerset",Table1[[#This Row],[income]],0)</f>
        <v>0</v>
      </c>
      <c r="BN481" s="20">
        <f ca="1">IF(Table1[[#This Row],[County]]="Cambridgeshire",Table1[[#This Row],[income]],0)</f>
        <v>0</v>
      </c>
      <c r="BO481" s="20">
        <f ca="1">IF(Table1[[#This Row],[County]]="South Yorkshire",Table1[[#This Row],[income]],0)</f>
        <v>0</v>
      </c>
      <c r="BP481" s="20">
        <f ca="1">IF(Table1[[#This Row],[County]]="Greater London",Table1[[#This Row],[income]],0)</f>
        <v>0</v>
      </c>
      <c r="BQ481" s="20">
        <f ca="1">IF(Table1[[#This Row],[County]]="Hampshire",Table1[[#This Row],[income]],0)</f>
        <v>0</v>
      </c>
      <c r="BR481" s="20">
        <f ca="1">IF(Table1[[#This Row],[County]]="Gloucestershire",Table1[[#This Row],[income]],0)</f>
        <v>0</v>
      </c>
      <c r="BS481" s="20">
        <f ca="1">IF(Table1[[#This Row],[County]]="West Sussex",Table1[[#This Row],[income]],0)</f>
        <v>0</v>
      </c>
      <c r="BT481" s="20">
        <f ca="1">IF(Table1[[#This Row],[County]]="Devon",Table1[[#This Row],[income]],0)</f>
        <v>0</v>
      </c>
      <c r="BU481" s="20">
        <f ca="1">IF(Table1[[#This Row],[County]]="Berkshire",Table1[[#This Row],[income]],0)</f>
        <v>0</v>
      </c>
      <c r="BV481" s="20">
        <f ca="1">IF(Table1[[#This Row],[County]]="Staffordshire",Table1[[#This Row],[income]],0)</f>
        <v>0</v>
      </c>
      <c r="BW481" s="20">
        <f ca="1">IF(Table1[[#This Row],[County]]="Leicestershire",Table1[[#This Row],[income]],0)</f>
        <v>0</v>
      </c>
      <c r="BX481" s="20">
        <f ca="1">IF(Table1[[#This Row],[County]]="Cornwall",Table1[[#This Row],[income]],0)</f>
        <v>0</v>
      </c>
      <c r="BY481" s="20">
        <f ca="1">IF(Table1[[#This Row],[County]]="Isle of Wight",Table1[[#This Row],[income]],0)</f>
        <v>0</v>
      </c>
      <c r="BZ481" s="20">
        <f ca="1">IF(Table1[[#This Row],[County]]="Surrey",Table1[[#This Row],[income]],0)</f>
        <v>0</v>
      </c>
      <c r="CA481" s="20">
        <f ca="1">IF(Table1[[#This Row],[County]]="Derbyshire",Table1[[#This Row],[income]],0)</f>
        <v>0</v>
      </c>
      <c r="CB481" s="20">
        <f ca="1">IF(Table1[[#This Row],[County]]="City of London",Table1[[#This Row],[income]],0)</f>
        <v>0</v>
      </c>
      <c r="CC481" s="20">
        <f ca="1">IF(Table1[[#This Row],[County]]="Bedfordshire",Table1[[#This Row],[income]],0)</f>
        <v>0</v>
      </c>
      <c r="CD481" s="20">
        <f ca="1">IF(Table1[[#This Row],[County]]="County Durham",Table1[[#This Row],[income]],0)</f>
        <v>0</v>
      </c>
      <c r="CE481" s="20">
        <f ca="1">IF(Table1[[#This Row],[County]]="East Riding of Yorkshire",Table1[[#This Row],[income]],0)</f>
        <v>0</v>
      </c>
      <c r="CF481" s="20">
        <f ca="1">IF(Table1[[#This Row],[County]]="West Yorkshire",Table1[[#This Row],[income]],0)</f>
        <v>0</v>
      </c>
      <c r="CG481" s="20">
        <f ca="1">IF(Table1[[#This Row],[County]]="Essex",Table1[[#This Row],[income]],0)</f>
        <v>0</v>
      </c>
      <c r="CH481" s="20">
        <f ca="1">IF(Table1[[#This Row],[County]]="East Sussex",Table1[[#This Row],[income]],0)</f>
        <v>0</v>
      </c>
      <c r="CI481" s="20">
        <f ca="1">IF(Table1[[#This Row],[County]]="Greater Manchester",Table1[[#This Row],[income]],0)</f>
        <v>0</v>
      </c>
      <c r="CJ481" s="20">
        <f ca="1">IF(Table1[[#This Row],[County]]="Hertfordshire",Table1[[#This Row],[income]],0)</f>
        <v>0</v>
      </c>
      <c r="CK481" s="20">
        <f ca="1">IF(Table1[[#This Row],[County]]="Herefordshire",Table1[[#This Row],[income]],0)</f>
        <v>0</v>
      </c>
      <c r="CL481" s="20">
        <f ca="1">IF(Table1[[#This Row],[County]]="Lancashire",Table1[[#This Row],[income]],0)</f>
        <v>0</v>
      </c>
      <c r="CM481" s="20">
        <f ca="1">IF(Table1[[#This Row],[County]]="Merseyside",Table1[[#This Row],[income]],0)</f>
        <v>0</v>
      </c>
      <c r="CN481" s="20">
        <f ca="1">IF(Table1[[#This Row],[County]]="Northamptonshire",Table1[[#This Row],[income]],0)</f>
        <v>0</v>
      </c>
      <c r="CO481" s="20">
        <f ca="1">IF(Table1[[#This Row],[County]]="Northumberland",Table1[[#This Row],[income]],0)</f>
        <v>0</v>
      </c>
      <c r="CP481" s="20">
        <f ca="1">IF(Table1[[#This Row],[County]]="Wiltshire",Table1[[#This Row],[income]],0)</f>
        <v>57492</v>
      </c>
      <c r="CQ481" s="20">
        <f ca="1">IF(Table1[[#This Row],[County]]="West Midlands",Table1[[#This Row],[income]],0)</f>
        <v>0</v>
      </c>
      <c r="CR481" s="20">
        <f ca="1">IF(Table1[[#This Row],[County]]="Warwickshire",Table1[[#This Row],[income]],0)</f>
        <v>0</v>
      </c>
      <c r="CS481" s="20">
        <f ca="1">IF(Table1[[#This Row],[County]]="Tyne and Wear",Table1[[#This Row],[income]],0)</f>
        <v>0</v>
      </c>
      <c r="CT481" s="20">
        <f ca="1">IF(Table1[[#This Row],[County]]="Worcestershire",Table1[[#This Row],[income]],0)</f>
        <v>0</v>
      </c>
      <c r="CU481" s="20">
        <f ca="1">IF(Table1[[#This Row],[County]]="Rutland",Table1[[#This Row],[income]],0)</f>
        <v>0</v>
      </c>
      <c r="CV481" s="20">
        <f ca="1">IF(Table1[[#This Row],[County]]="Shropshire",Table1[[#This Row],[income]],0)</f>
        <v>0</v>
      </c>
      <c r="CW481" s="20">
        <f ca="1">IF(Table1[[#This Row],[County]]="Dorset",Table1[[#This Row],[income]],0)</f>
        <v>0</v>
      </c>
      <c r="CX481" s="20">
        <f ca="1">IF(Table1[[#This Row],[County]]="Buckinghamshire",Table1[[#This Row],[income]],0)</f>
        <v>0</v>
      </c>
      <c r="CY481" s="20">
        <f ca="1">IF(Table1[[#This Row],[County]]="Suffolk",Table1[[#This Row],[income]],0)</f>
        <v>0</v>
      </c>
      <c r="CZ481" s="20">
        <f ca="1">IF(Table1[[#This Row],[County]]="North Yorkshire",Table1[[#This Row],[income]],0)</f>
        <v>0</v>
      </c>
      <c r="DA481" s="20">
        <f ca="1">IF(Table1[[#This Row],[County]]="Kent",Table1[[#This Row],[income]],0)</f>
        <v>0</v>
      </c>
      <c r="DB481" s="5">
        <f ca="1">IF(Table1[[#This Row],[County]]="Derbyshire",Table1[[#This Row],[income]],0)</f>
        <v>0</v>
      </c>
      <c r="DD481" s="6">
        <f ca="1">IF(Table1[[#This Row],[Column1]]="Health",Table1[[#This Row],[income]],0)</f>
        <v>57492</v>
      </c>
      <c r="DE481" s="20">
        <f ca="1">IF(Table1[[#This Row],[Column1]]="Agriculture",Table1[[#This Row],[income]],0)</f>
        <v>0</v>
      </c>
      <c r="DF481" s="20">
        <f ca="1">IF(Table1[[#This Row],[Column1]]="Technology",Table1[[#This Row],[income]],0)</f>
        <v>0</v>
      </c>
      <c r="DG481" s="20">
        <f ca="1">IF(Table1[[#This Row],[Column1]]="Social Service",Table1[[#This Row],[income]],0)</f>
        <v>0</v>
      </c>
      <c r="DH481" s="20">
        <f ca="1">IF(Table1[[#This Row],[Column1]]="Education",Table1[[#This Row],[income]],0)</f>
        <v>0</v>
      </c>
      <c r="DI481" s="5">
        <f ca="1">IF(Table1[[#This Row],[Column1]]="Construction",Table1[[#This Row],[income]],0)</f>
        <v>0</v>
      </c>
      <c r="DK481" s="6">
        <f ca="1">IF(Table1[[#This Row],[Value of Debts]]&gt;Table1[[#This Row],[income]],1,0)</f>
        <v>1</v>
      </c>
      <c r="DL481" s="20"/>
      <c r="DM481" s="20"/>
      <c r="DN481" s="5"/>
      <c r="DP481" s="6">
        <f ca="1">IF(Table1[[#This Row],[Net Worth (£)]]&gt;$DS$5,C481,0)</f>
        <v>43</v>
      </c>
      <c r="DQ481" s="20"/>
      <c r="DR481" s="20"/>
      <c r="DS481" s="5"/>
    </row>
    <row r="482" spans="1:123" x14ac:dyDescent="0.2">
      <c r="A482">
        <f t="shared" ca="1" si="22"/>
        <v>1</v>
      </c>
      <c r="B482" s="1" t="str">
        <f ca="1">IF(A482=1, "men", "women")</f>
        <v>men</v>
      </c>
      <c r="C482" s="1">
        <f ca="1">RANDBETWEEN(25,50)</f>
        <v>38</v>
      </c>
      <c r="D482">
        <f ca="1">RANDBETWEEN(1,6)</f>
        <v>1</v>
      </c>
      <c r="E482" t="str">
        <f ca="1">VLOOKUP(D482,$W$5:$X$10,2)</f>
        <v>Health</v>
      </c>
      <c r="F482">
        <f ca="1">RANDBETWEEN(1,5)</f>
        <v>1</v>
      </c>
      <c r="G482" t="str">
        <f ca="1">VLOOKUP(F482,$Y$5:$Z$9,2)</f>
        <v>High School</v>
      </c>
      <c r="H482">
        <f ca="1">RANDBETWEEN(0,4)</f>
        <v>3</v>
      </c>
      <c r="I482">
        <f ca="1">RANDBETWEEN(1,3)</f>
        <v>3</v>
      </c>
      <c r="J482">
        <f ca="1">RANDBETWEEN(30000,100000)</f>
        <v>84982</v>
      </c>
      <c r="K482">
        <f ca="1">RANDBETWEEN(1,48)</f>
        <v>18</v>
      </c>
      <c r="L482" t="str">
        <f ca="1">VLOOKUP(K482,$AA$5:$AB$52,2)</f>
        <v>Greater London</v>
      </c>
      <c r="M482">
        <f ca="1">J482*(RANDBETWEEN(2,5))</f>
        <v>339928</v>
      </c>
      <c r="N482">
        <f ca="1">RAND()*M482</f>
        <v>135315.16611732543</v>
      </c>
      <c r="O482">
        <f ca="1">I482*RAND()*J482</f>
        <v>91856.638533158912</v>
      </c>
      <c r="P482">
        <f ca="1">RANDBETWEEN(0,O482)</f>
        <v>51244</v>
      </c>
      <c r="Q482">
        <f ca="1">RAND()*J482*2</f>
        <v>32498.790614727666</v>
      </c>
      <c r="R482">
        <f ca="1">RAND()*J482*1.5</f>
        <v>26913.183800515108</v>
      </c>
      <c r="S482">
        <f ca="1">J482+R482+O482</f>
        <v>203751.822333674</v>
      </c>
      <c r="T482">
        <f ca="1">N482+P482+Q482</f>
        <v>219057.95673205308</v>
      </c>
      <c r="U482">
        <f ca="1">S482-T482</f>
        <v>-15306.134398379072</v>
      </c>
      <c r="AC482" s="6">
        <f ca="1">IF(Table1[[#This Row],[gender]]="men",1,0)</f>
        <v>1</v>
      </c>
      <c r="AD482">
        <f ca="1">IF(Table1[[#This Row],[gender]]="women",1,0)</f>
        <v>0</v>
      </c>
      <c r="AH482" s="5"/>
      <c r="AJ482" s="6">
        <f ca="1">IF(Table1[[#This Row],[Column1]]="Health",1,0)</f>
        <v>1</v>
      </c>
      <c r="AK482">
        <f ca="1">IF(Table1[[#This Row],[Column1]]="Construction",1,0)</f>
        <v>0</v>
      </c>
      <c r="AL482">
        <f ca="1">IF(Table1[[#This Row],[Column1]]="Technology",1,0)</f>
        <v>0</v>
      </c>
      <c r="AM482">
        <f ca="1">IF(Table1[[#This Row],[Column1]]="Education",1,0)</f>
        <v>0</v>
      </c>
      <c r="AN482">
        <f ca="1">IF(Table1[[#This Row],[Column1]]="Agriculture",1,0)</f>
        <v>0</v>
      </c>
      <c r="AO482">
        <f ca="1">IF(Table1[[#This Row],[Column1]]="Social Service", 1, 0)</f>
        <v>0</v>
      </c>
      <c r="AT482" s="5"/>
      <c r="AV482" s="17">
        <f t="shared" ca="1" si="21"/>
        <v>54508.23425113791</v>
      </c>
      <c r="AW482" s="5"/>
      <c r="AX482" s="6">
        <f ca="1">IF(Table1[[#This Row],[Value of Debts]]&gt;$AY$4,1,0)</f>
        <v>1</v>
      </c>
      <c r="AY482" s="20"/>
      <c r="AZ482" s="20"/>
      <c r="BA482" s="5"/>
      <c r="BB482" s="25">
        <f ca="1">Table1[[#This Row],[Mortage Left]]/Table1[[#This Row],[Value of House]]</f>
        <v>0.39807007989140475</v>
      </c>
      <c r="BC482" s="20">
        <f t="shared" ca="1" si="23"/>
        <v>0</v>
      </c>
      <c r="BD482" s="20"/>
      <c r="BE482" s="20"/>
      <c r="BF482" s="20"/>
      <c r="BG482" s="6">
        <f ca="1">IF(Table1[[#This Row],[County]]="Cumbria",Table1[[#This Row],[income]],0)</f>
        <v>0</v>
      </c>
      <c r="BH482" s="20">
        <f ca="1">IF(Table1[[#This Row],[County]]="Cheshire",Table1[[#This Row],[income]],0)</f>
        <v>0</v>
      </c>
      <c r="BI482" s="20">
        <f ca="1">IF(Table1[[#This Row],[County]]="Bristol",Table1[[#This Row],[income]],0)</f>
        <v>0</v>
      </c>
      <c r="BJ482" s="20">
        <f ca="1">IF(Table1[[#This Row],[County]]="Surrey",Table1[[#This Row],[income]],0)</f>
        <v>0</v>
      </c>
      <c r="BK482" s="20">
        <f ca="1">IF(Table1[[#This Row],[County]]="Norfolk",Table1[[#This Row],[income]],0)</f>
        <v>0</v>
      </c>
      <c r="BL482" s="20">
        <f ca="1">IF(Table1[[#This Row],[County]]="Lincolnshire",Table1[[#This Row],[income]],0)</f>
        <v>0</v>
      </c>
      <c r="BM482" s="20">
        <f ca="1">IF(Table1[[#This Row],[County]]="Somerset",Table1[[#This Row],[income]],0)</f>
        <v>0</v>
      </c>
      <c r="BN482" s="20">
        <f ca="1">IF(Table1[[#This Row],[County]]="Cambridgeshire",Table1[[#This Row],[income]],0)</f>
        <v>0</v>
      </c>
      <c r="BO482" s="20">
        <f ca="1">IF(Table1[[#This Row],[County]]="South Yorkshire",Table1[[#This Row],[income]],0)</f>
        <v>0</v>
      </c>
      <c r="BP482" s="20">
        <f ca="1">IF(Table1[[#This Row],[County]]="Greater London",Table1[[#This Row],[income]],0)</f>
        <v>84982</v>
      </c>
      <c r="BQ482" s="20">
        <f ca="1">IF(Table1[[#This Row],[County]]="Hampshire",Table1[[#This Row],[income]],0)</f>
        <v>0</v>
      </c>
      <c r="BR482" s="20">
        <f ca="1">IF(Table1[[#This Row],[County]]="Gloucestershire",Table1[[#This Row],[income]],0)</f>
        <v>0</v>
      </c>
      <c r="BS482" s="20">
        <f ca="1">IF(Table1[[#This Row],[County]]="West Sussex",Table1[[#This Row],[income]],0)</f>
        <v>0</v>
      </c>
      <c r="BT482" s="20">
        <f ca="1">IF(Table1[[#This Row],[County]]="Devon",Table1[[#This Row],[income]],0)</f>
        <v>0</v>
      </c>
      <c r="BU482" s="20">
        <f ca="1">IF(Table1[[#This Row],[County]]="Berkshire",Table1[[#This Row],[income]],0)</f>
        <v>0</v>
      </c>
      <c r="BV482" s="20">
        <f ca="1">IF(Table1[[#This Row],[County]]="Staffordshire",Table1[[#This Row],[income]],0)</f>
        <v>0</v>
      </c>
      <c r="BW482" s="20">
        <f ca="1">IF(Table1[[#This Row],[County]]="Leicestershire",Table1[[#This Row],[income]],0)</f>
        <v>0</v>
      </c>
      <c r="BX482" s="20">
        <f ca="1">IF(Table1[[#This Row],[County]]="Cornwall",Table1[[#This Row],[income]],0)</f>
        <v>0</v>
      </c>
      <c r="BY482" s="20">
        <f ca="1">IF(Table1[[#This Row],[County]]="Isle of Wight",Table1[[#This Row],[income]],0)</f>
        <v>0</v>
      </c>
      <c r="BZ482" s="20">
        <f ca="1">IF(Table1[[#This Row],[County]]="Surrey",Table1[[#This Row],[income]],0)</f>
        <v>0</v>
      </c>
      <c r="CA482" s="20">
        <f ca="1">IF(Table1[[#This Row],[County]]="Derbyshire",Table1[[#This Row],[income]],0)</f>
        <v>0</v>
      </c>
      <c r="CB482" s="20">
        <f ca="1">IF(Table1[[#This Row],[County]]="City of London",Table1[[#This Row],[income]],0)</f>
        <v>0</v>
      </c>
      <c r="CC482" s="20">
        <f ca="1">IF(Table1[[#This Row],[County]]="Bedfordshire",Table1[[#This Row],[income]],0)</f>
        <v>0</v>
      </c>
      <c r="CD482" s="20">
        <f ca="1">IF(Table1[[#This Row],[County]]="County Durham",Table1[[#This Row],[income]],0)</f>
        <v>0</v>
      </c>
      <c r="CE482" s="20">
        <f ca="1">IF(Table1[[#This Row],[County]]="East Riding of Yorkshire",Table1[[#This Row],[income]],0)</f>
        <v>0</v>
      </c>
      <c r="CF482" s="20">
        <f ca="1">IF(Table1[[#This Row],[County]]="West Yorkshire",Table1[[#This Row],[income]],0)</f>
        <v>0</v>
      </c>
      <c r="CG482" s="20">
        <f ca="1">IF(Table1[[#This Row],[County]]="Essex",Table1[[#This Row],[income]],0)</f>
        <v>0</v>
      </c>
      <c r="CH482" s="20">
        <f ca="1">IF(Table1[[#This Row],[County]]="East Sussex",Table1[[#This Row],[income]],0)</f>
        <v>0</v>
      </c>
      <c r="CI482" s="20">
        <f ca="1">IF(Table1[[#This Row],[County]]="Greater Manchester",Table1[[#This Row],[income]],0)</f>
        <v>0</v>
      </c>
      <c r="CJ482" s="20">
        <f ca="1">IF(Table1[[#This Row],[County]]="Hertfordshire",Table1[[#This Row],[income]],0)</f>
        <v>0</v>
      </c>
      <c r="CK482" s="20">
        <f ca="1">IF(Table1[[#This Row],[County]]="Herefordshire",Table1[[#This Row],[income]],0)</f>
        <v>0</v>
      </c>
      <c r="CL482" s="20">
        <f ca="1">IF(Table1[[#This Row],[County]]="Lancashire",Table1[[#This Row],[income]],0)</f>
        <v>0</v>
      </c>
      <c r="CM482" s="20">
        <f ca="1">IF(Table1[[#This Row],[County]]="Merseyside",Table1[[#This Row],[income]],0)</f>
        <v>0</v>
      </c>
      <c r="CN482" s="20">
        <f ca="1">IF(Table1[[#This Row],[County]]="Northamptonshire",Table1[[#This Row],[income]],0)</f>
        <v>0</v>
      </c>
      <c r="CO482" s="20">
        <f ca="1">IF(Table1[[#This Row],[County]]="Northumberland",Table1[[#This Row],[income]],0)</f>
        <v>0</v>
      </c>
      <c r="CP482" s="20">
        <f ca="1">IF(Table1[[#This Row],[County]]="Wiltshire",Table1[[#This Row],[income]],0)</f>
        <v>0</v>
      </c>
      <c r="CQ482" s="20">
        <f ca="1">IF(Table1[[#This Row],[County]]="West Midlands",Table1[[#This Row],[income]],0)</f>
        <v>0</v>
      </c>
      <c r="CR482" s="20">
        <f ca="1">IF(Table1[[#This Row],[County]]="Warwickshire",Table1[[#This Row],[income]],0)</f>
        <v>0</v>
      </c>
      <c r="CS482" s="20">
        <f ca="1">IF(Table1[[#This Row],[County]]="Tyne and Wear",Table1[[#This Row],[income]],0)</f>
        <v>0</v>
      </c>
      <c r="CT482" s="20">
        <f ca="1">IF(Table1[[#This Row],[County]]="Worcestershire",Table1[[#This Row],[income]],0)</f>
        <v>0</v>
      </c>
      <c r="CU482" s="20">
        <f ca="1">IF(Table1[[#This Row],[County]]="Rutland",Table1[[#This Row],[income]],0)</f>
        <v>0</v>
      </c>
      <c r="CV482" s="20">
        <f ca="1">IF(Table1[[#This Row],[County]]="Shropshire",Table1[[#This Row],[income]],0)</f>
        <v>0</v>
      </c>
      <c r="CW482" s="20">
        <f ca="1">IF(Table1[[#This Row],[County]]="Dorset",Table1[[#This Row],[income]],0)</f>
        <v>0</v>
      </c>
      <c r="CX482" s="20">
        <f ca="1">IF(Table1[[#This Row],[County]]="Buckinghamshire",Table1[[#This Row],[income]],0)</f>
        <v>0</v>
      </c>
      <c r="CY482" s="20">
        <f ca="1">IF(Table1[[#This Row],[County]]="Suffolk",Table1[[#This Row],[income]],0)</f>
        <v>0</v>
      </c>
      <c r="CZ482" s="20">
        <f ca="1">IF(Table1[[#This Row],[County]]="North Yorkshire",Table1[[#This Row],[income]],0)</f>
        <v>0</v>
      </c>
      <c r="DA482" s="20">
        <f ca="1">IF(Table1[[#This Row],[County]]="Kent",Table1[[#This Row],[income]],0)</f>
        <v>0</v>
      </c>
      <c r="DB482" s="5">
        <f ca="1">IF(Table1[[#This Row],[County]]="Derbyshire",Table1[[#This Row],[income]],0)</f>
        <v>0</v>
      </c>
      <c r="DD482" s="6">
        <f ca="1">IF(Table1[[#This Row],[Column1]]="Health",Table1[[#This Row],[income]],0)</f>
        <v>84982</v>
      </c>
      <c r="DE482" s="20">
        <f ca="1">IF(Table1[[#This Row],[Column1]]="Agriculture",Table1[[#This Row],[income]],0)</f>
        <v>0</v>
      </c>
      <c r="DF482" s="20">
        <f ca="1">IF(Table1[[#This Row],[Column1]]="Technology",Table1[[#This Row],[income]],0)</f>
        <v>0</v>
      </c>
      <c r="DG482" s="20">
        <f ca="1">IF(Table1[[#This Row],[Column1]]="Social Service",Table1[[#This Row],[income]],0)</f>
        <v>0</v>
      </c>
      <c r="DH482" s="20">
        <f ca="1">IF(Table1[[#This Row],[Column1]]="Education",Table1[[#This Row],[income]],0)</f>
        <v>0</v>
      </c>
      <c r="DI482" s="5">
        <f ca="1">IF(Table1[[#This Row],[Column1]]="Construction",Table1[[#This Row],[income]],0)</f>
        <v>0</v>
      </c>
      <c r="DK482" s="6">
        <f ca="1">IF(Table1[[#This Row],[Value of Debts]]&gt;Table1[[#This Row],[income]],1,0)</f>
        <v>1</v>
      </c>
      <c r="DL482" s="20"/>
      <c r="DM482" s="20"/>
      <c r="DN482" s="5"/>
      <c r="DP482" s="6">
        <f ca="1">IF(Table1[[#This Row],[Net Worth (£)]]&gt;$DS$5,C482,0)</f>
        <v>0</v>
      </c>
      <c r="DQ482" s="20"/>
      <c r="DR482" s="20"/>
      <c r="DS482" s="5"/>
    </row>
    <row r="483" spans="1:123" x14ac:dyDescent="0.2">
      <c r="A483">
        <f t="shared" ca="1" si="22"/>
        <v>1</v>
      </c>
      <c r="B483" s="1" t="str">
        <f ca="1">IF(A483=1, "men", "women")</f>
        <v>men</v>
      </c>
      <c r="C483" s="1">
        <f ca="1">RANDBETWEEN(25,50)</f>
        <v>38</v>
      </c>
      <c r="D483">
        <f ca="1">RANDBETWEEN(1,6)</f>
        <v>3</v>
      </c>
      <c r="E483" t="str">
        <f ca="1">VLOOKUP(D483,$W$5:$X$10,2)</f>
        <v>Education</v>
      </c>
      <c r="F483">
        <f ca="1">RANDBETWEEN(1,5)</f>
        <v>2</v>
      </c>
      <c r="G483" t="str">
        <f ca="1">VLOOKUP(F483,$Y$5:$Z$9,2)</f>
        <v>College</v>
      </c>
      <c r="H483">
        <f ca="1">RANDBETWEEN(0,4)</f>
        <v>4</v>
      </c>
      <c r="I483">
        <f ca="1">RANDBETWEEN(1,3)</f>
        <v>2</v>
      </c>
      <c r="J483">
        <f ca="1">RANDBETWEEN(30000,100000)</f>
        <v>67230</v>
      </c>
      <c r="K483">
        <f ca="1">RANDBETWEEN(1,48)</f>
        <v>36</v>
      </c>
      <c r="L483" t="str">
        <f ca="1">VLOOKUP(K483,$AA$5:$AB$52,2)</f>
        <v>Shropshire</v>
      </c>
      <c r="M483">
        <f ca="1">J483*(RANDBETWEEN(2,5))</f>
        <v>336150</v>
      </c>
      <c r="N483">
        <f ca="1">RAND()*M483</f>
        <v>108300.19394905563</v>
      </c>
      <c r="O483">
        <f ca="1">I483*RAND()*J483</f>
        <v>109016.46850227582</v>
      </c>
      <c r="P483">
        <f ca="1">RANDBETWEEN(0,O483)</f>
        <v>78541</v>
      </c>
      <c r="Q483">
        <f ca="1">RAND()*J483*2</f>
        <v>38040.581082250523</v>
      </c>
      <c r="R483">
        <f ca="1">RAND()*J483*1.5</f>
        <v>90527.596078952309</v>
      </c>
      <c r="S483">
        <f ca="1">J483+R483+O483</f>
        <v>266774.06458122813</v>
      </c>
      <c r="T483">
        <f ca="1">N483+P483+Q483</f>
        <v>224881.77503130614</v>
      </c>
      <c r="U483">
        <f ca="1">S483-T483</f>
        <v>41892.289549921989</v>
      </c>
      <c r="AC483" s="6">
        <f ca="1">IF(Table1[[#This Row],[gender]]="men",1,0)</f>
        <v>1</v>
      </c>
      <c r="AD483">
        <f ca="1">IF(Table1[[#This Row],[gender]]="women",1,0)</f>
        <v>0</v>
      </c>
      <c r="AH483" s="5"/>
      <c r="AJ483" s="6">
        <f ca="1">IF(Table1[[#This Row],[Column1]]="Health",1,0)</f>
        <v>0</v>
      </c>
      <c r="AK483">
        <f ca="1">IF(Table1[[#This Row],[Column1]]="Construction",1,0)</f>
        <v>0</v>
      </c>
      <c r="AL483">
        <f ca="1">IF(Table1[[#This Row],[Column1]]="Technology",1,0)</f>
        <v>0</v>
      </c>
      <c r="AM483">
        <f ca="1">IF(Table1[[#This Row],[Column1]]="Education",1,0)</f>
        <v>1</v>
      </c>
      <c r="AN483">
        <f ca="1">IF(Table1[[#This Row],[Column1]]="Agriculture",1,0)</f>
        <v>0</v>
      </c>
      <c r="AO483">
        <f ca="1">IF(Table1[[#This Row],[Column1]]="Social Service", 1, 0)</f>
        <v>0</v>
      </c>
      <c r="AT483" s="5"/>
      <c r="AV483" s="17">
        <f t="shared" ca="1" si="21"/>
        <v>21942.108248179768</v>
      </c>
      <c r="AW483" s="5"/>
      <c r="AX483" s="6">
        <f ca="1">IF(Table1[[#This Row],[Value of Debts]]&gt;$AY$4,1,0)</f>
        <v>1</v>
      </c>
      <c r="AY483" s="20"/>
      <c r="AZ483" s="20"/>
      <c r="BA483" s="5"/>
      <c r="BB483" s="25">
        <f ca="1">Table1[[#This Row],[Mortage Left]]/Table1[[#This Row],[Value of House]]</f>
        <v>0.32217817625778855</v>
      </c>
      <c r="BC483" s="20">
        <f t="shared" ca="1" si="23"/>
        <v>0</v>
      </c>
      <c r="BD483" s="20"/>
      <c r="BE483" s="20"/>
      <c r="BF483" s="20"/>
      <c r="BG483" s="6">
        <f ca="1">IF(Table1[[#This Row],[County]]="Cumbria",Table1[[#This Row],[income]],0)</f>
        <v>0</v>
      </c>
      <c r="BH483" s="20">
        <f ca="1">IF(Table1[[#This Row],[County]]="Cheshire",Table1[[#This Row],[income]],0)</f>
        <v>0</v>
      </c>
      <c r="BI483" s="20">
        <f ca="1">IF(Table1[[#This Row],[County]]="Bristol",Table1[[#This Row],[income]],0)</f>
        <v>0</v>
      </c>
      <c r="BJ483" s="20">
        <f ca="1">IF(Table1[[#This Row],[County]]="Surrey",Table1[[#This Row],[income]],0)</f>
        <v>0</v>
      </c>
      <c r="BK483" s="20">
        <f ca="1">IF(Table1[[#This Row],[County]]="Norfolk",Table1[[#This Row],[income]],0)</f>
        <v>0</v>
      </c>
      <c r="BL483" s="20">
        <f ca="1">IF(Table1[[#This Row],[County]]="Lincolnshire",Table1[[#This Row],[income]],0)</f>
        <v>0</v>
      </c>
      <c r="BM483" s="20">
        <f ca="1">IF(Table1[[#This Row],[County]]="Somerset",Table1[[#This Row],[income]],0)</f>
        <v>0</v>
      </c>
      <c r="BN483" s="20">
        <f ca="1">IF(Table1[[#This Row],[County]]="Cambridgeshire",Table1[[#This Row],[income]],0)</f>
        <v>0</v>
      </c>
      <c r="BO483" s="20">
        <f ca="1">IF(Table1[[#This Row],[County]]="South Yorkshire",Table1[[#This Row],[income]],0)</f>
        <v>0</v>
      </c>
      <c r="BP483" s="20">
        <f ca="1">IF(Table1[[#This Row],[County]]="Greater London",Table1[[#This Row],[income]],0)</f>
        <v>0</v>
      </c>
      <c r="BQ483" s="20">
        <f ca="1">IF(Table1[[#This Row],[County]]="Hampshire",Table1[[#This Row],[income]],0)</f>
        <v>0</v>
      </c>
      <c r="BR483" s="20">
        <f ca="1">IF(Table1[[#This Row],[County]]="Gloucestershire",Table1[[#This Row],[income]],0)</f>
        <v>0</v>
      </c>
      <c r="BS483" s="20">
        <f ca="1">IF(Table1[[#This Row],[County]]="West Sussex",Table1[[#This Row],[income]],0)</f>
        <v>0</v>
      </c>
      <c r="BT483" s="20">
        <f ca="1">IF(Table1[[#This Row],[County]]="Devon",Table1[[#This Row],[income]],0)</f>
        <v>0</v>
      </c>
      <c r="BU483" s="20">
        <f ca="1">IF(Table1[[#This Row],[County]]="Berkshire",Table1[[#This Row],[income]],0)</f>
        <v>0</v>
      </c>
      <c r="BV483" s="20">
        <f ca="1">IF(Table1[[#This Row],[County]]="Staffordshire",Table1[[#This Row],[income]],0)</f>
        <v>0</v>
      </c>
      <c r="BW483" s="20">
        <f ca="1">IF(Table1[[#This Row],[County]]="Leicestershire",Table1[[#This Row],[income]],0)</f>
        <v>0</v>
      </c>
      <c r="BX483" s="20">
        <f ca="1">IF(Table1[[#This Row],[County]]="Cornwall",Table1[[#This Row],[income]],0)</f>
        <v>0</v>
      </c>
      <c r="BY483" s="20">
        <f ca="1">IF(Table1[[#This Row],[County]]="Isle of Wight",Table1[[#This Row],[income]],0)</f>
        <v>0</v>
      </c>
      <c r="BZ483" s="20">
        <f ca="1">IF(Table1[[#This Row],[County]]="Surrey",Table1[[#This Row],[income]],0)</f>
        <v>0</v>
      </c>
      <c r="CA483" s="20">
        <f ca="1">IF(Table1[[#This Row],[County]]="Derbyshire",Table1[[#This Row],[income]],0)</f>
        <v>0</v>
      </c>
      <c r="CB483" s="20">
        <f ca="1">IF(Table1[[#This Row],[County]]="City of London",Table1[[#This Row],[income]],0)</f>
        <v>0</v>
      </c>
      <c r="CC483" s="20">
        <f ca="1">IF(Table1[[#This Row],[County]]="Bedfordshire",Table1[[#This Row],[income]],0)</f>
        <v>0</v>
      </c>
      <c r="CD483" s="20">
        <f ca="1">IF(Table1[[#This Row],[County]]="County Durham",Table1[[#This Row],[income]],0)</f>
        <v>0</v>
      </c>
      <c r="CE483" s="20">
        <f ca="1">IF(Table1[[#This Row],[County]]="East Riding of Yorkshire",Table1[[#This Row],[income]],0)</f>
        <v>0</v>
      </c>
      <c r="CF483" s="20">
        <f ca="1">IF(Table1[[#This Row],[County]]="West Yorkshire",Table1[[#This Row],[income]],0)</f>
        <v>0</v>
      </c>
      <c r="CG483" s="20">
        <f ca="1">IF(Table1[[#This Row],[County]]="Essex",Table1[[#This Row],[income]],0)</f>
        <v>0</v>
      </c>
      <c r="CH483" s="20">
        <f ca="1">IF(Table1[[#This Row],[County]]="East Sussex",Table1[[#This Row],[income]],0)</f>
        <v>0</v>
      </c>
      <c r="CI483" s="20">
        <f ca="1">IF(Table1[[#This Row],[County]]="Greater Manchester",Table1[[#This Row],[income]],0)</f>
        <v>0</v>
      </c>
      <c r="CJ483" s="20">
        <f ca="1">IF(Table1[[#This Row],[County]]="Hertfordshire",Table1[[#This Row],[income]],0)</f>
        <v>0</v>
      </c>
      <c r="CK483" s="20">
        <f ca="1">IF(Table1[[#This Row],[County]]="Herefordshire",Table1[[#This Row],[income]],0)</f>
        <v>0</v>
      </c>
      <c r="CL483" s="20">
        <f ca="1">IF(Table1[[#This Row],[County]]="Lancashire",Table1[[#This Row],[income]],0)</f>
        <v>0</v>
      </c>
      <c r="CM483" s="20">
        <f ca="1">IF(Table1[[#This Row],[County]]="Merseyside",Table1[[#This Row],[income]],0)</f>
        <v>0</v>
      </c>
      <c r="CN483" s="20">
        <f ca="1">IF(Table1[[#This Row],[County]]="Northamptonshire",Table1[[#This Row],[income]],0)</f>
        <v>0</v>
      </c>
      <c r="CO483" s="20">
        <f ca="1">IF(Table1[[#This Row],[County]]="Northumberland",Table1[[#This Row],[income]],0)</f>
        <v>0</v>
      </c>
      <c r="CP483" s="20">
        <f ca="1">IF(Table1[[#This Row],[County]]="Wiltshire",Table1[[#This Row],[income]],0)</f>
        <v>0</v>
      </c>
      <c r="CQ483" s="20">
        <f ca="1">IF(Table1[[#This Row],[County]]="West Midlands",Table1[[#This Row],[income]],0)</f>
        <v>0</v>
      </c>
      <c r="CR483" s="20">
        <f ca="1">IF(Table1[[#This Row],[County]]="Warwickshire",Table1[[#This Row],[income]],0)</f>
        <v>0</v>
      </c>
      <c r="CS483" s="20">
        <f ca="1">IF(Table1[[#This Row],[County]]="Tyne and Wear",Table1[[#This Row],[income]],0)</f>
        <v>0</v>
      </c>
      <c r="CT483" s="20">
        <f ca="1">IF(Table1[[#This Row],[County]]="Worcestershire",Table1[[#This Row],[income]],0)</f>
        <v>0</v>
      </c>
      <c r="CU483" s="20">
        <f ca="1">IF(Table1[[#This Row],[County]]="Rutland",Table1[[#This Row],[income]],0)</f>
        <v>0</v>
      </c>
      <c r="CV483" s="20">
        <f ca="1">IF(Table1[[#This Row],[County]]="Shropshire",Table1[[#This Row],[income]],0)</f>
        <v>67230</v>
      </c>
      <c r="CW483" s="20">
        <f ca="1">IF(Table1[[#This Row],[County]]="Dorset",Table1[[#This Row],[income]],0)</f>
        <v>0</v>
      </c>
      <c r="CX483" s="20">
        <f ca="1">IF(Table1[[#This Row],[County]]="Buckinghamshire",Table1[[#This Row],[income]],0)</f>
        <v>0</v>
      </c>
      <c r="CY483" s="20">
        <f ca="1">IF(Table1[[#This Row],[County]]="Suffolk",Table1[[#This Row],[income]],0)</f>
        <v>0</v>
      </c>
      <c r="CZ483" s="20">
        <f ca="1">IF(Table1[[#This Row],[County]]="North Yorkshire",Table1[[#This Row],[income]],0)</f>
        <v>0</v>
      </c>
      <c r="DA483" s="20">
        <f ca="1">IF(Table1[[#This Row],[County]]="Kent",Table1[[#This Row],[income]],0)</f>
        <v>0</v>
      </c>
      <c r="DB483" s="5">
        <f ca="1">IF(Table1[[#This Row],[County]]="Derbyshire",Table1[[#This Row],[income]],0)</f>
        <v>0</v>
      </c>
      <c r="DD483" s="6">
        <f ca="1">IF(Table1[[#This Row],[Column1]]="Health",Table1[[#This Row],[income]],0)</f>
        <v>0</v>
      </c>
      <c r="DE483" s="20">
        <f ca="1">IF(Table1[[#This Row],[Column1]]="Agriculture",Table1[[#This Row],[income]],0)</f>
        <v>0</v>
      </c>
      <c r="DF483" s="20">
        <f ca="1">IF(Table1[[#This Row],[Column1]]="Technology",Table1[[#This Row],[income]],0)</f>
        <v>0</v>
      </c>
      <c r="DG483" s="20">
        <f ca="1">IF(Table1[[#This Row],[Column1]]="Social Service",Table1[[#This Row],[income]],0)</f>
        <v>0</v>
      </c>
      <c r="DH483" s="20">
        <f ca="1">IF(Table1[[#This Row],[Column1]]="Education",Table1[[#This Row],[income]],0)</f>
        <v>67230</v>
      </c>
      <c r="DI483" s="5">
        <f ca="1">IF(Table1[[#This Row],[Column1]]="Construction",Table1[[#This Row],[income]],0)</f>
        <v>0</v>
      </c>
      <c r="DK483" s="6">
        <f ca="1">IF(Table1[[#This Row],[Value of Debts]]&gt;Table1[[#This Row],[income]],1,0)</f>
        <v>1</v>
      </c>
      <c r="DL483" s="20"/>
      <c r="DM483" s="20"/>
      <c r="DN483" s="5"/>
      <c r="DP483" s="6">
        <f ca="1">IF(Table1[[#This Row],[Net Worth (£)]]&gt;$DS$5,C483,0)</f>
        <v>0</v>
      </c>
      <c r="DQ483" s="20"/>
      <c r="DR483" s="20"/>
      <c r="DS483" s="5"/>
    </row>
    <row r="484" spans="1:123" x14ac:dyDescent="0.2">
      <c r="A484">
        <f t="shared" ca="1" si="22"/>
        <v>2</v>
      </c>
      <c r="B484" s="1" t="str">
        <f ca="1">IF(A484=1, "men", "women")</f>
        <v>women</v>
      </c>
      <c r="C484" s="1">
        <f ca="1">RANDBETWEEN(25,50)</f>
        <v>25</v>
      </c>
      <c r="D484">
        <f ca="1">RANDBETWEEN(1,6)</f>
        <v>1</v>
      </c>
      <c r="E484" t="str">
        <f ca="1">VLOOKUP(D484,$W$5:$X$10,2)</f>
        <v>Health</v>
      </c>
      <c r="F484">
        <f ca="1">RANDBETWEEN(1,5)</f>
        <v>2</v>
      </c>
      <c r="G484" t="str">
        <f ca="1">VLOOKUP(F484,$Y$5:$Z$9,2)</f>
        <v>College</v>
      </c>
      <c r="H484">
        <f ca="1">RANDBETWEEN(0,4)</f>
        <v>3</v>
      </c>
      <c r="I484">
        <f ca="1">RANDBETWEEN(1,3)</f>
        <v>2</v>
      </c>
      <c r="J484">
        <f ca="1">RANDBETWEEN(30000,100000)</f>
        <v>54491</v>
      </c>
      <c r="K484">
        <f ca="1">RANDBETWEEN(1,48)</f>
        <v>43</v>
      </c>
      <c r="L484" t="str">
        <f ca="1">VLOOKUP(K484,$AA$5:$AB$52,2)</f>
        <v>Warwickshire</v>
      </c>
      <c r="M484">
        <f ca="1">J484*(RANDBETWEEN(2,5))</f>
        <v>108982</v>
      </c>
      <c r="N484">
        <f ca="1">RAND()*M484</f>
        <v>24185.819670904304</v>
      </c>
      <c r="O484">
        <f ca="1">I484*RAND()*J484</f>
        <v>43884.216496359535</v>
      </c>
      <c r="P484">
        <f ca="1">RANDBETWEEN(0,O484)</f>
        <v>29442</v>
      </c>
      <c r="Q484">
        <f ca="1">RAND()*J484*2</f>
        <v>31669.102626646363</v>
      </c>
      <c r="R484">
        <f ca="1">RAND()*J484*1.5</f>
        <v>6016.8767598687327</v>
      </c>
      <c r="S484">
        <f ca="1">J484+R484+O484</f>
        <v>104392.09325622827</v>
      </c>
      <c r="T484">
        <f ca="1">N484+P484+Q484</f>
        <v>85296.922297550671</v>
      </c>
      <c r="U484">
        <f ca="1">S484-T484</f>
        <v>19095.170958677598</v>
      </c>
      <c r="AC484" s="6">
        <f ca="1">IF(Table1[[#This Row],[gender]]="men",1,0)</f>
        <v>0</v>
      </c>
      <c r="AD484">
        <f ca="1">IF(Table1[[#This Row],[gender]]="women",1,0)</f>
        <v>1</v>
      </c>
      <c r="AH484" s="5"/>
      <c r="AJ484" s="6">
        <f ca="1">IF(Table1[[#This Row],[Column1]]="Health",1,0)</f>
        <v>1</v>
      </c>
      <c r="AK484">
        <f ca="1">IF(Table1[[#This Row],[Column1]]="Construction",1,0)</f>
        <v>0</v>
      </c>
      <c r="AL484">
        <f ca="1">IF(Table1[[#This Row],[Column1]]="Technology",1,0)</f>
        <v>0</v>
      </c>
      <c r="AM484">
        <f ca="1">IF(Table1[[#This Row],[Column1]]="Education",1,0)</f>
        <v>0</v>
      </c>
      <c r="AN484">
        <f ca="1">IF(Table1[[#This Row],[Column1]]="Agriculture",1,0)</f>
        <v>0</v>
      </c>
      <c r="AO484">
        <f ca="1">IF(Table1[[#This Row],[Column1]]="Social Service", 1, 0)</f>
        <v>0</v>
      </c>
      <c r="AT484" s="5"/>
      <c r="AV484" s="17">
        <f t="shared" ca="1" si="21"/>
        <v>2750.5220382623106</v>
      </c>
      <c r="AW484" s="5"/>
      <c r="AX484" s="6">
        <f ca="1">IF(Table1[[#This Row],[Value of Debts]]&gt;$AY$4,1,0)</f>
        <v>0</v>
      </c>
      <c r="AY484" s="20"/>
      <c r="AZ484" s="20"/>
      <c r="BA484" s="5"/>
      <c r="BB484" s="25">
        <f ca="1">Table1[[#This Row],[Mortage Left]]/Table1[[#This Row],[Value of House]]</f>
        <v>0.22192490201046322</v>
      </c>
      <c r="BC484" s="20">
        <f t="shared" ca="1" si="23"/>
        <v>1</v>
      </c>
      <c r="BD484" s="20"/>
      <c r="BE484" s="20"/>
      <c r="BF484" s="20"/>
      <c r="BG484" s="6">
        <f ca="1">IF(Table1[[#This Row],[County]]="Cumbria",Table1[[#This Row],[income]],0)</f>
        <v>0</v>
      </c>
      <c r="BH484" s="20">
        <f ca="1">IF(Table1[[#This Row],[County]]="Cheshire",Table1[[#This Row],[income]],0)</f>
        <v>0</v>
      </c>
      <c r="BI484" s="20">
        <f ca="1">IF(Table1[[#This Row],[County]]="Bristol",Table1[[#This Row],[income]],0)</f>
        <v>0</v>
      </c>
      <c r="BJ484" s="20">
        <f ca="1">IF(Table1[[#This Row],[County]]="Surrey",Table1[[#This Row],[income]],0)</f>
        <v>0</v>
      </c>
      <c r="BK484" s="20">
        <f ca="1">IF(Table1[[#This Row],[County]]="Norfolk",Table1[[#This Row],[income]],0)</f>
        <v>0</v>
      </c>
      <c r="BL484" s="20">
        <f ca="1">IF(Table1[[#This Row],[County]]="Lincolnshire",Table1[[#This Row],[income]],0)</f>
        <v>0</v>
      </c>
      <c r="BM484" s="20">
        <f ca="1">IF(Table1[[#This Row],[County]]="Somerset",Table1[[#This Row],[income]],0)</f>
        <v>0</v>
      </c>
      <c r="BN484" s="20">
        <f ca="1">IF(Table1[[#This Row],[County]]="Cambridgeshire",Table1[[#This Row],[income]],0)</f>
        <v>0</v>
      </c>
      <c r="BO484" s="20">
        <f ca="1">IF(Table1[[#This Row],[County]]="South Yorkshire",Table1[[#This Row],[income]],0)</f>
        <v>0</v>
      </c>
      <c r="BP484" s="20">
        <f ca="1">IF(Table1[[#This Row],[County]]="Greater London",Table1[[#This Row],[income]],0)</f>
        <v>0</v>
      </c>
      <c r="BQ484" s="20">
        <f ca="1">IF(Table1[[#This Row],[County]]="Hampshire",Table1[[#This Row],[income]],0)</f>
        <v>0</v>
      </c>
      <c r="BR484" s="20">
        <f ca="1">IF(Table1[[#This Row],[County]]="Gloucestershire",Table1[[#This Row],[income]],0)</f>
        <v>0</v>
      </c>
      <c r="BS484" s="20">
        <f ca="1">IF(Table1[[#This Row],[County]]="West Sussex",Table1[[#This Row],[income]],0)</f>
        <v>0</v>
      </c>
      <c r="BT484" s="20">
        <f ca="1">IF(Table1[[#This Row],[County]]="Devon",Table1[[#This Row],[income]],0)</f>
        <v>0</v>
      </c>
      <c r="BU484" s="20">
        <f ca="1">IF(Table1[[#This Row],[County]]="Berkshire",Table1[[#This Row],[income]],0)</f>
        <v>0</v>
      </c>
      <c r="BV484" s="20">
        <f ca="1">IF(Table1[[#This Row],[County]]="Staffordshire",Table1[[#This Row],[income]],0)</f>
        <v>0</v>
      </c>
      <c r="BW484" s="20">
        <f ca="1">IF(Table1[[#This Row],[County]]="Leicestershire",Table1[[#This Row],[income]],0)</f>
        <v>0</v>
      </c>
      <c r="BX484" s="20">
        <f ca="1">IF(Table1[[#This Row],[County]]="Cornwall",Table1[[#This Row],[income]],0)</f>
        <v>0</v>
      </c>
      <c r="BY484" s="20">
        <f ca="1">IF(Table1[[#This Row],[County]]="Isle of Wight",Table1[[#This Row],[income]],0)</f>
        <v>0</v>
      </c>
      <c r="BZ484" s="20">
        <f ca="1">IF(Table1[[#This Row],[County]]="Surrey",Table1[[#This Row],[income]],0)</f>
        <v>0</v>
      </c>
      <c r="CA484" s="20">
        <f ca="1">IF(Table1[[#This Row],[County]]="Derbyshire",Table1[[#This Row],[income]],0)</f>
        <v>0</v>
      </c>
      <c r="CB484" s="20">
        <f ca="1">IF(Table1[[#This Row],[County]]="City of London",Table1[[#This Row],[income]],0)</f>
        <v>0</v>
      </c>
      <c r="CC484" s="20">
        <f ca="1">IF(Table1[[#This Row],[County]]="Bedfordshire",Table1[[#This Row],[income]],0)</f>
        <v>0</v>
      </c>
      <c r="CD484" s="20">
        <f ca="1">IF(Table1[[#This Row],[County]]="County Durham",Table1[[#This Row],[income]],0)</f>
        <v>0</v>
      </c>
      <c r="CE484" s="20">
        <f ca="1">IF(Table1[[#This Row],[County]]="East Riding of Yorkshire",Table1[[#This Row],[income]],0)</f>
        <v>0</v>
      </c>
      <c r="CF484" s="20">
        <f ca="1">IF(Table1[[#This Row],[County]]="West Yorkshire",Table1[[#This Row],[income]],0)</f>
        <v>0</v>
      </c>
      <c r="CG484" s="20">
        <f ca="1">IF(Table1[[#This Row],[County]]="Essex",Table1[[#This Row],[income]],0)</f>
        <v>0</v>
      </c>
      <c r="CH484" s="20">
        <f ca="1">IF(Table1[[#This Row],[County]]="East Sussex",Table1[[#This Row],[income]],0)</f>
        <v>0</v>
      </c>
      <c r="CI484" s="20">
        <f ca="1">IF(Table1[[#This Row],[County]]="Greater Manchester",Table1[[#This Row],[income]],0)</f>
        <v>0</v>
      </c>
      <c r="CJ484" s="20">
        <f ca="1">IF(Table1[[#This Row],[County]]="Hertfordshire",Table1[[#This Row],[income]],0)</f>
        <v>0</v>
      </c>
      <c r="CK484" s="20">
        <f ca="1">IF(Table1[[#This Row],[County]]="Herefordshire",Table1[[#This Row],[income]],0)</f>
        <v>0</v>
      </c>
      <c r="CL484" s="20">
        <f ca="1">IF(Table1[[#This Row],[County]]="Lancashire",Table1[[#This Row],[income]],0)</f>
        <v>0</v>
      </c>
      <c r="CM484" s="20">
        <f ca="1">IF(Table1[[#This Row],[County]]="Merseyside",Table1[[#This Row],[income]],0)</f>
        <v>0</v>
      </c>
      <c r="CN484" s="20">
        <f ca="1">IF(Table1[[#This Row],[County]]="Northamptonshire",Table1[[#This Row],[income]],0)</f>
        <v>0</v>
      </c>
      <c r="CO484" s="20">
        <f ca="1">IF(Table1[[#This Row],[County]]="Northumberland",Table1[[#This Row],[income]],0)</f>
        <v>0</v>
      </c>
      <c r="CP484" s="20">
        <f ca="1">IF(Table1[[#This Row],[County]]="Wiltshire",Table1[[#This Row],[income]],0)</f>
        <v>0</v>
      </c>
      <c r="CQ484" s="20">
        <f ca="1">IF(Table1[[#This Row],[County]]="West Midlands",Table1[[#This Row],[income]],0)</f>
        <v>0</v>
      </c>
      <c r="CR484" s="20">
        <f ca="1">IF(Table1[[#This Row],[County]]="Warwickshire",Table1[[#This Row],[income]],0)</f>
        <v>54491</v>
      </c>
      <c r="CS484" s="20">
        <f ca="1">IF(Table1[[#This Row],[County]]="Tyne and Wear",Table1[[#This Row],[income]],0)</f>
        <v>0</v>
      </c>
      <c r="CT484" s="20">
        <f ca="1">IF(Table1[[#This Row],[County]]="Worcestershire",Table1[[#This Row],[income]],0)</f>
        <v>0</v>
      </c>
      <c r="CU484" s="20">
        <f ca="1">IF(Table1[[#This Row],[County]]="Rutland",Table1[[#This Row],[income]],0)</f>
        <v>0</v>
      </c>
      <c r="CV484" s="20">
        <f ca="1">IF(Table1[[#This Row],[County]]="Shropshire",Table1[[#This Row],[income]],0)</f>
        <v>0</v>
      </c>
      <c r="CW484" s="20">
        <f ca="1">IF(Table1[[#This Row],[County]]="Dorset",Table1[[#This Row],[income]],0)</f>
        <v>0</v>
      </c>
      <c r="CX484" s="20">
        <f ca="1">IF(Table1[[#This Row],[County]]="Buckinghamshire",Table1[[#This Row],[income]],0)</f>
        <v>0</v>
      </c>
      <c r="CY484" s="20">
        <f ca="1">IF(Table1[[#This Row],[County]]="Suffolk",Table1[[#This Row],[income]],0)</f>
        <v>0</v>
      </c>
      <c r="CZ484" s="20">
        <f ca="1">IF(Table1[[#This Row],[County]]="North Yorkshire",Table1[[#This Row],[income]],0)</f>
        <v>0</v>
      </c>
      <c r="DA484" s="20">
        <f ca="1">IF(Table1[[#This Row],[County]]="Kent",Table1[[#This Row],[income]],0)</f>
        <v>0</v>
      </c>
      <c r="DB484" s="5">
        <f ca="1">IF(Table1[[#This Row],[County]]="Derbyshire",Table1[[#This Row],[income]],0)</f>
        <v>0</v>
      </c>
      <c r="DD484" s="6">
        <f ca="1">IF(Table1[[#This Row],[Column1]]="Health",Table1[[#This Row],[income]],0)</f>
        <v>54491</v>
      </c>
      <c r="DE484" s="20">
        <f ca="1">IF(Table1[[#This Row],[Column1]]="Agriculture",Table1[[#This Row],[income]],0)</f>
        <v>0</v>
      </c>
      <c r="DF484" s="20">
        <f ca="1">IF(Table1[[#This Row],[Column1]]="Technology",Table1[[#This Row],[income]],0)</f>
        <v>0</v>
      </c>
      <c r="DG484" s="20">
        <f ca="1">IF(Table1[[#This Row],[Column1]]="Social Service",Table1[[#This Row],[income]],0)</f>
        <v>0</v>
      </c>
      <c r="DH484" s="20">
        <f ca="1">IF(Table1[[#This Row],[Column1]]="Education",Table1[[#This Row],[income]],0)</f>
        <v>0</v>
      </c>
      <c r="DI484" s="5">
        <f ca="1">IF(Table1[[#This Row],[Column1]]="Construction",Table1[[#This Row],[income]],0)</f>
        <v>0</v>
      </c>
      <c r="DK484" s="6">
        <f ca="1">IF(Table1[[#This Row],[Value of Debts]]&gt;Table1[[#This Row],[income]],1,0)</f>
        <v>1</v>
      </c>
      <c r="DL484" s="20"/>
      <c r="DM484" s="20"/>
      <c r="DN484" s="5"/>
      <c r="DP484" s="6">
        <f ca="1">IF(Table1[[#This Row],[Net Worth (£)]]&gt;$DS$5,C484,0)</f>
        <v>0</v>
      </c>
      <c r="DQ484" s="20"/>
      <c r="DR484" s="20"/>
      <c r="DS484" s="5"/>
    </row>
    <row r="485" spans="1:123" x14ac:dyDescent="0.2">
      <c r="A485">
        <f t="shared" ca="1" si="22"/>
        <v>1</v>
      </c>
      <c r="B485" s="1" t="str">
        <f ca="1">IF(A485=1, "men", "women")</f>
        <v>men</v>
      </c>
      <c r="C485" s="1">
        <f ca="1">RANDBETWEEN(25,50)</f>
        <v>37</v>
      </c>
      <c r="D485">
        <f ca="1">RANDBETWEEN(1,6)</f>
        <v>5</v>
      </c>
      <c r="E485" t="str">
        <f ca="1">VLOOKUP(D485,$W$5:$X$10,2)</f>
        <v>Social Service</v>
      </c>
      <c r="F485">
        <f ca="1">RANDBETWEEN(1,5)</f>
        <v>1</v>
      </c>
      <c r="G485" t="str">
        <f ca="1">VLOOKUP(F485,$Y$5:$Z$9,2)</f>
        <v>High School</v>
      </c>
      <c r="H485">
        <f ca="1">RANDBETWEEN(0,4)</f>
        <v>4</v>
      </c>
      <c r="I485">
        <f ca="1">RANDBETWEEN(1,3)</f>
        <v>2</v>
      </c>
      <c r="J485">
        <f ca="1">RANDBETWEEN(30000,100000)</f>
        <v>49607</v>
      </c>
      <c r="K485">
        <f ca="1">RANDBETWEEN(1,48)</f>
        <v>12</v>
      </c>
      <c r="L485" t="str">
        <f ca="1">VLOOKUP(K485,$AA$5:$AB$52,2)</f>
        <v>Dorset</v>
      </c>
      <c r="M485">
        <f ca="1">J485*(RANDBETWEEN(2,5))</f>
        <v>148821</v>
      </c>
      <c r="N485">
        <f ca="1">RAND()*M485</f>
        <v>93546.965272885267</v>
      </c>
      <c r="O485">
        <f ca="1">I485*RAND()*J485</f>
        <v>5501.0440765246212</v>
      </c>
      <c r="P485">
        <f ca="1">RANDBETWEEN(0,O485)</f>
        <v>1080</v>
      </c>
      <c r="Q485">
        <f ca="1">RAND()*J485*2</f>
        <v>31173.773431652015</v>
      </c>
      <c r="R485">
        <f ca="1">RAND()*J485*1.5</f>
        <v>54069.662710572971</v>
      </c>
      <c r="S485">
        <f ca="1">J485+R485+O485</f>
        <v>109177.70678709759</v>
      </c>
      <c r="T485">
        <f ca="1">N485+P485+Q485</f>
        <v>125800.73870453727</v>
      </c>
      <c r="U485">
        <f ca="1">S485-T485</f>
        <v>-16623.031917439686</v>
      </c>
      <c r="AC485" s="6">
        <f ca="1">IF(Table1[[#This Row],[gender]]="men",1,0)</f>
        <v>1</v>
      </c>
      <c r="AD485">
        <f ca="1">IF(Table1[[#This Row],[gender]]="women",1,0)</f>
        <v>0</v>
      </c>
      <c r="AH485" s="5"/>
      <c r="AJ485" s="6">
        <f ca="1">IF(Table1[[#This Row],[Column1]]="Health",1,0)</f>
        <v>0</v>
      </c>
      <c r="AK485">
        <f ca="1">IF(Table1[[#This Row],[Column1]]="Construction",1,0)</f>
        <v>0</v>
      </c>
      <c r="AL485">
        <f ca="1">IF(Table1[[#This Row],[Column1]]="Technology",1,0)</f>
        <v>0</v>
      </c>
      <c r="AM485">
        <f ca="1">IF(Table1[[#This Row],[Column1]]="Education",1,0)</f>
        <v>0</v>
      </c>
      <c r="AN485">
        <f ca="1">IF(Table1[[#This Row],[Column1]]="Agriculture",1,0)</f>
        <v>0</v>
      </c>
      <c r="AO485">
        <f ca="1">IF(Table1[[#This Row],[Column1]]="Social Service", 1, 0)</f>
        <v>1</v>
      </c>
      <c r="AT485" s="5"/>
      <c r="AV485" s="17">
        <f t="shared" ca="1" si="21"/>
        <v>55481.109904882775</v>
      </c>
      <c r="AW485" s="5"/>
      <c r="AX485" s="6">
        <f ca="1">IF(Table1[[#This Row],[Value of Debts]]&gt;$AY$4,1,0)</f>
        <v>1</v>
      </c>
      <c r="AY485" s="20"/>
      <c r="AZ485" s="20"/>
      <c r="BA485" s="5"/>
      <c r="BB485" s="25">
        <f ca="1">Table1[[#This Row],[Mortage Left]]/Table1[[#This Row],[Value of House]]</f>
        <v>0.62858712999432387</v>
      </c>
      <c r="BC485" s="20">
        <f t="shared" ca="1" si="23"/>
        <v>0</v>
      </c>
      <c r="BD485" s="20"/>
      <c r="BE485" s="20"/>
      <c r="BF485" s="20"/>
      <c r="BG485" s="6">
        <f ca="1">IF(Table1[[#This Row],[County]]="Cumbria",Table1[[#This Row],[income]],0)</f>
        <v>0</v>
      </c>
      <c r="BH485" s="20">
        <f ca="1">IF(Table1[[#This Row],[County]]="Cheshire",Table1[[#This Row],[income]],0)</f>
        <v>0</v>
      </c>
      <c r="BI485" s="20">
        <f ca="1">IF(Table1[[#This Row],[County]]="Bristol",Table1[[#This Row],[income]],0)</f>
        <v>0</v>
      </c>
      <c r="BJ485" s="20">
        <f ca="1">IF(Table1[[#This Row],[County]]="Surrey",Table1[[#This Row],[income]],0)</f>
        <v>0</v>
      </c>
      <c r="BK485" s="20">
        <f ca="1">IF(Table1[[#This Row],[County]]="Norfolk",Table1[[#This Row],[income]],0)</f>
        <v>0</v>
      </c>
      <c r="BL485" s="20">
        <f ca="1">IF(Table1[[#This Row],[County]]="Lincolnshire",Table1[[#This Row],[income]],0)</f>
        <v>0</v>
      </c>
      <c r="BM485" s="20">
        <f ca="1">IF(Table1[[#This Row],[County]]="Somerset",Table1[[#This Row],[income]],0)</f>
        <v>0</v>
      </c>
      <c r="BN485" s="20">
        <f ca="1">IF(Table1[[#This Row],[County]]="Cambridgeshire",Table1[[#This Row],[income]],0)</f>
        <v>0</v>
      </c>
      <c r="BO485" s="20">
        <f ca="1">IF(Table1[[#This Row],[County]]="South Yorkshire",Table1[[#This Row],[income]],0)</f>
        <v>0</v>
      </c>
      <c r="BP485" s="20">
        <f ca="1">IF(Table1[[#This Row],[County]]="Greater London",Table1[[#This Row],[income]],0)</f>
        <v>0</v>
      </c>
      <c r="BQ485" s="20">
        <f ca="1">IF(Table1[[#This Row],[County]]="Hampshire",Table1[[#This Row],[income]],0)</f>
        <v>0</v>
      </c>
      <c r="BR485" s="20">
        <f ca="1">IF(Table1[[#This Row],[County]]="Gloucestershire",Table1[[#This Row],[income]],0)</f>
        <v>0</v>
      </c>
      <c r="BS485" s="20">
        <f ca="1">IF(Table1[[#This Row],[County]]="West Sussex",Table1[[#This Row],[income]],0)</f>
        <v>0</v>
      </c>
      <c r="BT485" s="20">
        <f ca="1">IF(Table1[[#This Row],[County]]="Devon",Table1[[#This Row],[income]],0)</f>
        <v>0</v>
      </c>
      <c r="BU485" s="20">
        <f ca="1">IF(Table1[[#This Row],[County]]="Berkshire",Table1[[#This Row],[income]],0)</f>
        <v>0</v>
      </c>
      <c r="BV485" s="20">
        <f ca="1">IF(Table1[[#This Row],[County]]="Staffordshire",Table1[[#This Row],[income]],0)</f>
        <v>0</v>
      </c>
      <c r="BW485" s="20">
        <f ca="1">IF(Table1[[#This Row],[County]]="Leicestershire",Table1[[#This Row],[income]],0)</f>
        <v>0</v>
      </c>
      <c r="BX485" s="20">
        <f ca="1">IF(Table1[[#This Row],[County]]="Cornwall",Table1[[#This Row],[income]],0)</f>
        <v>0</v>
      </c>
      <c r="BY485" s="20">
        <f ca="1">IF(Table1[[#This Row],[County]]="Isle of Wight",Table1[[#This Row],[income]],0)</f>
        <v>0</v>
      </c>
      <c r="BZ485" s="20">
        <f ca="1">IF(Table1[[#This Row],[County]]="Surrey",Table1[[#This Row],[income]],0)</f>
        <v>0</v>
      </c>
      <c r="CA485" s="20">
        <f ca="1">IF(Table1[[#This Row],[County]]="Derbyshire",Table1[[#This Row],[income]],0)</f>
        <v>0</v>
      </c>
      <c r="CB485" s="20">
        <f ca="1">IF(Table1[[#This Row],[County]]="City of London",Table1[[#This Row],[income]],0)</f>
        <v>0</v>
      </c>
      <c r="CC485" s="20">
        <f ca="1">IF(Table1[[#This Row],[County]]="Bedfordshire",Table1[[#This Row],[income]],0)</f>
        <v>0</v>
      </c>
      <c r="CD485" s="20">
        <f ca="1">IF(Table1[[#This Row],[County]]="County Durham",Table1[[#This Row],[income]],0)</f>
        <v>0</v>
      </c>
      <c r="CE485" s="20">
        <f ca="1">IF(Table1[[#This Row],[County]]="East Riding of Yorkshire",Table1[[#This Row],[income]],0)</f>
        <v>0</v>
      </c>
      <c r="CF485" s="20">
        <f ca="1">IF(Table1[[#This Row],[County]]="West Yorkshire",Table1[[#This Row],[income]],0)</f>
        <v>0</v>
      </c>
      <c r="CG485" s="20">
        <f ca="1">IF(Table1[[#This Row],[County]]="Essex",Table1[[#This Row],[income]],0)</f>
        <v>0</v>
      </c>
      <c r="CH485" s="20">
        <f ca="1">IF(Table1[[#This Row],[County]]="East Sussex",Table1[[#This Row],[income]],0)</f>
        <v>0</v>
      </c>
      <c r="CI485" s="20">
        <f ca="1">IF(Table1[[#This Row],[County]]="Greater Manchester",Table1[[#This Row],[income]],0)</f>
        <v>0</v>
      </c>
      <c r="CJ485" s="20">
        <f ca="1">IF(Table1[[#This Row],[County]]="Hertfordshire",Table1[[#This Row],[income]],0)</f>
        <v>0</v>
      </c>
      <c r="CK485" s="20">
        <f ca="1">IF(Table1[[#This Row],[County]]="Herefordshire",Table1[[#This Row],[income]],0)</f>
        <v>0</v>
      </c>
      <c r="CL485" s="20">
        <f ca="1">IF(Table1[[#This Row],[County]]="Lancashire",Table1[[#This Row],[income]],0)</f>
        <v>0</v>
      </c>
      <c r="CM485" s="20">
        <f ca="1">IF(Table1[[#This Row],[County]]="Merseyside",Table1[[#This Row],[income]],0)</f>
        <v>0</v>
      </c>
      <c r="CN485" s="20">
        <f ca="1">IF(Table1[[#This Row],[County]]="Northamptonshire",Table1[[#This Row],[income]],0)</f>
        <v>0</v>
      </c>
      <c r="CO485" s="20">
        <f ca="1">IF(Table1[[#This Row],[County]]="Northumberland",Table1[[#This Row],[income]],0)</f>
        <v>0</v>
      </c>
      <c r="CP485" s="20">
        <f ca="1">IF(Table1[[#This Row],[County]]="Wiltshire",Table1[[#This Row],[income]],0)</f>
        <v>0</v>
      </c>
      <c r="CQ485" s="20">
        <f ca="1">IF(Table1[[#This Row],[County]]="West Midlands",Table1[[#This Row],[income]],0)</f>
        <v>0</v>
      </c>
      <c r="CR485" s="20">
        <f ca="1">IF(Table1[[#This Row],[County]]="Warwickshire",Table1[[#This Row],[income]],0)</f>
        <v>0</v>
      </c>
      <c r="CS485" s="20">
        <f ca="1">IF(Table1[[#This Row],[County]]="Tyne and Wear",Table1[[#This Row],[income]],0)</f>
        <v>0</v>
      </c>
      <c r="CT485" s="20">
        <f ca="1">IF(Table1[[#This Row],[County]]="Worcestershire",Table1[[#This Row],[income]],0)</f>
        <v>0</v>
      </c>
      <c r="CU485" s="20">
        <f ca="1">IF(Table1[[#This Row],[County]]="Rutland",Table1[[#This Row],[income]],0)</f>
        <v>0</v>
      </c>
      <c r="CV485" s="20">
        <f ca="1">IF(Table1[[#This Row],[County]]="Shropshire",Table1[[#This Row],[income]],0)</f>
        <v>0</v>
      </c>
      <c r="CW485" s="20">
        <f ca="1">IF(Table1[[#This Row],[County]]="Dorset",Table1[[#This Row],[income]],0)</f>
        <v>49607</v>
      </c>
      <c r="CX485" s="20">
        <f ca="1">IF(Table1[[#This Row],[County]]="Buckinghamshire",Table1[[#This Row],[income]],0)</f>
        <v>0</v>
      </c>
      <c r="CY485" s="20">
        <f ca="1">IF(Table1[[#This Row],[County]]="Suffolk",Table1[[#This Row],[income]],0)</f>
        <v>0</v>
      </c>
      <c r="CZ485" s="20">
        <f ca="1">IF(Table1[[#This Row],[County]]="North Yorkshire",Table1[[#This Row],[income]],0)</f>
        <v>0</v>
      </c>
      <c r="DA485" s="20">
        <f ca="1">IF(Table1[[#This Row],[County]]="Kent",Table1[[#This Row],[income]],0)</f>
        <v>0</v>
      </c>
      <c r="DB485" s="5">
        <f ca="1">IF(Table1[[#This Row],[County]]="Derbyshire",Table1[[#This Row],[income]],0)</f>
        <v>0</v>
      </c>
      <c r="DD485" s="6">
        <f ca="1">IF(Table1[[#This Row],[Column1]]="Health",Table1[[#This Row],[income]],0)</f>
        <v>0</v>
      </c>
      <c r="DE485" s="20">
        <f ca="1">IF(Table1[[#This Row],[Column1]]="Agriculture",Table1[[#This Row],[income]],0)</f>
        <v>0</v>
      </c>
      <c r="DF485" s="20">
        <f ca="1">IF(Table1[[#This Row],[Column1]]="Technology",Table1[[#This Row],[income]],0)</f>
        <v>0</v>
      </c>
      <c r="DG485" s="20">
        <f ca="1">IF(Table1[[#This Row],[Column1]]="Social Service",Table1[[#This Row],[income]],0)</f>
        <v>49607</v>
      </c>
      <c r="DH485" s="20">
        <f ca="1">IF(Table1[[#This Row],[Column1]]="Education",Table1[[#This Row],[income]],0)</f>
        <v>0</v>
      </c>
      <c r="DI485" s="5">
        <f ca="1">IF(Table1[[#This Row],[Column1]]="Construction",Table1[[#This Row],[income]],0)</f>
        <v>0</v>
      </c>
      <c r="DK485" s="6">
        <f ca="1">IF(Table1[[#This Row],[Value of Debts]]&gt;Table1[[#This Row],[income]],1,0)</f>
        <v>1</v>
      </c>
      <c r="DL485" s="20"/>
      <c r="DM485" s="20"/>
      <c r="DN485" s="5"/>
      <c r="DP485" s="6">
        <f ca="1">IF(Table1[[#This Row],[Net Worth (£)]]&gt;$DS$5,C485,0)</f>
        <v>0</v>
      </c>
      <c r="DQ485" s="20"/>
      <c r="DR485" s="20"/>
      <c r="DS485" s="5"/>
    </row>
    <row r="486" spans="1:123" x14ac:dyDescent="0.2">
      <c r="A486">
        <f t="shared" ca="1" si="22"/>
        <v>2</v>
      </c>
      <c r="B486" s="1" t="str">
        <f ca="1">IF(A486=1, "men", "women")</f>
        <v>women</v>
      </c>
      <c r="C486" s="1">
        <f ca="1">RANDBETWEEN(25,50)</f>
        <v>25</v>
      </c>
      <c r="D486">
        <f ca="1">RANDBETWEEN(1,6)</f>
        <v>3</v>
      </c>
      <c r="E486" t="str">
        <f ca="1">VLOOKUP(D486,$W$5:$X$10,2)</f>
        <v>Education</v>
      </c>
      <c r="F486">
        <f ca="1">RANDBETWEEN(1,5)</f>
        <v>1</v>
      </c>
      <c r="G486" t="str">
        <f ca="1">VLOOKUP(F486,$Y$5:$Z$9,2)</f>
        <v>High School</v>
      </c>
      <c r="H486">
        <f ca="1">RANDBETWEEN(0,4)</f>
        <v>4</v>
      </c>
      <c r="I486">
        <f ca="1">RANDBETWEEN(1,3)</f>
        <v>1</v>
      </c>
      <c r="J486">
        <f ca="1">RANDBETWEEN(30000,100000)</f>
        <v>71524</v>
      </c>
      <c r="K486">
        <f ca="1">RANDBETWEEN(1,48)</f>
        <v>17</v>
      </c>
      <c r="L486" t="str">
        <f ca="1">VLOOKUP(K486,$AA$5:$AB$52,2)</f>
        <v>Gloucestershire</v>
      </c>
      <c r="M486">
        <f ca="1">J486*(RANDBETWEEN(2,5))</f>
        <v>357620</v>
      </c>
      <c r="N486">
        <f ca="1">RAND()*M486</f>
        <v>335251.35910791386</v>
      </c>
      <c r="O486">
        <f ca="1">I486*RAND()*J486</f>
        <v>55481.109904882775</v>
      </c>
      <c r="P486">
        <f ca="1">RANDBETWEEN(0,O486)</f>
        <v>2779</v>
      </c>
      <c r="Q486">
        <f ca="1">RAND()*J486*2</f>
        <v>135062.72245765079</v>
      </c>
      <c r="R486">
        <f ca="1">RAND()*J486*1.5</f>
        <v>91903.330292130835</v>
      </c>
      <c r="S486">
        <f ca="1">J486+R486+O486</f>
        <v>218908.44019701361</v>
      </c>
      <c r="T486">
        <f ca="1">N486+P486+Q486</f>
        <v>473093.08156556461</v>
      </c>
      <c r="U486">
        <f ca="1">S486-T486</f>
        <v>-254184.64136855101</v>
      </c>
      <c r="AC486" s="6">
        <f ca="1">IF(Table1[[#This Row],[gender]]="men",1,0)</f>
        <v>0</v>
      </c>
      <c r="AD486">
        <f ca="1">IF(Table1[[#This Row],[gender]]="women",1,0)</f>
        <v>1</v>
      </c>
      <c r="AH486" s="5"/>
      <c r="AJ486" s="6">
        <f ca="1">IF(Table1[[#This Row],[Column1]]="Health",1,0)</f>
        <v>0</v>
      </c>
      <c r="AK486">
        <f ca="1">IF(Table1[[#This Row],[Column1]]="Construction",1,0)</f>
        <v>0</v>
      </c>
      <c r="AL486">
        <f ca="1">IF(Table1[[#This Row],[Column1]]="Technology",1,0)</f>
        <v>0</v>
      </c>
      <c r="AM486">
        <f ca="1">IF(Table1[[#This Row],[Column1]]="Education",1,0)</f>
        <v>1</v>
      </c>
      <c r="AN486">
        <f ca="1">IF(Table1[[#This Row],[Column1]]="Agriculture",1,0)</f>
        <v>0</v>
      </c>
      <c r="AO486">
        <f ca="1">IF(Table1[[#This Row],[Column1]]="Social Service", 1, 0)</f>
        <v>0</v>
      </c>
      <c r="AT486" s="5"/>
      <c r="AV486" s="17">
        <f t="shared" ca="1" si="21"/>
        <v>10543.864496099892</v>
      </c>
      <c r="AW486" s="5"/>
      <c r="AX486" s="6">
        <f ca="1">IF(Table1[[#This Row],[Value of Debts]]&gt;$AY$4,1,0)</f>
        <v>1</v>
      </c>
      <c r="AY486" s="20"/>
      <c r="AZ486" s="20"/>
      <c r="BA486" s="5"/>
      <c r="BB486" s="25">
        <f ca="1">Table1[[#This Row],[Mortage Left]]/Table1[[#This Row],[Value of House]]</f>
        <v>0.9374513704712093</v>
      </c>
      <c r="BC486" s="20">
        <f t="shared" ca="1" si="23"/>
        <v>0</v>
      </c>
      <c r="BD486" s="20"/>
      <c r="BE486" s="20"/>
      <c r="BF486" s="20"/>
      <c r="BG486" s="6">
        <f ca="1">IF(Table1[[#This Row],[County]]="Cumbria",Table1[[#This Row],[income]],0)</f>
        <v>0</v>
      </c>
      <c r="BH486" s="20">
        <f ca="1">IF(Table1[[#This Row],[County]]="Cheshire",Table1[[#This Row],[income]],0)</f>
        <v>0</v>
      </c>
      <c r="BI486" s="20">
        <f ca="1">IF(Table1[[#This Row],[County]]="Bristol",Table1[[#This Row],[income]],0)</f>
        <v>0</v>
      </c>
      <c r="BJ486" s="20">
        <f ca="1">IF(Table1[[#This Row],[County]]="Surrey",Table1[[#This Row],[income]],0)</f>
        <v>0</v>
      </c>
      <c r="BK486" s="20">
        <f ca="1">IF(Table1[[#This Row],[County]]="Norfolk",Table1[[#This Row],[income]],0)</f>
        <v>0</v>
      </c>
      <c r="BL486" s="20">
        <f ca="1">IF(Table1[[#This Row],[County]]="Lincolnshire",Table1[[#This Row],[income]],0)</f>
        <v>0</v>
      </c>
      <c r="BM486" s="20">
        <f ca="1">IF(Table1[[#This Row],[County]]="Somerset",Table1[[#This Row],[income]],0)</f>
        <v>0</v>
      </c>
      <c r="BN486" s="20">
        <f ca="1">IF(Table1[[#This Row],[County]]="Cambridgeshire",Table1[[#This Row],[income]],0)</f>
        <v>0</v>
      </c>
      <c r="BO486" s="20">
        <f ca="1">IF(Table1[[#This Row],[County]]="South Yorkshire",Table1[[#This Row],[income]],0)</f>
        <v>0</v>
      </c>
      <c r="BP486" s="20">
        <f ca="1">IF(Table1[[#This Row],[County]]="Greater London",Table1[[#This Row],[income]],0)</f>
        <v>0</v>
      </c>
      <c r="BQ486" s="20">
        <f ca="1">IF(Table1[[#This Row],[County]]="Hampshire",Table1[[#This Row],[income]],0)</f>
        <v>0</v>
      </c>
      <c r="BR486" s="20">
        <f ca="1">IF(Table1[[#This Row],[County]]="Gloucestershire",Table1[[#This Row],[income]],0)</f>
        <v>71524</v>
      </c>
      <c r="BS486" s="20">
        <f ca="1">IF(Table1[[#This Row],[County]]="West Sussex",Table1[[#This Row],[income]],0)</f>
        <v>0</v>
      </c>
      <c r="BT486" s="20">
        <f ca="1">IF(Table1[[#This Row],[County]]="Devon",Table1[[#This Row],[income]],0)</f>
        <v>0</v>
      </c>
      <c r="BU486" s="20">
        <f ca="1">IF(Table1[[#This Row],[County]]="Berkshire",Table1[[#This Row],[income]],0)</f>
        <v>0</v>
      </c>
      <c r="BV486" s="20">
        <f ca="1">IF(Table1[[#This Row],[County]]="Staffordshire",Table1[[#This Row],[income]],0)</f>
        <v>0</v>
      </c>
      <c r="BW486" s="20">
        <f ca="1">IF(Table1[[#This Row],[County]]="Leicestershire",Table1[[#This Row],[income]],0)</f>
        <v>0</v>
      </c>
      <c r="BX486" s="20">
        <f ca="1">IF(Table1[[#This Row],[County]]="Cornwall",Table1[[#This Row],[income]],0)</f>
        <v>0</v>
      </c>
      <c r="BY486" s="20">
        <f ca="1">IF(Table1[[#This Row],[County]]="Isle of Wight",Table1[[#This Row],[income]],0)</f>
        <v>0</v>
      </c>
      <c r="BZ486" s="20">
        <f ca="1">IF(Table1[[#This Row],[County]]="Surrey",Table1[[#This Row],[income]],0)</f>
        <v>0</v>
      </c>
      <c r="CA486" s="20">
        <f ca="1">IF(Table1[[#This Row],[County]]="Derbyshire",Table1[[#This Row],[income]],0)</f>
        <v>0</v>
      </c>
      <c r="CB486" s="20">
        <f ca="1">IF(Table1[[#This Row],[County]]="City of London",Table1[[#This Row],[income]],0)</f>
        <v>0</v>
      </c>
      <c r="CC486" s="20">
        <f ca="1">IF(Table1[[#This Row],[County]]="Bedfordshire",Table1[[#This Row],[income]],0)</f>
        <v>0</v>
      </c>
      <c r="CD486" s="20">
        <f ca="1">IF(Table1[[#This Row],[County]]="County Durham",Table1[[#This Row],[income]],0)</f>
        <v>0</v>
      </c>
      <c r="CE486" s="20">
        <f ca="1">IF(Table1[[#This Row],[County]]="East Riding of Yorkshire",Table1[[#This Row],[income]],0)</f>
        <v>0</v>
      </c>
      <c r="CF486" s="20">
        <f ca="1">IF(Table1[[#This Row],[County]]="West Yorkshire",Table1[[#This Row],[income]],0)</f>
        <v>0</v>
      </c>
      <c r="CG486" s="20">
        <f ca="1">IF(Table1[[#This Row],[County]]="Essex",Table1[[#This Row],[income]],0)</f>
        <v>0</v>
      </c>
      <c r="CH486" s="20">
        <f ca="1">IF(Table1[[#This Row],[County]]="East Sussex",Table1[[#This Row],[income]],0)</f>
        <v>0</v>
      </c>
      <c r="CI486" s="20">
        <f ca="1">IF(Table1[[#This Row],[County]]="Greater Manchester",Table1[[#This Row],[income]],0)</f>
        <v>0</v>
      </c>
      <c r="CJ486" s="20">
        <f ca="1">IF(Table1[[#This Row],[County]]="Hertfordshire",Table1[[#This Row],[income]],0)</f>
        <v>0</v>
      </c>
      <c r="CK486" s="20">
        <f ca="1">IF(Table1[[#This Row],[County]]="Herefordshire",Table1[[#This Row],[income]],0)</f>
        <v>0</v>
      </c>
      <c r="CL486" s="20">
        <f ca="1">IF(Table1[[#This Row],[County]]="Lancashire",Table1[[#This Row],[income]],0)</f>
        <v>0</v>
      </c>
      <c r="CM486" s="20">
        <f ca="1">IF(Table1[[#This Row],[County]]="Merseyside",Table1[[#This Row],[income]],0)</f>
        <v>0</v>
      </c>
      <c r="CN486" s="20">
        <f ca="1">IF(Table1[[#This Row],[County]]="Northamptonshire",Table1[[#This Row],[income]],0)</f>
        <v>0</v>
      </c>
      <c r="CO486" s="20">
        <f ca="1">IF(Table1[[#This Row],[County]]="Northumberland",Table1[[#This Row],[income]],0)</f>
        <v>0</v>
      </c>
      <c r="CP486" s="20">
        <f ca="1">IF(Table1[[#This Row],[County]]="Wiltshire",Table1[[#This Row],[income]],0)</f>
        <v>0</v>
      </c>
      <c r="CQ486" s="20">
        <f ca="1">IF(Table1[[#This Row],[County]]="West Midlands",Table1[[#This Row],[income]],0)</f>
        <v>0</v>
      </c>
      <c r="CR486" s="20">
        <f ca="1">IF(Table1[[#This Row],[County]]="Warwickshire",Table1[[#This Row],[income]],0)</f>
        <v>0</v>
      </c>
      <c r="CS486" s="20">
        <f ca="1">IF(Table1[[#This Row],[County]]="Tyne and Wear",Table1[[#This Row],[income]],0)</f>
        <v>0</v>
      </c>
      <c r="CT486" s="20">
        <f ca="1">IF(Table1[[#This Row],[County]]="Worcestershire",Table1[[#This Row],[income]],0)</f>
        <v>0</v>
      </c>
      <c r="CU486" s="20">
        <f ca="1">IF(Table1[[#This Row],[County]]="Rutland",Table1[[#This Row],[income]],0)</f>
        <v>0</v>
      </c>
      <c r="CV486" s="20">
        <f ca="1">IF(Table1[[#This Row],[County]]="Shropshire",Table1[[#This Row],[income]],0)</f>
        <v>0</v>
      </c>
      <c r="CW486" s="20">
        <f ca="1">IF(Table1[[#This Row],[County]]="Dorset",Table1[[#This Row],[income]],0)</f>
        <v>0</v>
      </c>
      <c r="CX486" s="20">
        <f ca="1">IF(Table1[[#This Row],[County]]="Buckinghamshire",Table1[[#This Row],[income]],0)</f>
        <v>0</v>
      </c>
      <c r="CY486" s="20">
        <f ca="1">IF(Table1[[#This Row],[County]]="Suffolk",Table1[[#This Row],[income]],0)</f>
        <v>0</v>
      </c>
      <c r="CZ486" s="20">
        <f ca="1">IF(Table1[[#This Row],[County]]="North Yorkshire",Table1[[#This Row],[income]],0)</f>
        <v>0</v>
      </c>
      <c r="DA486" s="20">
        <f ca="1">IF(Table1[[#This Row],[County]]="Kent",Table1[[#This Row],[income]],0)</f>
        <v>0</v>
      </c>
      <c r="DB486" s="5">
        <f ca="1">IF(Table1[[#This Row],[County]]="Derbyshire",Table1[[#This Row],[income]],0)</f>
        <v>0</v>
      </c>
      <c r="DD486" s="6">
        <f ca="1">IF(Table1[[#This Row],[Column1]]="Health",Table1[[#This Row],[income]],0)</f>
        <v>0</v>
      </c>
      <c r="DE486" s="20">
        <f ca="1">IF(Table1[[#This Row],[Column1]]="Agriculture",Table1[[#This Row],[income]],0)</f>
        <v>0</v>
      </c>
      <c r="DF486" s="20">
        <f ca="1">IF(Table1[[#This Row],[Column1]]="Technology",Table1[[#This Row],[income]],0)</f>
        <v>0</v>
      </c>
      <c r="DG486" s="20">
        <f ca="1">IF(Table1[[#This Row],[Column1]]="Social Service",Table1[[#This Row],[income]],0)</f>
        <v>0</v>
      </c>
      <c r="DH486" s="20">
        <f ca="1">IF(Table1[[#This Row],[Column1]]="Education",Table1[[#This Row],[income]],0)</f>
        <v>71524</v>
      </c>
      <c r="DI486" s="5">
        <f ca="1">IF(Table1[[#This Row],[Column1]]="Construction",Table1[[#This Row],[income]],0)</f>
        <v>0</v>
      </c>
      <c r="DK486" s="6">
        <f ca="1">IF(Table1[[#This Row],[Value of Debts]]&gt;Table1[[#This Row],[income]],1,0)</f>
        <v>1</v>
      </c>
      <c r="DL486" s="20"/>
      <c r="DM486" s="20"/>
      <c r="DN486" s="5"/>
      <c r="DP486" s="6">
        <f ca="1">IF(Table1[[#This Row],[Net Worth (£)]]&gt;$DS$5,C486,0)</f>
        <v>0</v>
      </c>
      <c r="DQ486" s="20"/>
      <c r="DR486" s="20"/>
      <c r="DS486" s="5"/>
    </row>
    <row r="487" spans="1:123" x14ac:dyDescent="0.2">
      <c r="A487">
        <f t="shared" ca="1" si="22"/>
        <v>2</v>
      </c>
      <c r="B487" s="1" t="str">
        <f ca="1">IF(A487=1, "men", "women")</f>
        <v>women</v>
      </c>
      <c r="C487" s="1">
        <f ca="1">RANDBETWEEN(25,50)</f>
        <v>40</v>
      </c>
      <c r="D487">
        <f ca="1">RANDBETWEEN(1,6)</f>
        <v>1</v>
      </c>
      <c r="E487" t="str">
        <f ca="1">VLOOKUP(D487,$W$5:$X$10,2)</f>
        <v>Health</v>
      </c>
      <c r="F487">
        <f ca="1">RANDBETWEEN(1,5)</f>
        <v>4</v>
      </c>
      <c r="G487" t="str">
        <f ca="1">VLOOKUP(F487,$Y$5:$Z$9,2)</f>
        <v xml:space="preserve">Technical </v>
      </c>
      <c r="H487">
        <f ca="1">RANDBETWEEN(0,4)</f>
        <v>1</v>
      </c>
      <c r="I487">
        <f ca="1">RANDBETWEEN(1,3)</f>
        <v>2</v>
      </c>
      <c r="J487">
        <f ca="1">RANDBETWEEN(30000,100000)</f>
        <v>39309</v>
      </c>
      <c r="K487">
        <f ca="1">RANDBETWEEN(1,48)</f>
        <v>10</v>
      </c>
      <c r="L487" t="str">
        <f ca="1">VLOOKUP(K487,$AA$5:$AB$52,2)</f>
        <v>Derbyshire</v>
      </c>
      <c r="M487">
        <f ca="1">J487*(RANDBETWEEN(2,5))</f>
        <v>78618</v>
      </c>
      <c r="N487">
        <f ca="1">RAND()*M487</f>
        <v>30240.967904934856</v>
      </c>
      <c r="O487">
        <f ca="1">I487*RAND()*J487</f>
        <v>21087.728992199784</v>
      </c>
      <c r="P487">
        <f ca="1">RANDBETWEEN(0,O487)</f>
        <v>13207</v>
      </c>
      <c r="Q487">
        <f ca="1">RAND()*J487*2</f>
        <v>40401.146637208352</v>
      </c>
      <c r="R487">
        <f ca="1">RAND()*J487*1.5</f>
        <v>29599.163527142406</v>
      </c>
      <c r="S487">
        <f ca="1">J487+R487+O487</f>
        <v>89995.892519342189</v>
      </c>
      <c r="T487">
        <f ca="1">N487+P487+Q487</f>
        <v>83849.114542143216</v>
      </c>
      <c r="U487">
        <f ca="1">S487-T487</f>
        <v>6146.7779771989735</v>
      </c>
      <c r="AC487" s="6">
        <f ca="1">IF(Table1[[#This Row],[gender]]="men",1,0)</f>
        <v>0</v>
      </c>
      <c r="AD487">
        <f ca="1">IF(Table1[[#This Row],[gender]]="women",1,0)</f>
        <v>1</v>
      </c>
      <c r="AH487" s="5"/>
      <c r="AJ487" s="6">
        <f ca="1">IF(Table1[[#This Row],[Column1]]="Health",1,0)</f>
        <v>1</v>
      </c>
      <c r="AK487">
        <f ca="1">IF(Table1[[#This Row],[Column1]]="Construction",1,0)</f>
        <v>0</v>
      </c>
      <c r="AL487">
        <f ca="1">IF(Table1[[#This Row],[Column1]]="Technology",1,0)</f>
        <v>0</v>
      </c>
      <c r="AM487">
        <f ca="1">IF(Table1[[#This Row],[Column1]]="Education",1,0)</f>
        <v>0</v>
      </c>
      <c r="AN487">
        <f ca="1">IF(Table1[[#This Row],[Column1]]="Agriculture",1,0)</f>
        <v>0</v>
      </c>
      <c r="AO487">
        <f ca="1">IF(Table1[[#This Row],[Column1]]="Social Service", 1, 0)</f>
        <v>0</v>
      </c>
      <c r="AT487" s="5"/>
      <c r="AV487" s="17">
        <f t="shared" ca="1" si="21"/>
        <v>19073.193985930393</v>
      </c>
      <c r="AW487" s="5"/>
      <c r="AX487" s="6">
        <f ca="1">IF(Table1[[#This Row],[Value of Debts]]&gt;$AY$4,1,0)</f>
        <v>0</v>
      </c>
      <c r="AY487" s="20"/>
      <c r="AZ487" s="20"/>
      <c r="BA487" s="5"/>
      <c r="BB487" s="25">
        <f ca="1">Table1[[#This Row],[Mortage Left]]/Table1[[#This Row],[Value of House]]</f>
        <v>0.38465704933901723</v>
      </c>
      <c r="BC487" s="20">
        <f t="shared" ca="1" si="23"/>
        <v>0</v>
      </c>
      <c r="BD487" s="20"/>
      <c r="BE487" s="20"/>
      <c r="BF487" s="20"/>
      <c r="BG487" s="6">
        <f ca="1">IF(Table1[[#This Row],[County]]="Cumbria",Table1[[#This Row],[income]],0)</f>
        <v>0</v>
      </c>
      <c r="BH487" s="20">
        <f ca="1">IF(Table1[[#This Row],[County]]="Cheshire",Table1[[#This Row],[income]],0)</f>
        <v>0</v>
      </c>
      <c r="BI487" s="20">
        <f ca="1">IF(Table1[[#This Row],[County]]="Bristol",Table1[[#This Row],[income]],0)</f>
        <v>0</v>
      </c>
      <c r="BJ487" s="20">
        <f ca="1">IF(Table1[[#This Row],[County]]="Surrey",Table1[[#This Row],[income]],0)</f>
        <v>0</v>
      </c>
      <c r="BK487" s="20">
        <f ca="1">IF(Table1[[#This Row],[County]]="Norfolk",Table1[[#This Row],[income]],0)</f>
        <v>0</v>
      </c>
      <c r="BL487" s="20">
        <f ca="1">IF(Table1[[#This Row],[County]]="Lincolnshire",Table1[[#This Row],[income]],0)</f>
        <v>0</v>
      </c>
      <c r="BM487" s="20">
        <f ca="1">IF(Table1[[#This Row],[County]]="Somerset",Table1[[#This Row],[income]],0)</f>
        <v>0</v>
      </c>
      <c r="BN487" s="20">
        <f ca="1">IF(Table1[[#This Row],[County]]="Cambridgeshire",Table1[[#This Row],[income]],0)</f>
        <v>0</v>
      </c>
      <c r="BO487" s="20">
        <f ca="1">IF(Table1[[#This Row],[County]]="South Yorkshire",Table1[[#This Row],[income]],0)</f>
        <v>0</v>
      </c>
      <c r="BP487" s="20">
        <f ca="1">IF(Table1[[#This Row],[County]]="Greater London",Table1[[#This Row],[income]],0)</f>
        <v>0</v>
      </c>
      <c r="BQ487" s="20">
        <f ca="1">IF(Table1[[#This Row],[County]]="Hampshire",Table1[[#This Row],[income]],0)</f>
        <v>0</v>
      </c>
      <c r="BR487" s="20">
        <f ca="1">IF(Table1[[#This Row],[County]]="Gloucestershire",Table1[[#This Row],[income]],0)</f>
        <v>0</v>
      </c>
      <c r="BS487" s="20">
        <f ca="1">IF(Table1[[#This Row],[County]]="West Sussex",Table1[[#This Row],[income]],0)</f>
        <v>0</v>
      </c>
      <c r="BT487" s="20">
        <f ca="1">IF(Table1[[#This Row],[County]]="Devon",Table1[[#This Row],[income]],0)</f>
        <v>0</v>
      </c>
      <c r="BU487" s="20">
        <f ca="1">IF(Table1[[#This Row],[County]]="Berkshire",Table1[[#This Row],[income]],0)</f>
        <v>0</v>
      </c>
      <c r="BV487" s="20">
        <f ca="1">IF(Table1[[#This Row],[County]]="Staffordshire",Table1[[#This Row],[income]],0)</f>
        <v>0</v>
      </c>
      <c r="BW487" s="20">
        <f ca="1">IF(Table1[[#This Row],[County]]="Leicestershire",Table1[[#This Row],[income]],0)</f>
        <v>0</v>
      </c>
      <c r="BX487" s="20">
        <f ca="1">IF(Table1[[#This Row],[County]]="Cornwall",Table1[[#This Row],[income]],0)</f>
        <v>0</v>
      </c>
      <c r="BY487" s="20">
        <f ca="1">IF(Table1[[#This Row],[County]]="Isle of Wight",Table1[[#This Row],[income]],0)</f>
        <v>0</v>
      </c>
      <c r="BZ487" s="20">
        <f ca="1">IF(Table1[[#This Row],[County]]="Surrey",Table1[[#This Row],[income]],0)</f>
        <v>0</v>
      </c>
      <c r="CA487" s="20">
        <f ca="1">IF(Table1[[#This Row],[County]]="Derbyshire",Table1[[#This Row],[income]],0)</f>
        <v>39309</v>
      </c>
      <c r="CB487" s="20">
        <f ca="1">IF(Table1[[#This Row],[County]]="City of London",Table1[[#This Row],[income]],0)</f>
        <v>0</v>
      </c>
      <c r="CC487" s="20">
        <f ca="1">IF(Table1[[#This Row],[County]]="Bedfordshire",Table1[[#This Row],[income]],0)</f>
        <v>0</v>
      </c>
      <c r="CD487" s="20">
        <f ca="1">IF(Table1[[#This Row],[County]]="County Durham",Table1[[#This Row],[income]],0)</f>
        <v>0</v>
      </c>
      <c r="CE487" s="20">
        <f ca="1">IF(Table1[[#This Row],[County]]="East Riding of Yorkshire",Table1[[#This Row],[income]],0)</f>
        <v>0</v>
      </c>
      <c r="CF487" s="20">
        <f ca="1">IF(Table1[[#This Row],[County]]="West Yorkshire",Table1[[#This Row],[income]],0)</f>
        <v>0</v>
      </c>
      <c r="CG487" s="20">
        <f ca="1">IF(Table1[[#This Row],[County]]="Essex",Table1[[#This Row],[income]],0)</f>
        <v>0</v>
      </c>
      <c r="CH487" s="20">
        <f ca="1">IF(Table1[[#This Row],[County]]="East Sussex",Table1[[#This Row],[income]],0)</f>
        <v>0</v>
      </c>
      <c r="CI487" s="20">
        <f ca="1">IF(Table1[[#This Row],[County]]="Greater Manchester",Table1[[#This Row],[income]],0)</f>
        <v>0</v>
      </c>
      <c r="CJ487" s="20">
        <f ca="1">IF(Table1[[#This Row],[County]]="Hertfordshire",Table1[[#This Row],[income]],0)</f>
        <v>0</v>
      </c>
      <c r="CK487" s="20">
        <f ca="1">IF(Table1[[#This Row],[County]]="Herefordshire",Table1[[#This Row],[income]],0)</f>
        <v>0</v>
      </c>
      <c r="CL487" s="20">
        <f ca="1">IF(Table1[[#This Row],[County]]="Lancashire",Table1[[#This Row],[income]],0)</f>
        <v>0</v>
      </c>
      <c r="CM487" s="20">
        <f ca="1">IF(Table1[[#This Row],[County]]="Merseyside",Table1[[#This Row],[income]],0)</f>
        <v>0</v>
      </c>
      <c r="CN487" s="20">
        <f ca="1">IF(Table1[[#This Row],[County]]="Northamptonshire",Table1[[#This Row],[income]],0)</f>
        <v>0</v>
      </c>
      <c r="CO487" s="20">
        <f ca="1">IF(Table1[[#This Row],[County]]="Northumberland",Table1[[#This Row],[income]],0)</f>
        <v>0</v>
      </c>
      <c r="CP487" s="20">
        <f ca="1">IF(Table1[[#This Row],[County]]="Wiltshire",Table1[[#This Row],[income]],0)</f>
        <v>0</v>
      </c>
      <c r="CQ487" s="20">
        <f ca="1">IF(Table1[[#This Row],[County]]="West Midlands",Table1[[#This Row],[income]],0)</f>
        <v>0</v>
      </c>
      <c r="CR487" s="20">
        <f ca="1">IF(Table1[[#This Row],[County]]="Warwickshire",Table1[[#This Row],[income]],0)</f>
        <v>0</v>
      </c>
      <c r="CS487" s="20">
        <f ca="1">IF(Table1[[#This Row],[County]]="Tyne and Wear",Table1[[#This Row],[income]],0)</f>
        <v>0</v>
      </c>
      <c r="CT487" s="20">
        <f ca="1">IF(Table1[[#This Row],[County]]="Worcestershire",Table1[[#This Row],[income]],0)</f>
        <v>0</v>
      </c>
      <c r="CU487" s="20">
        <f ca="1">IF(Table1[[#This Row],[County]]="Rutland",Table1[[#This Row],[income]],0)</f>
        <v>0</v>
      </c>
      <c r="CV487" s="20">
        <f ca="1">IF(Table1[[#This Row],[County]]="Shropshire",Table1[[#This Row],[income]],0)</f>
        <v>0</v>
      </c>
      <c r="CW487" s="20">
        <f ca="1">IF(Table1[[#This Row],[County]]="Dorset",Table1[[#This Row],[income]],0)</f>
        <v>0</v>
      </c>
      <c r="CX487" s="20">
        <f ca="1">IF(Table1[[#This Row],[County]]="Buckinghamshire",Table1[[#This Row],[income]],0)</f>
        <v>0</v>
      </c>
      <c r="CY487" s="20">
        <f ca="1">IF(Table1[[#This Row],[County]]="Suffolk",Table1[[#This Row],[income]],0)</f>
        <v>0</v>
      </c>
      <c r="CZ487" s="20">
        <f ca="1">IF(Table1[[#This Row],[County]]="North Yorkshire",Table1[[#This Row],[income]],0)</f>
        <v>0</v>
      </c>
      <c r="DA487" s="20">
        <f ca="1">IF(Table1[[#This Row],[County]]="Kent",Table1[[#This Row],[income]],0)</f>
        <v>0</v>
      </c>
      <c r="DB487" s="5">
        <f ca="1">IF(Table1[[#This Row],[County]]="Derbyshire",Table1[[#This Row],[income]],0)</f>
        <v>39309</v>
      </c>
      <c r="DD487" s="6">
        <f ca="1">IF(Table1[[#This Row],[Column1]]="Health",Table1[[#This Row],[income]],0)</f>
        <v>39309</v>
      </c>
      <c r="DE487" s="20">
        <f ca="1">IF(Table1[[#This Row],[Column1]]="Agriculture",Table1[[#This Row],[income]],0)</f>
        <v>0</v>
      </c>
      <c r="DF487" s="20">
        <f ca="1">IF(Table1[[#This Row],[Column1]]="Technology",Table1[[#This Row],[income]],0)</f>
        <v>0</v>
      </c>
      <c r="DG487" s="20">
        <f ca="1">IF(Table1[[#This Row],[Column1]]="Social Service",Table1[[#This Row],[income]],0)</f>
        <v>0</v>
      </c>
      <c r="DH487" s="20">
        <f ca="1">IF(Table1[[#This Row],[Column1]]="Education",Table1[[#This Row],[income]],0)</f>
        <v>0</v>
      </c>
      <c r="DI487" s="5">
        <f ca="1">IF(Table1[[#This Row],[Column1]]="Construction",Table1[[#This Row],[income]],0)</f>
        <v>0</v>
      </c>
      <c r="DK487" s="6">
        <f ca="1">IF(Table1[[#This Row],[Value of Debts]]&gt;Table1[[#This Row],[income]],1,0)</f>
        <v>1</v>
      </c>
      <c r="DL487" s="20"/>
      <c r="DM487" s="20"/>
      <c r="DN487" s="5"/>
      <c r="DP487" s="6">
        <f ca="1">IF(Table1[[#This Row],[Net Worth (£)]]&gt;$DS$5,C487,0)</f>
        <v>0</v>
      </c>
      <c r="DQ487" s="20"/>
      <c r="DR487" s="20"/>
      <c r="DS487" s="5"/>
    </row>
    <row r="488" spans="1:123" x14ac:dyDescent="0.2">
      <c r="A488">
        <f t="shared" ca="1" si="22"/>
        <v>2</v>
      </c>
      <c r="B488" s="1" t="str">
        <f ca="1">IF(A488=1, "men", "women")</f>
        <v>women</v>
      </c>
      <c r="C488" s="1">
        <f ca="1">RANDBETWEEN(25,50)</f>
        <v>42</v>
      </c>
      <c r="D488">
        <f ca="1">RANDBETWEEN(1,6)</f>
        <v>3</v>
      </c>
      <c r="E488" t="str">
        <f ca="1">VLOOKUP(D488,$W$5:$X$10,2)</f>
        <v>Education</v>
      </c>
      <c r="F488">
        <f ca="1">RANDBETWEEN(1,5)</f>
        <v>2</v>
      </c>
      <c r="G488" t="str">
        <f ca="1">VLOOKUP(F488,$Y$5:$Z$9,2)</f>
        <v>College</v>
      </c>
      <c r="H488">
        <f ca="1">RANDBETWEEN(0,4)</f>
        <v>4</v>
      </c>
      <c r="I488">
        <f ca="1">RANDBETWEEN(1,3)</f>
        <v>2</v>
      </c>
      <c r="J488">
        <f ca="1">RANDBETWEEN(30000,100000)</f>
        <v>58947</v>
      </c>
      <c r="K488">
        <f ca="1">RANDBETWEEN(1,48)</f>
        <v>15</v>
      </c>
      <c r="L488" t="str">
        <f ca="1">VLOOKUP(K488,$AA$5:$AB$52,2)</f>
        <v>East Sussex</v>
      </c>
      <c r="M488">
        <f ca="1">J488*(RANDBETWEEN(2,5))</f>
        <v>176841</v>
      </c>
      <c r="N488">
        <f ca="1">RAND()*M488</f>
        <v>55569.588838437885</v>
      </c>
      <c r="O488">
        <f ca="1">I488*RAND()*J488</f>
        <v>38146.387971860786</v>
      </c>
      <c r="P488">
        <f ca="1">RANDBETWEEN(0,O488)</f>
        <v>15896</v>
      </c>
      <c r="Q488">
        <f ca="1">RAND()*J488*2</f>
        <v>96368.282107251012</v>
      </c>
      <c r="R488">
        <f ca="1">RAND()*J488*1.5</f>
        <v>48131.903640320903</v>
      </c>
      <c r="S488">
        <f ca="1">J488+R488+O488</f>
        <v>145225.2916121817</v>
      </c>
      <c r="T488">
        <f ca="1">N488+P488+Q488</f>
        <v>167833.87094568892</v>
      </c>
      <c r="U488">
        <f ca="1">S488-T488</f>
        <v>-22608.579333507223</v>
      </c>
      <c r="AC488" s="6">
        <f ca="1">IF(Table1[[#This Row],[gender]]="men",1,0)</f>
        <v>0</v>
      </c>
      <c r="AD488">
        <f ca="1">IF(Table1[[#This Row],[gender]]="women",1,0)</f>
        <v>1</v>
      </c>
      <c r="AH488" s="5"/>
      <c r="AJ488" s="6">
        <f ca="1">IF(Table1[[#This Row],[Column1]]="Health",1,0)</f>
        <v>0</v>
      </c>
      <c r="AK488">
        <f ca="1">IF(Table1[[#This Row],[Column1]]="Construction",1,0)</f>
        <v>0</v>
      </c>
      <c r="AL488">
        <f ca="1">IF(Table1[[#This Row],[Column1]]="Technology",1,0)</f>
        <v>0</v>
      </c>
      <c r="AM488">
        <f ca="1">IF(Table1[[#This Row],[Column1]]="Education",1,0)</f>
        <v>1</v>
      </c>
      <c r="AN488">
        <f ca="1">IF(Table1[[#This Row],[Column1]]="Agriculture",1,0)</f>
        <v>0</v>
      </c>
      <c r="AO488">
        <f ca="1">IF(Table1[[#This Row],[Column1]]="Social Service", 1, 0)</f>
        <v>0</v>
      </c>
      <c r="AT488" s="5"/>
      <c r="AV488" s="17">
        <f t="shared" ca="1" si="21"/>
        <v>52895.749601976655</v>
      </c>
      <c r="AW488" s="5"/>
      <c r="AX488" s="6">
        <f ca="1">IF(Table1[[#This Row],[Value of Debts]]&gt;$AY$4,1,0)</f>
        <v>1</v>
      </c>
      <c r="AY488" s="20"/>
      <c r="AZ488" s="20"/>
      <c r="BA488" s="5"/>
      <c r="BB488" s="25">
        <f ca="1">Table1[[#This Row],[Mortage Left]]/Table1[[#This Row],[Value of House]]</f>
        <v>0.31423475799411837</v>
      </c>
      <c r="BC488" s="20">
        <f t="shared" ca="1" si="23"/>
        <v>0</v>
      </c>
      <c r="BD488" s="20"/>
      <c r="BE488" s="20"/>
      <c r="BF488" s="20"/>
      <c r="BG488" s="6">
        <f ca="1">IF(Table1[[#This Row],[County]]="Cumbria",Table1[[#This Row],[income]],0)</f>
        <v>0</v>
      </c>
      <c r="BH488" s="20">
        <f ca="1">IF(Table1[[#This Row],[County]]="Cheshire",Table1[[#This Row],[income]],0)</f>
        <v>0</v>
      </c>
      <c r="BI488" s="20">
        <f ca="1">IF(Table1[[#This Row],[County]]="Bristol",Table1[[#This Row],[income]],0)</f>
        <v>0</v>
      </c>
      <c r="BJ488" s="20">
        <f ca="1">IF(Table1[[#This Row],[County]]="Surrey",Table1[[#This Row],[income]],0)</f>
        <v>0</v>
      </c>
      <c r="BK488" s="20">
        <f ca="1">IF(Table1[[#This Row],[County]]="Norfolk",Table1[[#This Row],[income]],0)</f>
        <v>0</v>
      </c>
      <c r="BL488" s="20">
        <f ca="1">IF(Table1[[#This Row],[County]]="Lincolnshire",Table1[[#This Row],[income]],0)</f>
        <v>0</v>
      </c>
      <c r="BM488" s="20">
        <f ca="1">IF(Table1[[#This Row],[County]]="Somerset",Table1[[#This Row],[income]],0)</f>
        <v>0</v>
      </c>
      <c r="BN488" s="20">
        <f ca="1">IF(Table1[[#This Row],[County]]="Cambridgeshire",Table1[[#This Row],[income]],0)</f>
        <v>0</v>
      </c>
      <c r="BO488" s="20">
        <f ca="1">IF(Table1[[#This Row],[County]]="South Yorkshire",Table1[[#This Row],[income]],0)</f>
        <v>0</v>
      </c>
      <c r="BP488" s="20">
        <f ca="1">IF(Table1[[#This Row],[County]]="Greater London",Table1[[#This Row],[income]],0)</f>
        <v>0</v>
      </c>
      <c r="BQ488" s="20">
        <f ca="1">IF(Table1[[#This Row],[County]]="Hampshire",Table1[[#This Row],[income]],0)</f>
        <v>0</v>
      </c>
      <c r="BR488" s="20">
        <f ca="1">IF(Table1[[#This Row],[County]]="Gloucestershire",Table1[[#This Row],[income]],0)</f>
        <v>0</v>
      </c>
      <c r="BS488" s="20">
        <f ca="1">IF(Table1[[#This Row],[County]]="West Sussex",Table1[[#This Row],[income]],0)</f>
        <v>0</v>
      </c>
      <c r="BT488" s="20">
        <f ca="1">IF(Table1[[#This Row],[County]]="Devon",Table1[[#This Row],[income]],0)</f>
        <v>0</v>
      </c>
      <c r="BU488" s="20">
        <f ca="1">IF(Table1[[#This Row],[County]]="Berkshire",Table1[[#This Row],[income]],0)</f>
        <v>0</v>
      </c>
      <c r="BV488" s="20">
        <f ca="1">IF(Table1[[#This Row],[County]]="Staffordshire",Table1[[#This Row],[income]],0)</f>
        <v>0</v>
      </c>
      <c r="BW488" s="20">
        <f ca="1">IF(Table1[[#This Row],[County]]="Leicestershire",Table1[[#This Row],[income]],0)</f>
        <v>0</v>
      </c>
      <c r="BX488" s="20">
        <f ca="1">IF(Table1[[#This Row],[County]]="Cornwall",Table1[[#This Row],[income]],0)</f>
        <v>0</v>
      </c>
      <c r="BY488" s="20">
        <f ca="1">IF(Table1[[#This Row],[County]]="Isle of Wight",Table1[[#This Row],[income]],0)</f>
        <v>0</v>
      </c>
      <c r="BZ488" s="20">
        <f ca="1">IF(Table1[[#This Row],[County]]="Surrey",Table1[[#This Row],[income]],0)</f>
        <v>0</v>
      </c>
      <c r="CA488" s="20">
        <f ca="1">IF(Table1[[#This Row],[County]]="Derbyshire",Table1[[#This Row],[income]],0)</f>
        <v>0</v>
      </c>
      <c r="CB488" s="20">
        <f ca="1">IF(Table1[[#This Row],[County]]="City of London",Table1[[#This Row],[income]],0)</f>
        <v>0</v>
      </c>
      <c r="CC488" s="20">
        <f ca="1">IF(Table1[[#This Row],[County]]="Bedfordshire",Table1[[#This Row],[income]],0)</f>
        <v>0</v>
      </c>
      <c r="CD488" s="20">
        <f ca="1">IF(Table1[[#This Row],[County]]="County Durham",Table1[[#This Row],[income]],0)</f>
        <v>0</v>
      </c>
      <c r="CE488" s="20">
        <f ca="1">IF(Table1[[#This Row],[County]]="East Riding of Yorkshire",Table1[[#This Row],[income]],0)</f>
        <v>0</v>
      </c>
      <c r="CF488" s="20">
        <f ca="1">IF(Table1[[#This Row],[County]]="West Yorkshire",Table1[[#This Row],[income]],0)</f>
        <v>0</v>
      </c>
      <c r="CG488" s="20">
        <f ca="1">IF(Table1[[#This Row],[County]]="Essex",Table1[[#This Row],[income]],0)</f>
        <v>0</v>
      </c>
      <c r="CH488" s="20">
        <f ca="1">IF(Table1[[#This Row],[County]]="East Sussex",Table1[[#This Row],[income]],0)</f>
        <v>58947</v>
      </c>
      <c r="CI488" s="20">
        <f ca="1">IF(Table1[[#This Row],[County]]="Greater Manchester",Table1[[#This Row],[income]],0)</f>
        <v>0</v>
      </c>
      <c r="CJ488" s="20">
        <f ca="1">IF(Table1[[#This Row],[County]]="Hertfordshire",Table1[[#This Row],[income]],0)</f>
        <v>0</v>
      </c>
      <c r="CK488" s="20">
        <f ca="1">IF(Table1[[#This Row],[County]]="Herefordshire",Table1[[#This Row],[income]],0)</f>
        <v>0</v>
      </c>
      <c r="CL488" s="20">
        <f ca="1">IF(Table1[[#This Row],[County]]="Lancashire",Table1[[#This Row],[income]],0)</f>
        <v>0</v>
      </c>
      <c r="CM488" s="20">
        <f ca="1">IF(Table1[[#This Row],[County]]="Merseyside",Table1[[#This Row],[income]],0)</f>
        <v>0</v>
      </c>
      <c r="CN488" s="20">
        <f ca="1">IF(Table1[[#This Row],[County]]="Northamptonshire",Table1[[#This Row],[income]],0)</f>
        <v>0</v>
      </c>
      <c r="CO488" s="20">
        <f ca="1">IF(Table1[[#This Row],[County]]="Northumberland",Table1[[#This Row],[income]],0)</f>
        <v>0</v>
      </c>
      <c r="CP488" s="20">
        <f ca="1">IF(Table1[[#This Row],[County]]="Wiltshire",Table1[[#This Row],[income]],0)</f>
        <v>0</v>
      </c>
      <c r="CQ488" s="20">
        <f ca="1">IF(Table1[[#This Row],[County]]="West Midlands",Table1[[#This Row],[income]],0)</f>
        <v>0</v>
      </c>
      <c r="CR488" s="20">
        <f ca="1">IF(Table1[[#This Row],[County]]="Warwickshire",Table1[[#This Row],[income]],0)</f>
        <v>0</v>
      </c>
      <c r="CS488" s="20">
        <f ca="1">IF(Table1[[#This Row],[County]]="Tyne and Wear",Table1[[#This Row],[income]],0)</f>
        <v>0</v>
      </c>
      <c r="CT488" s="20">
        <f ca="1">IF(Table1[[#This Row],[County]]="Worcestershire",Table1[[#This Row],[income]],0)</f>
        <v>0</v>
      </c>
      <c r="CU488" s="20">
        <f ca="1">IF(Table1[[#This Row],[County]]="Rutland",Table1[[#This Row],[income]],0)</f>
        <v>0</v>
      </c>
      <c r="CV488" s="20">
        <f ca="1">IF(Table1[[#This Row],[County]]="Shropshire",Table1[[#This Row],[income]],0)</f>
        <v>0</v>
      </c>
      <c r="CW488" s="20">
        <f ca="1">IF(Table1[[#This Row],[County]]="Dorset",Table1[[#This Row],[income]],0)</f>
        <v>0</v>
      </c>
      <c r="CX488" s="20">
        <f ca="1">IF(Table1[[#This Row],[County]]="Buckinghamshire",Table1[[#This Row],[income]],0)</f>
        <v>0</v>
      </c>
      <c r="CY488" s="20">
        <f ca="1">IF(Table1[[#This Row],[County]]="Suffolk",Table1[[#This Row],[income]],0)</f>
        <v>0</v>
      </c>
      <c r="CZ488" s="20">
        <f ca="1">IF(Table1[[#This Row],[County]]="North Yorkshire",Table1[[#This Row],[income]],0)</f>
        <v>0</v>
      </c>
      <c r="DA488" s="20">
        <f ca="1">IF(Table1[[#This Row],[County]]="Kent",Table1[[#This Row],[income]],0)</f>
        <v>0</v>
      </c>
      <c r="DB488" s="5">
        <f ca="1">IF(Table1[[#This Row],[County]]="Derbyshire",Table1[[#This Row],[income]],0)</f>
        <v>0</v>
      </c>
      <c r="DD488" s="6">
        <f ca="1">IF(Table1[[#This Row],[Column1]]="Health",Table1[[#This Row],[income]],0)</f>
        <v>0</v>
      </c>
      <c r="DE488" s="20">
        <f ca="1">IF(Table1[[#This Row],[Column1]]="Agriculture",Table1[[#This Row],[income]],0)</f>
        <v>0</v>
      </c>
      <c r="DF488" s="20">
        <f ca="1">IF(Table1[[#This Row],[Column1]]="Technology",Table1[[#This Row],[income]],0)</f>
        <v>0</v>
      </c>
      <c r="DG488" s="20">
        <f ca="1">IF(Table1[[#This Row],[Column1]]="Social Service",Table1[[#This Row],[income]],0)</f>
        <v>0</v>
      </c>
      <c r="DH488" s="20">
        <f ca="1">IF(Table1[[#This Row],[Column1]]="Education",Table1[[#This Row],[income]],0)</f>
        <v>58947</v>
      </c>
      <c r="DI488" s="5">
        <f ca="1">IF(Table1[[#This Row],[Column1]]="Construction",Table1[[#This Row],[income]],0)</f>
        <v>0</v>
      </c>
      <c r="DK488" s="6">
        <f ca="1">IF(Table1[[#This Row],[Value of Debts]]&gt;Table1[[#This Row],[income]],1,0)</f>
        <v>1</v>
      </c>
      <c r="DL488" s="20"/>
      <c r="DM488" s="20"/>
      <c r="DN488" s="5"/>
      <c r="DP488" s="6">
        <f ca="1">IF(Table1[[#This Row],[Net Worth (£)]]&gt;$DS$5,C488,0)</f>
        <v>0</v>
      </c>
      <c r="DQ488" s="20"/>
      <c r="DR488" s="20"/>
      <c r="DS488" s="5"/>
    </row>
    <row r="489" spans="1:123" x14ac:dyDescent="0.2">
      <c r="A489">
        <f t="shared" ca="1" si="22"/>
        <v>2</v>
      </c>
      <c r="B489" s="1" t="str">
        <f ca="1">IF(A489=1, "men", "women")</f>
        <v>women</v>
      </c>
      <c r="C489" s="1">
        <f ca="1">RANDBETWEEN(25,50)</f>
        <v>29</v>
      </c>
      <c r="D489">
        <f ca="1">RANDBETWEEN(1,6)</f>
        <v>4</v>
      </c>
      <c r="E489" t="str">
        <f ca="1">VLOOKUP(D489,$W$5:$X$10,2)</f>
        <v>Technology</v>
      </c>
      <c r="F489">
        <f ca="1">RANDBETWEEN(1,5)</f>
        <v>1</v>
      </c>
      <c r="G489" t="str">
        <f ca="1">VLOOKUP(F489,$Y$5:$Z$9,2)</f>
        <v>High School</v>
      </c>
      <c r="H489">
        <f ca="1">RANDBETWEEN(0,4)</f>
        <v>2</v>
      </c>
      <c r="I489">
        <f ca="1">RANDBETWEEN(1,3)</f>
        <v>1</v>
      </c>
      <c r="J489">
        <f ca="1">RANDBETWEEN(30000,100000)</f>
        <v>81747</v>
      </c>
      <c r="K489">
        <f ca="1">RANDBETWEEN(1,48)</f>
        <v>25</v>
      </c>
      <c r="L489" t="str">
        <f ca="1">VLOOKUP(K489,$AA$5:$AB$52,2)</f>
        <v>Lancashire</v>
      </c>
      <c r="M489">
        <f ca="1">J489*(RANDBETWEEN(2,5))</f>
        <v>408735</v>
      </c>
      <c r="N489">
        <f ca="1">RAND()*M489</f>
        <v>368629.46930101438</v>
      </c>
      <c r="O489">
        <f ca="1">I489*RAND()*J489</f>
        <v>52895.749601976655</v>
      </c>
      <c r="P489">
        <f ca="1">RANDBETWEEN(0,O489)</f>
        <v>38082</v>
      </c>
      <c r="Q489">
        <f ca="1">RAND()*J489*2</f>
        <v>75582.464783445597</v>
      </c>
      <c r="R489">
        <f ca="1">RAND()*J489*1.5</f>
        <v>106532.38057235911</v>
      </c>
      <c r="S489">
        <f ca="1">J489+R489+O489</f>
        <v>241175.13017433576</v>
      </c>
      <c r="T489">
        <f ca="1">N489+P489+Q489</f>
        <v>482293.93408445996</v>
      </c>
      <c r="U489">
        <f ca="1">S489-T489</f>
        <v>-241118.8039101242</v>
      </c>
      <c r="AC489" s="6">
        <f ca="1">IF(Table1[[#This Row],[gender]]="men",1,0)</f>
        <v>0</v>
      </c>
      <c r="AD489">
        <f ca="1">IF(Table1[[#This Row],[gender]]="women",1,0)</f>
        <v>1</v>
      </c>
      <c r="AH489" s="5"/>
      <c r="AJ489" s="6">
        <f ca="1">IF(Table1[[#This Row],[Column1]]="Health",1,0)</f>
        <v>0</v>
      </c>
      <c r="AK489">
        <f ca="1">IF(Table1[[#This Row],[Column1]]="Construction",1,0)</f>
        <v>0</v>
      </c>
      <c r="AL489">
        <f ca="1">IF(Table1[[#This Row],[Column1]]="Technology",1,0)</f>
        <v>1</v>
      </c>
      <c r="AM489">
        <f ca="1">IF(Table1[[#This Row],[Column1]]="Education",1,0)</f>
        <v>0</v>
      </c>
      <c r="AN489">
        <f ca="1">IF(Table1[[#This Row],[Column1]]="Agriculture",1,0)</f>
        <v>0</v>
      </c>
      <c r="AO489">
        <f ca="1">IF(Table1[[#This Row],[Column1]]="Social Service", 1, 0)</f>
        <v>0</v>
      </c>
      <c r="AT489" s="5"/>
      <c r="AV489" s="17">
        <f t="shared" ca="1" si="21"/>
        <v>38512.114380193758</v>
      </c>
      <c r="AW489" s="5"/>
      <c r="AX489" s="6">
        <f ca="1">IF(Table1[[#This Row],[Value of Debts]]&gt;$AY$4,1,0)</f>
        <v>1</v>
      </c>
      <c r="AY489" s="20"/>
      <c r="AZ489" s="20"/>
      <c r="BA489" s="5"/>
      <c r="BB489" s="25">
        <f ca="1">Table1[[#This Row],[Mortage Left]]/Table1[[#This Row],[Value of House]]</f>
        <v>0.90187889292821599</v>
      </c>
      <c r="BC489" s="20">
        <f t="shared" ca="1" si="23"/>
        <v>0</v>
      </c>
      <c r="BD489" s="20"/>
      <c r="BE489" s="20"/>
      <c r="BF489" s="20"/>
      <c r="BG489" s="6">
        <f ca="1">IF(Table1[[#This Row],[County]]="Cumbria",Table1[[#This Row],[income]],0)</f>
        <v>0</v>
      </c>
      <c r="BH489" s="20">
        <f ca="1">IF(Table1[[#This Row],[County]]="Cheshire",Table1[[#This Row],[income]],0)</f>
        <v>0</v>
      </c>
      <c r="BI489" s="20">
        <f ca="1">IF(Table1[[#This Row],[County]]="Bristol",Table1[[#This Row],[income]],0)</f>
        <v>0</v>
      </c>
      <c r="BJ489" s="20">
        <f ca="1">IF(Table1[[#This Row],[County]]="Surrey",Table1[[#This Row],[income]],0)</f>
        <v>0</v>
      </c>
      <c r="BK489" s="20">
        <f ca="1">IF(Table1[[#This Row],[County]]="Norfolk",Table1[[#This Row],[income]],0)</f>
        <v>0</v>
      </c>
      <c r="BL489" s="20">
        <f ca="1">IF(Table1[[#This Row],[County]]="Lincolnshire",Table1[[#This Row],[income]],0)</f>
        <v>0</v>
      </c>
      <c r="BM489" s="20">
        <f ca="1">IF(Table1[[#This Row],[County]]="Somerset",Table1[[#This Row],[income]],0)</f>
        <v>0</v>
      </c>
      <c r="BN489" s="20">
        <f ca="1">IF(Table1[[#This Row],[County]]="Cambridgeshire",Table1[[#This Row],[income]],0)</f>
        <v>0</v>
      </c>
      <c r="BO489" s="20">
        <f ca="1">IF(Table1[[#This Row],[County]]="South Yorkshire",Table1[[#This Row],[income]],0)</f>
        <v>0</v>
      </c>
      <c r="BP489" s="20">
        <f ca="1">IF(Table1[[#This Row],[County]]="Greater London",Table1[[#This Row],[income]],0)</f>
        <v>0</v>
      </c>
      <c r="BQ489" s="20">
        <f ca="1">IF(Table1[[#This Row],[County]]="Hampshire",Table1[[#This Row],[income]],0)</f>
        <v>0</v>
      </c>
      <c r="BR489" s="20">
        <f ca="1">IF(Table1[[#This Row],[County]]="Gloucestershire",Table1[[#This Row],[income]],0)</f>
        <v>0</v>
      </c>
      <c r="BS489" s="20">
        <f ca="1">IF(Table1[[#This Row],[County]]="West Sussex",Table1[[#This Row],[income]],0)</f>
        <v>0</v>
      </c>
      <c r="BT489" s="20">
        <f ca="1">IF(Table1[[#This Row],[County]]="Devon",Table1[[#This Row],[income]],0)</f>
        <v>0</v>
      </c>
      <c r="BU489" s="20">
        <f ca="1">IF(Table1[[#This Row],[County]]="Berkshire",Table1[[#This Row],[income]],0)</f>
        <v>0</v>
      </c>
      <c r="BV489" s="20">
        <f ca="1">IF(Table1[[#This Row],[County]]="Staffordshire",Table1[[#This Row],[income]],0)</f>
        <v>0</v>
      </c>
      <c r="BW489" s="20">
        <f ca="1">IF(Table1[[#This Row],[County]]="Leicestershire",Table1[[#This Row],[income]],0)</f>
        <v>0</v>
      </c>
      <c r="BX489" s="20">
        <f ca="1">IF(Table1[[#This Row],[County]]="Cornwall",Table1[[#This Row],[income]],0)</f>
        <v>0</v>
      </c>
      <c r="BY489" s="20">
        <f ca="1">IF(Table1[[#This Row],[County]]="Isle of Wight",Table1[[#This Row],[income]],0)</f>
        <v>0</v>
      </c>
      <c r="BZ489" s="20">
        <f ca="1">IF(Table1[[#This Row],[County]]="Surrey",Table1[[#This Row],[income]],0)</f>
        <v>0</v>
      </c>
      <c r="CA489" s="20">
        <f ca="1">IF(Table1[[#This Row],[County]]="Derbyshire",Table1[[#This Row],[income]],0)</f>
        <v>0</v>
      </c>
      <c r="CB489" s="20">
        <f ca="1">IF(Table1[[#This Row],[County]]="City of London",Table1[[#This Row],[income]],0)</f>
        <v>0</v>
      </c>
      <c r="CC489" s="20">
        <f ca="1">IF(Table1[[#This Row],[County]]="Bedfordshire",Table1[[#This Row],[income]],0)</f>
        <v>0</v>
      </c>
      <c r="CD489" s="20">
        <f ca="1">IF(Table1[[#This Row],[County]]="County Durham",Table1[[#This Row],[income]],0)</f>
        <v>0</v>
      </c>
      <c r="CE489" s="20">
        <f ca="1">IF(Table1[[#This Row],[County]]="East Riding of Yorkshire",Table1[[#This Row],[income]],0)</f>
        <v>0</v>
      </c>
      <c r="CF489" s="20">
        <f ca="1">IF(Table1[[#This Row],[County]]="West Yorkshire",Table1[[#This Row],[income]],0)</f>
        <v>0</v>
      </c>
      <c r="CG489" s="20">
        <f ca="1">IF(Table1[[#This Row],[County]]="Essex",Table1[[#This Row],[income]],0)</f>
        <v>0</v>
      </c>
      <c r="CH489" s="20">
        <f ca="1">IF(Table1[[#This Row],[County]]="East Sussex",Table1[[#This Row],[income]],0)</f>
        <v>0</v>
      </c>
      <c r="CI489" s="20">
        <f ca="1">IF(Table1[[#This Row],[County]]="Greater Manchester",Table1[[#This Row],[income]],0)</f>
        <v>0</v>
      </c>
      <c r="CJ489" s="20">
        <f ca="1">IF(Table1[[#This Row],[County]]="Hertfordshire",Table1[[#This Row],[income]],0)</f>
        <v>0</v>
      </c>
      <c r="CK489" s="20">
        <f ca="1">IF(Table1[[#This Row],[County]]="Herefordshire",Table1[[#This Row],[income]],0)</f>
        <v>0</v>
      </c>
      <c r="CL489" s="20">
        <f ca="1">IF(Table1[[#This Row],[County]]="Lancashire",Table1[[#This Row],[income]],0)</f>
        <v>81747</v>
      </c>
      <c r="CM489" s="20">
        <f ca="1">IF(Table1[[#This Row],[County]]="Merseyside",Table1[[#This Row],[income]],0)</f>
        <v>0</v>
      </c>
      <c r="CN489" s="20">
        <f ca="1">IF(Table1[[#This Row],[County]]="Northamptonshire",Table1[[#This Row],[income]],0)</f>
        <v>0</v>
      </c>
      <c r="CO489" s="20">
        <f ca="1">IF(Table1[[#This Row],[County]]="Northumberland",Table1[[#This Row],[income]],0)</f>
        <v>0</v>
      </c>
      <c r="CP489" s="20">
        <f ca="1">IF(Table1[[#This Row],[County]]="Wiltshire",Table1[[#This Row],[income]],0)</f>
        <v>0</v>
      </c>
      <c r="CQ489" s="20">
        <f ca="1">IF(Table1[[#This Row],[County]]="West Midlands",Table1[[#This Row],[income]],0)</f>
        <v>0</v>
      </c>
      <c r="CR489" s="20">
        <f ca="1">IF(Table1[[#This Row],[County]]="Warwickshire",Table1[[#This Row],[income]],0)</f>
        <v>0</v>
      </c>
      <c r="CS489" s="20">
        <f ca="1">IF(Table1[[#This Row],[County]]="Tyne and Wear",Table1[[#This Row],[income]],0)</f>
        <v>0</v>
      </c>
      <c r="CT489" s="20">
        <f ca="1">IF(Table1[[#This Row],[County]]="Worcestershire",Table1[[#This Row],[income]],0)</f>
        <v>0</v>
      </c>
      <c r="CU489" s="20">
        <f ca="1">IF(Table1[[#This Row],[County]]="Rutland",Table1[[#This Row],[income]],0)</f>
        <v>0</v>
      </c>
      <c r="CV489" s="20">
        <f ca="1">IF(Table1[[#This Row],[County]]="Shropshire",Table1[[#This Row],[income]],0)</f>
        <v>0</v>
      </c>
      <c r="CW489" s="20">
        <f ca="1">IF(Table1[[#This Row],[County]]="Dorset",Table1[[#This Row],[income]],0)</f>
        <v>0</v>
      </c>
      <c r="CX489" s="20">
        <f ca="1">IF(Table1[[#This Row],[County]]="Buckinghamshire",Table1[[#This Row],[income]],0)</f>
        <v>0</v>
      </c>
      <c r="CY489" s="20">
        <f ca="1">IF(Table1[[#This Row],[County]]="Suffolk",Table1[[#This Row],[income]],0)</f>
        <v>0</v>
      </c>
      <c r="CZ489" s="20">
        <f ca="1">IF(Table1[[#This Row],[County]]="North Yorkshire",Table1[[#This Row],[income]],0)</f>
        <v>0</v>
      </c>
      <c r="DA489" s="20">
        <f ca="1">IF(Table1[[#This Row],[County]]="Kent",Table1[[#This Row],[income]],0)</f>
        <v>0</v>
      </c>
      <c r="DB489" s="5">
        <f ca="1">IF(Table1[[#This Row],[County]]="Derbyshire",Table1[[#This Row],[income]],0)</f>
        <v>0</v>
      </c>
      <c r="DD489" s="6">
        <f ca="1">IF(Table1[[#This Row],[Column1]]="Health",Table1[[#This Row],[income]],0)</f>
        <v>0</v>
      </c>
      <c r="DE489" s="20">
        <f ca="1">IF(Table1[[#This Row],[Column1]]="Agriculture",Table1[[#This Row],[income]],0)</f>
        <v>0</v>
      </c>
      <c r="DF489" s="20">
        <f ca="1">IF(Table1[[#This Row],[Column1]]="Technology",Table1[[#This Row],[income]],0)</f>
        <v>81747</v>
      </c>
      <c r="DG489" s="20">
        <f ca="1">IF(Table1[[#This Row],[Column1]]="Social Service",Table1[[#This Row],[income]],0)</f>
        <v>0</v>
      </c>
      <c r="DH489" s="20">
        <f ca="1">IF(Table1[[#This Row],[Column1]]="Education",Table1[[#This Row],[income]],0)</f>
        <v>0</v>
      </c>
      <c r="DI489" s="5">
        <f ca="1">IF(Table1[[#This Row],[Column1]]="Construction",Table1[[#This Row],[income]],0)</f>
        <v>0</v>
      </c>
      <c r="DK489" s="6">
        <f ca="1">IF(Table1[[#This Row],[Value of Debts]]&gt;Table1[[#This Row],[income]],1,0)</f>
        <v>1</v>
      </c>
      <c r="DL489" s="20"/>
      <c r="DM489" s="20"/>
      <c r="DN489" s="5"/>
      <c r="DP489" s="6">
        <f ca="1">IF(Table1[[#This Row],[Net Worth (£)]]&gt;$DS$5,C489,0)</f>
        <v>0</v>
      </c>
      <c r="DQ489" s="20"/>
      <c r="DR489" s="20"/>
      <c r="DS489" s="5"/>
    </row>
    <row r="490" spans="1:123" x14ac:dyDescent="0.2">
      <c r="A490">
        <f t="shared" ca="1" si="22"/>
        <v>1</v>
      </c>
      <c r="B490" s="1" t="str">
        <f ca="1">IF(A490=1, "men", "women")</f>
        <v>men</v>
      </c>
      <c r="C490" s="1">
        <f ca="1">RANDBETWEEN(25,50)</f>
        <v>35</v>
      </c>
      <c r="D490">
        <f ca="1">RANDBETWEEN(1,6)</f>
        <v>2</v>
      </c>
      <c r="E490" t="str">
        <f ca="1">VLOOKUP(D490,$W$5:$X$10,2)</f>
        <v>Construction</v>
      </c>
      <c r="F490">
        <f ca="1">RANDBETWEEN(1,5)</f>
        <v>5</v>
      </c>
      <c r="G490" t="str">
        <f ca="1">VLOOKUP(F490,$Y$5:$Z$9,2)</f>
        <v>Other</v>
      </c>
      <c r="H490">
        <f ca="1">RANDBETWEEN(0,4)</f>
        <v>4</v>
      </c>
      <c r="I490">
        <f ca="1">RANDBETWEEN(1,3)</f>
        <v>2</v>
      </c>
      <c r="J490">
        <f ca="1">RANDBETWEEN(30000,100000)</f>
        <v>72688</v>
      </c>
      <c r="K490">
        <f ca="1">RANDBETWEEN(1,48)</f>
        <v>15</v>
      </c>
      <c r="L490" t="str">
        <f ca="1">VLOOKUP(K490,$AA$5:$AB$52,2)</f>
        <v>East Sussex</v>
      </c>
      <c r="M490">
        <f ca="1">J490*(RANDBETWEEN(2,5))</f>
        <v>363440</v>
      </c>
      <c r="N490">
        <f ca="1">RAND()*M490</f>
        <v>106466.91664508662</v>
      </c>
      <c r="O490">
        <f ca="1">I490*RAND()*J490</f>
        <v>77024.228760387516</v>
      </c>
      <c r="P490">
        <f ca="1">RANDBETWEEN(0,O490)</f>
        <v>49417</v>
      </c>
      <c r="Q490">
        <f ca="1">RAND()*J490*2</f>
        <v>1109.352992722389</v>
      </c>
      <c r="R490">
        <f ca="1">RAND()*J490*1.5</f>
        <v>55434.497936842483</v>
      </c>
      <c r="S490">
        <f ca="1">J490+R490+O490</f>
        <v>205146.72669723001</v>
      </c>
      <c r="T490">
        <f ca="1">N490+P490+Q490</f>
        <v>156993.26963780899</v>
      </c>
      <c r="U490">
        <f ca="1">S490-T490</f>
        <v>48153.457059421024</v>
      </c>
      <c r="AC490" s="6">
        <f ca="1">IF(Table1[[#This Row],[gender]]="men",1,0)</f>
        <v>1</v>
      </c>
      <c r="AD490">
        <f ca="1">IF(Table1[[#This Row],[gender]]="women",1,0)</f>
        <v>0</v>
      </c>
      <c r="AH490" s="5"/>
      <c r="AJ490" s="6">
        <f ca="1">IF(Table1[[#This Row],[Column1]]="Health",1,0)</f>
        <v>0</v>
      </c>
      <c r="AK490">
        <f ca="1">IF(Table1[[#This Row],[Column1]]="Construction",1,0)</f>
        <v>1</v>
      </c>
      <c r="AL490">
        <f ca="1">IF(Table1[[#This Row],[Column1]]="Technology",1,0)</f>
        <v>0</v>
      </c>
      <c r="AM490">
        <f ca="1">IF(Table1[[#This Row],[Column1]]="Education",1,0)</f>
        <v>0</v>
      </c>
      <c r="AN490">
        <f ca="1">IF(Table1[[#This Row],[Column1]]="Agriculture",1,0)</f>
        <v>0</v>
      </c>
      <c r="AO490">
        <f ca="1">IF(Table1[[#This Row],[Column1]]="Social Service", 1, 0)</f>
        <v>0</v>
      </c>
      <c r="AT490" s="5"/>
      <c r="AV490" s="17">
        <f ca="1">(O491/I491)</f>
        <v>65638.183387367913</v>
      </c>
      <c r="AW490" s="5"/>
      <c r="AX490" s="6">
        <f ca="1">IF(Table1[[#This Row],[Value of Debts]]&gt;$AY$4,1,0)</f>
        <v>1</v>
      </c>
      <c r="AY490" s="20"/>
      <c r="AZ490" s="20"/>
      <c r="BA490" s="5"/>
      <c r="BB490" s="25">
        <f ca="1">Table1[[#This Row],[Mortage Left]]/Table1[[#This Row],[Value of House]]</f>
        <v>0.29294220956715444</v>
      </c>
      <c r="BC490" s="20">
        <f t="shared" ca="1" si="23"/>
        <v>1</v>
      </c>
      <c r="BD490" s="20"/>
      <c r="BE490" s="20"/>
      <c r="BF490" s="20"/>
      <c r="BG490" s="6">
        <f ca="1">IF(Table1[[#This Row],[County]]="Cumbria",Table1[[#This Row],[income]],0)</f>
        <v>0</v>
      </c>
      <c r="BH490" s="20">
        <f ca="1">IF(Table1[[#This Row],[County]]="Cheshire",Table1[[#This Row],[income]],0)</f>
        <v>0</v>
      </c>
      <c r="BI490" s="20">
        <f ca="1">IF(Table1[[#This Row],[County]]="Bristol",Table1[[#This Row],[income]],0)</f>
        <v>0</v>
      </c>
      <c r="BJ490" s="20">
        <f ca="1">IF(Table1[[#This Row],[County]]="Surrey",Table1[[#This Row],[income]],0)</f>
        <v>0</v>
      </c>
      <c r="BK490" s="20">
        <f ca="1">IF(Table1[[#This Row],[County]]="Norfolk",Table1[[#This Row],[income]],0)</f>
        <v>0</v>
      </c>
      <c r="BL490" s="20">
        <f ca="1">IF(Table1[[#This Row],[County]]="Lincolnshire",Table1[[#This Row],[income]],0)</f>
        <v>0</v>
      </c>
      <c r="BM490" s="20">
        <f ca="1">IF(Table1[[#This Row],[County]]="Somerset",Table1[[#This Row],[income]],0)</f>
        <v>0</v>
      </c>
      <c r="BN490" s="20">
        <f ca="1">IF(Table1[[#This Row],[County]]="Cambridgeshire",Table1[[#This Row],[income]],0)</f>
        <v>0</v>
      </c>
      <c r="BO490" s="20">
        <f ca="1">IF(Table1[[#This Row],[County]]="South Yorkshire",Table1[[#This Row],[income]],0)</f>
        <v>0</v>
      </c>
      <c r="BP490" s="20">
        <f ca="1">IF(Table1[[#This Row],[County]]="Greater London",Table1[[#This Row],[income]],0)</f>
        <v>0</v>
      </c>
      <c r="BQ490" s="20">
        <f ca="1">IF(Table1[[#This Row],[County]]="Hampshire",Table1[[#This Row],[income]],0)</f>
        <v>0</v>
      </c>
      <c r="BR490" s="20">
        <f ca="1">IF(Table1[[#This Row],[County]]="Gloucestershire",Table1[[#This Row],[income]],0)</f>
        <v>0</v>
      </c>
      <c r="BS490" s="20">
        <f ca="1">IF(Table1[[#This Row],[County]]="West Sussex",Table1[[#This Row],[income]],0)</f>
        <v>0</v>
      </c>
      <c r="BT490" s="20">
        <f ca="1">IF(Table1[[#This Row],[County]]="Devon",Table1[[#This Row],[income]],0)</f>
        <v>0</v>
      </c>
      <c r="BU490" s="20">
        <f ca="1">IF(Table1[[#This Row],[County]]="Berkshire",Table1[[#This Row],[income]],0)</f>
        <v>0</v>
      </c>
      <c r="BV490" s="20">
        <f ca="1">IF(Table1[[#This Row],[County]]="Staffordshire",Table1[[#This Row],[income]],0)</f>
        <v>0</v>
      </c>
      <c r="BW490" s="20">
        <f ca="1">IF(Table1[[#This Row],[County]]="Leicestershire",Table1[[#This Row],[income]],0)</f>
        <v>0</v>
      </c>
      <c r="BX490" s="20">
        <f ca="1">IF(Table1[[#This Row],[County]]="Cornwall",Table1[[#This Row],[income]],0)</f>
        <v>0</v>
      </c>
      <c r="BY490" s="20">
        <f ca="1">IF(Table1[[#This Row],[County]]="Isle of Wight",Table1[[#This Row],[income]],0)</f>
        <v>0</v>
      </c>
      <c r="BZ490" s="20">
        <f ca="1">IF(Table1[[#This Row],[County]]="Surrey",Table1[[#This Row],[income]],0)</f>
        <v>0</v>
      </c>
      <c r="CA490" s="20">
        <f ca="1">IF(Table1[[#This Row],[County]]="Derbyshire",Table1[[#This Row],[income]],0)</f>
        <v>0</v>
      </c>
      <c r="CB490" s="20">
        <f ca="1">IF(Table1[[#This Row],[County]]="City of London",Table1[[#This Row],[income]],0)</f>
        <v>0</v>
      </c>
      <c r="CC490" s="20">
        <f ca="1">IF(Table1[[#This Row],[County]]="Bedfordshire",Table1[[#This Row],[income]],0)</f>
        <v>0</v>
      </c>
      <c r="CD490" s="20">
        <f ca="1">IF(Table1[[#This Row],[County]]="County Durham",Table1[[#This Row],[income]],0)</f>
        <v>0</v>
      </c>
      <c r="CE490" s="20">
        <f ca="1">IF(Table1[[#This Row],[County]]="East Riding of Yorkshire",Table1[[#This Row],[income]],0)</f>
        <v>0</v>
      </c>
      <c r="CF490" s="20">
        <f ca="1">IF(Table1[[#This Row],[County]]="West Yorkshire",Table1[[#This Row],[income]],0)</f>
        <v>0</v>
      </c>
      <c r="CG490" s="20">
        <f ca="1">IF(Table1[[#This Row],[County]]="Essex",Table1[[#This Row],[income]],0)</f>
        <v>0</v>
      </c>
      <c r="CH490" s="20">
        <f ca="1">IF(Table1[[#This Row],[County]]="East Sussex",Table1[[#This Row],[income]],0)</f>
        <v>72688</v>
      </c>
      <c r="CI490" s="20">
        <f ca="1">IF(Table1[[#This Row],[County]]="Greater Manchester",Table1[[#This Row],[income]],0)</f>
        <v>0</v>
      </c>
      <c r="CJ490" s="20">
        <f ca="1">IF(Table1[[#This Row],[County]]="Hertfordshire",Table1[[#This Row],[income]],0)</f>
        <v>0</v>
      </c>
      <c r="CK490" s="20">
        <f ca="1">IF(Table1[[#This Row],[County]]="Herefordshire",Table1[[#This Row],[income]],0)</f>
        <v>0</v>
      </c>
      <c r="CL490" s="20">
        <f ca="1">IF(Table1[[#This Row],[County]]="Lancashire",Table1[[#This Row],[income]],0)</f>
        <v>0</v>
      </c>
      <c r="CM490" s="20">
        <f ca="1">IF(Table1[[#This Row],[County]]="Merseyside",Table1[[#This Row],[income]],0)</f>
        <v>0</v>
      </c>
      <c r="CN490" s="20">
        <f ca="1">IF(Table1[[#This Row],[County]]="Northamptonshire",Table1[[#This Row],[income]],0)</f>
        <v>0</v>
      </c>
      <c r="CO490" s="20">
        <f ca="1">IF(Table1[[#This Row],[County]]="Northumberland",Table1[[#This Row],[income]],0)</f>
        <v>0</v>
      </c>
      <c r="CP490" s="20">
        <f ca="1">IF(Table1[[#This Row],[County]]="Wiltshire",Table1[[#This Row],[income]],0)</f>
        <v>0</v>
      </c>
      <c r="CQ490" s="20">
        <f ca="1">IF(Table1[[#This Row],[County]]="West Midlands",Table1[[#This Row],[income]],0)</f>
        <v>0</v>
      </c>
      <c r="CR490" s="20">
        <f ca="1">IF(Table1[[#This Row],[County]]="Warwickshire",Table1[[#This Row],[income]],0)</f>
        <v>0</v>
      </c>
      <c r="CS490" s="20">
        <f ca="1">IF(Table1[[#This Row],[County]]="Tyne and Wear",Table1[[#This Row],[income]],0)</f>
        <v>0</v>
      </c>
      <c r="CT490" s="20">
        <f ca="1">IF(Table1[[#This Row],[County]]="Worcestershire",Table1[[#This Row],[income]],0)</f>
        <v>0</v>
      </c>
      <c r="CU490" s="20">
        <f ca="1">IF(Table1[[#This Row],[County]]="Rutland",Table1[[#This Row],[income]],0)</f>
        <v>0</v>
      </c>
      <c r="CV490" s="20">
        <f ca="1">IF(Table1[[#This Row],[County]]="Shropshire",Table1[[#This Row],[income]],0)</f>
        <v>0</v>
      </c>
      <c r="CW490" s="20">
        <f ca="1">IF(Table1[[#This Row],[County]]="Dorset",Table1[[#This Row],[income]],0)</f>
        <v>0</v>
      </c>
      <c r="CX490" s="20">
        <f ca="1">IF(Table1[[#This Row],[County]]="Buckinghamshire",Table1[[#This Row],[income]],0)</f>
        <v>0</v>
      </c>
      <c r="CY490" s="20">
        <f ca="1">IF(Table1[[#This Row],[County]]="Suffolk",Table1[[#This Row],[income]],0)</f>
        <v>0</v>
      </c>
      <c r="CZ490" s="20">
        <f ca="1">IF(Table1[[#This Row],[County]]="North Yorkshire",Table1[[#This Row],[income]],0)</f>
        <v>0</v>
      </c>
      <c r="DA490" s="20">
        <f ca="1">IF(Table1[[#This Row],[County]]="Kent",Table1[[#This Row],[income]],0)</f>
        <v>0</v>
      </c>
      <c r="DB490" s="5">
        <f ca="1">IF(Table1[[#This Row],[County]]="Derbyshire",Table1[[#This Row],[income]],0)</f>
        <v>0</v>
      </c>
      <c r="DD490" s="6">
        <f ca="1">IF(Table1[[#This Row],[Column1]]="Health",Table1[[#This Row],[income]],0)</f>
        <v>0</v>
      </c>
      <c r="DE490" s="20">
        <f ca="1">IF(Table1[[#This Row],[Column1]]="Agriculture",Table1[[#This Row],[income]],0)</f>
        <v>0</v>
      </c>
      <c r="DF490" s="20">
        <f ca="1">IF(Table1[[#This Row],[Column1]]="Technology",Table1[[#This Row],[income]],0)</f>
        <v>0</v>
      </c>
      <c r="DG490" s="20">
        <f ca="1">IF(Table1[[#This Row],[Column1]]="Social Service",Table1[[#This Row],[income]],0)</f>
        <v>0</v>
      </c>
      <c r="DH490" s="20">
        <f ca="1">IF(Table1[[#This Row],[Column1]]="Education",Table1[[#This Row],[income]],0)</f>
        <v>0</v>
      </c>
      <c r="DI490" s="5">
        <f ca="1">IF(Table1[[#This Row],[Column1]]="Construction",Table1[[#This Row],[income]],0)</f>
        <v>72688</v>
      </c>
      <c r="DK490" s="6">
        <f ca="1">IF(Table1[[#This Row],[Value of Debts]]&gt;Table1[[#This Row],[income]],1,0)</f>
        <v>1</v>
      </c>
      <c r="DL490" s="20"/>
      <c r="DM490" s="20"/>
      <c r="DN490" s="5"/>
      <c r="DP490" s="6">
        <f ca="1">IF(Table1[[#This Row],[Net Worth (£)]]&gt;$DS$5,C490,0)</f>
        <v>0</v>
      </c>
      <c r="DQ490" s="20"/>
      <c r="DR490" s="20"/>
      <c r="DS490" s="5"/>
    </row>
    <row r="491" spans="1:123" x14ac:dyDescent="0.2">
      <c r="A491">
        <f t="shared" ca="1" si="22"/>
        <v>1</v>
      </c>
      <c r="B491" s="1" t="str">
        <f ca="1">IF(A491=1, "men", "women")</f>
        <v>men</v>
      </c>
      <c r="C491" s="1">
        <f ca="1">RANDBETWEEN(25,50)</f>
        <v>49</v>
      </c>
      <c r="D491">
        <f ca="1">RANDBETWEEN(1,6)</f>
        <v>3</v>
      </c>
      <c r="E491" t="str">
        <f ca="1">VLOOKUP(D491,$W$5:$X$10,2)</f>
        <v>Education</v>
      </c>
      <c r="F491">
        <f ca="1">RANDBETWEEN(1,5)</f>
        <v>1</v>
      </c>
      <c r="G491" t="str">
        <f ca="1">VLOOKUP(F491,$Y$5:$Z$9,2)</f>
        <v>High School</v>
      </c>
      <c r="H491">
        <f ca="1">RANDBETWEEN(0,4)</f>
        <v>3</v>
      </c>
      <c r="I491">
        <f ca="1">RANDBETWEEN(1,3)</f>
        <v>2</v>
      </c>
      <c r="J491">
        <f ca="1">RANDBETWEEN(30000,100000)</f>
        <v>79155</v>
      </c>
      <c r="K491">
        <f ca="1">RANDBETWEEN(1,48)</f>
        <v>37</v>
      </c>
      <c r="L491" t="str">
        <f ca="1">VLOOKUP(K491,$AA$5:$AB$52,2)</f>
        <v>Somerset</v>
      </c>
      <c r="M491">
        <f ca="1">J491*(RANDBETWEEN(2,5))</f>
        <v>158310</v>
      </c>
      <c r="N491">
        <f ca="1">RAND()*M491</f>
        <v>36885.337643732426</v>
      </c>
      <c r="O491">
        <f ca="1">I491*RAND()*J491</f>
        <v>131276.36677473583</v>
      </c>
      <c r="P491">
        <f ca="1">RANDBETWEEN(0,O491)</f>
        <v>129687</v>
      </c>
      <c r="Q491">
        <f ca="1">RAND()*J491*2</f>
        <v>78086.431925057768</v>
      </c>
      <c r="R491">
        <f ca="1">RAND()*J491*1.5</f>
        <v>81604.571668455348</v>
      </c>
      <c r="S491">
        <f ca="1">J491+R491+O491</f>
        <v>292035.93844319117</v>
      </c>
      <c r="T491">
        <f ca="1">N491+P491+Q491</f>
        <v>244658.76956879022</v>
      </c>
      <c r="U491">
        <f ca="1">S491-T491</f>
        <v>47377.168874400959</v>
      </c>
      <c r="AC491" s="6">
        <f ca="1">IF(Table1[[#This Row],[gender]]="men",1,0)</f>
        <v>1</v>
      </c>
      <c r="AD491">
        <f ca="1">IF(Table1[[#This Row],[gender]]="women",1,0)</f>
        <v>0</v>
      </c>
      <c r="AH491" s="5"/>
      <c r="AJ491" s="6">
        <f ca="1">IF(Table1[[#This Row],[Column1]]="Health",1,0)</f>
        <v>0</v>
      </c>
      <c r="AK491">
        <f ca="1">IF(Table1[[#This Row],[Column1]]="Construction",1,0)</f>
        <v>0</v>
      </c>
      <c r="AL491">
        <f ca="1">IF(Table1[[#This Row],[Column1]]="Technology",1,0)</f>
        <v>0</v>
      </c>
      <c r="AM491">
        <f ca="1">IF(Table1[[#This Row],[Column1]]="Education",1,0)</f>
        <v>1</v>
      </c>
      <c r="AN491">
        <f ca="1">IF(Table1[[#This Row],[Column1]]="Agriculture",1,0)</f>
        <v>0</v>
      </c>
      <c r="AO491">
        <f ca="1">IF(Table1[[#This Row],[Column1]]="Social Service", 1, 0)</f>
        <v>0</v>
      </c>
      <c r="AT491" s="5"/>
      <c r="AV491" s="17">
        <f ca="1">(O492/I492)</f>
        <v>22375.869354838534</v>
      </c>
      <c r="AW491" s="5"/>
      <c r="AX491" s="6">
        <f ca="1">IF(Table1[[#This Row],[Value of Debts]]&gt;$AY$4,1,0)</f>
        <v>1</v>
      </c>
      <c r="AY491" s="20"/>
      <c r="AZ491" s="20"/>
      <c r="BA491" s="5"/>
      <c r="BB491" s="25">
        <f ca="1">Table1[[#This Row],[Mortage Left]]/Table1[[#This Row],[Value of House]]</f>
        <v>0.23299436323499731</v>
      </c>
      <c r="BC491" s="20">
        <f t="shared" ca="1" si="23"/>
        <v>1</v>
      </c>
      <c r="BD491" s="20"/>
      <c r="BE491" s="20"/>
      <c r="BF491" s="20"/>
      <c r="BG491" s="6">
        <f ca="1">IF(Table1[[#This Row],[County]]="Cumbria",Table1[[#This Row],[income]],0)</f>
        <v>0</v>
      </c>
      <c r="BH491" s="20">
        <f ca="1">IF(Table1[[#This Row],[County]]="Cheshire",Table1[[#This Row],[income]],0)</f>
        <v>0</v>
      </c>
      <c r="BI491" s="20">
        <f ca="1">IF(Table1[[#This Row],[County]]="Bristol",Table1[[#This Row],[income]],0)</f>
        <v>0</v>
      </c>
      <c r="BJ491" s="20">
        <f ca="1">IF(Table1[[#This Row],[County]]="Surrey",Table1[[#This Row],[income]],0)</f>
        <v>0</v>
      </c>
      <c r="BK491" s="20">
        <f ca="1">IF(Table1[[#This Row],[County]]="Norfolk",Table1[[#This Row],[income]],0)</f>
        <v>0</v>
      </c>
      <c r="BL491" s="20">
        <f ca="1">IF(Table1[[#This Row],[County]]="Lincolnshire",Table1[[#This Row],[income]],0)</f>
        <v>0</v>
      </c>
      <c r="BM491" s="20">
        <f ca="1">IF(Table1[[#This Row],[County]]="Somerset",Table1[[#This Row],[income]],0)</f>
        <v>79155</v>
      </c>
      <c r="BN491" s="20">
        <f ca="1">IF(Table1[[#This Row],[County]]="Cambridgeshire",Table1[[#This Row],[income]],0)</f>
        <v>0</v>
      </c>
      <c r="BO491" s="20">
        <f ca="1">IF(Table1[[#This Row],[County]]="South Yorkshire",Table1[[#This Row],[income]],0)</f>
        <v>0</v>
      </c>
      <c r="BP491" s="20">
        <f ca="1">IF(Table1[[#This Row],[County]]="Greater London",Table1[[#This Row],[income]],0)</f>
        <v>0</v>
      </c>
      <c r="BQ491" s="20">
        <f ca="1">IF(Table1[[#This Row],[County]]="Hampshire",Table1[[#This Row],[income]],0)</f>
        <v>0</v>
      </c>
      <c r="BR491" s="20">
        <f ca="1">IF(Table1[[#This Row],[County]]="Gloucestershire",Table1[[#This Row],[income]],0)</f>
        <v>0</v>
      </c>
      <c r="BS491" s="20">
        <f ca="1">IF(Table1[[#This Row],[County]]="West Sussex",Table1[[#This Row],[income]],0)</f>
        <v>0</v>
      </c>
      <c r="BT491" s="20">
        <f ca="1">IF(Table1[[#This Row],[County]]="Devon",Table1[[#This Row],[income]],0)</f>
        <v>0</v>
      </c>
      <c r="BU491" s="20">
        <f ca="1">IF(Table1[[#This Row],[County]]="Berkshire",Table1[[#This Row],[income]],0)</f>
        <v>0</v>
      </c>
      <c r="BV491" s="20">
        <f ca="1">IF(Table1[[#This Row],[County]]="Staffordshire",Table1[[#This Row],[income]],0)</f>
        <v>0</v>
      </c>
      <c r="BW491" s="20">
        <f ca="1">IF(Table1[[#This Row],[County]]="Leicestershire",Table1[[#This Row],[income]],0)</f>
        <v>0</v>
      </c>
      <c r="BX491" s="20">
        <f ca="1">IF(Table1[[#This Row],[County]]="Cornwall",Table1[[#This Row],[income]],0)</f>
        <v>0</v>
      </c>
      <c r="BY491" s="20">
        <f ca="1">IF(Table1[[#This Row],[County]]="Isle of Wight",Table1[[#This Row],[income]],0)</f>
        <v>0</v>
      </c>
      <c r="BZ491" s="20">
        <f ca="1">IF(Table1[[#This Row],[County]]="Surrey",Table1[[#This Row],[income]],0)</f>
        <v>0</v>
      </c>
      <c r="CA491" s="20">
        <f ca="1">IF(Table1[[#This Row],[County]]="Derbyshire",Table1[[#This Row],[income]],0)</f>
        <v>0</v>
      </c>
      <c r="CB491" s="20">
        <f ca="1">IF(Table1[[#This Row],[County]]="City of London",Table1[[#This Row],[income]],0)</f>
        <v>0</v>
      </c>
      <c r="CC491" s="20">
        <f ca="1">IF(Table1[[#This Row],[County]]="Bedfordshire",Table1[[#This Row],[income]],0)</f>
        <v>0</v>
      </c>
      <c r="CD491" s="20">
        <f ca="1">IF(Table1[[#This Row],[County]]="County Durham",Table1[[#This Row],[income]],0)</f>
        <v>0</v>
      </c>
      <c r="CE491" s="20">
        <f ca="1">IF(Table1[[#This Row],[County]]="East Riding of Yorkshire",Table1[[#This Row],[income]],0)</f>
        <v>0</v>
      </c>
      <c r="CF491" s="20">
        <f ca="1">IF(Table1[[#This Row],[County]]="West Yorkshire",Table1[[#This Row],[income]],0)</f>
        <v>0</v>
      </c>
      <c r="CG491" s="20">
        <f ca="1">IF(Table1[[#This Row],[County]]="Essex",Table1[[#This Row],[income]],0)</f>
        <v>0</v>
      </c>
      <c r="CH491" s="20">
        <f ca="1">IF(Table1[[#This Row],[County]]="East Sussex",Table1[[#This Row],[income]],0)</f>
        <v>0</v>
      </c>
      <c r="CI491" s="20">
        <f ca="1">IF(Table1[[#This Row],[County]]="Greater Manchester",Table1[[#This Row],[income]],0)</f>
        <v>0</v>
      </c>
      <c r="CJ491" s="20">
        <f ca="1">IF(Table1[[#This Row],[County]]="Hertfordshire",Table1[[#This Row],[income]],0)</f>
        <v>0</v>
      </c>
      <c r="CK491" s="20">
        <f ca="1">IF(Table1[[#This Row],[County]]="Herefordshire",Table1[[#This Row],[income]],0)</f>
        <v>0</v>
      </c>
      <c r="CL491" s="20">
        <f ca="1">IF(Table1[[#This Row],[County]]="Lancashire",Table1[[#This Row],[income]],0)</f>
        <v>0</v>
      </c>
      <c r="CM491" s="20">
        <f ca="1">IF(Table1[[#This Row],[County]]="Merseyside",Table1[[#This Row],[income]],0)</f>
        <v>0</v>
      </c>
      <c r="CN491" s="20">
        <f ca="1">IF(Table1[[#This Row],[County]]="Northamptonshire",Table1[[#This Row],[income]],0)</f>
        <v>0</v>
      </c>
      <c r="CO491" s="20">
        <f ca="1">IF(Table1[[#This Row],[County]]="Northumberland",Table1[[#This Row],[income]],0)</f>
        <v>0</v>
      </c>
      <c r="CP491" s="20">
        <f ca="1">IF(Table1[[#This Row],[County]]="Wiltshire",Table1[[#This Row],[income]],0)</f>
        <v>0</v>
      </c>
      <c r="CQ491" s="20">
        <f ca="1">IF(Table1[[#This Row],[County]]="West Midlands",Table1[[#This Row],[income]],0)</f>
        <v>0</v>
      </c>
      <c r="CR491" s="20">
        <f ca="1">IF(Table1[[#This Row],[County]]="Warwickshire",Table1[[#This Row],[income]],0)</f>
        <v>0</v>
      </c>
      <c r="CS491" s="20">
        <f ca="1">IF(Table1[[#This Row],[County]]="Tyne and Wear",Table1[[#This Row],[income]],0)</f>
        <v>0</v>
      </c>
      <c r="CT491" s="20">
        <f ca="1">IF(Table1[[#This Row],[County]]="Worcestershire",Table1[[#This Row],[income]],0)</f>
        <v>0</v>
      </c>
      <c r="CU491" s="20">
        <f ca="1">IF(Table1[[#This Row],[County]]="Rutland",Table1[[#This Row],[income]],0)</f>
        <v>0</v>
      </c>
      <c r="CV491" s="20">
        <f ca="1">IF(Table1[[#This Row],[County]]="Shropshire",Table1[[#This Row],[income]],0)</f>
        <v>0</v>
      </c>
      <c r="CW491" s="20">
        <f ca="1">IF(Table1[[#This Row],[County]]="Dorset",Table1[[#This Row],[income]],0)</f>
        <v>0</v>
      </c>
      <c r="CX491" s="20">
        <f ca="1">IF(Table1[[#This Row],[County]]="Buckinghamshire",Table1[[#This Row],[income]],0)</f>
        <v>0</v>
      </c>
      <c r="CY491" s="20">
        <f ca="1">IF(Table1[[#This Row],[County]]="Suffolk",Table1[[#This Row],[income]],0)</f>
        <v>0</v>
      </c>
      <c r="CZ491" s="20">
        <f ca="1">IF(Table1[[#This Row],[County]]="North Yorkshire",Table1[[#This Row],[income]],0)</f>
        <v>0</v>
      </c>
      <c r="DA491" s="20">
        <f ca="1">IF(Table1[[#This Row],[County]]="Kent",Table1[[#This Row],[income]],0)</f>
        <v>0</v>
      </c>
      <c r="DB491" s="5">
        <f ca="1">IF(Table1[[#This Row],[County]]="Derbyshire",Table1[[#This Row],[income]],0)</f>
        <v>0</v>
      </c>
      <c r="DD491" s="6">
        <f ca="1">IF(Table1[[#This Row],[Column1]]="Health",Table1[[#This Row],[income]],0)</f>
        <v>0</v>
      </c>
      <c r="DE491" s="20">
        <f ca="1">IF(Table1[[#This Row],[Column1]]="Agriculture",Table1[[#This Row],[income]],0)</f>
        <v>0</v>
      </c>
      <c r="DF491" s="20">
        <f ca="1">IF(Table1[[#This Row],[Column1]]="Technology",Table1[[#This Row],[income]],0)</f>
        <v>0</v>
      </c>
      <c r="DG491" s="20">
        <f ca="1">IF(Table1[[#This Row],[Column1]]="Social Service",Table1[[#This Row],[income]],0)</f>
        <v>0</v>
      </c>
      <c r="DH491" s="20">
        <f ca="1">IF(Table1[[#This Row],[Column1]]="Education",Table1[[#This Row],[income]],0)</f>
        <v>79155</v>
      </c>
      <c r="DI491" s="5">
        <f ca="1">IF(Table1[[#This Row],[Column1]]="Construction",Table1[[#This Row],[income]],0)</f>
        <v>0</v>
      </c>
      <c r="DK491" s="6">
        <f ca="1">IF(Table1[[#This Row],[Value of Debts]]&gt;Table1[[#This Row],[income]],1,0)</f>
        <v>1</v>
      </c>
      <c r="DL491" s="20"/>
      <c r="DM491" s="20"/>
      <c r="DN491" s="5"/>
      <c r="DP491" s="6">
        <f ca="1">IF(Table1[[#This Row],[Net Worth (£)]]&gt;$DS$5,C491,0)</f>
        <v>0</v>
      </c>
      <c r="DQ491" s="20"/>
      <c r="DR491" s="20"/>
      <c r="DS491" s="5"/>
    </row>
    <row r="492" spans="1:123" x14ac:dyDescent="0.2">
      <c r="A492">
        <f t="shared" ca="1" si="22"/>
        <v>2</v>
      </c>
      <c r="B492" s="1" t="str">
        <f ca="1">IF(A492=1, "men", "women")</f>
        <v>women</v>
      </c>
      <c r="C492" s="1">
        <f ca="1">RANDBETWEEN(25,50)</f>
        <v>28</v>
      </c>
      <c r="D492">
        <f ca="1">RANDBETWEEN(1,6)</f>
        <v>4</v>
      </c>
      <c r="E492" t="str">
        <f ca="1">VLOOKUP(D492,$W$5:$X$10,2)</f>
        <v>Technology</v>
      </c>
      <c r="F492">
        <f ca="1">RANDBETWEEN(1,5)</f>
        <v>1</v>
      </c>
      <c r="G492" t="str">
        <f ca="1">VLOOKUP(F492,$Y$5:$Z$9,2)</f>
        <v>High School</v>
      </c>
      <c r="H492">
        <f ca="1">RANDBETWEEN(0,4)</f>
        <v>3</v>
      </c>
      <c r="I492">
        <f ca="1">RANDBETWEEN(1,3)</f>
        <v>1</v>
      </c>
      <c r="J492">
        <f ca="1">RANDBETWEEN(30000,100000)</f>
        <v>33914</v>
      </c>
      <c r="K492">
        <f ca="1">RANDBETWEEN(1,48)</f>
        <v>18</v>
      </c>
      <c r="L492" t="str">
        <f ca="1">VLOOKUP(K492,$AA$5:$AB$52,2)</f>
        <v>Greater London</v>
      </c>
      <c r="M492">
        <f ca="1">J492*(RANDBETWEEN(2,5))</f>
        <v>67828</v>
      </c>
      <c r="N492">
        <f ca="1">RAND()*M492</f>
        <v>46782.233900890162</v>
      </c>
      <c r="O492">
        <f ca="1">I492*RAND()*J492</f>
        <v>22375.869354838534</v>
      </c>
      <c r="P492">
        <f ca="1">RANDBETWEEN(0,O492)</f>
        <v>17445</v>
      </c>
      <c r="Q492">
        <f ca="1">RAND()*J492*2</f>
        <v>49358.501527611719</v>
      </c>
      <c r="R492">
        <f ca="1">RAND()*J492*1.5</f>
        <v>39688.79906607444</v>
      </c>
      <c r="S492">
        <f ca="1">J492+R492+O492</f>
        <v>95978.668420912974</v>
      </c>
      <c r="T492">
        <f ca="1">N492+P492+Q492</f>
        <v>113585.73542850188</v>
      </c>
      <c r="U492">
        <f ca="1">S492-T492</f>
        <v>-17607.067007588907</v>
      </c>
      <c r="AC492" s="6">
        <f ca="1">IF(Table1[[#This Row],[gender]]="men",1,0)</f>
        <v>0</v>
      </c>
      <c r="AD492">
        <f ca="1">IF(Table1[[#This Row],[gender]]="women",1,0)</f>
        <v>1</v>
      </c>
      <c r="AH492" s="5"/>
      <c r="AJ492" s="6">
        <f ca="1">IF(Table1[[#This Row],[Column1]]="Health",1,0)</f>
        <v>0</v>
      </c>
      <c r="AK492">
        <f ca="1">IF(Table1[[#This Row],[Column1]]="Construction",1,0)</f>
        <v>0</v>
      </c>
      <c r="AL492">
        <f ca="1">IF(Table1[[#This Row],[Column1]]="Technology",1,0)</f>
        <v>1</v>
      </c>
      <c r="AM492">
        <f ca="1">IF(Table1[[#This Row],[Column1]]="Education",1,0)</f>
        <v>0</v>
      </c>
      <c r="AN492">
        <f ca="1">IF(Table1[[#This Row],[Column1]]="Agriculture",1,0)</f>
        <v>0</v>
      </c>
      <c r="AO492">
        <f ca="1">IF(Table1[[#This Row],[Column1]]="Social Service", 1, 0)</f>
        <v>0</v>
      </c>
      <c r="AT492" s="5"/>
      <c r="AV492" s="17">
        <f ca="1">(O493/I493)</f>
        <v>44120.649354157686</v>
      </c>
      <c r="AW492" s="5"/>
      <c r="AX492" s="6">
        <f ca="1">IF(Table1[[#This Row],[Value of Debts]]&gt;$AY$4,1,0)</f>
        <v>1</v>
      </c>
      <c r="AY492" s="20"/>
      <c r="AZ492" s="20"/>
      <c r="BA492" s="5"/>
      <c r="BB492" s="25">
        <f ca="1">Table1[[#This Row],[Mortage Left]]/Table1[[#This Row],[Value of House]]</f>
        <v>0.68971861032155102</v>
      </c>
      <c r="BC492" s="20">
        <f t="shared" ca="1" si="23"/>
        <v>0</v>
      </c>
      <c r="BD492" s="20"/>
      <c r="BE492" s="20"/>
      <c r="BF492" s="20"/>
      <c r="BG492" s="6">
        <f ca="1">IF(Table1[[#This Row],[County]]="Cumbria",Table1[[#This Row],[income]],0)</f>
        <v>0</v>
      </c>
      <c r="BH492" s="20">
        <f ca="1">IF(Table1[[#This Row],[County]]="Cheshire",Table1[[#This Row],[income]],0)</f>
        <v>0</v>
      </c>
      <c r="BI492" s="20">
        <f ca="1">IF(Table1[[#This Row],[County]]="Bristol",Table1[[#This Row],[income]],0)</f>
        <v>0</v>
      </c>
      <c r="BJ492" s="20">
        <f ca="1">IF(Table1[[#This Row],[County]]="Surrey",Table1[[#This Row],[income]],0)</f>
        <v>0</v>
      </c>
      <c r="BK492" s="20">
        <f ca="1">IF(Table1[[#This Row],[County]]="Norfolk",Table1[[#This Row],[income]],0)</f>
        <v>0</v>
      </c>
      <c r="BL492" s="20">
        <f ca="1">IF(Table1[[#This Row],[County]]="Lincolnshire",Table1[[#This Row],[income]],0)</f>
        <v>0</v>
      </c>
      <c r="BM492" s="20">
        <f ca="1">IF(Table1[[#This Row],[County]]="Somerset",Table1[[#This Row],[income]],0)</f>
        <v>0</v>
      </c>
      <c r="BN492" s="20">
        <f ca="1">IF(Table1[[#This Row],[County]]="Cambridgeshire",Table1[[#This Row],[income]],0)</f>
        <v>0</v>
      </c>
      <c r="BO492" s="20">
        <f ca="1">IF(Table1[[#This Row],[County]]="South Yorkshire",Table1[[#This Row],[income]],0)</f>
        <v>0</v>
      </c>
      <c r="BP492" s="20">
        <f ca="1">IF(Table1[[#This Row],[County]]="Greater London",Table1[[#This Row],[income]],0)</f>
        <v>33914</v>
      </c>
      <c r="BQ492" s="20">
        <f ca="1">IF(Table1[[#This Row],[County]]="Hampshire",Table1[[#This Row],[income]],0)</f>
        <v>0</v>
      </c>
      <c r="BR492" s="20">
        <f ca="1">IF(Table1[[#This Row],[County]]="Gloucestershire",Table1[[#This Row],[income]],0)</f>
        <v>0</v>
      </c>
      <c r="BS492" s="20">
        <f ca="1">IF(Table1[[#This Row],[County]]="West Sussex",Table1[[#This Row],[income]],0)</f>
        <v>0</v>
      </c>
      <c r="BT492" s="20">
        <f ca="1">IF(Table1[[#This Row],[County]]="Devon",Table1[[#This Row],[income]],0)</f>
        <v>0</v>
      </c>
      <c r="BU492" s="20">
        <f ca="1">IF(Table1[[#This Row],[County]]="Berkshire",Table1[[#This Row],[income]],0)</f>
        <v>0</v>
      </c>
      <c r="BV492" s="20">
        <f ca="1">IF(Table1[[#This Row],[County]]="Staffordshire",Table1[[#This Row],[income]],0)</f>
        <v>0</v>
      </c>
      <c r="BW492" s="20">
        <f ca="1">IF(Table1[[#This Row],[County]]="Leicestershire",Table1[[#This Row],[income]],0)</f>
        <v>0</v>
      </c>
      <c r="BX492" s="20">
        <f ca="1">IF(Table1[[#This Row],[County]]="Cornwall",Table1[[#This Row],[income]],0)</f>
        <v>0</v>
      </c>
      <c r="BY492" s="20">
        <f ca="1">IF(Table1[[#This Row],[County]]="Isle of Wight",Table1[[#This Row],[income]],0)</f>
        <v>0</v>
      </c>
      <c r="BZ492" s="20">
        <f ca="1">IF(Table1[[#This Row],[County]]="Surrey",Table1[[#This Row],[income]],0)</f>
        <v>0</v>
      </c>
      <c r="CA492" s="20">
        <f ca="1">IF(Table1[[#This Row],[County]]="Derbyshire",Table1[[#This Row],[income]],0)</f>
        <v>0</v>
      </c>
      <c r="CB492" s="20">
        <f ca="1">IF(Table1[[#This Row],[County]]="City of London",Table1[[#This Row],[income]],0)</f>
        <v>0</v>
      </c>
      <c r="CC492" s="20">
        <f ca="1">IF(Table1[[#This Row],[County]]="Bedfordshire",Table1[[#This Row],[income]],0)</f>
        <v>0</v>
      </c>
      <c r="CD492" s="20">
        <f ca="1">IF(Table1[[#This Row],[County]]="County Durham",Table1[[#This Row],[income]],0)</f>
        <v>0</v>
      </c>
      <c r="CE492" s="20">
        <f ca="1">IF(Table1[[#This Row],[County]]="East Riding of Yorkshire",Table1[[#This Row],[income]],0)</f>
        <v>0</v>
      </c>
      <c r="CF492" s="20">
        <f ca="1">IF(Table1[[#This Row],[County]]="West Yorkshire",Table1[[#This Row],[income]],0)</f>
        <v>0</v>
      </c>
      <c r="CG492" s="20">
        <f ca="1">IF(Table1[[#This Row],[County]]="Essex",Table1[[#This Row],[income]],0)</f>
        <v>0</v>
      </c>
      <c r="CH492" s="20">
        <f ca="1">IF(Table1[[#This Row],[County]]="East Sussex",Table1[[#This Row],[income]],0)</f>
        <v>0</v>
      </c>
      <c r="CI492" s="20">
        <f ca="1">IF(Table1[[#This Row],[County]]="Greater Manchester",Table1[[#This Row],[income]],0)</f>
        <v>0</v>
      </c>
      <c r="CJ492" s="20">
        <f ca="1">IF(Table1[[#This Row],[County]]="Hertfordshire",Table1[[#This Row],[income]],0)</f>
        <v>0</v>
      </c>
      <c r="CK492" s="20">
        <f ca="1">IF(Table1[[#This Row],[County]]="Herefordshire",Table1[[#This Row],[income]],0)</f>
        <v>0</v>
      </c>
      <c r="CL492" s="20">
        <f ca="1">IF(Table1[[#This Row],[County]]="Lancashire",Table1[[#This Row],[income]],0)</f>
        <v>0</v>
      </c>
      <c r="CM492" s="20">
        <f ca="1">IF(Table1[[#This Row],[County]]="Merseyside",Table1[[#This Row],[income]],0)</f>
        <v>0</v>
      </c>
      <c r="CN492" s="20">
        <f ca="1">IF(Table1[[#This Row],[County]]="Northamptonshire",Table1[[#This Row],[income]],0)</f>
        <v>0</v>
      </c>
      <c r="CO492" s="20">
        <f ca="1">IF(Table1[[#This Row],[County]]="Northumberland",Table1[[#This Row],[income]],0)</f>
        <v>0</v>
      </c>
      <c r="CP492" s="20">
        <f ca="1">IF(Table1[[#This Row],[County]]="Wiltshire",Table1[[#This Row],[income]],0)</f>
        <v>0</v>
      </c>
      <c r="CQ492" s="20">
        <f ca="1">IF(Table1[[#This Row],[County]]="West Midlands",Table1[[#This Row],[income]],0)</f>
        <v>0</v>
      </c>
      <c r="CR492" s="20">
        <f ca="1">IF(Table1[[#This Row],[County]]="Warwickshire",Table1[[#This Row],[income]],0)</f>
        <v>0</v>
      </c>
      <c r="CS492" s="20">
        <f ca="1">IF(Table1[[#This Row],[County]]="Tyne and Wear",Table1[[#This Row],[income]],0)</f>
        <v>0</v>
      </c>
      <c r="CT492" s="20">
        <f ca="1">IF(Table1[[#This Row],[County]]="Worcestershire",Table1[[#This Row],[income]],0)</f>
        <v>0</v>
      </c>
      <c r="CU492" s="20">
        <f ca="1">IF(Table1[[#This Row],[County]]="Rutland",Table1[[#This Row],[income]],0)</f>
        <v>0</v>
      </c>
      <c r="CV492" s="20">
        <f ca="1">IF(Table1[[#This Row],[County]]="Shropshire",Table1[[#This Row],[income]],0)</f>
        <v>0</v>
      </c>
      <c r="CW492" s="20">
        <f ca="1">IF(Table1[[#This Row],[County]]="Dorset",Table1[[#This Row],[income]],0)</f>
        <v>0</v>
      </c>
      <c r="CX492" s="20">
        <f ca="1">IF(Table1[[#This Row],[County]]="Buckinghamshire",Table1[[#This Row],[income]],0)</f>
        <v>0</v>
      </c>
      <c r="CY492" s="20">
        <f ca="1">IF(Table1[[#This Row],[County]]="Suffolk",Table1[[#This Row],[income]],0)</f>
        <v>0</v>
      </c>
      <c r="CZ492" s="20">
        <f ca="1">IF(Table1[[#This Row],[County]]="North Yorkshire",Table1[[#This Row],[income]],0)</f>
        <v>0</v>
      </c>
      <c r="DA492" s="20">
        <f ca="1">IF(Table1[[#This Row],[County]]="Kent",Table1[[#This Row],[income]],0)</f>
        <v>0</v>
      </c>
      <c r="DB492" s="5">
        <f ca="1">IF(Table1[[#This Row],[County]]="Derbyshire",Table1[[#This Row],[income]],0)</f>
        <v>0</v>
      </c>
      <c r="DD492" s="6">
        <f ca="1">IF(Table1[[#This Row],[Column1]]="Health",Table1[[#This Row],[income]],0)</f>
        <v>0</v>
      </c>
      <c r="DE492" s="20">
        <f ca="1">IF(Table1[[#This Row],[Column1]]="Agriculture",Table1[[#This Row],[income]],0)</f>
        <v>0</v>
      </c>
      <c r="DF492" s="20">
        <f ca="1">IF(Table1[[#This Row],[Column1]]="Technology",Table1[[#This Row],[income]],0)</f>
        <v>33914</v>
      </c>
      <c r="DG492" s="20">
        <f ca="1">IF(Table1[[#This Row],[Column1]]="Social Service",Table1[[#This Row],[income]],0)</f>
        <v>0</v>
      </c>
      <c r="DH492" s="20">
        <f ca="1">IF(Table1[[#This Row],[Column1]]="Education",Table1[[#This Row],[income]],0)</f>
        <v>0</v>
      </c>
      <c r="DI492" s="5">
        <f ca="1">IF(Table1[[#This Row],[Column1]]="Construction",Table1[[#This Row],[income]],0)</f>
        <v>0</v>
      </c>
      <c r="DK492" s="6">
        <f ca="1">IF(Table1[[#This Row],[Value of Debts]]&gt;Table1[[#This Row],[income]],1,0)</f>
        <v>1</v>
      </c>
      <c r="DL492" s="20"/>
      <c r="DM492" s="20"/>
      <c r="DN492" s="5"/>
      <c r="DP492" s="6">
        <f ca="1">IF(Table1[[#This Row],[Net Worth (£)]]&gt;$DS$5,C492,0)</f>
        <v>0</v>
      </c>
      <c r="DQ492" s="20"/>
      <c r="DR492" s="20"/>
      <c r="DS492" s="5"/>
    </row>
    <row r="493" spans="1:123" x14ac:dyDescent="0.2">
      <c r="A493">
        <f t="shared" ca="1" si="22"/>
        <v>2</v>
      </c>
      <c r="B493" s="1" t="str">
        <f ca="1">IF(A493=1, "men", "women")</f>
        <v>women</v>
      </c>
      <c r="C493" s="1">
        <f ca="1">RANDBETWEEN(25,50)</f>
        <v>40</v>
      </c>
      <c r="D493">
        <f ca="1">RANDBETWEEN(1,6)</f>
        <v>6</v>
      </c>
      <c r="E493" t="str">
        <f ca="1">VLOOKUP(D493,$W$5:$X$10,2)</f>
        <v>Agriculture</v>
      </c>
      <c r="F493">
        <f ca="1">RANDBETWEEN(1,5)</f>
        <v>2</v>
      </c>
      <c r="G493" t="str">
        <f ca="1">VLOOKUP(F493,$Y$5:$Z$9,2)</f>
        <v>College</v>
      </c>
      <c r="H493">
        <f ca="1">RANDBETWEEN(0,4)</f>
        <v>3</v>
      </c>
      <c r="I493">
        <f ca="1">RANDBETWEEN(1,3)</f>
        <v>2</v>
      </c>
      <c r="J493">
        <f ca="1">RANDBETWEEN(30000,100000)</f>
        <v>78215</v>
      </c>
      <c r="K493">
        <f ca="1">RANDBETWEEN(1,48)</f>
        <v>42</v>
      </c>
      <c r="L493" t="str">
        <f ca="1">VLOOKUP(K493,$AA$5:$AB$52,2)</f>
        <v>Tyne and Wear</v>
      </c>
      <c r="M493">
        <f ca="1">J493*(RANDBETWEEN(2,5))</f>
        <v>156430</v>
      </c>
      <c r="N493">
        <f ca="1">RAND()*M493</f>
        <v>85149.875681312085</v>
      </c>
      <c r="O493">
        <f ca="1">I493*RAND()*J493</f>
        <v>88241.298708315371</v>
      </c>
      <c r="P493">
        <f ca="1">RANDBETWEEN(0,O493)</f>
        <v>807</v>
      </c>
      <c r="Q493">
        <f ca="1">RAND()*J493*2</f>
        <v>45712.433192467121</v>
      </c>
      <c r="R493">
        <f ca="1">RAND()*J493*1.5</f>
        <v>103929.99665827074</v>
      </c>
      <c r="S493">
        <f ca="1">J493+R493+O493</f>
        <v>270386.29536658613</v>
      </c>
      <c r="T493">
        <f ca="1">N493+P493+Q493</f>
        <v>131669.3088737792</v>
      </c>
      <c r="U493">
        <f ca="1">S493-T493</f>
        <v>138716.98649280693</v>
      </c>
      <c r="AC493" s="6">
        <f ca="1">IF(Table1[[#This Row],[gender]]="men",1,0)</f>
        <v>0</v>
      </c>
      <c r="AD493">
        <f ca="1">IF(Table1[[#This Row],[gender]]="women",1,0)</f>
        <v>1</v>
      </c>
      <c r="AH493" s="5"/>
      <c r="AJ493" s="6">
        <f ca="1">IF(Table1[[#This Row],[Column1]]="Health",1,0)</f>
        <v>0</v>
      </c>
      <c r="AK493">
        <f ca="1">IF(Table1[[#This Row],[Column1]]="Construction",1,0)</f>
        <v>0</v>
      </c>
      <c r="AL493">
        <f ca="1">IF(Table1[[#This Row],[Column1]]="Technology",1,0)</f>
        <v>0</v>
      </c>
      <c r="AM493">
        <f ca="1">IF(Table1[[#This Row],[Column1]]="Education",1,0)</f>
        <v>0</v>
      </c>
      <c r="AN493">
        <f ca="1">IF(Table1[[#This Row],[Column1]]="Agriculture",1,0)</f>
        <v>1</v>
      </c>
      <c r="AO493">
        <f ca="1">IF(Table1[[#This Row],[Column1]]="Social Service", 1, 0)</f>
        <v>0</v>
      </c>
      <c r="AT493" s="5"/>
      <c r="AV493" s="17">
        <f ca="1">(O494/I494)</f>
        <v>5212.6957933075082</v>
      </c>
      <c r="AW493" s="5"/>
      <c r="AX493" s="6">
        <f ca="1">IF(Table1[[#This Row],[Value of Debts]]&gt;$AY$4,1,0)</f>
        <v>1</v>
      </c>
      <c r="AY493" s="20"/>
      <c r="AZ493" s="20"/>
      <c r="BA493" s="5"/>
      <c r="BB493" s="25">
        <f ca="1">Table1[[#This Row],[Mortage Left]]/Table1[[#This Row],[Value of House]]</f>
        <v>0.54433213374232614</v>
      </c>
      <c r="BC493" s="20">
        <f t="shared" ca="1" si="23"/>
        <v>0</v>
      </c>
      <c r="BD493" s="20"/>
      <c r="BE493" s="20"/>
      <c r="BF493" s="20"/>
      <c r="BG493" s="6">
        <f ca="1">IF(Table1[[#This Row],[County]]="Cumbria",Table1[[#This Row],[income]],0)</f>
        <v>0</v>
      </c>
      <c r="BH493" s="20">
        <f ca="1">IF(Table1[[#This Row],[County]]="Cheshire",Table1[[#This Row],[income]],0)</f>
        <v>0</v>
      </c>
      <c r="BI493" s="20">
        <f ca="1">IF(Table1[[#This Row],[County]]="Bristol",Table1[[#This Row],[income]],0)</f>
        <v>0</v>
      </c>
      <c r="BJ493" s="20">
        <f ca="1">IF(Table1[[#This Row],[County]]="Surrey",Table1[[#This Row],[income]],0)</f>
        <v>0</v>
      </c>
      <c r="BK493" s="20">
        <f ca="1">IF(Table1[[#This Row],[County]]="Norfolk",Table1[[#This Row],[income]],0)</f>
        <v>0</v>
      </c>
      <c r="BL493" s="20">
        <f ca="1">IF(Table1[[#This Row],[County]]="Lincolnshire",Table1[[#This Row],[income]],0)</f>
        <v>0</v>
      </c>
      <c r="BM493" s="20">
        <f ca="1">IF(Table1[[#This Row],[County]]="Somerset",Table1[[#This Row],[income]],0)</f>
        <v>0</v>
      </c>
      <c r="BN493" s="20">
        <f ca="1">IF(Table1[[#This Row],[County]]="Cambridgeshire",Table1[[#This Row],[income]],0)</f>
        <v>0</v>
      </c>
      <c r="BO493" s="20">
        <f ca="1">IF(Table1[[#This Row],[County]]="South Yorkshire",Table1[[#This Row],[income]],0)</f>
        <v>0</v>
      </c>
      <c r="BP493" s="20">
        <f ca="1">IF(Table1[[#This Row],[County]]="Greater London",Table1[[#This Row],[income]],0)</f>
        <v>0</v>
      </c>
      <c r="BQ493" s="20">
        <f ca="1">IF(Table1[[#This Row],[County]]="Hampshire",Table1[[#This Row],[income]],0)</f>
        <v>0</v>
      </c>
      <c r="BR493" s="20">
        <f ca="1">IF(Table1[[#This Row],[County]]="Gloucestershire",Table1[[#This Row],[income]],0)</f>
        <v>0</v>
      </c>
      <c r="BS493" s="20">
        <f ca="1">IF(Table1[[#This Row],[County]]="West Sussex",Table1[[#This Row],[income]],0)</f>
        <v>0</v>
      </c>
      <c r="BT493" s="20">
        <f ca="1">IF(Table1[[#This Row],[County]]="Devon",Table1[[#This Row],[income]],0)</f>
        <v>0</v>
      </c>
      <c r="BU493" s="20">
        <f ca="1">IF(Table1[[#This Row],[County]]="Berkshire",Table1[[#This Row],[income]],0)</f>
        <v>0</v>
      </c>
      <c r="BV493" s="20">
        <f ca="1">IF(Table1[[#This Row],[County]]="Staffordshire",Table1[[#This Row],[income]],0)</f>
        <v>0</v>
      </c>
      <c r="BW493" s="20">
        <f ca="1">IF(Table1[[#This Row],[County]]="Leicestershire",Table1[[#This Row],[income]],0)</f>
        <v>0</v>
      </c>
      <c r="BX493" s="20">
        <f ca="1">IF(Table1[[#This Row],[County]]="Cornwall",Table1[[#This Row],[income]],0)</f>
        <v>0</v>
      </c>
      <c r="BY493" s="20">
        <f ca="1">IF(Table1[[#This Row],[County]]="Isle of Wight",Table1[[#This Row],[income]],0)</f>
        <v>0</v>
      </c>
      <c r="BZ493" s="20">
        <f ca="1">IF(Table1[[#This Row],[County]]="Surrey",Table1[[#This Row],[income]],0)</f>
        <v>0</v>
      </c>
      <c r="CA493" s="20">
        <f ca="1">IF(Table1[[#This Row],[County]]="Derbyshire",Table1[[#This Row],[income]],0)</f>
        <v>0</v>
      </c>
      <c r="CB493" s="20">
        <f ca="1">IF(Table1[[#This Row],[County]]="City of London",Table1[[#This Row],[income]],0)</f>
        <v>0</v>
      </c>
      <c r="CC493" s="20">
        <f ca="1">IF(Table1[[#This Row],[County]]="Bedfordshire",Table1[[#This Row],[income]],0)</f>
        <v>0</v>
      </c>
      <c r="CD493" s="20">
        <f ca="1">IF(Table1[[#This Row],[County]]="County Durham",Table1[[#This Row],[income]],0)</f>
        <v>0</v>
      </c>
      <c r="CE493" s="20">
        <f ca="1">IF(Table1[[#This Row],[County]]="East Riding of Yorkshire",Table1[[#This Row],[income]],0)</f>
        <v>0</v>
      </c>
      <c r="CF493" s="20">
        <f ca="1">IF(Table1[[#This Row],[County]]="West Yorkshire",Table1[[#This Row],[income]],0)</f>
        <v>0</v>
      </c>
      <c r="CG493" s="20">
        <f ca="1">IF(Table1[[#This Row],[County]]="Essex",Table1[[#This Row],[income]],0)</f>
        <v>0</v>
      </c>
      <c r="CH493" s="20">
        <f ca="1">IF(Table1[[#This Row],[County]]="East Sussex",Table1[[#This Row],[income]],0)</f>
        <v>0</v>
      </c>
      <c r="CI493" s="20">
        <f ca="1">IF(Table1[[#This Row],[County]]="Greater Manchester",Table1[[#This Row],[income]],0)</f>
        <v>0</v>
      </c>
      <c r="CJ493" s="20">
        <f ca="1">IF(Table1[[#This Row],[County]]="Hertfordshire",Table1[[#This Row],[income]],0)</f>
        <v>0</v>
      </c>
      <c r="CK493" s="20">
        <f ca="1">IF(Table1[[#This Row],[County]]="Herefordshire",Table1[[#This Row],[income]],0)</f>
        <v>0</v>
      </c>
      <c r="CL493" s="20">
        <f ca="1">IF(Table1[[#This Row],[County]]="Lancashire",Table1[[#This Row],[income]],0)</f>
        <v>0</v>
      </c>
      <c r="CM493" s="20">
        <f ca="1">IF(Table1[[#This Row],[County]]="Merseyside",Table1[[#This Row],[income]],0)</f>
        <v>0</v>
      </c>
      <c r="CN493" s="20">
        <f ca="1">IF(Table1[[#This Row],[County]]="Northamptonshire",Table1[[#This Row],[income]],0)</f>
        <v>0</v>
      </c>
      <c r="CO493" s="20">
        <f ca="1">IF(Table1[[#This Row],[County]]="Northumberland",Table1[[#This Row],[income]],0)</f>
        <v>0</v>
      </c>
      <c r="CP493" s="20">
        <f ca="1">IF(Table1[[#This Row],[County]]="Wiltshire",Table1[[#This Row],[income]],0)</f>
        <v>0</v>
      </c>
      <c r="CQ493" s="20">
        <f ca="1">IF(Table1[[#This Row],[County]]="West Midlands",Table1[[#This Row],[income]],0)</f>
        <v>0</v>
      </c>
      <c r="CR493" s="20">
        <f ca="1">IF(Table1[[#This Row],[County]]="Warwickshire",Table1[[#This Row],[income]],0)</f>
        <v>0</v>
      </c>
      <c r="CS493" s="20">
        <f ca="1">IF(Table1[[#This Row],[County]]="Tyne and Wear",Table1[[#This Row],[income]],0)</f>
        <v>78215</v>
      </c>
      <c r="CT493" s="20">
        <f ca="1">IF(Table1[[#This Row],[County]]="Worcestershire",Table1[[#This Row],[income]],0)</f>
        <v>0</v>
      </c>
      <c r="CU493" s="20">
        <f ca="1">IF(Table1[[#This Row],[County]]="Rutland",Table1[[#This Row],[income]],0)</f>
        <v>0</v>
      </c>
      <c r="CV493" s="20">
        <f ca="1">IF(Table1[[#This Row],[County]]="Shropshire",Table1[[#This Row],[income]],0)</f>
        <v>0</v>
      </c>
      <c r="CW493" s="20">
        <f ca="1">IF(Table1[[#This Row],[County]]="Dorset",Table1[[#This Row],[income]],0)</f>
        <v>0</v>
      </c>
      <c r="CX493" s="20">
        <f ca="1">IF(Table1[[#This Row],[County]]="Buckinghamshire",Table1[[#This Row],[income]],0)</f>
        <v>0</v>
      </c>
      <c r="CY493" s="20">
        <f ca="1">IF(Table1[[#This Row],[County]]="Suffolk",Table1[[#This Row],[income]],0)</f>
        <v>0</v>
      </c>
      <c r="CZ493" s="20">
        <f ca="1">IF(Table1[[#This Row],[County]]="North Yorkshire",Table1[[#This Row],[income]],0)</f>
        <v>0</v>
      </c>
      <c r="DA493" s="20">
        <f ca="1">IF(Table1[[#This Row],[County]]="Kent",Table1[[#This Row],[income]],0)</f>
        <v>0</v>
      </c>
      <c r="DB493" s="5">
        <f ca="1">IF(Table1[[#This Row],[County]]="Derbyshire",Table1[[#This Row],[income]],0)</f>
        <v>0</v>
      </c>
      <c r="DD493" s="6">
        <f ca="1">IF(Table1[[#This Row],[Column1]]="Health",Table1[[#This Row],[income]],0)</f>
        <v>0</v>
      </c>
      <c r="DE493" s="20">
        <f ca="1">IF(Table1[[#This Row],[Column1]]="Agriculture",Table1[[#This Row],[income]],0)</f>
        <v>78215</v>
      </c>
      <c r="DF493" s="20">
        <f ca="1">IF(Table1[[#This Row],[Column1]]="Technology",Table1[[#This Row],[income]],0)</f>
        <v>0</v>
      </c>
      <c r="DG493" s="20">
        <f ca="1">IF(Table1[[#This Row],[Column1]]="Social Service",Table1[[#This Row],[income]],0)</f>
        <v>0</v>
      </c>
      <c r="DH493" s="20">
        <f ca="1">IF(Table1[[#This Row],[Column1]]="Education",Table1[[#This Row],[income]],0)</f>
        <v>0</v>
      </c>
      <c r="DI493" s="5">
        <f ca="1">IF(Table1[[#This Row],[Column1]]="Construction",Table1[[#This Row],[income]],0)</f>
        <v>0</v>
      </c>
      <c r="DK493" s="6">
        <f ca="1">IF(Table1[[#This Row],[Value of Debts]]&gt;Table1[[#This Row],[income]],1,0)</f>
        <v>1</v>
      </c>
      <c r="DL493" s="20"/>
      <c r="DM493" s="20"/>
      <c r="DN493" s="5"/>
      <c r="DP493" s="6">
        <f ca="1">IF(Table1[[#This Row],[Net Worth (£)]]&gt;$DS$5,C493,0)</f>
        <v>40</v>
      </c>
      <c r="DQ493" s="20"/>
      <c r="DR493" s="20"/>
      <c r="DS493" s="5"/>
    </row>
    <row r="494" spans="1:123" x14ac:dyDescent="0.2">
      <c r="A494">
        <f t="shared" ca="1" si="22"/>
        <v>1</v>
      </c>
      <c r="B494" s="1" t="str">
        <f ca="1">IF(A494=1, "men", "women")</f>
        <v>men</v>
      </c>
      <c r="C494" s="1">
        <f ca="1">RANDBETWEEN(25,50)</f>
        <v>45</v>
      </c>
      <c r="D494">
        <f ca="1">RANDBETWEEN(1,6)</f>
        <v>1</v>
      </c>
      <c r="E494" t="str">
        <f ca="1">VLOOKUP(D494,$W$5:$X$10,2)</f>
        <v>Health</v>
      </c>
      <c r="F494">
        <f ca="1">RANDBETWEEN(1,5)</f>
        <v>3</v>
      </c>
      <c r="G494" t="str">
        <f ca="1">VLOOKUP(F494,$Y$5:$Z$9,2)</f>
        <v>University</v>
      </c>
      <c r="H494">
        <f ca="1">RANDBETWEEN(0,4)</f>
        <v>1</v>
      </c>
      <c r="I494">
        <f ca="1">RANDBETWEEN(1,3)</f>
        <v>2</v>
      </c>
      <c r="J494">
        <f ca="1">RANDBETWEEN(30000,100000)</f>
        <v>81363</v>
      </c>
      <c r="K494">
        <f ca="1">RANDBETWEEN(1,48)</f>
        <v>26</v>
      </c>
      <c r="L494" t="str">
        <f ca="1">VLOOKUP(K494,$AA$5:$AB$52,2)</f>
        <v>Leicestershire</v>
      </c>
      <c r="M494">
        <f ca="1">J494*(RANDBETWEEN(2,5))</f>
        <v>244089</v>
      </c>
      <c r="N494">
        <f ca="1">RAND()*M494</f>
        <v>155315.11250508815</v>
      </c>
      <c r="O494">
        <f ca="1">I494*RAND()*J494</f>
        <v>10425.391586615016</v>
      </c>
      <c r="P494">
        <f ca="1">RANDBETWEEN(0,O494)</f>
        <v>7335</v>
      </c>
      <c r="Q494">
        <f ca="1">RAND()*J494*2</f>
        <v>13507.336625714857</v>
      </c>
      <c r="R494">
        <f ca="1">RAND()*J494*1.5</f>
        <v>114406.33383641698</v>
      </c>
      <c r="S494">
        <f ca="1">J494+R494+O494</f>
        <v>206194.72542303198</v>
      </c>
      <c r="T494">
        <f ca="1">N494+P494+Q494</f>
        <v>176157.449130803</v>
      </c>
      <c r="U494">
        <f ca="1">S494-T494</f>
        <v>30037.276292228984</v>
      </c>
      <c r="AC494" s="6">
        <f ca="1">IF(Table1[[#This Row],[gender]]="men",1,0)</f>
        <v>1</v>
      </c>
      <c r="AD494">
        <f ca="1">IF(Table1[[#This Row],[gender]]="women",1,0)</f>
        <v>0</v>
      </c>
      <c r="AH494" s="5"/>
      <c r="AJ494" s="6">
        <f ca="1">IF(Table1[[#This Row],[Column1]]="Health",1,0)</f>
        <v>1</v>
      </c>
      <c r="AK494">
        <f ca="1">IF(Table1[[#This Row],[Column1]]="Construction",1,0)</f>
        <v>0</v>
      </c>
      <c r="AL494">
        <f ca="1">IF(Table1[[#This Row],[Column1]]="Technology",1,0)</f>
        <v>0</v>
      </c>
      <c r="AM494">
        <f ca="1">IF(Table1[[#This Row],[Column1]]="Education",1,0)</f>
        <v>0</v>
      </c>
      <c r="AN494">
        <f ca="1">IF(Table1[[#This Row],[Column1]]="Agriculture",1,0)</f>
        <v>0</v>
      </c>
      <c r="AO494">
        <f ca="1">IF(Table1[[#This Row],[Column1]]="Social Service", 1, 0)</f>
        <v>0</v>
      </c>
      <c r="AT494" s="5"/>
      <c r="AV494" s="17">
        <f ca="1">(O495/I495)</f>
        <v>37967.464365362837</v>
      </c>
      <c r="AW494" s="5"/>
      <c r="AX494" s="6">
        <f ca="1">IF(Table1[[#This Row],[Value of Debts]]&gt;$AY$4,1,0)</f>
        <v>1</v>
      </c>
      <c r="AY494" s="20"/>
      <c r="AZ494" s="20"/>
      <c r="BA494" s="5"/>
      <c r="BB494" s="25">
        <f ca="1">Table1[[#This Row],[Mortage Left]]/Table1[[#This Row],[Value of House]]</f>
        <v>0.63630525138407779</v>
      </c>
      <c r="BC494" s="20">
        <f t="shared" ca="1" si="23"/>
        <v>0</v>
      </c>
      <c r="BD494" s="20"/>
      <c r="BE494" s="20"/>
      <c r="BF494" s="20"/>
      <c r="BG494" s="6">
        <f ca="1">IF(Table1[[#This Row],[County]]="Cumbria",Table1[[#This Row],[income]],0)</f>
        <v>0</v>
      </c>
      <c r="BH494" s="20">
        <f ca="1">IF(Table1[[#This Row],[County]]="Cheshire",Table1[[#This Row],[income]],0)</f>
        <v>0</v>
      </c>
      <c r="BI494" s="20">
        <f ca="1">IF(Table1[[#This Row],[County]]="Bristol",Table1[[#This Row],[income]],0)</f>
        <v>0</v>
      </c>
      <c r="BJ494" s="20">
        <f ca="1">IF(Table1[[#This Row],[County]]="Surrey",Table1[[#This Row],[income]],0)</f>
        <v>0</v>
      </c>
      <c r="BK494" s="20">
        <f ca="1">IF(Table1[[#This Row],[County]]="Norfolk",Table1[[#This Row],[income]],0)</f>
        <v>0</v>
      </c>
      <c r="BL494" s="20">
        <f ca="1">IF(Table1[[#This Row],[County]]="Lincolnshire",Table1[[#This Row],[income]],0)</f>
        <v>0</v>
      </c>
      <c r="BM494" s="20">
        <f ca="1">IF(Table1[[#This Row],[County]]="Somerset",Table1[[#This Row],[income]],0)</f>
        <v>0</v>
      </c>
      <c r="BN494" s="20">
        <f ca="1">IF(Table1[[#This Row],[County]]="Cambridgeshire",Table1[[#This Row],[income]],0)</f>
        <v>0</v>
      </c>
      <c r="BO494" s="20">
        <f ca="1">IF(Table1[[#This Row],[County]]="South Yorkshire",Table1[[#This Row],[income]],0)</f>
        <v>0</v>
      </c>
      <c r="BP494" s="20">
        <f ca="1">IF(Table1[[#This Row],[County]]="Greater London",Table1[[#This Row],[income]],0)</f>
        <v>0</v>
      </c>
      <c r="BQ494" s="20">
        <f ca="1">IF(Table1[[#This Row],[County]]="Hampshire",Table1[[#This Row],[income]],0)</f>
        <v>0</v>
      </c>
      <c r="BR494" s="20">
        <f ca="1">IF(Table1[[#This Row],[County]]="Gloucestershire",Table1[[#This Row],[income]],0)</f>
        <v>0</v>
      </c>
      <c r="BS494" s="20">
        <f ca="1">IF(Table1[[#This Row],[County]]="West Sussex",Table1[[#This Row],[income]],0)</f>
        <v>0</v>
      </c>
      <c r="BT494" s="20">
        <f ca="1">IF(Table1[[#This Row],[County]]="Devon",Table1[[#This Row],[income]],0)</f>
        <v>0</v>
      </c>
      <c r="BU494" s="20">
        <f ca="1">IF(Table1[[#This Row],[County]]="Berkshire",Table1[[#This Row],[income]],0)</f>
        <v>0</v>
      </c>
      <c r="BV494" s="20">
        <f ca="1">IF(Table1[[#This Row],[County]]="Staffordshire",Table1[[#This Row],[income]],0)</f>
        <v>0</v>
      </c>
      <c r="BW494" s="20">
        <f ca="1">IF(Table1[[#This Row],[County]]="Leicestershire",Table1[[#This Row],[income]],0)</f>
        <v>81363</v>
      </c>
      <c r="BX494" s="20">
        <f ca="1">IF(Table1[[#This Row],[County]]="Cornwall",Table1[[#This Row],[income]],0)</f>
        <v>0</v>
      </c>
      <c r="BY494" s="20">
        <f ca="1">IF(Table1[[#This Row],[County]]="Isle of Wight",Table1[[#This Row],[income]],0)</f>
        <v>0</v>
      </c>
      <c r="BZ494" s="20">
        <f ca="1">IF(Table1[[#This Row],[County]]="Surrey",Table1[[#This Row],[income]],0)</f>
        <v>0</v>
      </c>
      <c r="CA494" s="20">
        <f ca="1">IF(Table1[[#This Row],[County]]="Derbyshire",Table1[[#This Row],[income]],0)</f>
        <v>0</v>
      </c>
      <c r="CB494" s="20">
        <f ca="1">IF(Table1[[#This Row],[County]]="City of London",Table1[[#This Row],[income]],0)</f>
        <v>0</v>
      </c>
      <c r="CC494" s="20">
        <f ca="1">IF(Table1[[#This Row],[County]]="Bedfordshire",Table1[[#This Row],[income]],0)</f>
        <v>0</v>
      </c>
      <c r="CD494" s="20">
        <f ca="1">IF(Table1[[#This Row],[County]]="County Durham",Table1[[#This Row],[income]],0)</f>
        <v>0</v>
      </c>
      <c r="CE494" s="20">
        <f ca="1">IF(Table1[[#This Row],[County]]="East Riding of Yorkshire",Table1[[#This Row],[income]],0)</f>
        <v>0</v>
      </c>
      <c r="CF494" s="20">
        <f ca="1">IF(Table1[[#This Row],[County]]="West Yorkshire",Table1[[#This Row],[income]],0)</f>
        <v>0</v>
      </c>
      <c r="CG494" s="20">
        <f ca="1">IF(Table1[[#This Row],[County]]="Essex",Table1[[#This Row],[income]],0)</f>
        <v>0</v>
      </c>
      <c r="CH494" s="20">
        <f ca="1">IF(Table1[[#This Row],[County]]="East Sussex",Table1[[#This Row],[income]],0)</f>
        <v>0</v>
      </c>
      <c r="CI494" s="20">
        <f ca="1">IF(Table1[[#This Row],[County]]="Greater Manchester",Table1[[#This Row],[income]],0)</f>
        <v>0</v>
      </c>
      <c r="CJ494" s="20">
        <f ca="1">IF(Table1[[#This Row],[County]]="Hertfordshire",Table1[[#This Row],[income]],0)</f>
        <v>0</v>
      </c>
      <c r="CK494" s="20">
        <f ca="1">IF(Table1[[#This Row],[County]]="Herefordshire",Table1[[#This Row],[income]],0)</f>
        <v>0</v>
      </c>
      <c r="CL494" s="20">
        <f ca="1">IF(Table1[[#This Row],[County]]="Lancashire",Table1[[#This Row],[income]],0)</f>
        <v>0</v>
      </c>
      <c r="CM494" s="20">
        <f ca="1">IF(Table1[[#This Row],[County]]="Merseyside",Table1[[#This Row],[income]],0)</f>
        <v>0</v>
      </c>
      <c r="CN494" s="20">
        <f ca="1">IF(Table1[[#This Row],[County]]="Northamptonshire",Table1[[#This Row],[income]],0)</f>
        <v>0</v>
      </c>
      <c r="CO494" s="20">
        <f ca="1">IF(Table1[[#This Row],[County]]="Northumberland",Table1[[#This Row],[income]],0)</f>
        <v>0</v>
      </c>
      <c r="CP494" s="20">
        <f ca="1">IF(Table1[[#This Row],[County]]="Wiltshire",Table1[[#This Row],[income]],0)</f>
        <v>0</v>
      </c>
      <c r="CQ494" s="20">
        <f ca="1">IF(Table1[[#This Row],[County]]="West Midlands",Table1[[#This Row],[income]],0)</f>
        <v>0</v>
      </c>
      <c r="CR494" s="20">
        <f ca="1">IF(Table1[[#This Row],[County]]="Warwickshire",Table1[[#This Row],[income]],0)</f>
        <v>0</v>
      </c>
      <c r="CS494" s="20">
        <f ca="1">IF(Table1[[#This Row],[County]]="Tyne and Wear",Table1[[#This Row],[income]],0)</f>
        <v>0</v>
      </c>
      <c r="CT494" s="20">
        <f ca="1">IF(Table1[[#This Row],[County]]="Worcestershire",Table1[[#This Row],[income]],0)</f>
        <v>0</v>
      </c>
      <c r="CU494" s="20">
        <f ca="1">IF(Table1[[#This Row],[County]]="Rutland",Table1[[#This Row],[income]],0)</f>
        <v>0</v>
      </c>
      <c r="CV494" s="20">
        <f ca="1">IF(Table1[[#This Row],[County]]="Shropshire",Table1[[#This Row],[income]],0)</f>
        <v>0</v>
      </c>
      <c r="CW494" s="20">
        <f ca="1">IF(Table1[[#This Row],[County]]="Dorset",Table1[[#This Row],[income]],0)</f>
        <v>0</v>
      </c>
      <c r="CX494" s="20">
        <f ca="1">IF(Table1[[#This Row],[County]]="Buckinghamshire",Table1[[#This Row],[income]],0)</f>
        <v>0</v>
      </c>
      <c r="CY494" s="20">
        <f ca="1">IF(Table1[[#This Row],[County]]="Suffolk",Table1[[#This Row],[income]],0)</f>
        <v>0</v>
      </c>
      <c r="CZ494" s="20">
        <f ca="1">IF(Table1[[#This Row],[County]]="North Yorkshire",Table1[[#This Row],[income]],0)</f>
        <v>0</v>
      </c>
      <c r="DA494" s="20">
        <f ca="1">IF(Table1[[#This Row],[County]]="Kent",Table1[[#This Row],[income]],0)</f>
        <v>0</v>
      </c>
      <c r="DB494" s="5">
        <f ca="1">IF(Table1[[#This Row],[County]]="Derbyshire",Table1[[#This Row],[income]],0)</f>
        <v>0</v>
      </c>
      <c r="DD494" s="6">
        <f ca="1">IF(Table1[[#This Row],[Column1]]="Health",Table1[[#This Row],[income]],0)</f>
        <v>81363</v>
      </c>
      <c r="DE494" s="20">
        <f ca="1">IF(Table1[[#This Row],[Column1]]="Agriculture",Table1[[#This Row],[income]],0)</f>
        <v>0</v>
      </c>
      <c r="DF494" s="20">
        <f ca="1">IF(Table1[[#This Row],[Column1]]="Technology",Table1[[#This Row],[income]],0)</f>
        <v>0</v>
      </c>
      <c r="DG494" s="20">
        <f ca="1">IF(Table1[[#This Row],[Column1]]="Social Service",Table1[[#This Row],[income]],0)</f>
        <v>0</v>
      </c>
      <c r="DH494" s="20">
        <f ca="1">IF(Table1[[#This Row],[Column1]]="Education",Table1[[#This Row],[income]],0)</f>
        <v>0</v>
      </c>
      <c r="DI494" s="5">
        <f ca="1">IF(Table1[[#This Row],[Column1]]="Construction",Table1[[#This Row],[income]],0)</f>
        <v>0</v>
      </c>
      <c r="DK494" s="6">
        <f ca="1">IF(Table1[[#This Row],[Value of Debts]]&gt;Table1[[#This Row],[income]],1,0)</f>
        <v>1</v>
      </c>
      <c r="DL494" s="20"/>
      <c r="DM494" s="20"/>
      <c r="DN494" s="5"/>
      <c r="DP494" s="6">
        <f ca="1">IF(Table1[[#This Row],[Net Worth (£)]]&gt;$DS$5,C494,0)</f>
        <v>0</v>
      </c>
      <c r="DQ494" s="20"/>
      <c r="DR494" s="20"/>
      <c r="DS494" s="5"/>
    </row>
    <row r="495" spans="1:123" x14ac:dyDescent="0.2">
      <c r="A495">
        <f t="shared" ca="1" si="22"/>
        <v>1</v>
      </c>
      <c r="B495" s="1" t="str">
        <f ca="1">IF(A495=1, "men", "women")</f>
        <v>men</v>
      </c>
      <c r="C495" s="1">
        <f ca="1">RANDBETWEEN(25,50)</f>
        <v>29</v>
      </c>
      <c r="D495">
        <f ca="1">RANDBETWEEN(1,6)</f>
        <v>5</v>
      </c>
      <c r="E495" t="str">
        <f ca="1">VLOOKUP(D495,$W$5:$X$10,2)</f>
        <v>Social Service</v>
      </c>
      <c r="F495">
        <f ca="1">RANDBETWEEN(1,5)</f>
        <v>5</v>
      </c>
      <c r="G495" t="str">
        <f ca="1">VLOOKUP(F495,$Y$5:$Z$9,2)</f>
        <v>Other</v>
      </c>
      <c r="H495">
        <f ca="1">RANDBETWEEN(0,4)</f>
        <v>4</v>
      </c>
      <c r="I495">
        <f ca="1">RANDBETWEEN(1,3)</f>
        <v>3</v>
      </c>
      <c r="J495">
        <f ca="1">RANDBETWEEN(30000,100000)</f>
        <v>45565</v>
      </c>
      <c r="K495">
        <f ca="1">RANDBETWEEN(1,48)</f>
        <v>47</v>
      </c>
      <c r="L495" t="str">
        <f ca="1">VLOOKUP(K495,$AA$5:$AB$52,2)</f>
        <v>Wiltshire</v>
      </c>
      <c r="M495">
        <f ca="1">J495*(RANDBETWEEN(2,5))</f>
        <v>136695</v>
      </c>
      <c r="N495">
        <f ca="1">RAND()*M495</f>
        <v>56183.295065726619</v>
      </c>
      <c r="O495">
        <f ca="1">I495*RAND()*J495</f>
        <v>113902.3930960885</v>
      </c>
      <c r="P495">
        <f ca="1">RANDBETWEEN(0,O495)</f>
        <v>39119</v>
      </c>
      <c r="Q495">
        <f ca="1">RAND()*J495*2</f>
        <v>54578.459344423012</v>
      </c>
      <c r="R495">
        <f ca="1">RAND()*J495*1.5</f>
        <v>43645.702365627658</v>
      </c>
      <c r="S495">
        <f ca="1">J495+R495+O495</f>
        <v>203113.09546171618</v>
      </c>
      <c r="T495">
        <f ca="1">N495+P495+Q495</f>
        <v>149880.75441014965</v>
      </c>
      <c r="U495">
        <f ca="1">S495-T495</f>
        <v>53232.341051566531</v>
      </c>
      <c r="AC495" s="6">
        <f ca="1">IF(Table1[[#This Row],[gender]]="men",1,0)</f>
        <v>1</v>
      </c>
      <c r="AD495">
        <f ca="1">IF(Table1[[#This Row],[gender]]="women",1,0)</f>
        <v>0</v>
      </c>
      <c r="AH495" s="5"/>
      <c r="AJ495" s="6">
        <f ca="1">IF(Table1[[#This Row],[Column1]]="Health",1,0)</f>
        <v>0</v>
      </c>
      <c r="AK495">
        <f ca="1">IF(Table1[[#This Row],[Column1]]="Construction",1,0)</f>
        <v>0</v>
      </c>
      <c r="AL495">
        <f ca="1">IF(Table1[[#This Row],[Column1]]="Technology",1,0)</f>
        <v>0</v>
      </c>
      <c r="AM495">
        <f ca="1">IF(Table1[[#This Row],[Column1]]="Education",1,0)</f>
        <v>0</v>
      </c>
      <c r="AN495">
        <f ca="1">IF(Table1[[#This Row],[Column1]]="Agriculture",1,0)</f>
        <v>0</v>
      </c>
      <c r="AO495">
        <f ca="1">IF(Table1[[#This Row],[Column1]]="Social Service", 1, 0)</f>
        <v>1</v>
      </c>
      <c r="AT495" s="5"/>
      <c r="AV495" s="17">
        <f ca="1">(O496/I496)</f>
        <v>29764.852886477973</v>
      </c>
      <c r="AW495" s="5"/>
      <c r="AX495" s="6">
        <f ca="1">IF(Table1[[#This Row],[Value of Debts]]&gt;$AY$4,1,0)</f>
        <v>1</v>
      </c>
      <c r="AY495" s="20"/>
      <c r="AZ495" s="20"/>
      <c r="BA495" s="5"/>
      <c r="BB495" s="25">
        <f ca="1">Table1[[#This Row],[Mortage Left]]/Table1[[#This Row],[Value of House]]</f>
        <v>0.41101207114910288</v>
      </c>
      <c r="BC495" s="20">
        <f t="shared" ca="1" si="23"/>
        <v>0</v>
      </c>
      <c r="BD495" s="20"/>
      <c r="BE495" s="20"/>
      <c r="BF495" s="20"/>
      <c r="BG495" s="6">
        <f ca="1">IF(Table1[[#This Row],[County]]="Cumbria",Table1[[#This Row],[income]],0)</f>
        <v>0</v>
      </c>
      <c r="BH495" s="20">
        <f ca="1">IF(Table1[[#This Row],[County]]="Cheshire",Table1[[#This Row],[income]],0)</f>
        <v>0</v>
      </c>
      <c r="BI495" s="20">
        <f ca="1">IF(Table1[[#This Row],[County]]="Bristol",Table1[[#This Row],[income]],0)</f>
        <v>0</v>
      </c>
      <c r="BJ495" s="20">
        <f ca="1">IF(Table1[[#This Row],[County]]="Surrey",Table1[[#This Row],[income]],0)</f>
        <v>0</v>
      </c>
      <c r="BK495" s="20">
        <f ca="1">IF(Table1[[#This Row],[County]]="Norfolk",Table1[[#This Row],[income]],0)</f>
        <v>0</v>
      </c>
      <c r="BL495" s="20">
        <f ca="1">IF(Table1[[#This Row],[County]]="Lincolnshire",Table1[[#This Row],[income]],0)</f>
        <v>0</v>
      </c>
      <c r="BM495" s="20">
        <f ca="1">IF(Table1[[#This Row],[County]]="Somerset",Table1[[#This Row],[income]],0)</f>
        <v>0</v>
      </c>
      <c r="BN495" s="20">
        <f ca="1">IF(Table1[[#This Row],[County]]="Cambridgeshire",Table1[[#This Row],[income]],0)</f>
        <v>0</v>
      </c>
      <c r="BO495" s="20">
        <f ca="1">IF(Table1[[#This Row],[County]]="South Yorkshire",Table1[[#This Row],[income]],0)</f>
        <v>0</v>
      </c>
      <c r="BP495" s="20">
        <f ca="1">IF(Table1[[#This Row],[County]]="Greater London",Table1[[#This Row],[income]],0)</f>
        <v>0</v>
      </c>
      <c r="BQ495" s="20">
        <f ca="1">IF(Table1[[#This Row],[County]]="Hampshire",Table1[[#This Row],[income]],0)</f>
        <v>0</v>
      </c>
      <c r="BR495" s="20">
        <f ca="1">IF(Table1[[#This Row],[County]]="Gloucestershire",Table1[[#This Row],[income]],0)</f>
        <v>0</v>
      </c>
      <c r="BS495" s="20">
        <f ca="1">IF(Table1[[#This Row],[County]]="West Sussex",Table1[[#This Row],[income]],0)</f>
        <v>0</v>
      </c>
      <c r="BT495" s="20">
        <f ca="1">IF(Table1[[#This Row],[County]]="Devon",Table1[[#This Row],[income]],0)</f>
        <v>0</v>
      </c>
      <c r="BU495" s="20">
        <f ca="1">IF(Table1[[#This Row],[County]]="Berkshire",Table1[[#This Row],[income]],0)</f>
        <v>0</v>
      </c>
      <c r="BV495" s="20">
        <f ca="1">IF(Table1[[#This Row],[County]]="Staffordshire",Table1[[#This Row],[income]],0)</f>
        <v>0</v>
      </c>
      <c r="BW495" s="20">
        <f ca="1">IF(Table1[[#This Row],[County]]="Leicestershire",Table1[[#This Row],[income]],0)</f>
        <v>0</v>
      </c>
      <c r="BX495" s="20">
        <f ca="1">IF(Table1[[#This Row],[County]]="Cornwall",Table1[[#This Row],[income]],0)</f>
        <v>0</v>
      </c>
      <c r="BY495" s="20">
        <f ca="1">IF(Table1[[#This Row],[County]]="Isle of Wight",Table1[[#This Row],[income]],0)</f>
        <v>0</v>
      </c>
      <c r="BZ495" s="20">
        <f ca="1">IF(Table1[[#This Row],[County]]="Surrey",Table1[[#This Row],[income]],0)</f>
        <v>0</v>
      </c>
      <c r="CA495" s="20">
        <f ca="1">IF(Table1[[#This Row],[County]]="Derbyshire",Table1[[#This Row],[income]],0)</f>
        <v>0</v>
      </c>
      <c r="CB495" s="20">
        <f ca="1">IF(Table1[[#This Row],[County]]="City of London",Table1[[#This Row],[income]],0)</f>
        <v>0</v>
      </c>
      <c r="CC495" s="20">
        <f ca="1">IF(Table1[[#This Row],[County]]="Bedfordshire",Table1[[#This Row],[income]],0)</f>
        <v>0</v>
      </c>
      <c r="CD495" s="20">
        <f ca="1">IF(Table1[[#This Row],[County]]="County Durham",Table1[[#This Row],[income]],0)</f>
        <v>0</v>
      </c>
      <c r="CE495" s="20">
        <f ca="1">IF(Table1[[#This Row],[County]]="East Riding of Yorkshire",Table1[[#This Row],[income]],0)</f>
        <v>0</v>
      </c>
      <c r="CF495" s="20">
        <f ca="1">IF(Table1[[#This Row],[County]]="West Yorkshire",Table1[[#This Row],[income]],0)</f>
        <v>0</v>
      </c>
      <c r="CG495" s="20">
        <f ca="1">IF(Table1[[#This Row],[County]]="Essex",Table1[[#This Row],[income]],0)</f>
        <v>0</v>
      </c>
      <c r="CH495" s="20">
        <f ca="1">IF(Table1[[#This Row],[County]]="East Sussex",Table1[[#This Row],[income]],0)</f>
        <v>0</v>
      </c>
      <c r="CI495" s="20">
        <f ca="1">IF(Table1[[#This Row],[County]]="Greater Manchester",Table1[[#This Row],[income]],0)</f>
        <v>0</v>
      </c>
      <c r="CJ495" s="20">
        <f ca="1">IF(Table1[[#This Row],[County]]="Hertfordshire",Table1[[#This Row],[income]],0)</f>
        <v>0</v>
      </c>
      <c r="CK495" s="20">
        <f ca="1">IF(Table1[[#This Row],[County]]="Herefordshire",Table1[[#This Row],[income]],0)</f>
        <v>0</v>
      </c>
      <c r="CL495" s="20">
        <f ca="1">IF(Table1[[#This Row],[County]]="Lancashire",Table1[[#This Row],[income]],0)</f>
        <v>0</v>
      </c>
      <c r="CM495" s="20">
        <f ca="1">IF(Table1[[#This Row],[County]]="Merseyside",Table1[[#This Row],[income]],0)</f>
        <v>0</v>
      </c>
      <c r="CN495" s="20">
        <f ca="1">IF(Table1[[#This Row],[County]]="Northamptonshire",Table1[[#This Row],[income]],0)</f>
        <v>0</v>
      </c>
      <c r="CO495" s="20">
        <f ca="1">IF(Table1[[#This Row],[County]]="Northumberland",Table1[[#This Row],[income]],0)</f>
        <v>0</v>
      </c>
      <c r="CP495" s="20">
        <f ca="1">IF(Table1[[#This Row],[County]]="Wiltshire",Table1[[#This Row],[income]],0)</f>
        <v>45565</v>
      </c>
      <c r="CQ495" s="20">
        <f ca="1">IF(Table1[[#This Row],[County]]="West Midlands",Table1[[#This Row],[income]],0)</f>
        <v>0</v>
      </c>
      <c r="CR495" s="20">
        <f ca="1">IF(Table1[[#This Row],[County]]="Warwickshire",Table1[[#This Row],[income]],0)</f>
        <v>0</v>
      </c>
      <c r="CS495" s="20">
        <f ca="1">IF(Table1[[#This Row],[County]]="Tyne and Wear",Table1[[#This Row],[income]],0)</f>
        <v>0</v>
      </c>
      <c r="CT495" s="20">
        <f ca="1">IF(Table1[[#This Row],[County]]="Worcestershire",Table1[[#This Row],[income]],0)</f>
        <v>0</v>
      </c>
      <c r="CU495" s="20">
        <f ca="1">IF(Table1[[#This Row],[County]]="Rutland",Table1[[#This Row],[income]],0)</f>
        <v>0</v>
      </c>
      <c r="CV495" s="20">
        <f ca="1">IF(Table1[[#This Row],[County]]="Shropshire",Table1[[#This Row],[income]],0)</f>
        <v>0</v>
      </c>
      <c r="CW495" s="20">
        <f ca="1">IF(Table1[[#This Row],[County]]="Dorset",Table1[[#This Row],[income]],0)</f>
        <v>0</v>
      </c>
      <c r="CX495" s="20">
        <f ca="1">IF(Table1[[#This Row],[County]]="Buckinghamshire",Table1[[#This Row],[income]],0)</f>
        <v>0</v>
      </c>
      <c r="CY495" s="20">
        <f ca="1">IF(Table1[[#This Row],[County]]="Suffolk",Table1[[#This Row],[income]],0)</f>
        <v>0</v>
      </c>
      <c r="CZ495" s="20">
        <f ca="1">IF(Table1[[#This Row],[County]]="North Yorkshire",Table1[[#This Row],[income]],0)</f>
        <v>0</v>
      </c>
      <c r="DA495" s="20">
        <f ca="1">IF(Table1[[#This Row],[County]]="Kent",Table1[[#This Row],[income]],0)</f>
        <v>0</v>
      </c>
      <c r="DB495" s="5">
        <f ca="1">IF(Table1[[#This Row],[County]]="Derbyshire",Table1[[#This Row],[income]],0)</f>
        <v>0</v>
      </c>
      <c r="DD495" s="6">
        <f ca="1">IF(Table1[[#This Row],[Column1]]="Health",Table1[[#This Row],[income]],0)</f>
        <v>0</v>
      </c>
      <c r="DE495" s="20">
        <f ca="1">IF(Table1[[#This Row],[Column1]]="Agriculture",Table1[[#This Row],[income]],0)</f>
        <v>0</v>
      </c>
      <c r="DF495" s="20">
        <f ca="1">IF(Table1[[#This Row],[Column1]]="Technology",Table1[[#This Row],[income]],0)</f>
        <v>0</v>
      </c>
      <c r="DG495" s="20">
        <f ca="1">IF(Table1[[#This Row],[Column1]]="Social Service",Table1[[#This Row],[income]],0)</f>
        <v>45565</v>
      </c>
      <c r="DH495" s="20">
        <f ca="1">IF(Table1[[#This Row],[Column1]]="Education",Table1[[#This Row],[income]],0)</f>
        <v>0</v>
      </c>
      <c r="DI495" s="5">
        <f ca="1">IF(Table1[[#This Row],[Column1]]="Construction",Table1[[#This Row],[income]],0)</f>
        <v>0</v>
      </c>
      <c r="DK495" s="6">
        <f ca="1">IF(Table1[[#This Row],[Value of Debts]]&gt;Table1[[#This Row],[income]],1,0)</f>
        <v>1</v>
      </c>
      <c r="DL495" s="20"/>
      <c r="DM495" s="20"/>
      <c r="DN495" s="5"/>
      <c r="DP495" s="6">
        <f ca="1">IF(Table1[[#This Row],[Net Worth (£)]]&gt;$DS$5,C495,0)</f>
        <v>29</v>
      </c>
      <c r="DQ495" s="20"/>
      <c r="DR495" s="20"/>
      <c r="DS495" s="5"/>
    </row>
    <row r="496" spans="1:123" x14ac:dyDescent="0.2">
      <c r="A496">
        <f t="shared" ca="1" si="22"/>
        <v>1</v>
      </c>
      <c r="B496" s="1" t="str">
        <f ca="1">IF(A496=1, "men", "women")</f>
        <v>men</v>
      </c>
      <c r="C496" s="1">
        <f ca="1">RANDBETWEEN(25,50)</f>
        <v>27</v>
      </c>
      <c r="D496">
        <f ca="1">RANDBETWEEN(1,6)</f>
        <v>1</v>
      </c>
      <c r="E496" t="str">
        <f ca="1">VLOOKUP(D496,$W$5:$X$10,2)</f>
        <v>Health</v>
      </c>
      <c r="F496">
        <f ca="1">RANDBETWEEN(1,5)</f>
        <v>4</v>
      </c>
      <c r="G496" t="str">
        <f ca="1">VLOOKUP(F496,$Y$5:$Z$9,2)</f>
        <v xml:space="preserve">Technical </v>
      </c>
      <c r="H496">
        <f ca="1">RANDBETWEEN(0,4)</f>
        <v>2</v>
      </c>
      <c r="I496">
        <f ca="1">RANDBETWEEN(1,3)</f>
        <v>1</v>
      </c>
      <c r="J496">
        <f ca="1">RANDBETWEEN(30000,100000)</f>
        <v>58090</v>
      </c>
      <c r="K496">
        <f ca="1">RANDBETWEEN(1,48)</f>
        <v>34</v>
      </c>
      <c r="L496" t="str">
        <f ca="1">VLOOKUP(K496,$AA$5:$AB$52,2)</f>
        <v>Oxfordshire</v>
      </c>
      <c r="M496">
        <f ca="1">J496*(RANDBETWEEN(2,5))</f>
        <v>116180</v>
      </c>
      <c r="N496">
        <f ca="1">RAND()*M496</f>
        <v>9610.270282817306</v>
      </c>
      <c r="O496">
        <f ca="1">I496*RAND()*J496</f>
        <v>29764.852886477973</v>
      </c>
      <c r="P496">
        <f ca="1">RANDBETWEEN(0,O496)</f>
        <v>29452</v>
      </c>
      <c r="Q496">
        <f ca="1">RAND()*J496*2</f>
        <v>15428.43583970633</v>
      </c>
      <c r="R496">
        <f ca="1">RAND()*J496*1.5</f>
        <v>1899.0000858461569</v>
      </c>
      <c r="S496">
        <f ca="1">J496+R496+O496</f>
        <v>89753.852972324123</v>
      </c>
      <c r="T496">
        <f ca="1">N496+P496+Q496</f>
        <v>54490.706122523639</v>
      </c>
      <c r="U496">
        <f ca="1">S496-T496</f>
        <v>35263.146849800483</v>
      </c>
      <c r="AC496" s="6">
        <f ca="1">IF(Table1[[#This Row],[gender]]="men",1,0)</f>
        <v>1</v>
      </c>
      <c r="AD496">
        <f ca="1">IF(Table1[[#This Row],[gender]]="women",1,0)</f>
        <v>0</v>
      </c>
      <c r="AH496" s="5"/>
      <c r="AJ496" s="6">
        <f ca="1">IF(Table1[[#This Row],[Column1]]="Health",1,0)</f>
        <v>1</v>
      </c>
      <c r="AK496">
        <f ca="1">IF(Table1[[#This Row],[Column1]]="Construction",1,0)</f>
        <v>0</v>
      </c>
      <c r="AL496">
        <f ca="1">IF(Table1[[#This Row],[Column1]]="Technology",1,0)</f>
        <v>0</v>
      </c>
      <c r="AM496">
        <f ca="1">IF(Table1[[#This Row],[Column1]]="Education",1,0)</f>
        <v>0</v>
      </c>
      <c r="AN496">
        <f ca="1">IF(Table1[[#This Row],[Column1]]="Agriculture",1,0)</f>
        <v>0</v>
      </c>
      <c r="AO496">
        <f ca="1">IF(Table1[[#This Row],[Column1]]="Social Service", 1, 0)</f>
        <v>0</v>
      </c>
      <c r="AT496" s="5"/>
      <c r="AV496" s="17">
        <f ca="1">(O497/I497)</f>
        <v>36282.042024866685</v>
      </c>
      <c r="AW496" s="5"/>
      <c r="AX496" s="6">
        <f ca="1">IF(Table1[[#This Row],[Value of Debts]]&gt;$AY$4,1,0)</f>
        <v>0</v>
      </c>
      <c r="AY496" s="20"/>
      <c r="AZ496" s="20"/>
      <c r="BA496" s="5"/>
      <c r="BB496" s="25">
        <f ca="1">Table1[[#This Row],[Mortage Left]]/Table1[[#This Row],[Value of House]]</f>
        <v>8.2718800850553498E-2</v>
      </c>
      <c r="BC496" s="20">
        <f t="shared" ca="1" si="23"/>
        <v>1</v>
      </c>
      <c r="BD496" s="20"/>
      <c r="BE496" s="20"/>
      <c r="BF496" s="20"/>
      <c r="BG496" s="6">
        <f ca="1">IF(Table1[[#This Row],[County]]="Cumbria",Table1[[#This Row],[income]],0)</f>
        <v>0</v>
      </c>
      <c r="BH496" s="20">
        <f ca="1">IF(Table1[[#This Row],[County]]="Cheshire",Table1[[#This Row],[income]],0)</f>
        <v>0</v>
      </c>
      <c r="BI496" s="20">
        <f ca="1">IF(Table1[[#This Row],[County]]="Bristol",Table1[[#This Row],[income]],0)</f>
        <v>0</v>
      </c>
      <c r="BJ496" s="20">
        <f ca="1">IF(Table1[[#This Row],[County]]="Surrey",Table1[[#This Row],[income]],0)</f>
        <v>0</v>
      </c>
      <c r="BK496" s="20">
        <f ca="1">IF(Table1[[#This Row],[County]]="Norfolk",Table1[[#This Row],[income]],0)</f>
        <v>0</v>
      </c>
      <c r="BL496" s="20">
        <f ca="1">IF(Table1[[#This Row],[County]]="Lincolnshire",Table1[[#This Row],[income]],0)</f>
        <v>0</v>
      </c>
      <c r="BM496" s="20">
        <f ca="1">IF(Table1[[#This Row],[County]]="Somerset",Table1[[#This Row],[income]],0)</f>
        <v>0</v>
      </c>
      <c r="BN496" s="20">
        <f ca="1">IF(Table1[[#This Row],[County]]="Cambridgeshire",Table1[[#This Row],[income]],0)</f>
        <v>0</v>
      </c>
      <c r="BO496" s="20">
        <f ca="1">IF(Table1[[#This Row],[County]]="South Yorkshire",Table1[[#This Row],[income]],0)</f>
        <v>0</v>
      </c>
      <c r="BP496" s="20">
        <f ca="1">IF(Table1[[#This Row],[County]]="Greater London",Table1[[#This Row],[income]],0)</f>
        <v>0</v>
      </c>
      <c r="BQ496" s="20">
        <f ca="1">IF(Table1[[#This Row],[County]]="Hampshire",Table1[[#This Row],[income]],0)</f>
        <v>0</v>
      </c>
      <c r="BR496" s="20">
        <f ca="1">IF(Table1[[#This Row],[County]]="Gloucestershire",Table1[[#This Row],[income]],0)</f>
        <v>0</v>
      </c>
      <c r="BS496" s="20">
        <f ca="1">IF(Table1[[#This Row],[County]]="West Sussex",Table1[[#This Row],[income]],0)</f>
        <v>0</v>
      </c>
      <c r="BT496" s="20">
        <f ca="1">IF(Table1[[#This Row],[County]]="Devon",Table1[[#This Row],[income]],0)</f>
        <v>0</v>
      </c>
      <c r="BU496" s="20">
        <f ca="1">IF(Table1[[#This Row],[County]]="Berkshire",Table1[[#This Row],[income]],0)</f>
        <v>0</v>
      </c>
      <c r="BV496" s="20">
        <f ca="1">IF(Table1[[#This Row],[County]]="Staffordshire",Table1[[#This Row],[income]],0)</f>
        <v>0</v>
      </c>
      <c r="BW496" s="20">
        <f ca="1">IF(Table1[[#This Row],[County]]="Leicestershire",Table1[[#This Row],[income]],0)</f>
        <v>0</v>
      </c>
      <c r="BX496" s="20">
        <f ca="1">IF(Table1[[#This Row],[County]]="Cornwall",Table1[[#This Row],[income]],0)</f>
        <v>0</v>
      </c>
      <c r="BY496" s="20">
        <f ca="1">IF(Table1[[#This Row],[County]]="Isle of Wight",Table1[[#This Row],[income]],0)</f>
        <v>0</v>
      </c>
      <c r="BZ496" s="20">
        <f ca="1">IF(Table1[[#This Row],[County]]="Surrey",Table1[[#This Row],[income]],0)</f>
        <v>0</v>
      </c>
      <c r="CA496" s="20">
        <f ca="1">IF(Table1[[#This Row],[County]]="Derbyshire",Table1[[#This Row],[income]],0)</f>
        <v>0</v>
      </c>
      <c r="CB496" s="20">
        <f ca="1">IF(Table1[[#This Row],[County]]="City of London",Table1[[#This Row],[income]],0)</f>
        <v>0</v>
      </c>
      <c r="CC496" s="20">
        <f ca="1">IF(Table1[[#This Row],[County]]="Bedfordshire",Table1[[#This Row],[income]],0)</f>
        <v>0</v>
      </c>
      <c r="CD496" s="20">
        <f ca="1">IF(Table1[[#This Row],[County]]="County Durham",Table1[[#This Row],[income]],0)</f>
        <v>0</v>
      </c>
      <c r="CE496" s="20">
        <f ca="1">IF(Table1[[#This Row],[County]]="East Riding of Yorkshire",Table1[[#This Row],[income]],0)</f>
        <v>0</v>
      </c>
      <c r="CF496" s="20">
        <f ca="1">IF(Table1[[#This Row],[County]]="West Yorkshire",Table1[[#This Row],[income]],0)</f>
        <v>0</v>
      </c>
      <c r="CG496" s="20">
        <f ca="1">IF(Table1[[#This Row],[County]]="Essex",Table1[[#This Row],[income]],0)</f>
        <v>0</v>
      </c>
      <c r="CH496" s="20">
        <f ca="1">IF(Table1[[#This Row],[County]]="East Sussex",Table1[[#This Row],[income]],0)</f>
        <v>0</v>
      </c>
      <c r="CI496" s="20">
        <f ca="1">IF(Table1[[#This Row],[County]]="Greater Manchester",Table1[[#This Row],[income]],0)</f>
        <v>0</v>
      </c>
      <c r="CJ496" s="20">
        <f ca="1">IF(Table1[[#This Row],[County]]="Hertfordshire",Table1[[#This Row],[income]],0)</f>
        <v>0</v>
      </c>
      <c r="CK496" s="20">
        <f ca="1">IF(Table1[[#This Row],[County]]="Herefordshire",Table1[[#This Row],[income]],0)</f>
        <v>0</v>
      </c>
      <c r="CL496" s="20">
        <f ca="1">IF(Table1[[#This Row],[County]]="Lancashire",Table1[[#This Row],[income]],0)</f>
        <v>0</v>
      </c>
      <c r="CM496" s="20">
        <f ca="1">IF(Table1[[#This Row],[County]]="Merseyside",Table1[[#This Row],[income]],0)</f>
        <v>0</v>
      </c>
      <c r="CN496" s="20">
        <f ca="1">IF(Table1[[#This Row],[County]]="Northamptonshire",Table1[[#This Row],[income]],0)</f>
        <v>0</v>
      </c>
      <c r="CO496" s="20">
        <f ca="1">IF(Table1[[#This Row],[County]]="Northumberland",Table1[[#This Row],[income]],0)</f>
        <v>0</v>
      </c>
      <c r="CP496" s="20">
        <f ca="1">IF(Table1[[#This Row],[County]]="Wiltshire",Table1[[#This Row],[income]],0)</f>
        <v>0</v>
      </c>
      <c r="CQ496" s="20">
        <f ca="1">IF(Table1[[#This Row],[County]]="West Midlands",Table1[[#This Row],[income]],0)</f>
        <v>0</v>
      </c>
      <c r="CR496" s="20">
        <f ca="1">IF(Table1[[#This Row],[County]]="Warwickshire",Table1[[#This Row],[income]],0)</f>
        <v>0</v>
      </c>
      <c r="CS496" s="20">
        <f ca="1">IF(Table1[[#This Row],[County]]="Tyne and Wear",Table1[[#This Row],[income]],0)</f>
        <v>0</v>
      </c>
      <c r="CT496" s="20">
        <f ca="1">IF(Table1[[#This Row],[County]]="Worcestershire",Table1[[#This Row],[income]],0)</f>
        <v>0</v>
      </c>
      <c r="CU496" s="20">
        <f ca="1">IF(Table1[[#This Row],[County]]="Rutland",Table1[[#This Row],[income]],0)</f>
        <v>0</v>
      </c>
      <c r="CV496" s="20">
        <f ca="1">IF(Table1[[#This Row],[County]]="Shropshire",Table1[[#This Row],[income]],0)</f>
        <v>0</v>
      </c>
      <c r="CW496" s="20">
        <f ca="1">IF(Table1[[#This Row],[County]]="Dorset",Table1[[#This Row],[income]],0)</f>
        <v>0</v>
      </c>
      <c r="CX496" s="20">
        <f ca="1">IF(Table1[[#This Row],[County]]="Buckinghamshire",Table1[[#This Row],[income]],0)</f>
        <v>0</v>
      </c>
      <c r="CY496" s="20">
        <f ca="1">IF(Table1[[#This Row],[County]]="Suffolk",Table1[[#This Row],[income]],0)</f>
        <v>0</v>
      </c>
      <c r="CZ496" s="20">
        <f ca="1">IF(Table1[[#This Row],[County]]="North Yorkshire",Table1[[#This Row],[income]],0)</f>
        <v>0</v>
      </c>
      <c r="DA496" s="20">
        <f ca="1">IF(Table1[[#This Row],[County]]="Kent",Table1[[#This Row],[income]],0)</f>
        <v>0</v>
      </c>
      <c r="DB496" s="5">
        <f ca="1">IF(Table1[[#This Row],[County]]="Derbyshire",Table1[[#This Row],[income]],0)</f>
        <v>0</v>
      </c>
      <c r="DD496" s="6">
        <f ca="1">IF(Table1[[#This Row],[Column1]]="Health",Table1[[#This Row],[income]],0)</f>
        <v>58090</v>
      </c>
      <c r="DE496" s="20">
        <f ca="1">IF(Table1[[#This Row],[Column1]]="Agriculture",Table1[[#This Row],[income]],0)</f>
        <v>0</v>
      </c>
      <c r="DF496" s="20">
        <f ca="1">IF(Table1[[#This Row],[Column1]]="Technology",Table1[[#This Row],[income]],0)</f>
        <v>0</v>
      </c>
      <c r="DG496" s="20">
        <f ca="1">IF(Table1[[#This Row],[Column1]]="Social Service",Table1[[#This Row],[income]],0)</f>
        <v>0</v>
      </c>
      <c r="DH496" s="20">
        <f ca="1">IF(Table1[[#This Row],[Column1]]="Education",Table1[[#This Row],[income]],0)</f>
        <v>0</v>
      </c>
      <c r="DI496" s="5">
        <f ca="1">IF(Table1[[#This Row],[Column1]]="Construction",Table1[[#This Row],[income]],0)</f>
        <v>0</v>
      </c>
      <c r="DK496" s="6">
        <f ca="1">IF(Table1[[#This Row],[Value of Debts]]&gt;Table1[[#This Row],[income]],1,0)</f>
        <v>0</v>
      </c>
      <c r="DL496" s="20"/>
      <c r="DM496" s="20"/>
      <c r="DN496" s="5"/>
      <c r="DP496" s="6">
        <f ca="1">IF(Table1[[#This Row],[Net Worth (£)]]&gt;$DS$5,C496,0)</f>
        <v>0</v>
      </c>
      <c r="DQ496" s="20"/>
      <c r="DR496" s="20"/>
      <c r="DS496" s="5"/>
    </row>
    <row r="497" spans="1:123" hidden="1" x14ac:dyDescent="0.2">
      <c r="A497">
        <f t="shared" ca="1" si="22"/>
        <v>1</v>
      </c>
      <c r="B497" s="1" t="str">
        <f ca="1">IF(A497=1, "men", "women")</f>
        <v>men</v>
      </c>
      <c r="C497" s="1">
        <f ca="1">RANDBETWEEN(25,50)</f>
        <v>30</v>
      </c>
      <c r="D497">
        <f ca="1">RANDBETWEEN(1,6)</f>
        <v>1</v>
      </c>
      <c r="E497" t="str">
        <f ca="1">VLOOKUP(D497,$W$5:$X$10,2)</f>
        <v>Health</v>
      </c>
      <c r="F497">
        <f ca="1">RANDBETWEEN(1,5)</f>
        <v>1</v>
      </c>
      <c r="G497" t="str">
        <f ca="1">VLOOKUP(F497,$Y$5:$Z$9,2)</f>
        <v>High School</v>
      </c>
      <c r="H497">
        <f ca="1">RANDBETWEEN(0,4)</f>
        <v>1</v>
      </c>
      <c r="I497">
        <f ca="1">RANDBETWEEN(1,3)</f>
        <v>2</v>
      </c>
      <c r="J497">
        <f ca="1">RANDBETWEEN(30000,100000)</f>
        <v>49264</v>
      </c>
      <c r="K497">
        <f ca="1">RANDBETWEEN(1,48)</f>
        <v>28</v>
      </c>
      <c r="L497" t="str">
        <f ca="1">VLOOKUP(K497,$AA$5:$AB$52,2)</f>
        <v>Lincolnshire</v>
      </c>
      <c r="M497">
        <f ca="1">J497*(RANDBETWEEN(2,5))</f>
        <v>197056</v>
      </c>
      <c r="N497">
        <f ca="1">RAND()*M497</f>
        <v>114658.62801023724</v>
      </c>
      <c r="O497">
        <f ca="1">I497*RAND()*J497</f>
        <v>72564.08404973337</v>
      </c>
      <c r="P497">
        <f ca="1">RANDBETWEEN(0,O497)</f>
        <v>31202</v>
      </c>
      <c r="Q497">
        <f ca="1">RAND()*J497*2</f>
        <v>81978.586331766171</v>
      </c>
      <c r="R497">
        <f ca="1">RAND()*J497*1.5</f>
        <v>41892.092225885281</v>
      </c>
      <c r="S497">
        <f ca="1">J497+R497+O497</f>
        <v>163720.17627561867</v>
      </c>
      <c r="T497">
        <f ca="1">N497+P497+Q497</f>
        <v>227839.2143420034</v>
      </c>
      <c r="U497">
        <f ca="1">S497-T497</f>
        <v>-64119.038066384732</v>
      </c>
      <c r="AC497" s="6">
        <f ca="1">IF(Table1[[#This Row],[gender]]="men",1,0)</f>
        <v>1</v>
      </c>
      <c r="AD497">
        <f ca="1">IF(Table1[[#This Row],[gender]]="women",1,0)</f>
        <v>0</v>
      </c>
      <c r="AH497" s="5"/>
      <c r="AJ497" s="6">
        <f ca="1">IF(Table1[[#This Row],[Column1]]="Health",1,0)</f>
        <v>1</v>
      </c>
      <c r="AK497">
        <f ca="1">IF(Table1[[#This Row],[Column1]]="Construction",1,0)</f>
        <v>0</v>
      </c>
      <c r="AL497">
        <f ca="1">IF(Table1[[#This Row],[Column1]]="Technology",1,0)</f>
        <v>0</v>
      </c>
      <c r="AM497">
        <f ca="1">IF(Table1[[#This Row],[Column1]]="Education",1,0)</f>
        <v>0</v>
      </c>
      <c r="AN497">
        <f ca="1">IF(Table1[[#This Row],[Column1]]="Agriculture",1,0)</f>
        <v>0</v>
      </c>
      <c r="AO497">
        <f ca="1">IF(Table1[[#This Row],[Column1]]="Social Service", 1, 0)</f>
        <v>0</v>
      </c>
      <c r="AT497" s="5"/>
      <c r="AV497" s="17">
        <f ca="1">(O498/I498)</f>
        <v>29610.226409760322</v>
      </c>
      <c r="AW497" s="5"/>
      <c r="AX497" s="6">
        <f ca="1">IF(Table1[[#This Row],[Value of Debts]]&gt;$AY$4,1,0)</f>
        <v>1</v>
      </c>
      <c r="AY497" s="20"/>
      <c r="AZ497" s="20"/>
      <c r="BA497" s="5"/>
      <c r="BB497" s="25">
        <f ca="1">Table1[[#This Row],[Mortage Left]]/Table1[[#This Row],[Value of House]]</f>
        <v>0.58185809115295772</v>
      </c>
      <c r="BC497" s="20">
        <f t="shared" ca="1" si="23"/>
        <v>0</v>
      </c>
      <c r="BD497" s="20"/>
      <c r="BE497" s="20"/>
      <c r="BF497" s="20"/>
      <c r="BG497" s="6">
        <f ca="1">IF(Table1[[#This Row],[County]]="Cumbria",Table1[[#This Row],[income]],0)</f>
        <v>0</v>
      </c>
      <c r="BH497" s="20">
        <f ca="1">IF(Table1[[#This Row],[County]]="Cheshire",Table1[[#This Row],[income]],0)</f>
        <v>0</v>
      </c>
      <c r="BI497" s="20">
        <f ca="1">IF(Table1[[#This Row],[County]]="Bristol",Table1[[#This Row],[income]],0)</f>
        <v>0</v>
      </c>
      <c r="BJ497" s="20">
        <f ca="1">IF(Table1[[#This Row],[County]]="Surrey",Table1[[#This Row],[income]],0)</f>
        <v>0</v>
      </c>
      <c r="BK497" s="20">
        <f ca="1">IF(Table1[[#This Row],[County]]="Norfolk",Table1[[#This Row],[income]],0)</f>
        <v>0</v>
      </c>
      <c r="BL497" s="20">
        <f ca="1">IF(Table1[[#This Row],[County]]="Lincolnshire",Table1[[#This Row],[income]],0)</f>
        <v>49264</v>
      </c>
      <c r="BM497" s="20">
        <f ca="1">IF(Table1[[#This Row],[County]]="Somerset",Table1[[#This Row],[income]],0)</f>
        <v>0</v>
      </c>
      <c r="BN497" s="20">
        <f ca="1">IF(Table1[[#This Row],[County]]="Cambridgeshire",Table1[[#This Row],[income]],0)</f>
        <v>0</v>
      </c>
      <c r="BO497" s="20">
        <f ca="1">IF(Table1[[#This Row],[County]]="South Yorkshire",Table1[[#This Row],[income]],0)</f>
        <v>0</v>
      </c>
      <c r="BP497" s="20">
        <f ca="1">IF(Table1[[#This Row],[County]]="Greater London",Table1[[#This Row],[income]],0)</f>
        <v>0</v>
      </c>
      <c r="BQ497" s="20">
        <f ca="1">IF(Table1[[#This Row],[County]]="Hampshire",Table1[[#This Row],[income]],0)</f>
        <v>0</v>
      </c>
      <c r="BR497" s="20">
        <f ca="1">IF(Table1[[#This Row],[County]]="Gloucestershire",Table1[[#This Row],[income]],0)</f>
        <v>0</v>
      </c>
      <c r="BS497" s="20">
        <f ca="1">IF(Table1[[#This Row],[County]]="West Sussex",Table1[[#This Row],[income]],0)</f>
        <v>0</v>
      </c>
      <c r="BT497" s="20">
        <f ca="1">IF(Table1[[#This Row],[County]]="Devon",Table1[[#This Row],[income]],0)</f>
        <v>0</v>
      </c>
      <c r="BU497" s="20">
        <f ca="1">IF(Table1[[#This Row],[County]]="Berkshire",Table1[[#This Row],[income]],0)</f>
        <v>0</v>
      </c>
      <c r="BV497" s="20">
        <f ca="1">IF(Table1[[#This Row],[County]]="Staffordshire",Table1[[#This Row],[income]],0)</f>
        <v>0</v>
      </c>
      <c r="BW497" s="20">
        <f ca="1">IF(Table1[[#This Row],[County]]="Leicestershire",Table1[[#This Row],[income]],0)</f>
        <v>0</v>
      </c>
      <c r="BX497" s="20">
        <f ca="1">IF(Table1[[#This Row],[County]]="Cornwall",Table1[[#This Row],[income]],0)</f>
        <v>0</v>
      </c>
      <c r="BY497" s="20">
        <f ca="1">IF(Table1[[#This Row],[County]]="Isle of Wight",Table1[[#This Row],[income]],0)</f>
        <v>0</v>
      </c>
      <c r="BZ497" s="20">
        <f ca="1">IF(Table1[[#This Row],[County]]="Surrey",Table1[[#This Row],[income]],0)</f>
        <v>0</v>
      </c>
      <c r="CA497" s="20">
        <f ca="1">IF(Table1[[#This Row],[County]]="Derbyshire",Table1[[#This Row],[income]],0)</f>
        <v>0</v>
      </c>
      <c r="CB497" s="20">
        <f ca="1">IF(Table1[[#This Row],[County]]="City of London",Table1[[#This Row],[income]],0)</f>
        <v>0</v>
      </c>
      <c r="CC497" s="20">
        <f ca="1">IF(Table1[[#This Row],[County]]="Bedfordshire",Table1[[#This Row],[income]],0)</f>
        <v>0</v>
      </c>
      <c r="CD497" s="20">
        <f ca="1">IF(Table1[[#This Row],[County]]="County Durham",Table1[[#This Row],[income]],0)</f>
        <v>0</v>
      </c>
      <c r="CE497" s="20">
        <f ca="1">IF(Table1[[#This Row],[County]]="East Riding of Yorkshire",Table1[[#This Row],[income]],0)</f>
        <v>0</v>
      </c>
      <c r="CF497" s="20">
        <f ca="1">IF(Table1[[#This Row],[County]]="West Yorkshire",Table1[[#This Row],[income]],0)</f>
        <v>0</v>
      </c>
      <c r="CG497" s="20">
        <f ca="1">IF(Table1[[#This Row],[County]]="Essex",Table1[[#This Row],[income]],0)</f>
        <v>0</v>
      </c>
      <c r="CH497" s="20">
        <f ca="1">IF(Table1[[#This Row],[County]]="East Sussex",Table1[[#This Row],[income]],0)</f>
        <v>0</v>
      </c>
      <c r="CI497" s="20">
        <f ca="1">IF(Table1[[#This Row],[County]]="Greater Manchester",Table1[[#This Row],[income]],0)</f>
        <v>0</v>
      </c>
      <c r="CJ497" s="20">
        <f ca="1">IF(Table1[[#This Row],[County]]="Hertfordshire",Table1[[#This Row],[income]],0)</f>
        <v>0</v>
      </c>
      <c r="CK497" s="20">
        <f ca="1">IF(Table1[[#This Row],[County]]="Herefordshire",Table1[[#This Row],[income]],0)</f>
        <v>0</v>
      </c>
      <c r="CL497" s="20">
        <f ca="1">IF(Table1[[#This Row],[County]]="Lancashire",Table1[[#This Row],[income]],0)</f>
        <v>0</v>
      </c>
      <c r="CM497" s="20">
        <f ca="1">IF(Table1[[#This Row],[County]]="Merseyside",Table1[[#This Row],[income]],0)</f>
        <v>0</v>
      </c>
      <c r="CN497" s="20">
        <f ca="1">IF(Table1[[#This Row],[County]]="Northamptonshire",Table1[[#This Row],[income]],0)</f>
        <v>0</v>
      </c>
      <c r="CO497" s="20">
        <f ca="1">IF(Table1[[#This Row],[County]]="Northumberland",Table1[[#This Row],[income]],0)</f>
        <v>0</v>
      </c>
      <c r="CP497" s="20">
        <f ca="1">IF(Table1[[#This Row],[County]]="Wiltshire",Table1[[#This Row],[income]],0)</f>
        <v>0</v>
      </c>
      <c r="CQ497" s="20">
        <f ca="1">IF(Table1[[#This Row],[County]]="West Midlands",Table1[[#This Row],[income]],0)</f>
        <v>0</v>
      </c>
      <c r="CR497" s="20">
        <f ca="1">IF(Table1[[#This Row],[County]]="Warwickshire",Table1[[#This Row],[income]],0)</f>
        <v>0</v>
      </c>
      <c r="CS497" s="20">
        <f ca="1">IF(Table1[[#This Row],[County]]="Tyne and Wear",Table1[[#This Row],[income]],0)</f>
        <v>0</v>
      </c>
      <c r="CT497" s="20">
        <f ca="1">IF(Table1[[#This Row],[County]]="Worcestershire",Table1[[#This Row],[income]],0)</f>
        <v>0</v>
      </c>
      <c r="CU497" s="20">
        <f ca="1">IF(Table1[[#This Row],[County]]="Rutland",Table1[[#This Row],[income]],0)</f>
        <v>0</v>
      </c>
      <c r="CV497" s="20">
        <f ca="1">IF(Table1[[#This Row],[County]]="Shropshire",Table1[[#This Row],[income]],0)</f>
        <v>0</v>
      </c>
      <c r="CW497" s="20">
        <f ca="1">IF(Table1[[#This Row],[County]]="Dorset",Table1[[#This Row],[income]],0)</f>
        <v>0</v>
      </c>
      <c r="CX497" s="20">
        <f ca="1">IF(Table1[[#This Row],[County]]="Buckinghamshire",Table1[[#This Row],[income]],0)</f>
        <v>0</v>
      </c>
      <c r="CY497" s="20">
        <f ca="1">IF(Table1[[#This Row],[County]]="Suffolk",Table1[[#This Row],[income]],0)</f>
        <v>0</v>
      </c>
      <c r="CZ497" s="20">
        <f ca="1">IF(Table1[[#This Row],[County]]="North Yorkshire",Table1[[#This Row],[income]],0)</f>
        <v>0</v>
      </c>
      <c r="DA497" s="20">
        <f ca="1">IF(Table1[[#This Row],[County]]="Kent",Table1[[#This Row],[income]],0)</f>
        <v>0</v>
      </c>
      <c r="DB497" s="5">
        <f ca="1">IF(Table1[[#This Row],[County]]="Derbyshire",Table1[[#This Row],[income]],0)</f>
        <v>0</v>
      </c>
      <c r="DD497" s="6">
        <f ca="1">IF(Table1[[#This Row],[Column1]]="Health",Table1[[#This Row],[income]],0)</f>
        <v>49264</v>
      </c>
      <c r="DE497" s="20">
        <f ca="1">IF(Table1[[#This Row],[Column1]]="Agriculture",Table1[[#This Row],[income]],0)</f>
        <v>0</v>
      </c>
      <c r="DF497" s="20">
        <f ca="1">IF(Table1[[#This Row],[Column1]]="Technology",Table1[[#This Row],[income]],0)</f>
        <v>0</v>
      </c>
      <c r="DG497" s="20">
        <f ca="1">IF(Table1[[#This Row],[Column1]]="Social Service",Table1[[#This Row],[income]],0)</f>
        <v>0</v>
      </c>
      <c r="DH497" s="20">
        <f ca="1">IF(Table1[[#This Row],[Column1]]="Education",Table1[[#This Row],[income]],0)</f>
        <v>0</v>
      </c>
      <c r="DI497" s="5">
        <f ca="1">IF(Table1[[#This Row],[Column1]]="Construction",Table1[[#This Row],[income]],0)</f>
        <v>0</v>
      </c>
      <c r="DK497" s="6">
        <f ca="1">IF(Table1[[#This Row],[Value of Debts]]&gt;Table1[[#This Row],[income]],1,0)</f>
        <v>1</v>
      </c>
      <c r="DL497" s="20"/>
      <c r="DM497" s="20"/>
      <c r="DN497" s="5"/>
      <c r="DP497" s="6">
        <f ca="1">IF(Table1[[#This Row],[Net Worth (£)]]&gt;$DS$5,C497,0)</f>
        <v>0</v>
      </c>
      <c r="DQ497" s="20"/>
      <c r="DR497" s="20"/>
      <c r="DS497" s="5"/>
    </row>
    <row r="498" spans="1:123" x14ac:dyDescent="0.2">
      <c r="A498">
        <f t="shared" ca="1" si="22"/>
        <v>2</v>
      </c>
      <c r="B498" s="1" t="str">
        <f ca="1">IF(A498=1, "men", "women")</f>
        <v>women</v>
      </c>
      <c r="C498" s="1">
        <f ca="1">RANDBETWEEN(25,50)</f>
        <v>42</v>
      </c>
      <c r="D498">
        <f ca="1">RANDBETWEEN(1,6)</f>
        <v>4</v>
      </c>
      <c r="E498" t="str">
        <f ca="1">VLOOKUP(D498,$W$5:$X$10,2)</f>
        <v>Technology</v>
      </c>
      <c r="F498">
        <f ca="1">RANDBETWEEN(1,5)</f>
        <v>1</v>
      </c>
      <c r="G498" t="str">
        <f ca="1">VLOOKUP(F498,$Y$5:$Z$9,2)</f>
        <v>High School</v>
      </c>
      <c r="H498">
        <f ca="1">RANDBETWEEN(0,4)</f>
        <v>4</v>
      </c>
      <c r="I498">
        <f ca="1">RANDBETWEEN(1,3)</f>
        <v>2</v>
      </c>
      <c r="J498">
        <f ca="1">RANDBETWEEN(30000,100000)</f>
        <v>86422</v>
      </c>
      <c r="K498">
        <f ca="1">RANDBETWEEN(1,48)</f>
        <v>10</v>
      </c>
      <c r="L498" t="str">
        <f ca="1">VLOOKUP(K498,$AA$5:$AB$52,2)</f>
        <v>Derbyshire</v>
      </c>
      <c r="M498">
        <f ca="1">J498*(RANDBETWEEN(2,5))</f>
        <v>345688</v>
      </c>
      <c r="N498">
        <f ca="1">RAND()*M498</f>
        <v>105389.38884248913</v>
      </c>
      <c r="O498">
        <f ca="1">I498*RAND()*J498</f>
        <v>59220.452819520644</v>
      </c>
      <c r="P498">
        <f ca="1">RANDBETWEEN(0,O498)</f>
        <v>11188</v>
      </c>
      <c r="Q498">
        <f ca="1">RAND()*J498*2</f>
        <v>53637.070862246808</v>
      </c>
      <c r="R498">
        <f ca="1">RAND()*J498*1.5</f>
        <v>58074.612254557171</v>
      </c>
      <c r="S498">
        <f ca="1">J498+R498+O498</f>
        <v>203717.06507407781</v>
      </c>
      <c r="T498">
        <f ca="1">N498+P498+Q498</f>
        <v>170214.45970473596</v>
      </c>
      <c r="U498">
        <f ca="1">S498-T498</f>
        <v>33502.605369341851</v>
      </c>
      <c r="AC498" s="6">
        <f ca="1">IF(Table1[[#This Row],[gender]]="men",1,0)</f>
        <v>0</v>
      </c>
      <c r="AD498">
        <f ca="1">IF(Table1[[#This Row],[gender]]="women",1,0)</f>
        <v>1</v>
      </c>
      <c r="AH498" s="5"/>
      <c r="AJ498" s="6">
        <f ca="1">IF(Table1[[#This Row],[Column1]]="Health",1,0)</f>
        <v>0</v>
      </c>
      <c r="AK498">
        <f ca="1">IF(Table1[[#This Row],[Column1]]="Construction",1,0)</f>
        <v>0</v>
      </c>
      <c r="AL498">
        <f ca="1">IF(Table1[[#This Row],[Column1]]="Technology",1,0)</f>
        <v>1</v>
      </c>
      <c r="AM498">
        <f ca="1">IF(Table1[[#This Row],[Column1]]="Education",1,0)</f>
        <v>0</v>
      </c>
      <c r="AN498">
        <f ca="1">IF(Table1[[#This Row],[Column1]]="Agriculture",1,0)</f>
        <v>0</v>
      </c>
      <c r="AO498">
        <f ca="1">IF(Table1[[#This Row],[Column1]]="Social Service", 1, 0)</f>
        <v>0</v>
      </c>
      <c r="AT498" s="5"/>
      <c r="AV498" s="17">
        <f ca="1">(O499/I499)</f>
        <v>59262.500001397988</v>
      </c>
      <c r="AW498" s="5"/>
      <c r="AX498" s="6">
        <f ca="1">IF(Table1[[#This Row],[Value of Debts]]&gt;$AY$4,1,0)</f>
        <v>1</v>
      </c>
      <c r="AY498" s="20"/>
      <c r="AZ498" s="20"/>
      <c r="BA498" s="5"/>
      <c r="BB498" s="25">
        <f ca="1">Table1[[#This Row],[Mortage Left]]/Table1[[#This Row],[Value of House]]</f>
        <v>0.30486851971283102</v>
      </c>
      <c r="BC498" s="20">
        <f t="shared" ca="1" si="23"/>
        <v>0</v>
      </c>
      <c r="BD498" s="20"/>
      <c r="BE498" s="20"/>
      <c r="BF498" s="20"/>
      <c r="BG498" s="6">
        <f ca="1">IF(Table1[[#This Row],[County]]="Cumbria",Table1[[#This Row],[income]],0)</f>
        <v>0</v>
      </c>
      <c r="BH498" s="20">
        <f ca="1">IF(Table1[[#This Row],[County]]="Cheshire",Table1[[#This Row],[income]],0)</f>
        <v>0</v>
      </c>
      <c r="BI498" s="20">
        <f ca="1">IF(Table1[[#This Row],[County]]="Bristol",Table1[[#This Row],[income]],0)</f>
        <v>0</v>
      </c>
      <c r="BJ498" s="20">
        <f ca="1">IF(Table1[[#This Row],[County]]="Surrey",Table1[[#This Row],[income]],0)</f>
        <v>0</v>
      </c>
      <c r="BK498" s="20">
        <f ca="1">IF(Table1[[#This Row],[County]]="Norfolk",Table1[[#This Row],[income]],0)</f>
        <v>0</v>
      </c>
      <c r="BL498" s="20">
        <f ca="1">IF(Table1[[#This Row],[County]]="Lincolnshire",Table1[[#This Row],[income]],0)</f>
        <v>0</v>
      </c>
      <c r="BM498" s="20">
        <f ca="1">IF(Table1[[#This Row],[County]]="Somerset",Table1[[#This Row],[income]],0)</f>
        <v>0</v>
      </c>
      <c r="BN498" s="20">
        <f ca="1">IF(Table1[[#This Row],[County]]="Cambridgeshire",Table1[[#This Row],[income]],0)</f>
        <v>0</v>
      </c>
      <c r="BO498" s="20">
        <f ca="1">IF(Table1[[#This Row],[County]]="South Yorkshire",Table1[[#This Row],[income]],0)</f>
        <v>0</v>
      </c>
      <c r="BP498" s="20">
        <f ca="1">IF(Table1[[#This Row],[County]]="Greater London",Table1[[#This Row],[income]],0)</f>
        <v>0</v>
      </c>
      <c r="BQ498" s="20">
        <f ca="1">IF(Table1[[#This Row],[County]]="Hampshire",Table1[[#This Row],[income]],0)</f>
        <v>0</v>
      </c>
      <c r="BR498" s="20">
        <f ca="1">IF(Table1[[#This Row],[County]]="Gloucestershire",Table1[[#This Row],[income]],0)</f>
        <v>0</v>
      </c>
      <c r="BS498" s="20">
        <f ca="1">IF(Table1[[#This Row],[County]]="West Sussex",Table1[[#This Row],[income]],0)</f>
        <v>0</v>
      </c>
      <c r="BT498" s="20">
        <f ca="1">IF(Table1[[#This Row],[County]]="Devon",Table1[[#This Row],[income]],0)</f>
        <v>0</v>
      </c>
      <c r="BU498" s="20">
        <f ca="1">IF(Table1[[#This Row],[County]]="Berkshire",Table1[[#This Row],[income]],0)</f>
        <v>0</v>
      </c>
      <c r="BV498" s="20">
        <f ca="1">IF(Table1[[#This Row],[County]]="Staffordshire",Table1[[#This Row],[income]],0)</f>
        <v>0</v>
      </c>
      <c r="BW498" s="20">
        <f ca="1">IF(Table1[[#This Row],[County]]="Leicestershire",Table1[[#This Row],[income]],0)</f>
        <v>0</v>
      </c>
      <c r="BX498" s="20">
        <f ca="1">IF(Table1[[#This Row],[County]]="Cornwall",Table1[[#This Row],[income]],0)</f>
        <v>0</v>
      </c>
      <c r="BY498" s="20">
        <f ca="1">IF(Table1[[#This Row],[County]]="Isle of Wight",Table1[[#This Row],[income]],0)</f>
        <v>0</v>
      </c>
      <c r="BZ498" s="20">
        <f ca="1">IF(Table1[[#This Row],[County]]="Surrey",Table1[[#This Row],[income]],0)</f>
        <v>0</v>
      </c>
      <c r="CA498" s="20">
        <f ca="1">IF(Table1[[#This Row],[County]]="Derbyshire",Table1[[#This Row],[income]],0)</f>
        <v>86422</v>
      </c>
      <c r="CB498" s="20">
        <f ca="1">IF(Table1[[#This Row],[County]]="City of London",Table1[[#This Row],[income]],0)</f>
        <v>0</v>
      </c>
      <c r="CC498" s="20">
        <f ca="1">IF(Table1[[#This Row],[County]]="Bedfordshire",Table1[[#This Row],[income]],0)</f>
        <v>0</v>
      </c>
      <c r="CD498" s="20">
        <f ca="1">IF(Table1[[#This Row],[County]]="County Durham",Table1[[#This Row],[income]],0)</f>
        <v>0</v>
      </c>
      <c r="CE498" s="20">
        <f ca="1">IF(Table1[[#This Row],[County]]="East Riding of Yorkshire",Table1[[#This Row],[income]],0)</f>
        <v>0</v>
      </c>
      <c r="CF498" s="20">
        <f ca="1">IF(Table1[[#This Row],[County]]="West Yorkshire",Table1[[#This Row],[income]],0)</f>
        <v>0</v>
      </c>
      <c r="CG498" s="20">
        <f ca="1">IF(Table1[[#This Row],[County]]="Essex",Table1[[#This Row],[income]],0)</f>
        <v>0</v>
      </c>
      <c r="CH498" s="20">
        <f ca="1">IF(Table1[[#This Row],[County]]="East Sussex",Table1[[#This Row],[income]],0)</f>
        <v>0</v>
      </c>
      <c r="CI498" s="20">
        <f ca="1">IF(Table1[[#This Row],[County]]="Greater Manchester",Table1[[#This Row],[income]],0)</f>
        <v>0</v>
      </c>
      <c r="CJ498" s="20">
        <f ca="1">IF(Table1[[#This Row],[County]]="Hertfordshire",Table1[[#This Row],[income]],0)</f>
        <v>0</v>
      </c>
      <c r="CK498" s="20">
        <f ca="1">IF(Table1[[#This Row],[County]]="Herefordshire",Table1[[#This Row],[income]],0)</f>
        <v>0</v>
      </c>
      <c r="CL498" s="20">
        <f ca="1">IF(Table1[[#This Row],[County]]="Lancashire",Table1[[#This Row],[income]],0)</f>
        <v>0</v>
      </c>
      <c r="CM498" s="20">
        <f ca="1">IF(Table1[[#This Row],[County]]="Merseyside",Table1[[#This Row],[income]],0)</f>
        <v>0</v>
      </c>
      <c r="CN498" s="20">
        <f ca="1">IF(Table1[[#This Row],[County]]="Northamptonshire",Table1[[#This Row],[income]],0)</f>
        <v>0</v>
      </c>
      <c r="CO498" s="20">
        <f ca="1">IF(Table1[[#This Row],[County]]="Northumberland",Table1[[#This Row],[income]],0)</f>
        <v>0</v>
      </c>
      <c r="CP498" s="20">
        <f ca="1">IF(Table1[[#This Row],[County]]="Wiltshire",Table1[[#This Row],[income]],0)</f>
        <v>0</v>
      </c>
      <c r="CQ498" s="20">
        <f ca="1">IF(Table1[[#This Row],[County]]="West Midlands",Table1[[#This Row],[income]],0)</f>
        <v>0</v>
      </c>
      <c r="CR498" s="20">
        <f ca="1">IF(Table1[[#This Row],[County]]="Warwickshire",Table1[[#This Row],[income]],0)</f>
        <v>0</v>
      </c>
      <c r="CS498" s="20">
        <f ca="1">IF(Table1[[#This Row],[County]]="Tyne and Wear",Table1[[#This Row],[income]],0)</f>
        <v>0</v>
      </c>
      <c r="CT498" s="20">
        <f ca="1">IF(Table1[[#This Row],[County]]="Worcestershire",Table1[[#This Row],[income]],0)</f>
        <v>0</v>
      </c>
      <c r="CU498" s="20">
        <f ca="1">IF(Table1[[#This Row],[County]]="Rutland",Table1[[#This Row],[income]],0)</f>
        <v>0</v>
      </c>
      <c r="CV498" s="20">
        <f ca="1">IF(Table1[[#This Row],[County]]="Shropshire",Table1[[#This Row],[income]],0)</f>
        <v>0</v>
      </c>
      <c r="CW498" s="20">
        <f ca="1">IF(Table1[[#This Row],[County]]="Dorset",Table1[[#This Row],[income]],0)</f>
        <v>0</v>
      </c>
      <c r="CX498" s="20">
        <f ca="1">IF(Table1[[#This Row],[County]]="Buckinghamshire",Table1[[#This Row],[income]],0)</f>
        <v>0</v>
      </c>
      <c r="CY498" s="20">
        <f ca="1">IF(Table1[[#This Row],[County]]="Suffolk",Table1[[#This Row],[income]],0)</f>
        <v>0</v>
      </c>
      <c r="CZ498" s="20">
        <f ca="1">IF(Table1[[#This Row],[County]]="North Yorkshire",Table1[[#This Row],[income]],0)</f>
        <v>0</v>
      </c>
      <c r="DA498" s="20">
        <f ca="1">IF(Table1[[#This Row],[County]]="Kent",Table1[[#This Row],[income]],0)</f>
        <v>0</v>
      </c>
      <c r="DB498" s="5">
        <f ca="1">IF(Table1[[#This Row],[County]]="Derbyshire",Table1[[#This Row],[income]],0)</f>
        <v>86422</v>
      </c>
      <c r="DD498" s="6">
        <f ca="1">IF(Table1[[#This Row],[Column1]]="Health",Table1[[#This Row],[income]],0)</f>
        <v>0</v>
      </c>
      <c r="DE498" s="20">
        <f ca="1">IF(Table1[[#This Row],[Column1]]="Agriculture",Table1[[#This Row],[income]],0)</f>
        <v>0</v>
      </c>
      <c r="DF498" s="20">
        <f ca="1">IF(Table1[[#This Row],[Column1]]="Technology",Table1[[#This Row],[income]],0)</f>
        <v>86422</v>
      </c>
      <c r="DG498" s="20">
        <f ca="1">IF(Table1[[#This Row],[Column1]]="Social Service",Table1[[#This Row],[income]],0)</f>
        <v>0</v>
      </c>
      <c r="DH498" s="20">
        <f ca="1">IF(Table1[[#This Row],[Column1]]="Education",Table1[[#This Row],[income]],0)</f>
        <v>0</v>
      </c>
      <c r="DI498" s="5">
        <f ca="1">IF(Table1[[#This Row],[Column1]]="Construction",Table1[[#This Row],[income]],0)</f>
        <v>0</v>
      </c>
      <c r="DK498" s="6">
        <f ca="1">IF(Table1[[#This Row],[Value of Debts]]&gt;Table1[[#This Row],[income]],1,0)</f>
        <v>1</v>
      </c>
      <c r="DL498" s="20"/>
      <c r="DM498" s="20"/>
      <c r="DN498" s="5"/>
      <c r="DP498" s="6">
        <f ca="1">IF(Table1[[#This Row],[Net Worth (£)]]&gt;$DS$5,C498,0)</f>
        <v>0</v>
      </c>
      <c r="DQ498" s="20"/>
      <c r="DR498" s="20"/>
      <c r="DS498" s="5"/>
    </row>
    <row r="499" spans="1:123" x14ac:dyDescent="0.2">
      <c r="A499">
        <f t="shared" ca="1" si="22"/>
        <v>2</v>
      </c>
      <c r="B499" s="1" t="str">
        <f ca="1">IF(A499=1, "men", "women")</f>
        <v>women</v>
      </c>
      <c r="C499" s="1">
        <f ca="1">RANDBETWEEN(25,50)</f>
        <v>28</v>
      </c>
      <c r="D499">
        <f ca="1">RANDBETWEEN(1,6)</f>
        <v>6</v>
      </c>
      <c r="E499" t="str">
        <f ca="1">VLOOKUP(D499,$W$5:$X$10,2)</f>
        <v>Agriculture</v>
      </c>
      <c r="F499">
        <f ca="1">RANDBETWEEN(1,5)</f>
        <v>4</v>
      </c>
      <c r="G499" t="str">
        <f ca="1">VLOOKUP(F499,$Y$5:$Z$9,2)</f>
        <v xml:space="preserve">Technical </v>
      </c>
      <c r="H499">
        <f ca="1">RANDBETWEEN(0,4)</f>
        <v>1</v>
      </c>
      <c r="I499">
        <f ca="1">RANDBETWEEN(1,3)</f>
        <v>2</v>
      </c>
      <c r="J499">
        <f ca="1">RANDBETWEEN(30000,100000)</f>
        <v>64826</v>
      </c>
      <c r="K499">
        <f ca="1">RANDBETWEEN(1,48)</f>
        <v>40</v>
      </c>
      <c r="L499" t="str">
        <f ca="1">VLOOKUP(K499,$AA$5:$AB$52,2)</f>
        <v>Suffolk</v>
      </c>
      <c r="M499">
        <f ca="1">J499*(RANDBETWEEN(2,5))</f>
        <v>194478</v>
      </c>
      <c r="N499">
        <f ca="1">RAND()*M499</f>
        <v>90357.145772921402</v>
      </c>
      <c r="O499">
        <f ca="1">I499*RAND()*J499</f>
        <v>118525.00000279598</v>
      </c>
      <c r="P499">
        <f ca="1">RANDBETWEEN(0,O499)</f>
        <v>50987</v>
      </c>
      <c r="Q499">
        <f ca="1">RAND()*J499*2</f>
        <v>38209.024390341867</v>
      </c>
      <c r="R499">
        <f ca="1">RAND()*J499*1.5</f>
        <v>54792.943269516356</v>
      </c>
      <c r="S499">
        <f ca="1">J499+R499+O499</f>
        <v>238143.94327231235</v>
      </c>
      <c r="T499">
        <f ca="1">N499+P499+Q499</f>
        <v>179553.17016326325</v>
      </c>
      <c r="U499">
        <f ca="1">S499-T499</f>
        <v>58590.7731090491</v>
      </c>
      <c r="AC499" s="6">
        <f ca="1">IF(Table1[[#This Row],[gender]]="men",1,0)</f>
        <v>0</v>
      </c>
      <c r="AD499">
        <f ca="1">IF(Table1[[#This Row],[gender]]="women",1,0)</f>
        <v>1</v>
      </c>
      <c r="AH499" s="5"/>
      <c r="AJ499" s="6">
        <f ca="1">IF(Table1[[#This Row],[Column1]]="Health",1,0)</f>
        <v>0</v>
      </c>
      <c r="AK499">
        <f ca="1">IF(Table1[[#This Row],[Column1]]="Construction",1,0)</f>
        <v>0</v>
      </c>
      <c r="AL499">
        <f ca="1">IF(Table1[[#This Row],[Column1]]="Technology",1,0)</f>
        <v>0</v>
      </c>
      <c r="AM499">
        <f ca="1">IF(Table1[[#This Row],[Column1]]="Education",1,0)</f>
        <v>0</v>
      </c>
      <c r="AN499">
        <f ca="1">IF(Table1[[#This Row],[Column1]]="Agriculture",1,0)</f>
        <v>1</v>
      </c>
      <c r="AO499">
        <f ca="1">IF(Table1[[#This Row],[Column1]]="Social Service", 1, 0)</f>
        <v>0</v>
      </c>
      <c r="AT499" s="5"/>
      <c r="AV499" s="17">
        <f ca="1">(O500/I500)</f>
        <v>89625.758394424149</v>
      </c>
      <c r="AW499" s="5"/>
      <c r="AX499" s="6">
        <f ca="1">IF(Table1[[#This Row],[Value of Debts]]&gt;$AY$4,1,0)</f>
        <v>1</v>
      </c>
      <c r="AY499" s="20"/>
      <c r="AZ499" s="20"/>
      <c r="BA499" s="5"/>
      <c r="BB499" s="25">
        <f ca="1">Table1[[#This Row],[Mortage Left]]/Table1[[#This Row],[Value of House]]</f>
        <v>0.46461371349418135</v>
      </c>
      <c r="BC499" s="20">
        <f t="shared" ca="1" si="23"/>
        <v>0</v>
      </c>
      <c r="BD499" s="20"/>
      <c r="BE499" s="20"/>
      <c r="BF499" s="20"/>
      <c r="BG499" s="6">
        <f ca="1">IF(Table1[[#This Row],[County]]="Cumbria",Table1[[#This Row],[income]],0)</f>
        <v>0</v>
      </c>
      <c r="BH499" s="20">
        <f ca="1">IF(Table1[[#This Row],[County]]="Cheshire",Table1[[#This Row],[income]],0)</f>
        <v>0</v>
      </c>
      <c r="BI499" s="20">
        <f ca="1">IF(Table1[[#This Row],[County]]="Bristol",Table1[[#This Row],[income]],0)</f>
        <v>0</v>
      </c>
      <c r="BJ499" s="20">
        <f ca="1">IF(Table1[[#This Row],[County]]="Surrey",Table1[[#This Row],[income]],0)</f>
        <v>0</v>
      </c>
      <c r="BK499" s="20">
        <f ca="1">IF(Table1[[#This Row],[County]]="Norfolk",Table1[[#This Row],[income]],0)</f>
        <v>0</v>
      </c>
      <c r="BL499" s="20">
        <f ca="1">IF(Table1[[#This Row],[County]]="Lincolnshire",Table1[[#This Row],[income]],0)</f>
        <v>0</v>
      </c>
      <c r="BM499" s="20">
        <f ca="1">IF(Table1[[#This Row],[County]]="Somerset",Table1[[#This Row],[income]],0)</f>
        <v>0</v>
      </c>
      <c r="BN499" s="20">
        <f ca="1">IF(Table1[[#This Row],[County]]="Cambridgeshire",Table1[[#This Row],[income]],0)</f>
        <v>0</v>
      </c>
      <c r="BO499" s="20">
        <f ca="1">IF(Table1[[#This Row],[County]]="South Yorkshire",Table1[[#This Row],[income]],0)</f>
        <v>0</v>
      </c>
      <c r="BP499" s="20">
        <f ca="1">IF(Table1[[#This Row],[County]]="Greater London",Table1[[#This Row],[income]],0)</f>
        <v>0</v>
      </c>
      <c r="BQ499" s="20">
        <f ca="1">IF(Table1[[#This Row],[County]]="Hampshire",Table1[[#This Row],[income]],0)</f>
        <v>0</v>
      </c>
      <c r="BR499" s="20">
        <f ca="1">IF(Table1[[#This Row],[County]]="Gloucestershire",Table1[[#This Row],[income]],0)</f>
        <v>0</v>
      </c>
      <c r="BS499" s="20">
        <f ca="1">IF(Table1[[#This Row],[County]]="West Sussex",Table1[[#This Row],[income]],0)</f>
        <v>0</v>
      </c>
      <c r="BT499" s="20">
        <f ca="1">IF(Table1[[#This Row],[County]]="Devon",Table1[[#This Row],[income]],0)</f>
        <v>0</v>
      </c>
      <c r="BU499" s="20">
        <f ca="1">IF(Table1[[#This Row],[County]]="Berkshire",Table1[[#This Row],[income]],0)</f>
        <v>0</v>
      </c>
      <c r="BV499" s="20">
        <f ca="1">IF(Table1[[#This Row],[County]]="Staffordshire",Table1[[#This Row],[income]],0)</f>
        <v>0</v>
      </c>
      <c r="BW499" s="20">
        <f ca="1">IF(Table1[[#This Row],[County]]="Leicestershire",Table1[[#This Row],[income]],0)</f>
        <v>0</v>
      </c>
      <c r="BX499" s="20">
        <f ca="1">IF(Table1[[#This Row],[County]]="Cornwall",Table1[[#This Row],[income]],0)</f>
        <v>0</v>
      </c>
      <c r="BY499" s="20">
        <f ca="1">IF(Table1[[#This Row],[County]]="Isle of Wight",Table1[[#This Row],[income]],0)</f>
        <v>0</v>
      </c>
      <c r="BZ499" s="20">
        <f ca="1">IF(Table1[[#This Row],[County]]="Surrey",Table1[[#This Row],[income]],0)</f>
        <v>0</v>
      </c>
      <c r="CA499" s="20">
        <f ca="1">IF(Table1[[#This Row],[County]]="Derbyshire",Table1[[#This Row],[income]],0)</f>
        <v>0</v>
      </c>
      <c r="CB499" s="20">
        <f ca="1">IF(Table1[[#This Row],[County]]="City of London",Table1[[#This Row],[income]],0)</f>
        <v>0</v>
      </c>
      <c r="CC499" s="20">
        <f ca="1">IF(Table1[[#This Row],[County]]="Bedfordshire",Table1[[#This Row],[income]],0)</f>
        <v>0</v>
      </c>
      <c r="CD499" s="20">
        <f ca="1">IF(Table1[[#This Row],[County]]="County Durham",Table1[[#This Row],[income]],0)</f>
        <v>0</v>
      </c>
      <c r="CE499" s="20">
        <f ca="1">IF(Table1[[#This Row],[County]]="East Riding of Yorkshire",Table1[[#This Row],[income]],0)</f>
        <v>0</v>
      </c>
      <c r="CF499" s="20">
        <f ca="1">IF(Table1[[#This Row],[County]]="West Yorkshire",Table1[[#This Row],[income]],0)</f>
        <v>0</v>
      </c>
      <c r="CG499" s="20">
        <f ca="1">IF(Table1[[#This Row],[County]]="Essex",Table1[[#This Row],[income]],0)</f>
        <v>0</v>
      </c>
      <c r="CH499" s="20">
        <f ca="1">IF(Table1[[#This Row],[County]]="East Sussex",Table1[[#This Row],[income]],0)</f>
        <v>0</v>
      </c>
      <c r="CI499" s="20">
        <f ca="1">IF(Table1[[#This Row],[County]]="Greater Manchester",Table1[[#This Row],[income]],0)</f>
        <v>0</v>
      </c>
      <c r="CJ499" s="20">
        <f ca="1">IF(Table1[[#This Row],[County]]="Hertfordshire",Table1[[#This Row],[income]],0)</f>
        <v>0</v>
      </c>
      <c r="CK499" s="20">
        <f ca="1">IF(Table1[[#This Row],[County]]="Herefordshire",Table1[[#This Row],[income]],0)</f>
        <v>0</v>
      </c>
      <c r="CL499" s="20">
        <f ca="1">IF(Table1[[#This Row],[County]]="Lancashire",Table1[[#This Row],[income]],0)</f>
        <v>0</v>
      </c>
      <c r="CM499" s="20">
        <f ca="1">IF(Table1[[#This Row],[County]]="Merseyside",Table1[[#This Row],[income]],0)</f>
        <v>0</v>
      </c>
      <c r="CN499" s="20">
        <f ca="1">IF(Table1[[#This Row],[County]]="Northamptonshire",Table1[[#This Row],[income]],0)</f>
        <v>0</v>
      </c>
      <c r="CO499" s="20">
        <f ca="1">IF(Table1[[#This Row],[County]]="Northumberland",Table1[[#This Row],[income]],0)</f>
        <v>0</v>
      </c>
      <c r="CP499" s="20">
        <f ca="1">IF(Table1[[#This Row],[County]]="Wiltshire",Table1[[#This Row],[income]],0)</f>
        <v>0</v>
      </c>
      <c r="CQ499" s="20">
        <f ca="1">IF(Table1[[#This Row],[County]]="West Midlands",Table1[[#This Row],[income]],0)</f>
        <v>0</v>
      </c>
      <c r="CR499" s="20">
        <f ca="1">IF(Table1[[#This Row],[County]]="Warwickshire",Table1[[#This Row],[income]],0)</f>
        <v>0</v>
      </c>
      <c r="CS499" s="20">
        <f ca="1">IF(Table1[[#This Row],[County]]="Tyne and Wear",Table1[[#This Row],[income]],0)</f>
        <v>0</v>
      </c>
      <c r="CT499" s="20">
        <f ca="1">IF(Table1[[#This Row],[County]]="Worcestershire",Table1[[#This Row],[income]],0)</f>
        <v>0</v>
      </c>
      <c r="CU499" s="20">
        <f ca="1">IF(Table1[[#This Row],[County]]="Rutland",Table1[[#This Row],[income]],0)</f>
        <v>0</v>
      </c>
      <c r="CV499" s="20">
        <f ca="1">IF(Table1[[#This Row],[County]]="Shropshire",Table1[[#This Row],[income]],0)</f>
        <v>0</v>
      </c>
      <c r="CW499" s="20">
        <f ca="1">IF(Table1[[#This Row],[County]]="Dorset",Table1[[#This Row],[income]],0)</f>
        <v>0</v>
      </c>
      <c r="CX499" s="20">
        <f ca="1">IF(Table1[[#This Row],[County]]="Buckinghamshire",Table1[[#This Row],[income]],0)</f>
        <v>0</v>
      </c>
      <c r="CY499" s="20">
        <f ca="1">IF(Table1[[#This Row],[County]]="Suffolk",Table1[[#This Row],[income]],0)</f>
        <v>64826</v>
      </c>
      <c r="CZ499" s="20">
        <f ca="1">IF(Table1[[#This Row],[County]]="North Yorkshire",Table1[[#This Row],[income]],0)</f>
        <v>0</v>
      </c>
      <c r="DA499" s="20">
        <f ca="1">IF(Table1[[#This Row],[County]]="Kent",Table1[[#This Row],[income]],0)</f>
        <v>0</v>
      </c>
      <c r="DB499" s="5">
        <f ca="1">IF(Table1[[#This Row],[County]]="Derbyshire",Table1[[#This Row],[income]],0)</f>
        <v>0</v>
      </c>
      <c r="DD499" s="6">
        <f ca="1">IF(Table1[[#This Row],[Column1]]="Health",Table1[[#This Row],[income]],0)</f>
        <v>0</v>
      </c>
      <c r="DE499" s="20">
        <f ca="1">IF(Table1[[#This Row],[Column1]]="Agriculture",Table1[[#This Row],[income]],0)</f>
        <v>64826</v>
      </c>
      <c r="DF499" s="20">
        <f ca="1">IF(Table1[[#This Row],[Column1]]="Technology",Table1[[#This Row],[income]],0)</f>
        <v>0</v>
      </c>
      <c r="DG499" s="20">
        <f ca="1">IF(Table1[[#This Row],[Column1]]="Social Service",Table1[[#This Row],[income]],0)</f>
        <v>0</v>
      </c>
      <c r="DH499" s="20">
        <f ca="1">IF(Table1[[#This Row],[Column1]]="Education",Table1[[#This Row],[income]],0)</f>
        <v>0</v>
      </c>
      <c r="DI499" s="5">
        <f ca="1">IF(Table1[[#This Row],[Column1]]="Construction",Table1[[#This Row],[income]],0)</f>
        <v>0</v>
      </c>
      <c r="DK499" s="6">
        <f ca="1">IF(Table1[[#This Row],[Value of Debts]]&gt;Table1[[#This Row],[income]],1,0)</f>
        <v>1</v>
      </c>
      <c r="DL499" s="20"/>
      <c r="DM499" s="20"/>
      <c r="DN499" s="5"/>
      <c r="DP499" s="6">
        <f ca="1">IF(Table1[[#This Row],[Net Worth (£)]]&gt;$DS$5,C499,0)</f>
        <v>28</v>
      </c>
      <c r="DQ499" s="20"/>
      <c r="DR499" s="20"/>
      <c r="DS499" s="5"/>
    </row>
    <row r="500" spans="1:123" hidden="1" x14ac:dyDescent="0.2">
      <c r="A500">
        <f t="shared" ca="1" si="22"/>
        <v>2</v>
      </c>
      <c r="B500" s="1" t="str">
        <f ca="1">IF(A500=1, "men", "women")</f>
        <v>women</v>
      </c>
      <c r="C500" s="1">
        <f ca="1">RANDBETWEEN(25,50)</f>
        <v>40</v>
      </c>
      <c r="D500">
        <f ca="1">RANDBETWEEN(1,6)</f>
        <v>1</v>
      </c>
      <c r="E500" t="str">
        <f ca="1">VLOOKUP(D500,$W$5:$X$10,2)</f>
        <v>Health</v>
      </c>
      <c r="F500">
        <f ca="1">RANDBETWEEN(1,5)</f>
        <v>5</v>
      </c>
      <c r="G500" t="str">
        <f ca="1">VLOOKUP(F500,$Y$5:$Z$9,2)</f>
        <v>Other</v>
      </c>
      <c r="H500">
        <f ca="1">RANDBETWEEN(0,4)</f>
        <v>4</v>
      </c>
      <c r="I500">
        <f ca="1">RANDBETWEEN(1,3)</f>
        <v>3</v>
      </c>
      <c r="J500">
        <f ca="1">RANDBETWEEN(30000,100000)</f>
        <v>91236</v>
      </c>
      <c r="K500">
        <f ca="1">RANDBETWEEN(1,48)</f>
        <v>36</v>
      </c>
      <c r="L500" t="str">
        <f ca="1">VLOOKUP(K500,$AA$5:$AB$52,2)</f>
        <v>Shropshire</v>
      </c>
      <c r="M500">
        <f ca="1">J500*(RANDBETWEEN(2,5))</f>
        <v>182472</v>
      </c>
      <c r="N500">
        <f ca="1">RAND()*M500</f>
        <v>154825.52583184841</v>
      </c>
      <c r="O500">
        <f ca="1">I500*RAND()*J500</f>
        <v>268877.27518327243</v>
      </c>
      <c r="P500">
        <f ca="1">RANDBETWEEN(0,O500)</f>
        <v>67146</v>
      </c>
      <c r="Q500">
        <f ca="1">RAND()*J500*2</f>
        <v>146997.10047868354</v>
      </c>
      <c r="R500">
        <f ca="1">RAND()*J500*1.5</f>
        <v>47902.434247183795</v>
      </c>
      <c r="S500">
        <f ca="1">J500+R500+O500</f>
        <v>408015.70943045622</v>
      </c>
      <c r="T500">
        <f ca="1">N500+P500+Q500</f>
        <v>368968.62631053198</v>
      </c>
      <c r="U500">
        <f ca="1">S500-T500</f>
        <v>39047.083119924238</v>
      </c>
      <c r="AC500" s="6">
        <f ca="1">IF(Table1[[#This Row],[gender]]="men",1,0)</f>
        <v>0</v>
      </c>
      <c r="AD500">
        <f ca="1">IF(Table1[[#This Row],[gender]]="women",1,0)</f>
        <v>1</v>
      </c>
      <c r="AH500" s="5"/>
      <c r="AJ500" s="6">
        <f ca="1">IF(Table1[[#This Row],[Column1]]="Health",1,0)</f>
        <v>1</v>
      </c>
      <c r="AK500">
        <f ca="1">IF(Table1[[#This Row],[Column1]]="Construction",1,0)</f>
        <v>0</v>
      </c>
      <c r="AL500">
        <f ca="1">IF(Table1[[#This Row],[Column1]]="Technology",1,0)</f>
        <v>0</v>
      </c>
      <c r="AM500">
        <f ca="1">IF(Table1[[#This Row],[Column1]]="Education",1,0)</f>
        <v>0</v>
      </c>
      <c r="AN500">
        <f ca="1">IF(Table1[[#This Row],[Column1]]="Agriculture",1,0)</f>
        <v>0</v>
      </c>
      <c r="AO500">
        <f ca="1">IF(Table1[[#This Row],[Column1]]="Social Service", 1, 0)</f>
        <v>0</v>
      </c>
      <c r="AT500" s="5"/>
      <c r="AV500" s="17">
        <f ca="1">(O501/I501)</f>
        <v>55620.402038046377</v>
      </c>
      <c r="AW500" s="5"/>
      <c r="AX500" s="6">
        <f ca="1">IF(Table1[[#This Row],[Value of Debts]]&gt;$AY$4,1,0)</f>
        <v>1</v>
      </c>
      <c r="AY500" s="20"/>
      <c r="AZ500" s="20"/>
      <c r="BA500" s="5"/>
      <c r="BB500" s="25">
        <f ca="1">Table1[[#This Row],[Mortage Left]]/Table1[[#This Row],[Value of House]]</f>
        <v>0.84848922482270384</v>
      </c>
      <c r="BC500" s="20">
        <f t="shared" ca="1" si="23"/>
        <v>0</v>
      </c>
      <c r="BD500" s="20"/>
      <c r="BE500" s="20"/>
      <c r="BF500" s="20"/>
      <c r="BG500" s="6">
        <f ca="1">IF(Table1[[#This Row],[County]]="Cumbria",Table1[[#This Row],[income]],0)</f>
        <v>0</v>
      </c>
      <c r="BH500" s="20">
        <f ca="1">IF(Table1[[#This Row],[County]]="Cheshire",Table1[[#This Row],[income]],0)</f>
        <v>0</v>
      </c>
      <c r="BI500" s="20">
        <f ca="1">IF(Table1[[#This Row],[County]]="Bristol",Table1[[#This Row],[income]],0)</f>
        <v>0</v>
      </c>
      <c r="BJ500" s="20">
        <f ca="1">IF(Table1[[#This Row],[County]]="Surrey",Table1[[#This Row],[income]],0)</f>
        <v>0</v>
      </c>
      <c r="BK500" s="20">
        <f ca="1">IF(Table1[[#This Row],[County]]="Norfolk",Table1[[#This Row],[income]],0)</f>
        <v>0</v>
      </c>
      <c r="BL500" s="20">
        <f ca="1">IF(Table1[[#This Row],[County]]="Lincolnshire",Table1[[#This Row],[income]],0)</f>
        <v>0</v>
      </c>
      <c r="BM500" s="20">
        <f ca="1">IF(Table1[[#This Row],[County]]="Somerset",Table1[[#This Row],[income]],0)</f>
        <v>0</v>
      </c>
      <c r="BN500" s="20">
        <f ca="1">IF(Table1[[#This Row],[County]]="Cambridgeshire",Table1[[#This Row],[income]],0)</f>
        <v>0</v>
      </c>
      <c r="BO500" s="20">
        <f ca="1">IF(Table1[[#This Row],[County]]="South Yorkshire",Table1[[#This Row],[income]],0)</f>
        <v>0</v>
      </c>
      <c r="BP500" s="20">
        <f ca="1">IF(Table1[[#This Row],[County]]="Greater London",Table1[[#This Row],[income]],0)</f>
        <v>0</v>
      </c>
      <c r="BQ500" s="20">
        <f ca="1">IF(Table1[[#This Row],[County]]="Hampshire",Table1[[#This Row],[income]],0)</f>
        <v>0</v>
      </c>
      <c r="BR500" s="20">
        <f ca="1">IF(Table1[[#This Row],[County]]="Gloucestershire",Table1[[#This Row],[income]],0)</f>
        <v>0</v>
      </c>
      <c r="BS500" s="20">
        <f ca="1">IF(Table1[[#This Row],[County]]="West Sussex",Table1[[#This Row],[income]],0)</f>
        <v>0</v>
      </c>
      <c r="BT500" s="20">
        <f ca="1">IF(Table1[[#This Row],[County]]="Devon",Table1[[#This Row],[income]],0)</f>
        <v>0</v>
      </c>
      <c r="BU500" s="20">
        <f ca="1">IF(Table1[[#This Row],[County]]="Berkshire",Table1[[#This Row],[income]],0)</f>
        <v>0</v>
      </c>
      <c r="BV500" s="20">
        <f ca="1">IF(Table1[[#This Row],[County]]="Staffordshire",Table1[[#This Row],[income]],0)</f>
        <v>0</v>
      </c>
      <c r="BW500" s="20">
        <f ca="1">IF(Table1[[#This Row],[County]]="Leicestershire",Table1[[#This Row],[income]],0)</f>
        <v>0</v>
      </c>
      <c r="BX500" s="20">
        <f ca="1">IF(Table1[[#This Row],[County]]="Cornwall",Table1[[#This Row],[income]],0)</f>
        <v>0</v>
      </c>
      <c r="BY500" s="20">
        <f ca="1">IF(Table1[[#This Row],[County]]="Isle of Wight",Table1[[#This Row],[income]],0)</f>
        <v>0</v>
      </c>
      <c r="BZ500" s="20">
        <f ca="1">IF(Table1[[#This Row],[County]]="Surrey",Table1[[#This Row],[income]],0)</f>
        <v>0</v>
      </c>
      <c r="CA500" s="20">
        <f ca="1">IF(Table1[[#This Row],[County]]="Derbyshire",Table1[[#This Row],[income]],0)</f>
        <v>0</v>
      </c>
      <c r="CB500" s="20">
        <f ca="1">IF(Table1[[#This Row],[County]]="City of London",Table1[[#This Row],[income]],0)</f>
        <v>0</v>
      </c>
      <c r="CC500" s="20">
        <f ca="1">IF(Table1[[#This Row],[County]]="Bedfordshire",Table1[[#This Row],[income]],0)</f>
        <v>0</v>
      </c>
      <c r="CD500" s="20">
        <f ca="1">IF(Table1[[#This Row],[County]]="County Durham",Table1[[#This Row],[income]],0)</f>
        <v>0</v>
      </c>
      <c r="CE500" s="20">
        <f ca="1">IF(Table1[[#This Row],[County]]="East Riding of Yorkshire",Table1[[#This Row],[income]],0)</f>
        <v>0</v>
      </c>
      <c r="CF500" s="20">
        <f ca="1">IF(Table1[[#This Row],[County]]="West Yorkshire",Table1[[#This Row],[income]],0)</f>
        <v>0</v>
      </c>
      <c r="CG500" s="20">
        <f ca="1">IF(Table1[[#This Row],[County]]="Essex",Table1[[#This Row],[income]],0)</f>
        <v>0</v>
      </c>
      <c r="CH500" s="20">
        <f ca="1">IF(Table1[[#This Row],[County]]="East Sussex",Table1[[#This Row],[income]],0)</f>
        <v>0</v>
      </c>
      <c r="CI500" s="20">
        <f ca="1">IF(Table1[[#This Row],[County]]="Greater Manchester",Table1[[#This Row],[income]],0)</f>
        <v>0</v>
      </c>
      <c r="CJ500" s="20">
        <f ca="1">IF(Table1[[#This Row],[County]]="Hertfordshire",Table1[[#This Row],[income]],0)</f>
        <v>0</v>
      </c>
      <c r="CK500" s="20">
        <f ca="1">IF(Table1[[#This Row],[County]]="Herefordshire",Table1[[#This Row],[income]],0)</f>
        <v>0</v>
      </c>
      <c r="CL500" s="20">
        <f ca="1">IF(Table1[[#This Row],[County]]="Lancashire",Table1[[#This Row],[income]],0)</f>
        <v>0</v>
      </c>
      <c r="CM500" s="20">
        <f ca="1">IF(Table1[[#This Row],[County]]="Merseyside",Table1[[#This Row],[income]],0)</f>
        <v>0</v>
      </c>
      <c r="CN500" s="20">
        <f ca="1">IF(Table1[[#This Row],[County]]="Northamptonshire",Table1[[#This Row],[income]],0)</f>
        <v>0</v>
      </c>
      <c r="CO500" s="20">
        <f ca="1">IF(Table1[[#This Row],[County]]="Northumberland",Table1[[#This Row],[income]],0)</f>
        <v>0</v>
      </c>
      <c r="CP500" s="20">
        <f ca="1">IF(Table1[[#This Row],[County]]="Wiltshire",Table1[[#This Row],[income]],0)</f>
        <v>0</v>
      </c>
      <c r="CQ500" s="20">
        <f ca="1">IF(Table1[[#This Row],[County]]="West Midlands",Table1[[#This Row],[income]],0)</f>
        <v>0</v>
      </c>
      <c r="CR500" s="20">
        <f ca="1">IF(Table1[[#This Row],[County]]="Warwickshire",Table1[[#This Row],[income]],0)</f>
        <v>0</v>
      </c>
      <c r="CS500" s="20">
        <f ca="1">IF(Table1[[#This Row],[County]]="Tyne and Wear",Table1[[#This Row],[income]],0)</f>
        <v>0</v>
      </c>
      <c r="CT500" s="20">
        <f ca="1">IF(Table1[[#This Row],[County]]="Worcestershire",Table1[[#This Row],[income]],0)</f>
        <v>0</v>
      </c>
      <c r="CU500" s="20">
        <f ca="1">IF(Table1[[#This Row],[County]]="Rutland",Table1[[#This Row],[income]],0)</f>
        <v>0</v>
      </c>
      <c r="CV500" s="20">
        <f ca="1">IF(Table1[[#This Row],[County]]="Shropshire",Table1[[#This Row],[income]],0)</f>
        <v>91236</v>
      </c>
      <c r="CW500" s="20">
        <f ca="1">IF(Table1[[#This Row],[County]]="Dorset",Table1[[#This Row],[income]],0)</f>
        <v>0</v>
      </c>
      <c r="CX500" s="20">
        <f ca="1">IF(Table1[[#This Row],[County]]="Buckinghamshire",Table1[[#This Row],[income]],0)</f>
        <v>0</v>
      </c>
      <c r="CY500" s="20">
        <f ca="1">IF(Table1[[#This Row],[County]]="Suffolk",Table1[[#This Row],[income]],0)</f>
        <v>0</v>
      </c>
      <c r="CZ500" s="20">
        <f ca="1">IF(Table1[[#This Row],[County]]="North Yorkshire",Table1[[#This Row],[income]],0)</f>
        <v>0</v>
      </c>
      <c r="DA500" s="20">
        <f ca="1">IF(Table1[[#This Row],[County]]="Kent",Table1[[#This Row],[income]],0)</f>
        <v>0</v>
      </c>
      <c r="DB500" s="5">
        <f ca="1">IF(Table1[[#This Row],[County]]="Derbyshire",Table1[[#This Row],[income]],0)</f>
        <v>0</v>
      </c>
      <c r="DD500" s="6">
        <f ca="1">IF(Table1[[#This Row],[Column1]]="Health",Table1[[#This Row],[income]],0)</f>
        <v>91236</v>
      </c>
      <c r="DE500" s="20">
        <f ca="1">IF(Table1[[#This Row],[Column1]]="Agriculture",Table1[[#This Row],[income]],0)</f>
        <v>0</v>
      </c>
      <c r="DF500" s="20">
        <f ca="1">IF(Table1[[#This Row],[Column1]]="Technology",Table1[[#This Row],[income]],0)</f>
        <v>0</v>
      </c>
      <c r="DG500" s="20">
        <f ca="1">IF(Table1[[#This Row],[Column1]]="Social Service",Table1[[#This Row],[income]],0)</f>
        <v>0</v>
      </c>
      <c r="DH500" s="20">
        <f ca="1">IF(Table1[[#This Row],[Column1]]="Education",Table1[[#This Row],[income]],0)</f>
        <v>0</v>
      </c>
      <c r="DI500" s="5">
        <f ca="1">IF(Table1[[#This Row],[Column1]]="Construction",Table1[[#This Row],[income]],0)</f>
        <v>0</v>
      </c>
      <c r="DK500" s="6">
        <f ca="1">IF(Table1[[#This Row],[Value of Debts]]&gt;Table1[[#This Row],[income]],1,0)</f>
        <v>1</v>
      </c>
      <c r="DL500" s="20"/>
      <c r="DM500" s="20"/>
      <c r="DN500" s="5"/>
      <c r="DP500" s="6">
        <f ca="1">IF(Table1[[#This Row],[Net Worth (£)]]&gt;$DS$5,C500,0)</f>
        <v>0</v>
      </c>
      <c r="DQ500" s="20"/>
      <c r="DR500" s="20"/>
      <c r="DS500" s="5"/>
    </row>
    <row r="501" spans="1:123" x14ac:dyDescent="0.2">
      <c r="A501">
        <f t="shared" ca="1" si="22"/>
        <v>2</v>
      </c>
      <c r="B501" s="1" t="str">
        <f ca="1">IF(A501=1, "men", "women")</f>
        <v>women</v>
      </c>
      <c r="C501" s="1">
        <f ca="1">RANDBETWEEN(25,50)</f>
        <v>33</v>
      </c>
      <c r="D501">
        <f ca="1">RANDBETWEEN(1,6)</f>
        <v>4</v>
      </c>
      <c r="E501" t="str">
        <f ca="1">VLOOKUP(D501,$W$5:$X$10,2)</f>
        <v>Technology</v>
      </c>
      <c r="F501">
        <f ca="1">RANDBETWEEN(1,5)</f>
        <v>2</v>
      </c>
      <c r="G501" t="str">
        <f ca="1">VLOOKUP(F501,$Y$5:$Z$9,2)</f>
        <v>College</v>
      </c>
      <c r="H501">
        <f ca="1">RANDBETWEEN(0,4)</f>
        <v>4</v>
      </c>
      <c r="I501">
        <f ca="1">RANDBETWEEN(1,3)</f>
        <v>2</v>
      </c>
      <c r="J501">
        <f ca="1">RANDBETWEEN(30000,100000)</f>
        <v>71388</v>
      </c>
      <c r="K501">
        <f ca="1">RANDBETWEEN(1,48)</f>
        <v>2</v>
      </c>
      <c r="L501" t="str">
        <f ca="1">VLOOKUP(K501,$AA$5:$AB$52,2)</f>
        <v>Berkshire</v>
      </c>
      <c r="M501">
        <f ca="1">J501*(RANDBETWEEN(2,5))</f>
        <v>142776</v>
      </c>
      <c r="N501">
        <f ca="1">RAND()*M501</f>
        <v>141664.4658454996</v>
      </c>
      <c r="O501">
        <f ca="1">I501*RAND()*J501</f>
        <v>111240.80407609275</v>
      </c>
      <c r="P501">
        <f ca="1">RANDBETWEEN(0,O501)</f>
        <v>8840</v>
      </c>
      <c r="Q501">
        <f ca="1">RAND()*J501*2</f>
        <v>130367.35500421457</v>
      </c>
      <c r="R501">
        <f ca="1">RAND()*J501*1.5</f>
        <v>41612.671514019945</v>
      </c>
      <c r="S501">
        <f ca="1">J501+R501+O501</f>
        <v>224241.47559011271</v>
      </c>
      <c r="T501">
        <f ca="1">N501+P501+Q501</f>
        <v>280871.82084971416</v>
      </c>
      <c r="U501">
        <f ca="1">S501-T501</f>
        <v>-56630.345259601454</v>
      </c>
      <c r="AC501" s="6">
        <f ca="1">IF(Table1[[#This Row],[gender]]="men",1,0)</f>
        <v>0</v>
      </c>
      <c r="AD501">
        <f ca="1">IF(Table1[[#This Row],[gender]]="women",1,0)</f>
        <v>1</v>
      </c>
      <c r="AH501" s="5"/>
      <c r="AJ501" s="6">
        <f ca="1">IF(Table1[[#This Row],[Column1]]="Health",1,0)</f>
        <v>0</v>
      </c>
      <c r="AK501">
        <f ca="1">IF(Table1[[#This Row],[Column1]]="Construction",1,0)</f>
        <v>0</v>
      </c>
      <c r="AL501">
        <f ca="1">IF(Table1[[#This Row],[Column1]]="Technology",1,0)</f>
        <v>1</v>
      </c>
      <c r="AM501">
        <f ca="1">IF(Table1[[#This Row],[Column1]]="Education",1,0)</f>
        <v>0</v>
      </c>
      <c r="AN501">
        <f ca="1">IF(Table1[[#This Row],[Column1]]="Agriculture",1,0)</f>
        <v>0</v>
      </c>
      <c r="AO501">
        <f ca="1">IF(Table1[[#This Row],[Column1]]="Social Service", 1, 0)</f>
        <v>0</v>
      </c>
      <c r="AT501" s="5"/>
      <c r="AV501" s="17">
        <f ca="1">(O502/I502)</f>
        <v>42390.46458944097</v>
      </c>
      <c r="AW501" s="5"/>
      <c r="AX501" s="6">
        <f ca="1">IF(Table1[[#This Row],[Value of Debts]]&gt;$AY$4,1,0)</f>
        <v>1</v>
      </c>
      <c r="AY501" s="20"/>
      <c r="AZ501" s="20"/>
      <c r="BA501" s="5"/>
      <c r="BB501" s="25">
        <f ca="1">Table1[[#This Row],[Mortage Left]]/Table1[[#This Row],[Value of House]]</f>
        <v>0.99221483894701912</v>
      </c>
      <c r="BC501" s="20">
        <f t="shared" ca="1" si="23"/>
        <v>0</v>
      </c>
      <c r="BD501" s="20"/>
      <c r="BE501" s="20"/>
      <c r="BF501" s="20"/>
      <c r="BG501" s="6">
        <f ca="1">IF(Table1[[#This Row],[County]]="Cumbria",Table1[[#This Row],[income]],0)</f>
        <v>0</v>
      </c>
      <c r="BH501" s="20">
        <f ca="1">IF(Table1[[#This Row],[County]]="Cheshire",Table1[[#This Row],[income]],0)</f>
        <v>0</v>
      </c>
      <c r="BI501" s="20">
        <f ca="1">IF(Table1[[#This Row],[County]]="Bristol",Table1[[#This Row],[income]],0)</f>
        <v>0</v>
      </c>
      <c r="BJ501" s="20">
        <f ca="1">IF(Table1[[#This Row],[County]]="Surrey",Table1[[#This Row],[income]],0)</f>
        <v>0</v>
      </c>
      <c r="BK501" s="20">
        <f ca="1">IF(Table1[[#This Row],[County]]="Norfolk",Table1[[#This Row],[income]],0)</f>
        <v>0</v>
      </c>
      <c r="BL501" s="20">
        <f ca="1">IF(Table1[[#This Row],[County]]="Lincolnshire",Table1[[#This Row],[income]],0)</f>
        <v>0</v>
      </c>
      <c r="BM501" s="20">
        <f ca="1">IF(Table1[[#This Row],[County]]="Somerset",Table1[[#This Row],[income]],0)</f>
        <v>0</v>
      </c>
      <c r="BN501" s="20">
        <f ca="1">IF(Table1[[#This Row],[County]]="Cambridgeshire",Table1[[#This Row],[income]],0)</f>
        <v>0</v>
      </c>
      <c r="BO501" s="20">
        <f ca="1">IF(Table1[[#This Row],[County]]="South Yorkshire",Table1[[#This Row],[income]],0)</f>
        <v>0</v>
      </c>
      <c r="BP501" s="20">
        <f ca="1">IF(Table1[[#This Row],[County]]="Greater London",Table1[[#This Row],[income]],0)</f>
        <v>0</v>
      </c>
      <c r="BQ501" s="20">
        <f ca="1">IF(Table1[[#This Row],[County]]="Hampshire",Table1[[#This Row],[income]],0)</f>
        <v>0</v>
      </c>
      <c r="BR501" s="20">
        <f ca="1">IF(Table1[[#This Row],[County]]="Gloucestershire",Table1[[#This Row],[income]],0)</f>
        <v>0</v>
      </c>
      <c r="BS501" s="20">
        <f ca="1">IF(Table1[[#This Row],[County]]="West Sussex",Table1[[#This Row],[income]],0)</f>
        <v>0</v>
      </c>
      <c r="BT501" s="20">
        <f ca="1">IF(Table1[[#This Row],[County]]="Devon",Table1[[#This Row],[income]],0)</f>
        <v>0</v>
      </c>
      <c r="BU501" s="20">
        <f ca="1">IF(Table1[[#This Row],[County]]="Berkshire",Table1[[#This Row],[income]],0)</f>
        <v>71388</v>
      </c>
      <c r="BV501" s="20">
        <f ca="1">IF(Table1[[#This Row],[County]]="Staffordshire",Table1[[#This Row],[income]],0)</f>
        <v>0</v>
      </c>
      <c r="BW501" s="20">
        <f ca="1">IF(Table1[[#This Row],[County]]="Leicestershire",Table1[[#This Row],[income]],0)</f>
        <v>0</v>
      </c>
      <c r="BX501" s="20">
        <f ca="1">IF(Table1[[#This Row],[County]]="Cornwall",Table1[[#This Row],[income]],0)</f>
        <v>0</v>
      </c>
      <c r="BY501" s="20">
        <f ca="1">IF(Table1[[#This Row],[County]]="Isle of Wight",Table1[[#This Row],[income]],0)</f>
        <v>0</v>
      </c>
      <c r="BZ501" s="20">
        <f ca="1">IF(Table1[[#This Row],[County]]="Surrey",Table1[[#This Row],[income]],0)</f>
        <v>0</v>
      </c>
      <c r="CA501" s="20">
        <f ca="1">IF(Table1[[#This Row],[County]]="Derbyshire",Table1[[#This Row],[income]],0)</f>
        <v>0</v>
      </c>
      <c r="CB501" s="20">
        <f ca="1">IF(Table1[[#This Row],[County]]="City of London",Table1[[#This Row],[income]],0)</f>
        <v>0</v>
      </c>
      <c r="CC501" s="20">
        <f ca="1">IF(Table1[[#This Row],[County]]="Bedfordshire",Table1[[#This Row],[income]],0)</f>
        <v>0</v>
      </c>
      <c r="CD501" s="20">
        <f ca="1">IF(Table1[[#This Row],[County]]="County Durham",Table1[[#This Row],[income]],0)</f>
        <v>0</v>
      </c>
      <c r="CE501" s="20">
        <f ca="1">IF(Table1[[#This Row],[County]]="East Riding of Yorkshire",Table1[[#This Row],[income]],0)</f>
        <v>0</v>
      </c>
      <c r="CF501" s="20">
        <f ca="1">IF(Table1[[#This Row],[County]]="West Yorkshire",Table1[[#This Row],[income]],0)</f>
        <v>0</v>
      </c>
      <c r="CG501" s="20">
        <f ca="1">IF(Table1[[#This Row],[County]]="Essex",Table1[[#This Row],[income]],0)</f>
        <v>0</v>
      </c>
      <c r="CH501" s="20">
        <f ca="1">IF(Table1[[#This Row],[County]]="East Sussex",Table1[[#This Row],[income]],0)</f>
        <v>0</v>
      </c>
      <c r="CI501" s="20">
        <f ca="1">IF(Table1[[#This Row],[County]]="Greater Manchester",Table1[[#This Row],[income]],0)</f>
        <v>0</v>
      </c>
      <c r="CJ501" s="20">
        <f ca="1">IF(Table1[[#This Row],[County]]="Hertfordshire",Table1[[#This Row],[income]],0)</f>
        <v>0</v>
      </c>
      <c r="CK501" s="20">
        <f ca="1">IF(Table1[[#This Row],[County]]="Herefordshire",Table1[[#This Row],[income]],0)</f>
        <v>0</v>
      </c>
      <c r="CL501" s="20">
        <f ca="1">IF(Table1[[#This Row],[County]]="Lancashire",Table1[[#This Row],[income]],0)</f>
        <v>0</v>
      </c>
      <c r="CM501" s="20">
        <f ca="1">IF(Table1[[#This Row],[County]]="Merseyside",Table1[[#This Row],[income]],0)</f>
        <v>0</v>
      </c>
      <c r="CN501" s="20">
        <f ca="1">IF(Table1[[#This Row],[County]]="Northamptonshire",Table1[[#This Row],[income]],0)</f>
        <v>0</v>
      </c>
      <c r="CO501" s="20">
        <f ca="1">IF(Table1[[#This Row],[County]]="Northumberland",Table1[[#This Row],[income]],0)</f>
        <v>0</v>
      </c>
      <c r="CP501" s="20">
        <f ca="1">IF(Table1[[#This Row],[County]]="Wiltshire",Table1[[#This Row],[income]],0)</f>
        <v>0</v>
      </c>
      <c r="CQ501" s="20">
        <f ca="1">IF(Table1[[#This Row],[County]]="West Midlands",Table1[[#This Row],[income]],0)</f>
        <v>0</v>
      </c>
      <c r="CR501" s="20">
        <f ca="1">IF(Table1[[#This Row],[County]]="Warwickshire",Table1[[#This Row],[income]],0)</f>
        <v>0</v>
      </c>
      <c r="CS501" s="20">
        <f ca="1">IF(Table1[[#This Row],[County]]="Tyne and Wear",Table1[[#This Row],[income]],0)</f>
        <v>0</v>
      </c>
      <c r="CT501" s="20">
        <f ca="1">IF(Table1[[#This Row],[County]]="Worcestershire",Table1[[#This Row],[income]],0)</f>
        <v>0</v>
      </c>
      <c r="CU501" s="20">
        <f ca="1">IF(Table1[[#This Row],[County]]="Rutland",Table1[[#This Row],[income]],0)</f>
        <v>0</v>
      </c>
      <c r="CV501" s="20">
        <f ca="1">IF(Table1[[#This Row],[County]]="Shropshire",Table1[[#This Row],[income]],0)</f>
        <v>0</v>
      </c>
      <c r="CW501" s="20">
        <f ca="1">IF(Table1[[#This Row],[County]]="Dorset",Table1[[#This Row],[income]],0)</f>
        <v>0</v>
      </c>
      <c r="CX501" s="20">
        <f ca="1">IF(Table1[[#This Row],[County]]="Buckinghamshire",Table1[[#This Row],[income]],0)</f>
        <v>0</v>
      </c>
      <c r="CY501" s="20">
        <f ca="1">IF(Table1[[#This Row],[County]]="Suffolk",Table1[[#This Row],[income]],0)</f>
        <v>0</v>
      </c>
      <c r="CZ501" s="20">
        <f ca="1">IF(Table1[[#This Row],[County]]="North Yorkshire",Table1[[#This Row],[income]],0)</f>
        <v>0</v>
      </c>
      <c r="DA501" s="20">
        <f ca="1">IF(Table1[[#This Row],[County]]="Kent",Table1[[#This Row],[income]],0)</f>
        <v>0</v>
      </c>
      <c r="DB501" s="5">
        <f ca="1">IF(Table1[[#This Row],[County]]="Derbyshire",Table1[[#This Row],[income]],0)</f>
        <v>0</v>
      </c>
      <c r="DD501" s="6">
        <f ca="1">IF(Table1[[#This Row],[Column1]]="Health",Table1[[#This Row],[income]],0)</f>
        <v>0</v>
      </c>
      <c r="DE501" s="20">
        <f ca="1">IF(Table1[[#This Row],[Column1]]="Agriculture",Table1[[#This Row],[income]],0)</f>
        <v>0</v>
      </c>
      <c r="DF501" s="20">
        <f ca="1">IF(Table1[[#This Row],[Column1]]="Technology",Table1[[#This Row],[income]],0)</f>
        <v>71388</v>
      </c>
      <c r="DG501" s="20">
        <f ca="1">IF(Table1[[#This Row],[Column1]]="Social Service",Table1[[#This Row],[income]],0)</f>
        <v>0</v>
      </c>
      <c r="DH501" s="20">
        <f ca="1">IF(Table1[[#This Row],[Column1]]="Education",Table1[[#This Row],[income]],0)</f>
        <v>0</v>
      </c>
      <c r="DI501" s="5">
        <f ca="1">IF(Table1[[#This Row],[Column1]]="Construction",Table1[[#This Row],[income]],0)</f>
        <v>0</v>
      </c>
      <c r="DK501" s="6">
        <f ca="1">IF(Table1[[#This Row],[Value of Debts]]&gt;Table1[[#This Row],[income]],1,0)</f>
        <v>1</v>
      </c>
      <c r="DL501" s="20"/>
      <c r="DM501" s="20"/>
      <c r="DN501" s="5"/>
      <c r="DP501" s="6">
        <f ca="1">IF(Table1[[#This Row],[Net Worth (£)]]&gt;$DS$5,C501,0)</f>
        <v>0</v>
      </c>
      <c r="DQ501" s="20"/>
      <c r="DR501" s="20"/>
      <c r="DS501" s="5"/>
    </row>
    <row r="502" spans="1:123" x14ac:dyDescent="0.2">
      <c r="A502">
        <f t="shared" ca="1" si="22"/>
        <v>1</v>
      </c>
      <c r="B502" s="1" t="str">
        <f ca="1">IF(A502=1, "men", "women")</f>
        <v>men</v>
      </c>
      <c r="C502" s="1">
        <f ca="1">RANDBETWEEN(25,50)</f>
        <v>47</v>
      </c>
      <c r="D502">
        <f ca="1">RANDBETWEEN(1,6)</f>
        <v>4</v>
      </c>
      <c r="E502" t="str">
        <f ca="1">VLOOKUP(D502,$W$5:$X$10,2)</f>
        <v>Technology</v>
      </c>
      <c r="F502">
        <f ca="1">RANDBETWEEN(1,5)</f>
        <v>4</v>
      </c>
      <c r="G502" t="str">
        <f ca="1">VLOOKUP(F502,$Y$5:$Z$9,2)</f>
        <v xml:space="preserve">Technical </v>
      </c>
      <c r="H502">
        <f ca="1">RANDBETWEEN(0,4)</f>
        <v>1</v>
      </c>
      <c r="I502">
        <f ca="1">RANDBETWEEN(1,3)</f>
        <v>3</v>
      </c>
      <c r="J502">
        <f ca="1">RANDBETWEEN(30000,100000)</f>
        <v>89508</v>
      </c>
      <c r="K502">
        <f ca="1">RANDBETWEEN(1,48)</f>
        <v>16</v>
      </c>
      <c r="L502" t="str">
        <f ca="1">VLOOKUP(K502,$AA$5:$AB$52,2)</f>
        <v>Essex</v>
      </c>
      <c r="M502">
        <f ca="1">J502*(RANDBETWEEN(2,5))</f>
        <v>358032</v>
      </c>
      <c r="N502">
        <f ca="1">RAND()*M502</f>
        <v>22654.688567397036</v>
      </c>
      <c r="O502">
        <f ca="1">I502*RAND()*J502</f>
        <v>127171.39376832292</v>
      </c>
      <c r="P502">
        <f ca="1">RANDBETWEEN(0,O502)</f>
        <v>63907</v>
      </c>
      <c r="Q502">
        <f ca="1">RAND()*J502*2</f>
        <v>114101.72236669967</v>
      </c>
      <c r="R502">
        <f ca="1">RAND()*J502*1.5</f>
        <v>128722.11052274582</v>
      </c>
      <c r="S502">
        <f ca="1">J502+R502+O502</f>
        <v>345401.50429106876</v>
      </c>
      <c r="T502">
        <f ca="1">N502+P502+Q502</f>
        <v>200663.41093409673</v>
      </c>
      <c r="U502">
        <f ca="1">S502-T502</f>
        <v>144738.09335697204</v>
      </c>
      <c r="AC502" s="6">
        <f ca="1">IF(Table1[[#This Row],[gender]]="men",1,0)</f>
        <v>1</v>
      </c>
      <c r="AD502">
        <f ca="1">IF(Table1[[#This Row],[gender]]="women",1,0)</f>
        <v>0</v>
      </c>
      <c r="AH502" s="5"/>
      <c r="AJ502" s="6">
        <f ca="1">IF(Table1[[#This Row],[Column1]]="Health",1,0)</f>
        <v>0</v>
      </c>
      <c r="AK502">
        <f ca="1">IF(Table1[[#This Row],[Column1]]="Construction",1,0)</f>
        <v>0</v>
      </c>
      <c r="AL502">
        <f ca="1">IF(Table1[[#This Row],[Column1]]="Technology",1,0)</f>
        <v>1</v>
      </c>
      <c r="AM502">
        <f ca="1">IF(Table1[[#This Row],[Column1]]="Education",1,0)</f>
        <v>0</v>
      </c>
      <c r="AN502">
        <f ca="1">IF(Table1[[#This Row],[Column1]]="Agriculture",1,0)</f>
        <v>0</v>
      </c>
      <c r="AO502">
        <f ca="1">IF(Table1[[#This Row],[Column1]]="Social Service", 1, 0)</f>
        <v>0</v>
      </c>
      <c r="AT502" s="5"/>
      <c r="AV502" s="17">
        <f ca="1">(O503/I503)</f>
        <v>62945.422134740533</v>
      </c>
      <c r="AW502" s="5"/>
      <c r="AX502" s="6">
        <f ca="1">IF(Table1[[#This Row],[Value of Debts]]&gt;$AY$4,1,0)</f>
        <v>1</v>
      </c>
      <c r="AY502" s="20"/>
      <c r="AZ502" s="20"/>
      <c r="BA502" s="5"/>
      <c r="BB502" s="25">
        <f ca="1">Table1[[#This Row],[Mortage Left]]/Table1[[#This Row],[Value of House]]</f>
        <v>6.3275597062265487E-2</v>
      </c>
      <c r="BC502" s="20">
        <f t="shared" ca="1" si="23"/>
        <v>1</v>
      </c>
      <c r="BD502" s="20"/>
      <c r="BE502" s="20"/>
      <c r="BF502" s="20"/>
      <c r="BG502" s="6">
        <f ca="1">IF(Table1[[#This Row],[County]]="Cumbria",Table1[[#This Row],[income]],0)</f>
        <v>0</v>
      </c>
      <c r="BH502" s="20">
        <f ca="1">IF(Table1[[#This Row],[County]]="Cheshire",Table1[[#This Row],[income]],0)</f>
        <v>0</v>
      </c>
      <c r="BI502" s="20">
        <f ca="1">IF(Table1[[#This Row],[County]]="Bristol",Table1[[#This Row],[income]],0)</f>
        <v>0</v>
      </c>
      <c r="BJ502" s="20">
        <f ca="1">IF(Table1[[#This Row],[County]]="Surrey",Table1[[#This Row],[income]],0)</f>
        <v>0</v>
      </c>
      <c r="BK502" s="20">
        <f ca="1">IF(Table1[[#This Row],[County]]="Norfolk",Table1[[#This Row],[income]],0)</f>
        <v>0</v>
      </c>
      <c r="BL502" s="20">
        <f ca="1">IF(Table1[[#This Row],[County]]="Lincolnshire",Table1[[#This Row],[income]],0)</f>
        <v>0</v>
      </c>
      <c r="BM502" s="20">
        <f ca="1">IF(Table1[[#This Row],[County]]="Somerset",Table1[[#This Row],[income]],0)</f>
        <v>0</v>
      </c>
      <c r="BN502" s="20">
        <f ca="1">IF(Table1[[#This Row],[County]]="Cambridgeshire",Table1[[#This Row],[income]],0)</f>
        <v>0</v>
      </c>
      <c r="BO502" s="20">
        <f ca="1">IF(Table1[[#This Row],[County]]="South Yorkshire",Table1[[#This Row],[income]],0)</f>
        <v>0</v>
      </c>
      <c r="BP502" s="20">
        <f ca="1">IF(Table1[[#This Row],[County]]="Greater London",Table1[[#This Row],[income]],0)</f>
        <v>0</v>
      </c>
      <c r="BQ502" s="20">
        <f ca="1">IF(Table1[[#This Row],[County]]="Hampshire",Table1[[#This Row],[income]],0)</f>
        <v>0</v>
      </c>
      <c r="BR502" s="20">
        <f ca="1">IF(Table1[[#This Row],[County]]="Gloucestershire",Table1[[#This Row],[income]],0)</f>
        <v>0</v>
      </c>
      <c r="BS502" s="20">
        <f ca="1">IF(Table1[[#This Row],[County]]="West Sussex",Table1[[#This Row],[income]],0)</f>
        <v>0</v>
      </c>
      <c r="BT502" s="20">
        <f ca="1">IF(Table1[[#This Row],[County]]="Devon",Table1[[#This Row],[income]],0)</f>
        <v>0</v>
      </c>
      <c r="BU502" s="20">
        <f ca="1">IF(Table1[[#This Row],[County]]="Berkshire",Table1[[#This Row],[income]],0)</f>
        <v>0</v>
      </c>
      <c r="BV502" s="20">
        <f ca="1">IF(Table1[[#This Row],[County]]="Staffordshire",Table1[[#This Row],[income]],0)</f>
        <v>0</v>
      </c>
      <c r="BW502" s="20">
        <f ca="1">IF(Table1[[#This Row],[County]]="Leicestershire",Table1[[#This Row],[income]],0)</f>
        <v>0</v>
      </c>
      <c r="BX502" s="20">
        <f ca="1">IF(Table1[[#This Row],[County]]="Cornwall",Table1[[#This Row],[income]],0)</f>
        <v>0</v>
      </c>
      <c r="BY502" s="20">
        <f ca="1">IF(Table1[[#This Row],[County]]="Isle of Wight",Table1[[#This Row],[income]],0)</f>
        <v>0</v>
      </c>
      <c r="BZ502" s="20">
        <f ca="1">IF(Table1[[#This Row],[County]]="Surrey",Table1[[#This Row],[income]],0)</f>
        <v>0</v>
      </c>
      <c r="CA502" s="20">
        <f ca="1">IF(Table1[[#This Row],[County]]="Derbyshire",Table1[[#This Row],[income]],0)</f>
        <v>0</v>
      </c>
      <c r="CB502" s="20">
        <f ca="1">IF(Table1[[#This Row],[County]]="City of London",Table1[[#This Row],[income]],0)</f>
        <v>0</v>
      </c>
      <c r="CC502" s="20">
        <f ca="1">IF(Table1[[#This Row],[County]]="Bedfordshire",Table1[[#This Row],[income]],0)</f>
        <v>0</v>
      </c>
      <c r="CD502" s="20">
        <f ca="1">IF(Table1[[#This Row],[County]]="County Durham",Table1[[#This Row],[income]],0)</f>
        <v>0</v>
      </c>
      <c r="CE502" s="20">
        <f ca="1">IF(Table1[[#This Row],[County]]="East Riding of Yorkshire",Table1[[#This Row],[income]],0)</f>
        <v>0</v>
      </c>
      <c r="CF502" s="20">
        <f ca="1">IF(Table1[[#This Row],[County]]="West Yorkshire",Table1[[#This Row],[income]],0)</f>
        <v>0</v>
      </c>
      <c r="CG502" s="20">
        <f ca="1">IF(Table1[[#This Row],[County]]="Essex",Table1[[#This Row],[income]],0)</f>
        <v>89508</v>
      </c>
      <c r="CH502" s="20">
        <f ca="1">IF(Table1[[#This Row],[County]]="East Sussex",Table1[[#This Row],[income]],0)</f>
        <v>0</v>
      </c>
      <c r="CI502" s="20">
        <f ca="1">IF(Table1[[#This Row],[County]]="Greater Manchester",Table1[[#This Row],[income]],0)</f>
        <v>0</v>
      </c>
      <c r="CJ502" s="20">
        <f ca="1">IF(Table1[[#This Row],[County]]="Hertfordshire",Table1[[#This Row],[income]],0)</f>
        <v>0</v>
      </c>
      <c r="CK502" s="20">
        <f ca="1">IF(Table1[[#This Row],[County]]="Herefordshire",Table1[[#This Row],[income]],0)</f>
        <v>0</v>
      </c>
      <c r="CL502" s="20">
        <f ca="1">IF(Table1[[#This Row],[County]]="Lancashire",Table1[[#This Row],[income]],0)</f>
        <v>0</v>
      </c>
      <c r="CM502" s="20">
        <f ca="1">IF(Table1[[#This Row],[County]]="Merseyside",Table1[[#This Row],[income]],0)</f>
        <v>0</v>
      </c>
      <c r="CN502" s="20">
        <f ca="1">IF(Table1[[#This Row],[County]]="Northamptonshire",Table1[[#This Row],[income]],0)</f>
        <v>0</v>
      </c>
      <c r="CO502" s="20">
        <f ca="1">IF(Table1[[#This Row],[County]]="Northumberland",Table1[[#This Row],[income]],0)</f>
        <v>0</v>
      </c>
      <c r="CP502" s="20">
        <f ca="1">IF(Table1[[#This Row],[County]]="Wiltshire",Table1[[#This Row],[income]],0)</f>
        <v>0</v>
      </c>
      <c r="CQ502" s="20">
        <f ca="1">IF(Table1[[#This Row],[County]]="West Midlands",Table1[[#This Row],[income]],0)</f>
        <v>0</v>
      </c>
      <c r="CR502" s="20">
        <f ca="1">IF(Table1[[#This Row],[County]]="Warwickshire",Table1[[#This Row],[income]],0)</f>
        <v>0</v>
      </c>
      <c r="CS502" s="20">
        <f ca="1">IF(Table1[[#This Row],[County]]="Tyne and Wear",Table1[[#This Row],[income]],0)</f>
        <v>0</v>
      </c>
      <c r="CT502" s="20">
        <f ca="1">IF(Table1[[#This Row],[County]]="Worcestershire",Table1[[#This Row],[income]],0)</f>
        <v>0</v>
      </c>
      <c r="CU502" s="20">
        <f ca="1">IF(Table1[[#This Row],[County]]="Rutland",Table1[[#This Row],[income]],0)</f>
        <v>0</v>
      </c>
      <c r="CV502" s="20">
        <f ca="1">IF(Table1[[#This Row],[County]]="Shropshire",Table1[[#This Row],[income]],0)</f>
        <v>0</v>
      </c>
      <c r="CW502" s="20">
        <f ca="1">IF(Table1[[#This Row],[County]]="Dorset",Table1[[#This Row],[income]],0)</f>
        <v>0</v>
      </c>
      <c r="CX502" s="20">
        <f ca="1">IF(Table1[[#This Row],[County]]="Buckinghamshire",Table1[[#This Row],[income]],0)</f>
        <v>0</v>
      </c>
      <c r="CY502" s="20">
        <f ca="1">IF(Table1[[#This Row],[County]]="Suffolk",Table1[[#This Row],[income]],0)</f>
        <v>0</v>
      </c>
      <c r="CZ502" s="20">
        <f ca="1">IF(Table1[[#This Row],[County]]="North Yorkshire",Table1[[#This Row],[income]],0)</f>
        <v>0</v>
      </c>
      <c r="DA502" s="20">
        <f ca="1">IF(Table1[[#This Row],[County]]="Kent",Table1[[#This Row],[income]],0)</f>
        <v>0</v>
      </c>
      <c r="DB502" s="5">
        <f ca="1">IF(Table1[[#This Row],[County]]="Derbyshire",Table1[[#This Row],[income]],0)</f>
        <v>0</v>
      </c>
      <c r="DD502" s="6">
        <f ca="1">IF(Table1[[#This Row],[Column1]]="Health",Table1[[#This Row],[income]],0)</f>
        <v>0</v>
      </c>
      <c r="DE502" s="20">
        <f ca="1">IF(Table1[[#This Row],[Column1]]="Agriculture",Table1[[#This Row],[income]],0)</f>
        <v>0</v>
      </c>
      <c r="DF502" s="20">
        <f ca="1">IF(Table1[[#This Row],[Column1]]="Technology",Table1[[#This Row],[income]],0)</f>
        <v>89508</v>
      </c>
      <c r="DG502" s="20">
        <f ca="1">IF(Table1[[#This Row],[Column1]]="Social Service",Table1[[#This Row],[income]],0)</f>
        <v>0</v>
      </c>
      <c r="DH502" s="20">
        <f ca="1">IF(Table1[[#This Row],[Column1]]="Education",Table1[[#This Row],[income]],0)</f>
        <v>0</v>
      </c>
      <c r="DI502" s="5">
        <f ca="1">IF(Table1[[#This Row],[Column1]]="Construction",Table1[[#This Row],[income]],0)</f>
        <v>0</v>
      </c>
      <c r="DK502" s="6">
        <f ca="1">IF(Table1[[#This Row],[Value of Debts]]&gt;Table1[[#This Row],[income]],1,0)</f>
        <v>1</v>
      </c>
      <c r="DL502" s="20"/>
      <c r="DM502" s="20"/>
      <c r="DN502" s="5"/>
      <c r="DP502" s="6">
        <f ca="1">IF(Table1[[#This Row],[Net Worth (£)]]&gt;$DS$5,C502,0)</f>
        <v>47</v>
      </c>
      <c r="DQ502" s="20"/>
      <c r="DR502" s="20"/>
      <c r="DS502" s="5"/>
    </row>
    <row r="503" spans="1:123" x14ac:dyDescent="0.2">
      <c r="A503">
        <f t="shared" ca="1" si="22"/>
        <v>2</v>
      </c>
      <c r="B503" s="1" t="str">
        <f ca="1">IF(A503=1, "men", "women")</f>
        <v>women</v>
      </c>
      <c r="C503" s="1">
        <f ca="1">RANDBETWEEN(25,50)</f>
        <v>28</v>
      </c>
      <c r="D503">
        <f ca="1">RANDBETWEEN(1,6)</f>
        <v>5</v>
      </c>
      <c r="E503" t="str">
        <f ca="1">VLOOKUP(D503,$W$5:$X$10,2)</f>
        <v>Social Service</v>
      </c>
      <c r="F503">
        <f ca="1">RANDBETWEEN(1,5)</f>
        <v>3</v>
      </c>
      <c r="G503" t="str">
        <f ca="1">VLOOKUP(F503,$Y$5:$Z$9,2)</f>
        <v>University</v>
      </c>
      <c r="H503">
        <f ca="1">RANDBETWEEN(0,4)</f>
        <v>0</v>
      </c>
      <c r="I503">
        <f ca="1">RANDBETWEEN(1,3)</f>
        <v>1</v>
      </c>
      <c r="J503">
        <f ca="1">RANDBETWEEN(30000,100000)</f>
        <v>64028</v>
      </c>
      <c r="K503">
        <f ca="1">RANDBETWEEN(1,48)</f>
        <v>17</v>
      </c>
      <c r="L503" t="str">
        <f ca="1">VLOOKUP(K503,$AA$5:$AB$52,2)</f>
        <v>Gloucestershire</v>
      </c>
      <c r="M503">
        <f ca="1">J503*(RANDBETWEEN(2,5))</f>
        <v>320140</v>
      </c>
      <c r="N503">
        <f ca="1">RAND()*M503</f>
        <v>318342.10475413344</v>
      </c>
      <c r="O503">
        <f ca="1">I503*RAND()*J503</f>
        <v>62945.422134740533</v>
      </c>
      <c r="P503">
        <f ca="1">RANDBETWEEN(0,O503)</f>
        <v>30404</v>
      </c>
      <c r="Q503">
        <f ca="1">RAND()*J503*2</f>
        <v>77344.748111709865</v>
      </c>
      <c r="R503">
        <f ca="1">RAND()*J503*1.5</f>
        <v>45787.057451003144</v>
      </c>
      <c r="S503">
        <f ca="1">J503+R503+O503</f>
        <v>172760.47958574368</v>
      </c>
      <c r="T503">
        <f ca="1">N503+P503+Q503</f>
        <v>426090.85286584334</v>
      </c>
      <c r="U503">
        <f ca="1">S503-T503</f>
        <v>-253330.37328009965</v>
      </c>
      <c r="AC503" s="6">
        <f ca="1">IF(Table1[[#This Row],[gender]]="men",1,0)</f>
        <v>0</v>
      </c>
      <c r="AD503">
        <f ca="1">IF(Table1[[#This Row],[gender]]="women",1,0)</f>
        <v>1</v>
      </c>
      <c r="AH503" s="5"/>
      <c r="AJ503" s="6">
        <f ca="1">IF(Table1[[#This Row],[Column1]]="Health",1,0)</f>
        <v>0</v>
      </c>
      <c r="AK503">
        <f ca="1">IF(Table1[[#This Row],[Column1]]="Construction",1,0)</f>
        <v>0</v>
      </c>
      <c r="AL503">
        <f ca="1">IF(Table1[[#This Row],[Column1]]="Technology",1,0)</f>
        <v>0</v>
      </c>
      <c r="AM503">
        <f ca="1">IF(Table1[[#This Row],[Column1]]="Education",1,0)</f>
        <v>0</v>
      </c>
      <c r="AN503">
        <f ca="1">IF(Table1[[#This Row],[Column1]]="Agriculture",1,0)</f>
        <v>0</v>
      </c>
      <c r="AO503">
        <f ca="1">IF(Table1[[#This Row],[Column1]]="Social Service", 1, 0)</f>
        <v>1</v>
      </c>
      <c r="AT503" s="5"/>
      <c r="AV503" s="17">
        <f ca="1">(O504/I504)</f>
        <v>25885.214299481067</v>
      </c>
      <c r="AW503" s="5"/>
      <c r="AX503" s="6">
        <f ca="1">IF(Table1[[#This Row],[Value of Debts]]&gt;$AY$4,1,0)</f>
        <v>1</v>
      </c>
      <c r="AY503" s="20"/>
      <c r="AZ503" s="20"/>
      <c r="BA503" s="5"/>
      <c r="BB503" s="25">
        <f ca="1">Table1[[#This Row],[Mortage Left]]/Table1[[#This Row],[Value of House]]</f>
        <v>0.99438403434164258</v>
      </c>
      <c r="BC503" s="20">
        <f t="shared" ca="1" si="23"/>
        <v>0</v>
      </c>
      <c r="BD503" s="20"/>
      <c r="BE503" s="20"/>
      <c r="BF503" s="20"/>
      <c r="BG503" s="6">
        <f ca="1">IF(Table1[[#This Row],[County]]="Cumbria",Table1[[#This Row],[income]],0)</f>
        <v>0</v>
      </c>
      <c r="BH503" s="20">
        <f ca="1">IF(Table1[[#This Row],[County]]="Cheshire",Table1[[#This Row],[income]],0)</f>
        <v>0</v>
      </c>
      <c r="BI503" s="20">
        <f ca="1">IF(Table1[[#This Row],[County]]="Bristol",Table1[[#This Row],[income]],0)</f>
        <v>0</v>
      </c>
      <c r="BJ503" s="20">
        <f ca="1">IF(Table1[[#This Row],[County]]="Surrey",Table1[[#This Row],[income]],0)</f>
        <v>0</v>
      </c>
      <c r="BK503" s="20">
        <f ca="1">IF(Table1[[#This Row],[County]]="Norfolk",Table1[[#This Row],[income]],0)</f>
        <v>0</v>
      </c>
      <c r="BL503" s="20">
        <f ca="1">IF(Table1[[#This Row],[County]]="Lincolnshire",Table1[[#This Row],[income]],0)</f>
        <v>0</v>
      </c>
      <c r="BM503" s="20">
        <f ca="1">IF(Table1[[#This Row],[County]]="Somerset",Table1[[#This Row],[income]],0)</f>
        <v>0</v>
      </c>
      <c r="BN503" s="20">
        <f ca="1">IF(Table1[[#This Row],[County]]="Cambridgeshire",Table1[[#This Row],[income]],0)</f>
        <v>0</v>
      </c>
      <c r="BO503" s="20">
        <f ca="1">IF(Table1[[#This Row],[County]]="South Yorkshire",Table1[[#This Row],[income]],0)</f>
        <v>0</v>
      </c>
      <c r="BP503" s="20">
        <f ca="1">IF(Table1[[#This Row],[County]]="Greater London",Table1[[#This Row],[income]],0)</f>
        <v>0</v>
      </c>
      <c r="BQ503" s="20">
        <f ca="1">IF(Table1[[#This Row],[County]]="Hampshire",Table1[[#This Row],[income]],0)</f>
        <v>0</v>
      </c>
      <c r="BR503" s="20">
        <f ca="1">IF(Table1[[#This Row],[County]]="Gloucestershire",Table1[[#This Row],[income]],0)</f>
        <v>64028</v>
      </c>
      <c r="BS503" s="20">
        <f ca="1">IF(Table1[[#This Row],[County]]="West Sussex",Table1[[#This Row],[income]],0)</f>
        <v>0</v>
      </c>
      <c r="BT503" s="20">
        <f ca="1">IF(Table1[[#This Row],[County]]="Devon",Table1[[#This Row],[income]],0)</f>
        <v>0</v>
      </c>
      <c r="BU503" s="20">
        <f ca="1">IF(Table1[[#This Row],[County]]="Berkshire",Table1[[#This Row],[income]],0)</f>
        <v>0</v>
      </c>
      <c r="BV503" s="20">
        <f ca="1">IF(Table1[[#This Row],[County]]="Staffordshire",Table1[[#This Row],[income]],0)</f>
        <v>0</v>
      </c>
      <c r="BW503" s="20">
        <f ca="1">IF(Table1[[#This Row],[County]]="Leicestershire",Table1[[#This Row],[income]],0)</f>
        <v>0</v>
      </c>
      <c r="BX503" s="20">
        <f ca="1">IF(Table1[[#This Row],[County]]="Cornwall",Table1[[#This Row],[income]],0)</f>
        <v>0</v>
      </c>
      <c r="BY503" s="20">
        <f ca="1">IF(Table1[[#This Row],[County]]="Isle of Wight",Table1[[#This Row],[income]],0)</f>
        <v>0</v>
      </c>
      <c r="BZ503" s="20">
        <f ca="1">IF(Table1[[#This Row],[County]]="Surrey",Table1[[#This Row],[income]],0)</f>
        <v>0</v>
      </c>
      <c r="CA503" s="20">
        <f ca="1">IF(Table1[[#This Row],[County]]="Derbyshire",Table1[[#This Row],[income]],0)</f>
        <v>0</v>
      </c>
      <c r="CB503" s="20">
        <f ca="1">IF(Table1[[#This Row],[County]]="City of London",Table1[[#This Row],[income]],0)</f>
        <v>0</v>
      </c>
      <c r="CC503" s="20">
        <f ca="1">IF(Table1[[#This Row],[County]]="Bedfordshire",Table1[[#This Row],[income]],0)</f>
        <v>0</v>
      </c>
      <c r="CD503" s="20">
        <f ca="1">IF(Table1[[#This Row],[County]]="County Durham",Table1[[#This Row],[income]],0)</f>
        <v>0</v>
      </c>
      <c r="CE503" s="20">
        <f ca="1">IF(Table1[[#This Row],[County]]="East Riding of Yorkshire",Table1[[#This Row],[income]],0)</f>
        <v>0</v>
      </c>
      <c r="CF503" s="20">
        <f ca="1">IF(Table1[[#This Row],[County]]="West Yorkshire",Table1[[#This Row],[income]],0)</f>
        <v>0</v>
      </c>
      <c r="CG503" s="20">
        <f ca="1">IF(Table1[[#This Row],[County]]="Essex",Table1[[#This Row],[income]],0)</f>
        <v>0</v>
      </c>
      <c r="CH503" s="20">
        <f ca="1">IF(Table1[[#This Row],[County]]="East Sussex",Table1[[#This Row],[income]],0)</f>
        <v>0</v>
      </c>
      <c r="CI503" s="20">
        <f ca="1">IF(Table1[[#This Row],[County]]="Greater Manchester",Table1[[#This Row],[income]],0)</f>
        <v>0</v>
      </c>
      <c r="CJ503" s="20">
        <f ca="1">IF(Table1[[#This Row],[County]]="Hertfordshire",Table1[[#This Row],[income]],0)</f>
        <v>0</v>
      </c>
      <c r="CK503" s="20">
        <f ca="1">IF(Table1[[#This Row],[County]]="Herefordshire",Table1[[#This Row],[income]],0)</f>
        <v>0</v>
      </c>
      <c r="CL503" s="20">
        <f ca="1">IF(Table1[[#This Row],[County]]="Lancashire",Table1[[#This Row],[income]],0)</f>
        <v>0</v>
      </c>
      <c r="CM503" s="20">
        <f ca="1">IF(Table1[[#This Row],[County]]="Merseyside",Table1[[#This Row],[income]],0)</f>
        <v>0</v>
      </c>
      <c r="CN503" s="20">
        <f ca="1">IF(Table1[[#This Row],[County]]="Northamptonshire",Table1[[#This Row],[income]],0)</f>
        <v>0</v>
      </c>
      <c r="CO503" s="20">
        <f ca="1">IF(Table1[[#This Row],[County]]="Northumberland",Table1[[#This Row],[income]],0)</f>
        <v>0</v>
      </c>
      <c r="CP503" s="20">
        <f ca="1">IF(Table1[[#This Row],[County]]="Wiltshire",Table1[[#This Row],[income]],0)</f>
        <v>0</v>
      </c>
      <c r="CQ503" s="20">
        <f ca="1">IF(Table1[[#This Row],[County]]="West Midlands",Table1[[#This Row],[income]],0)</f>
        <v>0</v>
      </c>
      <c r="CR503" s="20">
        <f ca="1">IF(Table1[[#This Row],[County]]="Warwickshire",Table1[[#This Row],[income]],0)</f>
        <v>0</v>
      </c>
      <c r="CS503" s="20">
        <f ca="1">IF(Table1[[#This Row],[County]]="Tyne and Wear",Table1[[#This Row],[income]],0)</f>
        <v>0</v>
      </c>
      <c r="CT503" s="20">
        <f ca="1">IF(Table1[[#This Row],[County]]="Worcestershire",Table1[[#This Row],[income]],0)</f>
        <v>0</v>
      </c>
      <c r="CU503" s="20">
        <f ca="1">IF(Table1[[#This Row],[County]]="Rutland",Table1[[#This Row],[income]],0)</f>
        <v>0</v>
      </c>
      <c r="CV503" s="20">
        <f ca="1">IF(Table1[[#This Row],[County]]="Shropshire",Table1[[#This Row],[income]],0)</f>
        <v>0</v>
      </c>
      <c r="CW503" s="20">
        <f ca="1">IF(Table1[[#This Row],[County]]="Dorset",Table1[[#This Row],[income]],0)</f>
        <v>0</v>
      </c>
      <c r="CX503" s="20">
        <f ca="1">IF(Table1[[#This Row],[County]]="Buckinghamshire",Table1[[#This Row],[income]],0)</f>
        <v>0</v>
      </c>
      <c r="CY503" s="20">
        <f ca="1">IF(Table1[[#This Row],[County]]="Suffolk",Table1[[#This Row],[income]],0)</f>
        <v>0</v>
      </c>
      <c r="CZ503" s="20">
        <f ca="1">IF(Table1[[#This Row],[County]]="North Yorkshire",Table1[[#This Row],[income]],0)</f>
        <v>0</v>
      </c>
      <c r="DA503" s="20">
        <f ca="1">IF(Table1[[#This Row],[County]]="Kent",Table1[[#This Row],[income]],0)</f>
        <v>0</v>
      </c>
      <c r="DB503" s="5">
        <f ca="1">IF(Table1[[#This Row],[County]]="Derbyshire",Table1[[#This Row],[income]],0)</f>
        <v>0</v>
      </c>
      <c r="DD503" s="6">
        <f ca="1">IF(Table1[[#This Row],[Column1]]="Health",Table1[[#This Row],[income]],0)</f>
        <v>0</v>
      </c>
      <c r="DE503" s="20">
        <f ca="1">IF(Table1[[#This Row],[Column1]]="Agriculture",Table1[[#This Row],[income]],0)</f>
        <v>0</v>
      </c>
      <c r="DF503" s="20">
        <f ca="1">IF(Table1[[#This Row],[Column1]]="Technology",Table1[[#This Row],[income]],0)</f>
        <v>0</v>
      </c>
      <c r="DG503" s="20">
        <f ca="1">IF(Table1[[#This Row],[Column1]]="Social Service",Table1[[#This Row],[income]],0)</f>
        <v>64028</v>
      </c>
      <c r="DH503" s="20">
        <f ca="1">IF(Table1[[#This Row],[Column1]]="Education",Table1[[#This Row],[income]],0)</f>
        <v>0</v>
      </c>
      <c r="DI503" s="5">
        <f ca="1">IF(Table1[[#This Row],[Column1]]="Construction",Table1[[#This Row],[income]],0)</f>
        <v>0</v>
      </c>
      <c r="DK503" s="6">
        <f ca="1">IF(Table1[[#This Row],[Value of Debts]]&gt;Table1[[#This Row],[income]],1,0)</f>
        <v>1</v>
      </c>
      <c r="DL503" s="20"/>
      <c r="DM503" s="20"/>
      <c r="DN503" s="5"/>
      <c r="DP503" s="6">
        <f ca="1">IF(Table1[[#This Row],[Net Worth (£)]]&gt;$DS$5,C503,0)</f>
        <v>0</v>
      </c>
      <c r="DQ503" s="20"/>
      <c r="DR503" s="20"/>
      <c r="DS503" s="5"/>
    </row>
    <row r="504" spans="1:123" ht="17" thickBot="1" x14ac:dyDescent="0.25">
      <c r="A504">
        <f t="shared" ca="1" si="22"/>
        <v>1</v>
      </c>
      <c r="B504" s="1" t="str">
        <f ca="1">IF(A504=1, "men", "women")</f>
        <v>men</v>
      </c>
      <c r="C504" s="1">
        <f ca="1">RANDBETWEEN(25,50)</f>
        <v>38</v>
      </c>
      <c r="D504">
        <f ca="1">RANDBETWEEN(1,6)</f>
        <v>3</v>
      </c>
      <c r="E504" t="str">
        <f ca="1">VLOOKUP(D504,$W$5:$X$10,2)</f>
        <v>Education</v>
      </c>
      <c r="F504">
        <f ca="1">RANDBETWEEN(1,5)</f>
        <v>2</v>
      </c>
      <c r="G504" t="str">
        <f ca="1">VLOOKUP(F504,$Y$5:$Z$9,2)</f>
        <v>College</v>
      </c>
      <c r="H504">
        <f ca="1">RANDBETWEEN(0,4)</f>
        <v>0</v>
      </c>
      <c r="I504">
        <f ca="1">RANDBETWEEN(1,3)</f>
        <v>2</v>
      </c>
      <c r="J504">
        <f ca="1">RANDBETWEEN(30000,100000)</f>
        <v>32623</v>
      </c>
      <c r="K504">
        <f ca="1">RANDBETWEEN(1,48)</f>
        <v>24</v>
      </c>
      <c r="L504" t="str">
        <f ca="1">VLOOKUP(K504,$AA$5:$AB$52,2)</f>
        <v>Kent</v>
      </c>
      <c r="M504">
        <f ca="1">J504*(RANDBETWEEN(2,5))</f>
        <v>130492</v>
      </c>
      <c r="N504">
        <f ca="1">RAND()*M504</f>
        <v>55518.693959983168</v>
      </c>
      <c r="O504">
        <f ca="1">I504*RAND()*J504</f>
        <v>51770.428598962135</v>
      </c>
      <c r="P504">
        <f ca="1">RANDBETWEEN(0,O504)</f>
        <v>2492</v>
      </c>
      <c r="Q504">
        <f ca="1">RAND()*J504*2</f>
        <v>33228.960387329629</v>
      </c>
      <c r="R504">
        <f ca="1">RAND()*J504*1.5</f>
        <v>39291.919335106781</v>
      </c>
      <c r="S504">
        <f ca="1">J504+R504+O504</f>
        <v>123685.34793406891</v>
      </c>
      <c r="T504">
        <f ca="1">N504+P504+Q504</f>
        <v>91239.654347312797</v>
      </c>
      <c r="U504">
        <f ca="1">S504-T504</f>
        <v>32445.693586756111</v>
      </c>
      <c r="AC504" s="6">
        <f ca="1">IF(Table1[[#This Row],[gender]]="men",1,0)</f>
        <v>1</v>
      </c>
      <c r="AD504">
        <f ca="1">IF(Table1[[#This Row],[gender]]="women",1,0)</f>
        <v>0</v>
      </c>
      <c r="AH504" s="5"/>
      <c r="AJ504" s="6">
        <f ca="1">IF(Table1[[#This Row],[Column1]]="Health",1,0)</f>
        <v>0</v>
      </c>
      <c r="AK504">
        <f ca="1">IF(Table1[[#This Row],[Column1]]="Construction",1,0)</f>
        <v>0</v>
      </c>
      <c r="AL504">
        <f ca="1">IF(Table1[[#This Row],[Column1]]="Technology",1,0)</f>
        <v>0</v>
      </c>
      <c r="AM504">
        <f ca="1">IF(Table1[[#This Row],[Column1]]="Education",1,0)</f>
        <v>1</v>
      </c>
      <c r="AN504">
        <f ca="1">IF(Table1[[#This Row],[Column1]]="Agriculture",1,0)</f>
        <v>0</v>
      </c>
      <c r="AO504">
        <f ca="1">IF(Table1[[#This Row],[Column1]]="Social Service", 1, 0)</f>
        <v>0</v>
      </c>
      <c r="AT504" s="5"/>
      <c r="AV504" s="19">
        <f ca="1">(O505/I505)</f>
        <v>3149.6833752264738</v>
      </c>
      <c r="AW504" s="9"/>
      <c r="AX504" s="7">
        <f ca="1">IF(Table1[[#This Row],[Value of Debts]]&gt;$AY$4,1,0)</f>
        <v>0</v>
      </c>
      <c r="AY504" s="8"/>
      <c r="AZ504" s="8"/>
      <c r="BA504" s="9"/>
      <c r="BB504" s="26">
        <f ca="1">Table1[[#This Row],[Mortage Left]]/Table1[[#This Row],[Value of House]]</f>
        <v>0.42545668669330816</v>
      </c>
      <c r="BC504" s="8">
        <f t="shared" ca="1" si="23"/>
        <v>0</v>
      </c>
      <c r="BD504" s="8"/>
      <c r="BE504" s="8"/>
      <c r="BF504" s="8"/>
      <c r="BG504" s="6">
        <f ca="1">IF(Table1[[#This Row],[County]]="Cumbria",Table1[[#This Row],[income]],0)</f>
        <v>0</v>
      </c>
      <c r="BH504" s="20">
        <f ca="1">IF(Table1[[#This Row],[County]]="Cheshire",Table1[[#This Row],[income]],0)</f>
        <v>0</v>
      </c>
      <c r="BI504" s="20">
        <f ca="1">IF(Table1[[#This Row],[County]]="Bristol",Table1[[#This Row],[income]],0)</f>
        <v>0</v>
      </c>
      <c r="BJ504" s="20">
        <f ca="1">IF(Table1[[#This Row],[County]]="Surrey",Table1[[#This Row],[income]],0)</f>
        <v>0</v>
      </c>
      <c r="BK504" s="20">
        <f ca="1">IF(Table1[[#This Row],[County]]="Norfolk",Table1[[#This Row],[income]],0)</f>
        <v>0</v>
      </c>
      <c r="BL504" s="20">
        <f ca="1">IF(Table1[[#This Row],[County]]="Lincolnshire",Table1[[#This Row],[income]],0)</f>
        <v>0</v>
      </c>
      <c r="BM504" s="20">
        <f ca="1">IF(Table1[[#This Row],[County]]="Somerset",Table1[[#This Row],[income]],0)</f>
        <v>0</v>
      </c>
      <c r="BN504" s="20">
        <f ca="1">IF(Table1[[#This Row],[County]]="Cambridgeshire",Table1[[#This Row],[income]],0)</f>
        <v>0</v>
      </c>
      <c r="BO504" s="20">
        <f ca="1">IF(Table1[[#This Row],[County]]="South Yorkshire",Table1[[#This Row],[income]],0)</f>
        <v>0</v>
      </c>
      <c r="BP504" s="20">
        <f ca="1">IF(Table1[[#This Row],[County]]="Greater London",Table1[[#This Row],[income]],0)</f>
        <v>0</v>
      </c>
      <c r="BQ504" s="20">
        <f ca="1">IF(Table1[[#This Row],[County]]="Hampshire",Table1[[#This Row],[income]],0)</f>
        <v>0</v>
      </c>
      <c r="BR504" s="20">
        <f ca="1">IF(Table1[[#This Row],[County]]="Gloucestershire",Table1[[#This Row],[income]],0)</f>
        <v>0</v>
      </c>
      <c r="BS504" s="20">
        <f ca="1">IF(Table1[[#This Row],[County]]="West Sussex",Table1[[#This Row],[income]],0)</f>
        <v>0</v>
      </c>
      <c r="BT504" s="20">
        <f ca="1">IF(Table1[[#This Row],[County]]="Devon",Table1[[#This Row],[income]],0)</f>
        <v>0</v>
      </c>
      <c r="BU504" s="20">
        <f ca="1">IF(Table1[[#This Row],[County]]="Berkshire",Table1[[#This Row],[income]],0)</f>
        <v>0</v>
      </c>
      <c r="BV504" s="20">
        <f ca="1">IF(Table1[[#This Row],[County]]="Staffordshire",Table1[[#This Row],[income]],0)</f>
        <v>0</v>
      </c>
      <c r="BW504" s="20">
        <f ca="1">IF(Table1[[#This Row],[County]]="Leicestershire",Table1[[#This Row],[income]],0)</f>
        <v>0</v>
      </c>
      <c r="BX504" s="20">
        <f ca="1">IF(Table1[[#This Row],[County]]="Cornwall",Table1[[#This Row],[income]],0)</f>
        <v>0</v>
      </c>
      <c r="BY504" s="20">
        <f ca="1">IF(Table1[[#This Row],[County]]="Isle of Wight",Table1[[#This Row],[income]],0)</f>
        <v>0</v>
      </c>
      <c r="BZ504" s="20">
        <f ca="1">IF(Table1[[#This Row],[County]]="Surrey",Table1[[#This Row],[income]],0)</f>
        <v>0</v>
      </c>
      <c r="CA504" s="20">
        <f ca="1">IF(Table1[[#This Row],[County]]="Derbyshire",Table1[[#This Row],[income]],0)</f>
        <v>0</v>
      </c>
      <c r="CB504" s="20">
        <f ca="1">IF(Table1[[#This Row],[County]]="City of London",Table1[[#This Row],[income]],0)</f>
        <v>0</v>
      </c>
      <c r="CC504" s="20">
        <f ca="1">IF(Table1[[#This Row],[County]]="Bedfordshire",Table1[[#This Row],[income]],0)</f>
        <v>0</v>
      </c>
      <c r="CD504" s="20">
        <f ca="1">IF(Table1[[#This Row],[County]]="County Durham",Table1[[#This Row],[income]],0)</f>
        <v>0</v>
      </c>
      <c r="CE504" s="20">
        <f ca="1">IF(Table1[[#This Row],[County]]="East Riding of Yorkshire",Table1[[#This Row],[income]],0)</f>
        <v>0</v>
      </c>
      <c r="CF504" s="20">
        <f ca="1">IF(Table1[[#This Row],[County]]="West Yorkshire",Table1[[#This Row],[income]],0)</f>
        <v>0</v>
      </c>
      <c r="CG504" s="20">
        <f ca="1">IF(Table1[[#This Row],[County]]="Essex",Table1[[#This Row],[income]],0)</f>
        <v>0</v>
      </c>
      <c r="CH504" s="20">
        <f ca="1">IF(Table1[[#This Row],[County]]="East Sussex",Table1[[#This Row],[income]],0)</f>
        <v>0</v>
      </c>
      <c r="CI504" s="20">
        <f ca="1">IF(Table1[[#This Row],[County]]="Greater Manchester",Table1[[#This Row],[income]],0)</f>
        <v>0</v>
      </c>
      <c r="CJ504" s="20">
        <f ca="1">IF(Table1[[#This Row],[County]]="Hertfordshire",Table1[[#This Row],[income]],0)</f>
        <v>0</v>
      </c>
      <c r="CK504" s="20">
        <f ca="1">IF(Table1[[#This Row],[County]]="Herefordshire",Table1[[#This Row],[income]],0)</f>
        <v>0</v>
      </c>
      <c r="CL504" s="20">
        <f ca="1">IF(Table1[[#This Row],[County]]="Lancashire",Table1[[#This Row],[income]],0)</f>
        <v>0</v>
      </c>
      <c r="CM504" s="20">
        <f ca="1">IF(Table1[[#This Row],[County]]="Merseyside",Table1[[#This Row],[income]],0)</f>
        <v>0</v>
      </c>
      <c r="CN504" s="20">
        <f ca="1">IF(Table1[[#This Row],[County]]="Northamptonshire",Table1[[#This Row],[income]],0)</f>
        <v>0</v>
      </c>
      <c r="CO504" s="20">
        <f ca="1">IF(Table1[[#This Row],[County]]="Northumberland",Table1[[#This Row],[income]],0)</f>
        <v>0</v>
      </c>
      <c r="CP504" s="20">
        <f ca="1">IF(Table1[[#This Row],[County]]="Wiltshire",Table1[[#This Row],[income]],0)</f>
        <v>0</v>
      </c>
      <c r="CQ504" s="20">
        <f ca="1">IF(Table1[[#This Row],[County]]="West Midlands",Table1[[#This Row],[income]],0)</f>
        <v>0</v>
      </c>
      <c r="CR504" s="20">
        <f ca="1">IF(Table1[[#This Row],[County]]="Warwickshire",Table1[[#This Row],[income]],0)</f>
        <v>0</v>
      </c>
      <c r="CS504" s="20">
        <f ca="1">IF(Table1[[#This Row],[County]]="Tyne and Wear",Table1[[#This Row],[income]],0)</f>
        <v>0</v>
      </c>
      <c r="CT504" s="20">
        <f ca="1">IF(Table1[[#This Row],[County]]="Worcestershire",Table1[[#This Row],[income]],0)</f>
        <v>0</v>
      </c>
      <c r="CU504" s="20">
        <f ca="1">IF(Table1[[#This Row],[County]]="Rutland",Table1[[#This Row],[income]],0)</f>
        <v>0</v>
      </c>
      <c r="CV504" s="20">
        <f ca="1">IF(Table1[[#This Row],[County]]="Shropshire",Table1[[#This Row],[income]],0)</f>
        <v>0</v>
      </c>
      <c r="CW504" s="20">
        <f ca="1">IF(Table1[[#This Row],[County]]="Dorset",Table1[[#This Row],[income]],0)</f>
        <v>0</v>
      </c>
      <c r="CX504" s="20">
        <f ca="1">IF(Table1[[#This Row],[County]]="Buckinghamshire",Table1[[#This Row],[income]],0)</f>
        <v>0</v>
      </c>
      <c r="CY504" s="20">
        <f ca="1">IF(Table1[[#This Row],[County]]="Suffolk",Table1[[#This Row],[income]],0)</f>
        <v>0</v>
      </c>
      <c r="CZ504" s="20">
        <f ca="1">IF(Table1[[#This Row],[County]]="North Yorkshire",Table1[[#This Row],[income]],0)</f>
        <v>0</v>
      </c>
      <c r="DA504" s="20">
        <f ca="1">IF(Table1[[#This Row],[County]]="Kent",Table1[[#This Row],[income]],0)</f>
        <v>32623</v>
      </c>
      <c r="DB504" s="5">
        <f ca="1">IF(Table1[[#This Row],[County]]="Derbyshire",Table1[[#This Row],[income]],0)</f>
        <v>0</v>
      </c>
      <c r="DD504" s="6">
        <f ca="1">IF(Table1[[#This Row],[Column1]]="Health",Table1[[#This Row],[income]],0)</f>
        <v>0</v>
      </c>
      <c r="DE504" s="20">
        <f ca="1">IF(Table1[[#This Row],[Column1]]="Agriculture",Table1[[#This Row],[income]],0)</f>
        <v>0</v>
      </c>
      <c r="DF504" s="20">
        <f ca="1">IF(Table1[[#This Row],[Column1]]="Technology",Table1[[#This Row],[income]],0)</f>
        <v>0</v>
      </c>
      <c r="DG504" s="20">
        <f ca="1">IF(Table1[[#This Row],[Column1]]="Social Service",Table1[[#This Row],[income]],0)</f>
        <v>0</v>
      </c>
      <c r="DH504" s="20">
        <f ca="1">IF(Table1[[#This Row],[Column1]]="Education",Table1[[#This Row],[income]],0)</f>
        <v>32623</v>
      </c>
      <c r="DI504" s="5">
        <f ca="1">IF(Table1[[#This Row],[Column1]]="Construction",Table1[[#This Row],[income]],0)</f>
        <v>0</v>
      </c>
      <c r="DK504" s="6">
        <f ca="1">IF(Table1[[#This Row],[Value of Debts]]&gt;Table1[[#This Row],[income]],1,0)</f>
        <v>1</v>
      </c>
      <c r="DL504" s="20"/>
      <c r="DM504" s="20"/>
      <c r="DN504" s="5"/>
      <c r="DP504" s="6">
        <f ca="1">IF(Table1[[#This Row],[Net Worth (£)]]&gt;$DS$5,C504,0)</f>
        <v>0</v>
      </c>
      <c r="DQ504" s="20"/>
      <c r="DR504" s="20"/>
      <c r="DS504" s="5"/>
    </row>
    <row r="505" spans="1:123" ht="17" thickBot="1" x14ac:dyDescent="0.25">
      <c r="A505">
        <f t="shared" ca="1" si="22"/>
        <v>1</v>
      </c>
      <c r="B505" s="1" t="str">
        <f ca="1">IF(A505=1, "men", "women")</f>
        <v>men</v>
      </c>
      <c r="C505" s="1">
        <f ca="1">RANDBETWEEN(25,50)</f>
        <v>44</v>
      </c>
      <c r="D505">
        <f ca="1">RANDBETWEEN(1,6)</f>
        <v>6</v>
      </c>
      <c r="E505" t="str">
        <f ca="1">VLOOKUP(D505,$W$5:$X$10,2)</f>
        <v>Agriculture</v>
      </c>
      <c r="F505">
        <f ca="1">RANDBETWEEN(1,5)</f>
        <v>3</v>
      </c>
      <c r="G505" t="str">
        <f ca="1">VLOOKUP(F505,$Y$5:$Z$9,2)</f>
        <v>University</v>
      </c>
      <c r="H505">
        <f ca="1">RANDBETWEEN(0,4)</f>
        <v>0</v>
      </c>
      <c r="I505">
        <f ca="1">RANDBETWEEN(1,3)</f>
        <v>2</v>
      </c>
      <c r="J505">
        <f ca="1">RANDBETWEEN(30000,100000)</f>
        <v>50699</v>
      </c>
      <c r="K505">
        <f ca="1">RANDBETWEEN(1,48)</f>
        <v>11</v>
      </c>
      <c r="L505" t="str">
        <f ca="1">VLOOKUP(K505,$AA$5:$AB$52,2)</f>
        <v>Devon</v>
      </c>
      <c r="M505">
        <f ca="1">J505*(RANDBETWEEN(2,5))</f>
        <v>152097</v>
      </c>
      <c r="N505">
        <f ca="1">RAND()*M505</f>
        <v>141911.01769473779</v>
      </c>
      <c r="O505">
        <f ca="1">I505*RAND()*J505</f>
        <v>6299.3667504529476</v>
      </c>
      <c r="P505">
        <f ca="1">RANDBETWEEN(0,O505)</f>
        <v>5428</v>
      </c>
      <c r="Q505">
        <f ca="1">RAND()*J505*2</f>
        <v>90282.388935783471</v>
      </c>
      <c r="R505">
        <f ca="1">RAND()*J505*1.5</f>
        <v>72385.17963198811</v>
      </c>
      <c r="S505">
        <f ca="1">J505+R505+O505</f>
        <v>129383.54638244105</v>
      </c>
      <c r="T505">
        <f ca="1">N505+P505+Q505</f>
        <v>237621.40663052126</v>
      </c>
      <c r="U505">
        <f ca="1">S505-T505</f>
        <v>-108237.86024808021</v>
      </c>
      <c r="AC505" s="7">
        <f ca="1">IF(Table1[[#This Row],[gender]]="men",1,0)</f>
        <v>1</v>
      </c>
      <c r="AD505" s="8">
        <f ca="1">IF(Table1[[#This Row],[gender]]="women",1,0)</f>
        <v>0</v>
      </c>
      <c r="AE505" s="8"/>
      <c r="AF505" s="8"/>
      <c r="AG505" s="8"/>
      <c r="AH505" s="9"/>
      <c r="AJ505" s="7">
        <f ca="1">IF(Table1[[#This Row],[Column1]]="Health",1,0)</f>
        <v>0</v>
      </c>
      <c r="AK505" s="8">
        <f ca="1">IF(Table1[[#This Row],[Column1]]="Construction",1,0)</f>
        <v>0</v>
      </c>
      <c r="AL505" s="8">
        <f ca="1">IF(Table1[[#This Row],[Column1]]="Technology",1,0)</f>
        <v>0</v>
      </c>
      <c r="AM505" s="8">
        <f ca="1">IF(Table1[[#This Row],[Column1]]="Education",1,0)</f>
        <v>0</v>
      </c>
      <c r="AN505" s="8">
        <f ca="1">IF(Table1[[#This Row],[Column1]]="Agriculture",1,0)</f>
        <v>1</v>
      </c>
      <c r="AO505" s="8">
        <f ca="1">IF(Table1[[#This Row],[Column1]]="Social Service", 1, 0)</f>
        <v>0</v>
      </c>
      <c r="AP505" s="8"/>
      <c r="AQ505" s="8"/>
      <c r="AR505" s="8"/>
      <c r="AS505" s="8"/>
      <c r="AT505" s="9"/>
      <c r="AV505" s="22"/>
      <c r="AW505" s="20"/>
      <c r="AX505" s="20"/>
      <c r="AY505" s="20"/>
      <c r="AZ505" s="20"/>
      <c r="BA505" s="20"/>
      <c r="BG505" s="33">
        <f ca="1">AVERAGE(BG5:BG504)</f>
        <v>924.83600000000001</v>
      </c>
      <c r="BH505" s="34">
        <f ca="1">AVERAGE(BH5:BH504)</f>
        <v>1138.184</v>
      </c>
      <c r="BI505" s="34">
        <f ca="1">AVERAGE(BI5:BI504)</f>
        <v>1025.4559999999999</v>
      </c>
      <c r="BJ505" s="34">
        <f ca="1">AVERAGE(BJ5:BJ504)</f>
        <v>1569.308</v>
      </c>
      <c r="BK505" s="34">
        <f ca="1">AVERAGE(BK5:BK504)</f>
        <v>1571.1420000000001</v>
      </c>
      <c r="BL505" s="34">
        <f ca="1">AVERAGE(BL5:BL504)</f>
        <v>1565.19</v>
      </c>
      <c r="BM505" s="34">
        <f ca="1">AVERAGE(BM5:BM504)</f>
        <v>1686.934</v>
      </c>
      <c r="BN505" s="34">
        <f ca="1">AVERAGE(BN5:BN504)</f>
        <v>1334.384</v>
      </c>
      <c r="BO505" s="34">
        <f ca="1">AVERAGE(BO5:BO504)</f>
        <v>1599.18</v>
      </c>
      <c r="BP505" s="34">
        <f ca="1">AVERAGE(BP5:BP504)</f>
        <v>2003.2860000000001</v>
      </c>
      <c r="BQ505" s="34">
        <f ca="1">AVERAGE(BQ5:BQ504)</f>
        <v>822.19</v>
      </c>
      <c r="BR505" s="34">
        <f ca="1">AVERAGE(BR5:BR504)</f>
        <v>1786.6479999999999</v>
      </c>
      <c r="BS505" s="34">
        <f ca="1">AVERAGE(BS5:BS504)</f>
        <v>1117.0360000000001</v>
      </c>
      <c r="BT505" s="34">
        <f ca="1">AVERAGE(BT5:BT504)</f>
        <v>699</v>
      </c>
      <c r="BU505" s="34">
        <f ca="1">AVERAGE(BU5:BU504)</f>
        <v>991.63199999999995</v>
      </c>
      <c r="BV505" s="34">
        <f ca="1">AVERAGE(BV5:BV504)</f>
        <v>1704.12</v>
      </c>
      <c r="BW505" s="34">
        <f ca="1">AVERAGE(BW5:BW504)</f>
        <v>1051.9079999999999</v>
      </c>
      <c r="BX505" s="34">
        <f ca="1">AVERAGE(BX5:BX504)</f>
        <v>1551.8520000000001</v>
      </c>
      <c r="BY505" s="34">
        <f ca="1">AVERAGE(BY5:BY504)</f>
        <v>1929.4179999999999</v>
      </c>
      <c r="BZ505" s="34">
        <f ca="1">AVERAGE(BZ5:BZ504)</f>
        <v>1569.308</v>
      </c>
      <c r="CA505" s="34">
        <f ca="1">AVERAGE(CA5:CA504)</f>
        <v>1388.6220000000001</v>
      </c>
      <c r="CB505" s="34">
        <f ca="1">AVERAGE(CB5:CB504)</f>
        <v>903.53399999999999</v>
      </c>
      <c r="CC505" s="34">
        <f ca="1">AVERAGE(CC5:CC504)</f>
        <v>1428.83</v>
      </c>
      <c r="CD505" s="34">
        <f ca="1">AVERAGE(CD5:CD504)</f>
        <v>1204.1479999999999</v>
      </c>
      <c r="CE505" s="34">
        <f ca="1">AVERAGE(CE5:CE504)</f>
        <v>1130.1300000000001</v>
      </c>
      <c r="CF505" s="34">
        <f ca="1">AVERAGE(CF5:CF504)</f>
        <v>836.38</v>
      </c>
      <c r="CG505" s="34">
        <f ca="1">AVERAGE(CG5:CG504)</f>
        <v>1708.3140000000001</v>
      </c>
      <c r="CH505" s="34">
        <f ca="1">AVERAGE(CH5:CH504)</f>
        <v>1738.6759999999999</v>
      </c>
      <c r="CI505" s="34">
        <f ca="1">AVERAGE(CI5:CI504)</f>
        <v>1892.77</v>
      </c>
      <c r="CJ505" s="34">
        <f ca="1">AVERAGE(CJ5:CJ504)</f>
        <v>455.13600000000002</v>
      </c>
      <c r="CK505" s="34">
        <f ca="1">AVERAGE(CK5:CK504)</f>
        <v>1080.2159999999999</v>
      </c>
      <c r="CL505" s="34">
        <f ca="1">AVERAGE(CL5:CL504)</f>
        <v>1680.376</v>
      </c>
      <c r="CM505" s="34">
        <f ca="1">AVERAGE(CM5:CM504)</f>
        <v>1081.3</v>
      </c>
      <c r="CN505" s="34">
        <f ca="1">AVERAGE(CN5:CN504)</f>
        <v>910.06799999999998</v>
      </c>
      <c r="CO505" s="34">
        <f ca="1">AVERAGE(CO5:CO504)</f>
        <v>1748.482</v>
      </c>
      <c r="CP505" s="34">
        <f ca="1">AVERAGE(CP5:CP504)</f>
        <v>1519.7180000000001</v>
      </c>
      <c r="CQ505" s="34">
        <f ca="1">AVERAGE(CQ5:CQ504)</f>
        <v>1554.788</v>
      </c>
      <c r="CR505" s="34">
        <f ca="1">AVERAGE(CR5:CR504)</f>
        <v>1048.566</v>
      </c>
      <c r="CS505" s="34">
        <f ca="1">AVERAGE(CS5:CS504)</f>
        <v>1346.9079999999999</v>
      </c>
      <c r="CT505" s="34">
        <f ca="1">AVERAGE(CT5:CT504)</f>
        <v>1663.048</v>
      </c>
      <c r="CU505" s="34">
        <f ca="1">AVERAGE(CU5:CU504)</f>
        <v>1630.1880000000001</v>
      </c>
      <c r="CV505" s="34">
        <f ca="1">AVERAGE(CV5:CV504)</f>
        <v>1001.268</v>
      </c>
      <c r="CW505" s="34">
        <f ca="1">AVERAGE(CW5:CW504)</f>
        <v>1434.6679999999999</v>
      </c>
      <c r="CX505" s="34">
        <f ca="1">AVERAGE(CX5:CX504)</f>
        <v>1059.296</v>
      </c>
      <c r="CY505" s="34">
        <f ca="1">AVERAGE(CY5:CY504)</f>
        <v>1691.018</v>
      </c>
      <c r="CZ505" s="34">
        <f ca="1">AVERAGE(CZ5:CZ504)</f>
        <v>1194.8699999999999</v>
      </c>
      <c r="DA505" s="34">
        <f ca="1">AVERAGE(DA5:DA504)</f>
        <v>1724.0940000000001</v>
      </c>
      <c r="DB505" s="35">
        <f ca="1">AVERAGE(DB5:DB504)</f>
        <v>1388.6220000000001</v>
      </c>
      <c r="DD505" s="37">
        <f ca="1">AVERAGE(DD5:DD504)</f>
        <v>11880.394</v>
      </c>
      <c r="DE505" s="38">
        <f ca="1">AVERAGE(DE5:DE504)</f>
        <v>11245.124</v>
      </c>
      <c r="DF505" s="38">
        <f ca="1">AVERAGE(DF5:DF504)</f>
        <v>9443.518</v>
      </c>
      <c r="DG505" s="38">
        <f ca="1">AVERAGE(DG5:DG504)</f>
        <v>10168.382</v>
      </c>
      <c r="DH505" s="38">
        <f ca="1">AVERAGE(DH5:DH504)</f>
        <v>11591.976000000001</v>
      </c>
      <c r="DI505" s="39">
        <f ca="1">AVERAGE(DI5:DI504)</f>
        <v>9810.9079999999994</v>
      </c>
      <c r="DK505" s="7"/>
      <c r="DL505" s="8"/>
      <c r="DM505" s="8"/>
      <c r="DN505" s="9"/>
      <c r="DP505" s="41">
        <f ca="1">AVERAGEIF(DP5:DP504,"&lt;&gt;()")</f>
        <v>7.492</v>
      </c>
      <c r="DQ505" s="8"/>
      <c r="DR505" s="8"/>
      <c r="DS505" s="9"/>
    </row>
    <row r="506" spans="1:123" x14ac:dyDescent="0.2">
      <c r="BG506">
        <v>48</v>
      </c>
      <c r="BH506">
        <v>47</v>
      </c>
      <c r="BI506">
        <v>46</v>
      </c>
      <c r="BJ506">
        <v>45</v>
      </c>
      <c r="BK506">
        <v>44</v>
      </c>
      <c r="BL506">
        <v>43</v>
      </c>
      <c r="BM506">
        <v>42</v>
      </c>
      <c r="BN506">
        <v>41</v>
      </c>
      <c r="BO506">
        <v>40</v>
      </c>
      <c r="BP506">
        <v>39</v>
      </c>
      <c r="BQ506">
        <v>38</v>
      </c>
      <c r="BR506">
        <v>37</v>
      </c>
      <c r="BS506">
        <v>36</v>
      </c>
      <c r="BT506">
        <v>35</v>
      </c>
      <c r="BU506">
        <v>34</v>
      </c>
      <c r="BV506">
        <v>33</v>
      </c>
      <c r="BW506">
        <v>32</v>
      </c>
      <c r="BX506">
        <v>31</v>
      </c>
      <c r="BY506">
        <v>30</v>
      </c>
      <c r="BZ506">
        <v>29</v>
      </c>
      <c r="CA506">
        <v>28</v>
      </c>
      <c r="CB506">
        <v>27</v>
      </c>
      <c r="CC506">
        <v>26</v>
      </c>
      <c r="CD506">
        <v>25</v>
      </c>
      <c r="CE506">
        <v>24</v>
      </c>
      <c r="CF506">
        <v>23</v>
      </c>
      <c r="CG506">
        <v>22</v>
      </c>
      <c r="CH506">
        <v>21</v>
      </c>
      <c r="CI506">
        <v>20</v>
      </c>
      <c r="CJ506">
        <v>19</v>
      </c>
      <c r="CK506">
        <v>18</v>
      </c>
      <c r="CL506">
        <v>17</v>
      </c>
      <c r="CM506">
        <v>16</v>
      </c>
      <c r="CN506">
        <v>15</v>
      </c>
      <c r="CO506">
        <v>14</v>
      </c>
      <c r="CP506">
        <v>13</v>
      </c>
      <c r="CQ506">
        <v>12</v>
      </c>
      <c r="CR506">
        <v>11</v>
      </c>
      <c r="CS506">
        <v>10</v>
      </c>
      <c r="CT506">
        <v>9</v>
      </c>
      <c r="CU506">
        <v>8</v>
      </c>
      <c r="CV506">
        <v>7</v>
      </c>
      <c r="CW506">
        <v>6</v>
      </c>
      <c r="CX506">
        <v>5</v>
      </c>
      <c r="CY506">
        <v>4</v>
      </c>
      <c r="CZ506">
        <v>3</v>
      </c>
      <c r="DA506">
        <v>2</v>
      </c>
      <c r="DB506">
        <v>1</v>
      </c>
      <c r="DH506" t="s">
        <v>101</v>
      </c>
    </row>
  </sheetData>
  <mergeCells count="3">
    <mergeCell ref="AC3:AG3"/>
    <mergeCell ref="W4:X4"/>
    <mergeCell ref="AA4:AB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85D98-9F95-7A41-B7E0-70932D263731}">
  <dimension ref="D5:AD85"/>
  <sheetViews>
    <sheetView showGridLines="0" topLeftCell="A2" zoomScale="75" zoomScaleNormal="50" workbookViewId="0">
      <selection activeCell="A21" sqref="A21"/>
    </sheetView>
  </sheetViews>
  <sheetFormatPr baseColWidth="10" defaultRowHeight="16" x14ac:dyDescent="0.2"/>
  <sheetData>
    <row r="5" spans="4:23" ht="17" thickBot="1" x14ac:dyDescent="0.25"/>
    <row r="6" spans="4:23" x14ac:dyDescent="0.2">
      <c r="D6" s="126" t="s">
        <v>113</v>
      </c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8"/>
    </row>
    <row r="7" spans="4:23" x14ac:dyDescent="0.2">
      <c r="D7" s="129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1"/>
    </row>
    <row r="8" spans="4:23" ht="17" thickBot="1" x14ac:dyDescent="0.25">
      <c r="D8" s="132"/>
      <c r="E8" s="133"/>
      <c r="F8" s="133"/>
      <c r="G8" s="133"/>
      <c r="H8" s="133"/>
      <c r="I8" s="133"/>
      <c r="J8" s="133"/>
      <c r="K8" s="133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1"/>
    </row>
    <row r="9" spans="4:23" x14ac:dyDescent="0.2">
      <c r="D9" s="134" t="s">
        <v>104</v>
      </c>
      <c r="E9" s="135"/>
      <c r="F9" s="135"/>
      <c r="G9" s="136"/>
      <c r="H9" s="134" t="s">
        <v>84</v>
      </c>
      <c r="I9" s="135"/>
      <c r="J9" s="135"/>
      <c r="K9" s="136"/>
      <c r="L9" s="182" t="s">
        <v>105</v>
      </c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4"/>
    </row>
    <row r="10" spans="4:23" ht="17" thickBot="1" x14ac:dyDescent="0.25">
      <c r="D10" s="137"/>
      <c r="E10" s="138"/>
      <c r="F10" s="138"/>
      <c r="G10" s="139"/>
      <c r="H10" s="137"/>
      <c r="I10" s="138"/>
      <c r="J10" s="138"/>
      <c r="K10" s="139"/>
      <c r="L10" s="185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7"/>
    </row>
    <row r="11" spans="4:23" ht="23" thickBot="1" x14ac:dyDescent="0.35">
      <c r="D11" s="162" t="s">
        <v>80</v>
      </c>
      <c r="E11" s="163"/>
      <c r="F11" s="164" t="s">
        <v>81</v>
      </c>
      <c r="G11" s="165"/>
      <c r="H11" s="52">
        <f ca="1">'Raw Data'!AI4</f>
        <v>37.141716566866265</v>
      </c>
      <c r="I11" s="53"/>
      <c r="J11" s="53"/>
      <c r="K11" s="55"/>
      <c r="L11" s="166" t="s">
        <v>3</v>
      </c>
      <c r="M11" s="167"/>
      <c r="N11" s="164" t="s">
        <v>85</v>
      </c>
      <c r="O11" s="165"/>
      <c r="P11" s="166" t="s">
        <v>5</v>
      </c>
      <c r="Q11" s="167"/>
      <c r="R11" s="164" t="s">
        <v>106</v>
      </c>
      <c r="S11" s="165"/>
      <c r="T11" s="166" t="s">
        <v>6</v>
      </c>
      <c r="U11" s="167"/>
      <c r="V11" s="164" t="s">
        <v>4</v>
      </c>
      <c r="W11" s="165"/>
    </row>
    <row r="12" spans="4:23" x14ac:dyDescent="0.2">
      <c r="D12" s="46">
        <f ca="1">'Raw Data'!AF5</f>
        <v>245</v>
      </c>
      <c r="E12" s="47"/>
      <c r="F12" s="46">
        <f ca="1">'Raw Data'!AG5</f>
        <v>256</v>
      </c>
      <c r="G12" s="47"/>
      <c r="H12" s="54"/>
      <c r="I12" s="56"/>
      <c r="J12" s="56"/>
      <c r="K12" s="57"/>
      <c r="L12" s="83">
        <f ca="1">'Raw Data'!AP5</f>
        <v>96</v>
      </c>
      <c r="M12" s="84"/>
      <c r="N12" s="83">
        <f ca="1">'Raw Data'!AQ5</f>
        <v>72</v>
      </c>
      <c r="O12" s="84"/>
      <c r="P12" s="83">
        <f ca="1">SUM('Raw Data'!AL5:AL505)</f>
        <v>68</v>
      </c>
      <c r="Q12" s="84"/>
      <c r="R12" s="83">
        <f ca="1">'Raw Data'!AS5</f>
        <v>87</v>
      </c>
      <c r="S12" s="84"/>
      <c r="T12" s="83">
        <f ca="1">'Raw Data'!AT5</f>
        <v>87</v>
      </c>
      <c r="U12" s="84"/>
      <c r="V12" s="83">
        <f ca="1">'Raw Data'!AR5</f>
        <v>91</v>
      </c>
      <c r="W12" s="84"/>
    </row>
    <row r="13" spans="4:23" ht="17" thickBot="1" x14ac:dyDescent="0.25">
      <c r="D13" s="48"/>
      <c r="E13" s="49"/>
      <c r="F13" s="48"/>
      <c r="G13" s="49"/>
      <c r="H13" s="58"/>
      <c r="I13" s="59"/>
      <c r="J13" s="59"/>
      <c r="K13" s="60"/>
      <c r="L13" s="61"/>
      <c r="M13" s="62"/>
      <c r="N13" s="61"/>
      <c r="O13" s="62"/>
      <c r="P13" s="61"/>
      <c r="Q13" s="62"/>
      <c r="R13" s="61"/>
      <c r="S13" s="62"/>
      <c r="T13" s="61"/>
      <c r="U13" s="62"/>
      <c r="V13" s="61"/>
      <c r="W13" s="62"/>
    </row>
    <row r="14" spans="4:23" ht="16" customHeight="1" x14ac:dyDescent="0.2">
      <c r="D14" s="14"/>
      <c r="E14" s="15"/>
      <c r="F14" s="15"/>
      <c r="G14" s="42"/>
      <c r="H14" s="134" t="s">
        <v>92</v>
      </c>
      <c r="I14" s="135"/>
      <c r="J14" s="135"/>
      <c r="K14" s="136"/>
      <c r="L14" s="10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3"/>
    </row>
    <row r="15" spans="4:23" ht="17" customHeight="1" thickBot="1" x14ac:dyDescent="0.25">
      <c r="D15" s="43"/>
      <c r="E15" s="44"/>
      <c r="F15" s="44"/>
      <c r="G15" s="45"/>
      <c r="H15" s="137"/>
      <c r="I15" s="138"/>
      <c r="J15" s="138"/>
      <c r="K15" s="139"/>
      <c r="L15" s="6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5"/>
    </row>
    <row r="16" spans="4:23" ht="16" customHeight="1" x14ac:dyDescent="0.2">
      <c r="D16" s="43"/>
      <c r="E16" s="44"/>
      <c r="F16" s="44"/>
      <c r="G16" s="45"/>
      <c r="H16" s="66">
        <f ca="1">'Raw Data'!AU4</f>
        <v>64113.473053892216</v>
      </c>
      <c r="I16" s="67"/>
      <c r="J16" s="67"/>
      <c r="K16" s="68"/>
      <c r="L16" s="6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5"/>
    </row>
    <row r="17" spans="4:30" ht="16" customHeight="1" x14ac:dyDescent="0.2">
      <c r="D17" s="43"/>
      <c r="E17" s="44"/>
      <c r="F17" s="44"/>
      <c r="G17" s="45"/>
      <c r="H17" s="69"/>
      <c r="I17" s="70"/>
      <c r="J17" s="70"/>
      <c r="K17" s="71"/>
      <c r="L17" s="6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5"/>
    </row>
    <row r="18" spans="4:30" ht="17" customHeight="1" thickBot="1" x14ac:dyDescent="0.25">
      <c r="D18" s="43"/>
      <c r="E18" s="44"/>
      <c r="F18" s="44"/>
      <c r="G18" s="45"/>
      <c r="H18" s="72"/>
      <c r="I18" s="73"/>
      <c r="J18" s="73"/>
      <c r="K18" s="74"/>
      <c r="L18" s="6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5"/>
    </row>
    <row r="19" spans="4:30" x14ac:dyDescent="0.2">
      <c r="D19" s="43"/>
      <c r="E19" s="44"/>
      <c r="F19" s="44"/>
      <c r="G19" s="45"/>
      <c r="H19" s="134" t="s">
        <v>108</v>
      </c>
      <c r="I19" s="135"/>
      <c r="J19" s="135"/>
      <c r="K19" s="136"/>
      <c r="L19" s="6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5"/>
    </row>
    <row r="20" spans="4:30" ht="17" thickBot="1" x14ac:dyDescent="0.25">
      <c r="D20" s="43"/>
      <c r="E20" s="44"/>
      <c r="F20" s="44"/>
      <c r="G20" s="45"/>
      <c r="H20" s="137"/>
      <c r="I20" s="138"/>
      <c r="J20" s="138"/>
      <c r="K20" s="139"/>
      <c r="L20" s="6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5"/>
    </row>
    <row r="21" spans="4:30" x14ac:dyDescent="0.2">
      <c r="D21" s="43"/>
      <c r="E21" s="44"/>
      <c r="F21" s="44"/>
      <c r="G21" s="45"/>
      <c r="H21" s="66">
        <f ca="1">'Raw Data'!AW4</f>
        <v>31737.772943648306</v>
      </c>
      <c r="I21" s="67"/>
      <c r="J21" s="67"/>
      <c r="K21" s="68"/>
      <c r="L21" s="6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5"/>
    </row>
    <row r="22" spans="4:30" x14ac:dyDescent="0.2">
      <c r="D22" s="43"/>
      <c r="E22" s="44"/>
      <c r="F22" s="44"/>
      <c r="G22" s="45"/>
      <c r="H22" s="69"/>
      <c r="I22" s="70"/>
      <c r="J22" s="70"/>
      <c r="K22" s="71"/>
      <c r="L22" s="6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5"/>
    </row>
    <row r="23" spans="4:30" ht="17" thickBot="1" x14ac:dyDescent="0.25">
      <c r="D23" s="43"/>
      <c r="E23" s="44"/>
      <c r="F23" s="44"/>
      <c r="G23" s="45"/>
      <c r="H23" s="72"/>
      <c r="I23" s="73"/>
      <c r="J23" s="73"/>
      <c r="K23" s="74"/>
      <c r="L23" s="6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5"/>
    </row>
    <row r="24" spans="4:30" x14ac:dyDescent="0.2">
      <c r="D24" s="43"/>
      <c r="E24" s="44"/>
      <c r="F24" s="44"/>
      <c r="G24" s="45"/>
      <c r="H24" s="134" t="s">
        <v>109</v>
      </c>
      <c r="I24" s="135" t="s">
        <v>101</v>
      </c>
      <c r="J24" s="135"/>
      <c r="K24" s="136"/>
      <c r="L24" s="6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5"/>
    </row>
    <row r="25" spans="4:30" ht="17" thickBot="1" x14ac:dyDescent="0.25">
      <c r="D25" s="43"/>
      <c r="E25" s="44"/>
      <c r="F25" s="44"/>
      <c r="G25" s="45"/>
      <c r="H25" s="137"/>
      <c r="I25" s="138"/>
      <c r="J25" s="138"/>
      <c r="K25" s="139"/>
      <c r="L25" s="6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5"/>
    </row>
    <row r="26" spans="4:30" x14ac:dyDescent="0.2">
      <c r="D26" s="43"/>
      <c r="E26" s="44"/>
      <c r="F26" s="44"/>
      <c r="G26" s="45"/>
      <c r="H26" s="52">
        <f ca="1">'Raw Data'!BA4</f>
        <v>414</v>
      </c>
      <c r="I26" s="75"/>
      <c r="J26" s="75"/>
      <c r="K26" s="76"/>
      <c r="L26" s="6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5"/>
    </row>
    <row r="27" spans="4:30" ht="16" customHeight="1" x14ac:dyDescent="0.2">
      <c r="D27" s="43"/>
      <c r="E27" s="44"/>
      <c r="F27" s="44"/>
      <c r="G27" s="45"/>
      <c r="H27" s="77"/>
      <c r="I27" s="78"/>
      <c r="J27" s="78"/>
      <c r="K27" s="79"/>
      <c r="L27" s="6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5"/>
      <c r="AC27" s="104"/>
      <c r="AD27" s="104"/>
    </row>
    <row r="28" spans="4:30" ht="17" customHeight="1" thickBot="1" x14ac:dyDescent="0.25">
      <c r="D28" s="43"/>
      <c r="E28" s="44"/>
      <c r="F28" s="44"/>
      <c r="G28" s="45"/>
      <c r="H28" s="80"/>
      <c r="I28" s="81"/>
      <c r="J28" s="81" t="s">
        <v>107</v>
      </c>
      <c r="K28" s="82"/>
      <c r="L28" s="6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5"/>
      <c r="AC28" s="104"/>
      <c r="AD28" s="104"/>
    </row>
    <row r="29" spans="4:30" ht="16" customHeight="1" x14ac:dyDescent="0.2">
      <c r="D29" s="43"/>
      <c r="E29" s="44"/>
      <c r="F29" s="44"/>
      <c r="G29" s="45"/>
      <c r="H29" s="134" t="s">
        <v>97</v>
      </c>
      <c r="I29" s="135"/>
      <c r="J29" s="135"/>
      <c r="K29" s="136"/>
      <c r="L29" s="6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5"/>
      <c r="AC29" s="104"/>
      <c r="AD29" s="104"/>
    </row>
    <row r="30" spans="4:30" ht="17" customHeight="1" thickBot="1" x14ac:dyDescent="0.25">
      <c r="D30" s="43"/>
      <c r="E30" s="44"/>
      <c r="F30" s="44"/>
      <c r="G30" s="45"/>
      <c r="H30" s="137"/>
      <c r="I30" s="138"/>
      <c r="J30" s="138"/>
      <c r="K30" s="139"/>
      <c r="L30" s="6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5"/>
      <c r="AC30" s="104"/>
      <c r="AD30" s="104"/>
    </row>
    <row r="31" spans="4:30" x14ac:dyDescent="0.2">
      <c r="D31" s="43"/>
      <c r="E31" s="44"/>
      <c r="F31" s="44"/>
      <c r="G31" s="45"/>
      <c r="H31" s="52">
        <f ca="1">'Raw Data'!BF4</f>
        <v>167</v>
      </c>
      <c r="I31" s="75"/>
      <c r="J31" s="75"/>
      <c r="K31" s="76"/>
      <c r="L31" s="6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5"/>
    </row>
    <row r="32" spans="4:30" x14ac:dyDescent="0.2">
      <c r="D32" s="43"/>
      <c r="E32" s="44"/>
      <c r="F32" s="44"/>
      <c r="G32" s="45"/>
      <c r="H32" s="77"/>
      <c r="I32" s="78"/>
      <c r="J32" s="78"/>
      <c r="K32" s="79"/>
      <c r="L32" s="6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5"/>
    </row>
    <row r="33" spans="4:23" ht="17" thickBot="1" x14ac:dyDescent="0.25">
      <c r="D33" s="43"/>
      <c r="E33" s="44"/>
      <c r="F33" s="44"/>
      <c r="G33" s="45"/>
      <c r="H33" s="80"/>
      <c r="I33" s="81"/>
      <c r="J33" s="81"/>
      <c r="K33" s="82"/>
      <c r="L33" s="7"/>
      <c r="M33" s="8"/>
      <c r="N33" s="8"/>
      <c r="O33" s="8"/>
      <c r="P33" s="8"/>
      <c r="Q33" s="8"/>
      <c r="R33" s="8"/>
      <c r="S33" s="8"/>
      <c r="T33" s="8"/>
      <c r="U33" s="8"/>
      <c r="V33" s="8"/>
      <c r="W33" s="9"/>
    </row>
    <row r="34" spans="4:23" x14ac:dyDescent="0.2">
      <c r="D34" s="43"/>
      <c r="E34" s="44"/>
      <c r="F34" s="44"/>
      <c r="G34" s="45"/>
      <c r="H34" s="140" t="s">
        <v>102</v>
      </c>
      <c r="I34" s="141"/>
      <c r="J34" s="141"/>
      <c r="K34" s="142"/>
      <c r="L34" s="176" t="s">
        <v>110</v>
      </c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8"/>
    </row>
    <row r="35" spans="4:23" ht="17" thickBot="1" x14ac:dyDescent="0.25">
      <c r="D35" s="43"/>
      <c r="E35" s="44"/>
      <c r="F35" s="44"/>
      <c r="G35" s="45"/>
      <c r="H35" s="143"/>
      <c r="I35" s="144"/>
      <c r="J35" s="144"/>
      <c r="K35" s="145"/>
      <c r="L35" s="179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1"/>
    </row>
    <row r="36" spans="4:23" ht="23" thickBot="1" x14ac:dyDescent="0.35">
      <c r="D36" s="43"/>
      <c r="E36" s="44"/>
      <c r="F36" s="44"/>
      <c r="G36" s="45"/>
      <c r="H36" s="86">
        <f ca="1">'Raw Data'!DM5</f>
        <v>0.95199999999999996</v>
      </c>
      <c r="I36" s="87"/>
      <c r="J36" s="87"/>
      <c r="K36" s="88"/>
      <c r="L36" s="166" t="s">
        <v>3</v>
      </c>
      <c r="M36" s="167"/>
      <c r="N36" s="164" t="s">
        <v>85</v>
      </c>
      <c r="O36" s="165"/>
      <c r="P36" s="166" t="s">
        <v>5</v>
      </c>
      <c r="Q36" s="167"/>
      <c r="R36" s="164" t="s">
        <v>106</v>
      </c>
      <c r="S36" s="165"/>
      <c r="T36" s="166" t="s">
        <v>6</v>
      </c>
      <c r="U36" s="167"/>
      <c r="V36" s="164" t="s">
        <v>4</v>
      </c>
      <c r="W36" s="165"/>
    </row>
    <row r="37" spans="4:23" x14ac:dyDescent="0.2">
      <c r="D37" s="43"/>
      <c r="E37" s="44"/>
      <c r="F37" s="44"/>
      <c r="G37" s="45"/>
      <c r="H37" s="89"/>
      <c r="I37" s="90"/>
      <c r="J37" s="90"/>
      <c r="K37" s="91"/>
      <c r="L37" s="83">
        <f ca="1">'Raw Data'!DD505</f>
        <v>11880.394</v>
      </c>
      <c r="M37" s="84"/>
      <c r="N37" s="83">
        <f ca="1">'Raw Data'!DI505</f>
        <v>9810.9079999999994</v>
      </c>
      <c r="O37" s="84"/>
      <c r="P37" s="83">
        <f ca="1">'Raw Data'!DF505</f>
        <v>9443.518</v>
      </c>
      <c r="Q37" s="84"/>
      <c r="R37" s="83">
        <f ca="1">'Raw Data'!DE505</f>
        <v>11245.124</v>
      </c>
      <c r="S37" s="84"/>
      <c r="T37" s="83">
        <f ca="1">'Raw Data'!DG505</f>
        <v>10168.382</v>
      </c>
      <c r="U37" s="84"/>
      <c r="V37" s="83">
        <f ca="1">'Raw Data'!DH505</f>
        <v>11591.976000000001</v>
      </c>
      <c r="W37" s="84"/>
    </row>
    <row r="38" spans="4:23" ht="17" thickBot="1" x14ac:dyDescent="0.25">
      <c r="D38" s="43"/>
      <c r="E38" s="44"/>
      <c r="F38" s="44"/>
      <c r="G38" s="45"/>
      <c r="H38" s="92"/>
      <c r="I38" s="93"/>
      <c r="J38" s="93"/>
      <c r="K38" s="94"/>
      <c r="L38" s="61"/>
      <c r="M38" s="62"/>
      <c r="N38" s="61"/>
      <c r="O38" s="62"/>
      <c r="P38" s="61"/>
      <c r="Q38" s="62"/>
      <c r="R38" s="61"/>
      <c r="S38" s="62"/>
      <c r="T38" s="61"/>
      <c r="U38" s="62"/>
      <c r="V38" s="61"/>
      <c r="W38" s="62"/>
    </row>
    <row r="39" spans="4:23" x14ac:dyDescent="0.2">
      <c r="D39" s="43"/>
      <c r="E39" s="44"/>
      <c r="F39" s="44"/>
      <c r="G39" s="45"/>
      <c r="H39" s="140" t="s">
        <v>103</v>
      </c>
      <c r="I39" s="141"/>
      <c r="J39" s="141"/>
      <c r="K39" s="141"/>
      <c r="L39" s="10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3"/>
    </row>
    <row r="40" spans="4:23" ht="17" thickBot="1" x14ac:dyDescent="0.25">
      <c r="D40" s="43"/>
      <c r="E40" s="44"/>
      <c r="F40" s="44"/>
      <c r="G40" s="45"/>
      <c r="H40" s="143"/>
      <c r="I40" s="144"/>
      <c r="J40" s="144"/>
      <c r="K40" s="144"/>
      <c r="L40" s="6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5"/>
    </row>
    <row r="41" spans="4:23" x14ac:dyDescent="0.2">
      <c r="D41" s="43"/>
      <c r="E41" s="44"/>
      <c r="F41" s="44"/>
      <c r="G41" s="45"/>
      <c r="H41" s="95">
        <f ca="1">'Raw Data'!DP505</f>
        <v>7.492</v>
      </c>
      <c r="I41" s="96"/>
      <c r="J41" s="96"/>
      <c r="K41" s="97"/>
      <c r="L41" s="6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5"/>
    </row>
    <row r="42" spans="4:23" x14ac:dyDescent="0.2">
      <c r="D42" s="43"/>
      <c r="E42" s="44"/>
      <c r="F42" s="44"/>
      <c r="G42" s="45"/>
      <c r="H42" s="98"/>
      <c r="I42" s="99"/>
      <c r="J42" s="99"/>
      <c r="K42" s="100"/>
      <c r="L42" s="6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5"/>
    </row>
    <row r="43" spans="4:23" ht="17" thickBot="1" x14ac:dyDescent="0.25">
      <c r="D43" s="43"/>
      <c r="E43" s="44"/>
      <c r="F43" s="44"/>
      <c r="G43" s="45"/>
      <c r="H43" s="98"/>
      <c r="I43" s="99"/>
      <c r="J43" s="99"/>
      <c r="K43" s="100"/>
      <c r="L43" s="6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5"/>
    </row>
    <row r="44" spans="4:23" x14ac:dyDescent="0.2">
      <c r="D44" s="146" t="s">
        <v>112</v>
      </c>
      <c r="E44" s="147"/>
      <c r="F44" s="147"/>
      <c r="G44" s="147"/>
      <c r="H44" s="147"/>
      <c r="I44" s="147"/>
      <c r="J44" s="147"/>
      <c r="K44" s="148"/>
      <c r="L44" s="6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5"/>
    </row>
    <row r="45" spans="4:23" x14ac:dyDescent="0.2">
      <c r="D45" s="149"/>
      <c r="E45" s="150"/>
      <c r="F45" s="150"/>
      <c r="G45" s="150"/>
      <c r="H45" s="150"/>
      <c r="I45" s="150"/>
      <c r="J45" s="150"/>
      <c r="K45" s="151"/>
      <c r="L45" s="6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5"/>
    </row>
    <row r="46" spans="4:23" x14ac:dyDescent="0.2">
      <c r="D46" s="149"/>
      <c r="E46" s="150"/>
      <c r="F46" s="150"/>
      <c r="G46" s="150"/>
      <c r="H46" s="150"/>
      <c r="I46" s="150"/>
      <c r="J46" s="150"/>
      <c r="K46" s="151"/>
      <c r="L46" s="6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5"/>
    </row>
    <row r="47" spans="4:23" ht="16" customHeight="1" x14ac:dyDescent="0.2">
      <c r="D47" s="149"/>
      <c r="E47" s="150"/>
      <c r="F47" s="150"/>
      <c r="G47" s="150"/>
      <c r="H47" s="150"/>
      <c r="I47" s="150"/>
      <c r="J47" s="150"/>
      <c r="K47" s="151"/>
      <c r="L47" s="6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5"/>
    </row>
    <row r="48" spans="4:23" ht="17" customHeight="1" thickBot="1" x14ac:dyDescent="0.25">
      <c r="D48" s="152"/>
      <c r="E48" s="153"/>
      <c r="F48" s="153"/>
      <c r="G48" s="153"/>
      <c r="H48" s="153"/>
      <c r="I48" s="153"/>
      <c r="J48" s="153"/>
      <c r="K48" s="154"/>
      <c r="L48" s="6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5"/>
    </row>
    <row r="49" spans="4:23" ht="16" customHeight="1" x14ac:dyDescent="0.2">
      <c r="D49" s="103">
        <v>1</v>
      </c>
      <c r="E49" s="55"/>
      <c r="F49" s="63"/>
      <c r="G49" s="103">
        <v>2</v>
      </c>
      <c r="H49" s="55"/>
      <c r="I49" s="63"/>
      <c r="J49" s="103">
        <v>3</v>
      </c>
      <c r="K49" s="55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5"/>
    </row>
    <row r="50" spans="4:23" ht="16" customHeight="1" x14ac:dyDescent="0.2">
      <c r="D50" s="54"/>
      <c r="E50" s="57"/>
      <c r="F50" s="65"/>
      <c r="G50" s="54"/>
      <c r="H50" s="57"/>
      <c r="I50" s="65"/>
      <c r="J50" s="54"/>
      <c r="K50" s="57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5"/>
    </row>
    <row r="51" spans="4:23" ht="16" customHeight="1" thickBot="1" x14ac:dyDescent="0.25">
      <c r="D51" s="58"/>
      <c r="E51" s="60"/>
      <c r="F51" s="65"/>
      <c r="G51" s="58"/>
      <c r="H51" s="60"/>
      <c r="I51" s="65"/>
      <c r="J51" s="58"/>
      <c r="K51" s="6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5"/>
    </row>
    <row r="52" spans="4:23" ht="17" customHeight="1" x14ac:dyDescent="0.2">
      <c r="D52" s="64"/>
      <c r="E52" s="65"/>
      <c r="F52" s="65"/>
      <c r="G52" s="65"/>
      <c r="H52" s="65"/>
      <c r="I52" s="65"/>
      <c r="J52" s="31"/>
      <c r="K52" s="32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5"/>
    </row>
    <row r="53" spans="4:23" ht="16" customHeight="1" thickBot="1" x14ac:dyDescent="0.25">
      <c r="D53" s="107"/>
      <c r="E53" s="105"/>
      <c r="F53" s="106"/>
      <c r="G53" s="106"/>
      <c r="H53" s="105"/>
      <c r="I53" s="105"/>
      <c r="J53" s="31"/>
      <c r="K53" s="32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5"/>
    </row>
    <row r="54" spans="4:23" ht="16" customHeight="1" x14ac:dyDescent="0.2">
      <c r="D54" s="114">
        <f>'Raw Data'!AY4</f>
        <v>100000</v>
      </c>
      <c r="E54" s="115"/>
      <c r="F54" s="106"/>
      <c r="G54" s="108">
        <f>'Raw Data'!BD4</f>
        <v>0.3</v>
      </c>
      <c r="H54" s="109"/>
      <c r="I54" s="105"/>
      <c r="J54" s="120">
        <f>'Raw Data'!DS5</f>
        <v>50000</v>
      </c>
      <c r="K54" s="121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5"/>
    </row>
    <row r="55" spans="4:23" ht="17" customHeight="1" x14ac:dyDescent="0.2">
      <c r="D55" s="116"/>
      <c r="E55" s="117"/>
      <c r="F55" s="106"/>
      <c r="G55" s="110"/>
      <c r="H55" s="111"/>
      <c r="I55" s="105"/>
      <c r="J55" s="122"/>
      <c r="K55" s="123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5"/>
    </row>
    <row r="56" spans="4:23" ht="16" customHeight="1" x14ac:dyDescent="0.2">
      <c r="D56" s="116"/>
      <c r="E56" s="117"/>
      <c r="F56" s="31"/>
      <c r="G56" s="110"/>
      <c r="H56" s="111"/>
      <c r="I56" s="31"/>
      <c r="J56" s="122"/>
      <c r="K56" s="123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5"/>
    </row>
    <row r="57" spans="4:23" ht="16" customHeight="1" thickBot="1" x14ac:dyDescent="0.25">
      <c r="D57" s="118"/>
      <c r="E57" s="119"/>
      <c r="F57" s="31"/>
      <c r="G57" s="112"/>
      <c r="H57" s="113"/>
      <c r="I57" s="31"/>
      <c r="J57" s="124"/>
      <c r="K57" s="125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5"/>
    </row>
    <row r="58" spans="4:23" ht="17" customHeight="1" thickBot="1" x14ac:dyDescent="0.25">
      <c r="D58" s="50"/>
      <c r="E58" s="85"/>
      <c r="F58" s="85"/>
      <c r="G58" s="85"/>
      <c r="H58" s="85"/>
      <c r="I58" s="85"/>
      <c r="J58" s="85"/>
      <c r="K58" s="51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9"/>
    </row>
    <row r="59" spans="4:23" x14ac:dyDescent="0.2">
      <c r="D59" s="155" t="s">
        <v>111</v>
      </c>
      <c r="E59" s="156"/>
      <c r="F59" s="156"/>
      <c r="G59" s="156"/>
      <c r="H59" s="156"/>
      <c r="I59" s="156"/>
      <c r="J59" s="156"/>
      <c r="K59" s="156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8"/>
    </row>
    <row r="60" spans="4:23" ht="17" thickBot="1" x14ac:dyDescent="0.25">
      <c r="D60" s="159"/>
      <c r="E60" s="160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1"/>
    </row>
    <row r="61" spans="4:23" ht="16" customHeight="1" x14ac:dyDescent="0.2">
      <c r="D61" s="168" t="s">
        <v>25</v>
      </c>
      <c r="E61" s="169"/>
      <c r="F61" s="168" t="s">
        <v>22</v>
      </c>
      <c r="G61" s="169"/>
      <c r="H61" s="168" t="s">
        <v>19</v>
      </c>
      <c r="I61" s="169"/>
      <c r="J61" s="168" t="s">
        <v>57</v>
      </c>
      <c r="K61" s="169"/>
      <c r="L61" s="168" t="s">
        <v>45</v>
      </c>
      <c r="M61" s="169"/>
      <c r="N61" s="168" t="s">
        <v>43</v>
      </c>
      <c r="O61" s="169"/>
      <c r="P61" s="168" t="s">
        <v>53</v>
      </c>
      <c r="Q61" s="169"/>
      <c r="R61" s="168" t="s">
        <v>21</v>
      </c>
      <c r="S61" s="169"/>
      <c r="T61" s="168" t="s">
        <v>54</v>
      </c>
      <c r="U61" s="169"/>
      <c r="V61" s="168" t="s">
        <v>34</v>
      </c>
      <c r="W61" s="169"/>
    </row>
    <row r="62" spans="4:23" ht="17" customHeight="1" thickBot="1" x14ac:dyDescent="0.25">
      <c r="D62" s="170"/>
      <c r="E62" s="171"/>
      <c r="F62" s="170"/>
      <c r="G62" s="171"/>
      <c r="H62" s="170"/>
      <c r="I62" s="171"/>
      <c r="J62" s="170"/>
      <c r="K62" s="171"/>
      <c r="L62" s="170"/>
      <c r="M62" s="171"/>
      <c r="N62" s="170"/>
      <c r="O62" s="171"/>
      <c r="P62" s="170"/>
      <c r="Q62" s="171"/>
      <c r="R62" s="170"/>
      <c r="S62" s="171"/>
      <c r="T62" s="170"/>
      <c r="U62" s="171"/>
      <c r="V62" s="170"/>
      <c r="W62" s="171"/>
    </row>
    <row r="63" spans="4:23" ht="16" customHeight="1" x14ac:dyDescent="0.2">
      <c r="D63" s="46">
        <f ca="1">'Raw Data'!BG505</f>
        <v>924.83600000000001</v>
      </c>
      <c r="E63" s="47"/>
      <c r="F63" s="46">
        <f ca="1">'Raw Data'!BH505</f>
        <v>1138.184</v>
      </c>
      <c r="G63" s="47"/>
      <c r="H63" s="46">
        <f ca="1">'Raw Data'!BI505</f>
        <v>1025.4559999999999</v>
      </c>
      <c r="I63" s="47"/>
      <c r="J63" s="46">
        <f ca="1">'Raw Data'!BJ505</f>
        <v>1569.308</v>
      </c>
      <c r="K63" s="47"/>
      <c r="L63" s="46">
        <f ca="1">'Raw Data'!BK505</f>
        <v>1571.1420000000001</v>
      </c>
      <c r="M63" s="47"/>
      <c r="N63" s="46">
        <f ca="1">'Raw Data'!BL505</f>
        <v>1565.19</v>
      </c>
      <c r="O63" s="47"/>
      <c r="P63" s="46">
        <f ca="1">'Raw Data'!BM505</f>
        <v>1686.934</v>
      </c>
      <c r="Q63" s="47"/>
      <c r="R63" s="46">
        <f ca="1">'Raw Data'!BN505</f>
        <v>1334.384</v>
      </c>
      <c r="S63" s="47"/>
      <c r="T63" s="46">
        <f ca="1">'Raw Data'!BO505</f>
        <v>1599.18</v>
      </c>
      <c r="U63" s="47"/>
      <c r="V63" s="46">
        <f ca="1">'Raw Data'!BP505</f>
        <v>2003.2860000000001</v>
      </c>
      <c r="W63" s="47"/>
    </row>
    <row r="64" spans="4:23" ht="16" customHeight="1" x14ac:dyDescent="0.2">
      <c r="D64" s="101"/>
      <c r="E64" s="102"/>
      <c r="F64" s="101"/>
      <c r="G64" s="102"/>
      <c r="H64" s="101"/>
      <c r="I64" s="102"/>
      <c r="J64" s="101"/>
      <c r="K64" s="102"/>
      <c r="L64" s="101"/>
      <c r="M64" s="102"/>
      <c r="N64" s="101"/>
      <c r="O64" s="102"/>
      <c r="P64" s="101"/>
      <c r="Q64" s="102"/>
      <c r="R64" s="101"/>
      <c r="S64" s="102"/>
      <c r="T64" s="101"/>
      <c r="U64" s="102"/>
      <c r="V64" s="101"/>
      <c r="W64" s="102"/>
    </row>
    <row r="65" spans="4:23" ht="17" customHeight="1" thickBot="1" x14ac:dyDescent="0.25">
      <c r="D65" s="48"/>
      <c r="E65" s="49"/>
      <c r="F65" s="48"/>
      <c r="G65" s="49"/>
      <c r="H65" s="48"/>
      <c r="I65" s="49"/>
      <c r="J65" s="48"/>
      <c r="K65" s="49"/>
      <c r="L65" s="48"/>
      <c r="M65" s="49"/>
      <c r="N65" s="48"/>
      <c r="O65" s="49"/>
      <c r="P65" s="48"/>
      <c r="Q65" s="49"/>
      <c r="R65" s="48"/>
      <c r="S65" s="49"/>
      <c r="T65" s="48"/>
      <c r="U65" s="49"/>
      <c r="V65" s="48"/>
      <c r="W65" s="49"/>
    </row>
    <row r="66" spans="4:23" ht="16" customHeight="1" x14ac:dyDescent="0.2">
      <c r="D66" s="172" t="s">
        <v>36</v>
      </c>
      <c r="E66" s="173"/>
      <c r="F66" s="172" t="s">
        <v>33</v>
      </c>
      <c r="G66" s="173"/>
      <c r="H66" s="172" t="s">
        <v>61</v>
      </c>
      <c r="I66" s="173"/>
      <c r="J66" s="172" t="s">
        <v>27</v>
      </c>
      <c r="K66" s="173"/>
      <c r="L66" s="172" t="s">
        <v>18</v>
      </c>
      <c r="M66" s="173"/>
      <c r="N66" s="172" t="s">
        <v>55</v>
      </c>
      <c r="O66" s="173"/>
      <c r="P66" s="172" t="s">
        <v>42</v>
      </c>
      <c r="Q66" s="173"/>
      <c r="R66" s="172" t="s">
        <v>24</v>
      </c>
      <c r="S66" s="173"/>
      <c r="T66" s="172" t="s">
        <v>99</v>
      </c>
      <c r="U66" s="173"/>
      <c r="V66" s="172" t="s">
        <v>57</v>
      </c>
      <c r="W66" s="173"/>
    </row>
    <row r="67" spans="4:23" ht="17" customHeight="1" thickBot="1" x14ac:dyDescent="0.25">
      <c r="D67" s="174"/>
      <c r="E67" s="175"/>
      <c r="F67" s="174"/>
      <c r="G67" s="175"/>
      <c r="H67" s="174"/>
      <c r="I67" s="175"/>
      <c r="J67" s="174"/>
      <c r="K67" s="175"/>
      <c r="L67" s="174"/>
      <c r="M67" s="175"/>
      <c r="N67" s="174"/>
      <c r="O67" s="175"/>
      <c r="P67" s="174"/>
      <c r="Q67" s="175"/>
      <c r="R67" s="174"/>
      <c r="S67" s="175"/>
      <c r="T67" s="174"/>
      <c r="U67" s="175"/>
      <c r="V67" s="174"/>
      <c r="W67" s="175"/>
    </row>
    <row r="68" spans="4:23" x14ac:dyDescent="0.2">
      <c r="D68" s="46">
        <f ca="1">'Raw Data'!BQ505</f>
        <v>822.19</v>
      </c>
      <c r="E68" s="47"/>
      <c r="F68" s="46">
        <f ca="1">'Raw Data'!BR505</f>
        <v>1786.6479999999999</v>
      </c>
      <c r="G68" s="47"/>
      <c r="H68" s="46">
        <f ca="1">'Raw Data'!BS505</f>
        <v>1117.0360000000001</v>
      </c>
      <c r="I68" s="47"/>
      <c r="J68" s="46">
        <f ca="1">'Raw Data'!BT505</f>
        <v>699</v>
      </c>
      <c r="K68" s="47"/>
      <c r="L68" s="46">
        <f ca="1">'Raw Data'!BU505</f>
        <v>991.63199999999995</v>
      </c>
      <c r="M68" s="47"/>
      <c r="N68" s="46">
        <f ca="1">'Raw Data'!BV505</f>
        <v>1704.12</v>
      </c>
      <c r="O68" s="47"/>
      <c r="P68" s="46">
        <f ca="1">'Raw Data'!BW505</f>
        <v>1051.9079999999999</v>
      </c>
      <c r="Q68" s="47"/>
      <c r="R68" s="46">
        <f ca="1">'Raw Data'!BX505</f>
        <v>1551.8520000000001</v>
      </c>
      <c r="S68" s="47"/>
      <c r="T68" s="46">
        <f ca="1">'Raw Data'!BY505</f>
        <v>1929.4179999999999</v>
      </c>
      <c r="U68" s="47"/>
      <c r="V68" s="46">
        <f ca="1">'Raw Data'!BZ505</f>
        <v>1569.308</v>
      </c>
      <c r="W68" s="47"/>
    </row>
    <row r="69" spans="4:23" x14ac:dyDescent="0.2">
      <c r="D69" s="101"/>
      <c r="E69" s="102"/>
      <c r="F69" s="101"/>
      <c r="G69" s="102"/>
      <c r="H69" s="101"/>
      <c r="I69" s="102"/>
      <c r="J69" s="101"/>
      <c r="K69" s="102"/>
      <c r="L69" s="101"/>
      <c r="M69" s="102"/>
      <c r="N69" s="101"/>
      <c r="O69" s="102"/>
      <c r="P69" s="101"/>
      <c r="Q69" s="102"/>
      <c r="R69" s="101"/>
      <c r="S69" s="102"/>
      <c r="T69" s="101"/>
      <c r="U69" s="102"/>
      <c r="V69" s="101"/>
      <c r="W69" s="102"/>
    </row>
    <row r="70" spans="4:23" ht="17" thickBot="1" x14ac:dyDescent="0.25">
      <c r="D70" s="48"/>
      <c r="E70" s="49"/>
      <c r="F70" s="48"/>
      <c r="G70" s="49"/>
      <c r="H70" s="48"/>
      <c r="I70" s="49"/>
      <c r="J70" s="48"/>
      <c r="K70" s="49"/>
      <c r="L70" s="48"/>
      <c r="M70" s="49"/>
      <c r="N70" s="48"/>
      <c r="O70" s="49"/>
      <c r="P70" s="48"/>
      <c r="Q70" s="49"/>
      <c r="R70" s="48"/>
      <c r="S70" s="49"/>
      <c r="T70" s="48"/>
      <c r="U70" s="49"/>
      <c r="V70" s="48"/>
      <c r="W70" s="49"/>
    </row>
    <row r="71" spans="4:23" x14ac:dyDescent="0.2">
      <c r="D71" s="168" t="s">
        <v>26</v>
      </c>
      <c r="E71" s="169"/>
      <c r="F71" s="168" t="s">
        <v>23</v>
      </c>
      <c r="G71" s="169"/>
      <c r="H71" s="168" t="s">
        <v>17</v>
      </c>
      <c r="I71" s="169"/>
      <c r="J71" s="168" t="s">
        <v>29</v>
      </c>
      <c r="K71" s="169"/>
      <c r="L71" s="168" t="s">
        <v>30</v>
      </c>
      <c r="M71" s="169"/>
      <c r="N71" s="168" t="s">
        <v>62</v>
      </c>
      <c r="O71" s="169"/>
      <c r="P71" s="168" t="s">
        <v>32</v>
      </c>
      <c r="Q71" s="169"/>
      <c r="R71" s="168" t="s">
        <v>31</v>
      </c>
      <c r="S71" s="169"/>
      <c r="T71" s="168" t="s">
        <v>35</v>
      </c>
      <c r="U71" s="169"/>
      <c r="V71" s="168" t="s">
        <v>38</v>
      </c>
      <c r="W71" s="169"/>
    </row>
    <row r="72" spans="4:23" ht="17" thickBot="1" x14ac:dyDescent="0.25">
      <c r="D72" s="170"/>
      <c r="E72" s="171"/>
      <c r="F72" s="170"/>
      <c r="G72" s="171"/>
      <c r="H72" s="170"/>
      <c r="I72" s="171"/>
      <c r="J72" s="170"/>
      <c r="K72" s="171"/>
      <c r="L72" s="170"/>
      <c r="M72" s="171"/>
      <c r="N72" s="170"/>
      <c r="O72" s="171"/>
      <c r="P72" s="170"/>
      <c r="Q72" s="171"/>
      <c r="R72" s="170"/>
      <c r="S72" s="171"/>
      <c r="T72" s="170"/>
      <c r="U72" s="171"/>
      <c r="V72" s="170"/>
      <c r="W72" s="171"/>
    </row>
    <row r="73" spans="4:23" x14ac:dyDescent="0.2">
      <c r="D73" s="46">
        <f ca="1">'Raw Data'!CA505</f>
        <v>1388.6220000000001</v>
      </c>
      <c r="E73" s="47"/>
      <c r="F73" s="46">
        <f ca="1">'Raw Data'!CB505</f>
        <v>903.53399999999999</v>
      </c>
      <c r="G73" s="47"/>
      <c r="H73" s="46">
        <f ca="1">'Raw Data'!CC505</f>
        <v>1428.83</v>
      </c>
      <c r="I73" s="47"/>
      <c r="J73" s="46">
        <f ca="1">'Raw Data'!CD505</f>
        <v>1204.1479999999999</v>
      </c>
      <c r="K73" s="47"/>
      <c r="L73" s="46">
        <f ca="1">'Raw Data'!CE505</f>
        <v>1130.1300000000001</v>
      </c>
      <c r="M73" s="47"/>
      <c r="N73" s="46">
        <f ca="1">'Raw Data'!CF505</f>
        <v>836.38</v>
      </c>
      <c r="O73" s="47"/>
      <c r="P73" s="46">
        <f ca="1">'Raw Data'!CG505</f>
        <v>1708.3140000000001</v>
      </c>
      <c r="Q73" s="47"/>
      <c r="R73" s="46">
        <f ca="1">'Raw Data'!CH505</f>
        <v>1738.6759999999999</v>
      </c>
      <c r="S73" s="47"/>
      <c r="T73" s="46">
        <f ca="1">'Raw Data'!CI505</f>
        <v>1892.77</v>
      </c>
      <c r="U73" s="47"/>
      <c r="V73" s="46">
        <f ca="1">'Raw Data'!CJ505</f>
        <v>455.13600000000002</v>
      </c>
      <c r="W73" s="47"/>
    </row>
    <row r="74" spans="4:23" x14ac:dyDescent="0.2">
      <c r="D74" s="101"/>
      <c r="E74" s="102"/>
      <c r="F74" s="101"/>
      <c r="G74" s="102"/>
      <c r="H74" s="101"/>
      <c r="I74" s="102"/>
      <c r="J74" s="101"/>
      <c r="K74" s="102"/>
      <c r="L74" s="101"/>
      <c r="M74" s="102"/>
      <c r="N74" s="101"/>
      <c r="O74" s="102"/>
      <c r="P74" s="101"/>
      <c r="Q74" s="102"/>
      <c r="R74" s="101"/>
      <c r="S74" s="102"/>
      <c r="T74" s="101"/>
      <c r="U74" s="102"/>
      <c r="V74" s="101"/>
      <c r="W74" s="102"/>
    </row>
    <row r="75" spans="4:23" ht="17" thickBot="1" x14ac:dyDescent="0.25">
      <c r="D75" s="48"/>
      <c r="E75" s="49"/>
      <c r="F75" s="48"/>
      <c r="G75" s="49"/>
      <c r="H75" s="48"/>
      <c r="I75" s="49"/>
      <c r="J75" s="48"/>
      <c r="K75" s="49"/>
      <c r="L75" s="48"/>
      <c r="M75" s="49"/>
      <c r="N75" s="48"/>
      <c r="O75" s="49"/>
      <c r="P75" s="48"/>
      <c r="Q75" s="49"/>
      <c r="R75" s="48"/>
      <c r="S75" s="49"/>
      <c r="T75" s="48"/>
      <c r="U75" s="49"/>
      <c r="V75" s="48"/>
      <c r="W75" s="49"/>
    </row>
    <row r="76" spans="4:23" x14ac:dyDescent="0.2">
      <c r="D76" s="172" t="s">
        <v>37</v>
      </c>
      <c r="E76" s="173"/>
      <c r="F76" s="172" t="s">
        <v>41</v>
      </c>
      <c r="G76" s="173"/>
      <c r="H76" s="172" t="s">
        <v>44</v>
      </c>
      <c r="I76" s="173"/>
      <c r="J76" s="172" t="s">
        <v>47</v>
      </c>
      <c r="K76" s="173"/>
      <c r="L76" s="172" t="s">
        <v>48</v>
      </c>
      <c r="M76" s="173"/>
      <c r="N76" s="172" t="s">
        <v>63</v>
      </c>
      <c r="O76" s="173"/>
      <c r="P76" s="172" t="s">
        <v>60</v>
      </c>
      <c r="Q76" s="173"/>
      <c r="R76" s="172" t="s">
        <v>59</v>
      </c>
      <c r="S76" s="173"/>
      <c r="T76" s="172" t="s">
        <v>58</v>
      </c>
      <c r="U76" s="173"/>
      <c r="V76" s="172" t="s">
        <v>64</v>
      </c>
      <c r="W76" s="173"/>
    </row>
    <row r="77" spans="4:23" ht="17" thickBot="1" x14ac:dyDescent="0.25">
      <c r="D77" s="174"/>
      <c r="E77" s="175"/>
      <c r="F77" s="174"/>
      <c r="G77" s="175"/>
      <c r="H77" s="174"/>
      <c r="I77" s="175"/>
      <c r="J77" s="174"/>
      <c r="K77" s="175"/>
      <c r="L77" s="174"/>
      <c r="M77" s="175"/>
      <c r="N77" s="174"/>
      <c r="O77" s="175"/>
      <c r="P77" s="174"/>
      <c r="Q77" s="175"/>
      <c r="R77" s="174"/>
      <c r="S77" s="175"/>
      <c r="T77" s="174"/>
      <c r="U77" s="175"/>
      <c r="V77" s="174"/>
      <c r="W77" s="175"/>
    </row>
    <row r="78" spans="4:23" ht="16" customHeight="1" x14ac:dyDescent="0.2">
      <c r="D78" s="46">
        <f ca="1">'Raw Data'!CK505</f>
        <v>1080.2159999999999</v>
      </c>
      <c r="E78" s="47"/>
      <c r="F78" s="46">
        <f ca="1">'Raw Data'!CL505</f>
        <v>1680.376</v>
      </c>
      <c r="G78" s="47"/>
      <c r="H78" s="46">
        <f ca="1">'Raw Data'!CM505</f>
        <v>1081.3</v>
      </c>
      <c r="I78" s="47"/>
      <c r="J78" s="46">
        <f ca="1">'Raw Data'!CN505</f>
        <v>910.06799999999998</v>
      </c>
      <c r="K78" s="47"/>
      <c r="L78" s="46">
        <f ca="1">'Raw Data'!CO505</f>
        <v>1748.482</v>
      </c>
      <c r="M78" s="47"/>
      <c r="N78" s="46">
        <f ca="1">'Raw Data'!CP505</f>
        <v>1519.7180000000001</v>
      </c>
      <c r="O78" s="47"/>
      <c r="P78" s="46">
        <f ca="1">'Raw Data'!CQ505</f>
        <v>1554.788</v>
      </c>
      <c r="Q78" s="47"/>
      <c r="R78" s="46">
        <f ca="1">'Raw Data'!CR505</f>
        <v>1048.566</v>
      </c>
      <c r="S78" s="47"/>
      <c r="T78" s="46">
        <f ca="1">'Raw Data'!CS505</f>
        <v>1346.9079999999999</v>
      </c>
      <c r="U78" s="47"/>
      <c r="V78" s="46">
        <f ca="1">'Raw Data'!CT505</f>
        <v>1663.048</v>
      </c>
      <c r="W78" s="47"/>
    </row>
    <row r="79" spans="4:23" ht="16" customHeight="1" x14ac:dyDescent="0.2">
      <c r="D79" s="101"/>
      <c r="E79" s="102"/>
      <c r="F79" s="101"/>
      <c r="G79" s="102"/>
      <c r="H79" s="101"/>
      <c r="I79" s="102"/>
      <c r="J79" s="101"/>
      <c r="K79" s="102"/>
      <c r="L79" s="101"/>
      <c r="M79" s="102"/>
      <c r="N79" s="101"/>
      <c r="O79" s="102"/>
      <c r="P79" s="101"/>
      <c r="Q79" s="102"/>
      <c r="R79" s="101"/>
      <c r="S79" s="102"/>
      <c r="T79" s="101"/>
      <c r="U79" s="102"/>
      <c r="V79" s="101"/>
      <c r="W79" s="102"/>
    </row>
    <row r="80" spans="4:23" ht="17" customHeight="1" thickBot="1" x14ac:dyDescent="0.25">
      <c r="D80" s="48"/>
      <c r="E80" s="49"/>
      <c r="F80" s="48"/>
      <c r="G80" s="49"/>
      <c r="H80" s="48"/>
      <c r="I80" s="49"/>
      <c r="J80" s="48"/>
      <c r="K80" s="49"/>
      <c r="L80" s="48"/>
      <c r="M80" s="49"/>
      <c r="N80" s="48"/>
      <c r="O80" s="49"/>
      <c r="P80" s="48"/>
      <c r="Q80" s="49"/>
      <c r="R80" s="48"/>
      <c r="S80" s="49"/>
      <c r="T80" s="48"/>
      <c r="U80" s="49"/>
      <c r="V80" s="48"/>
      <c r="W80" s="49"/>
    </row>
    <row r="81" spans="6:21" x14ac:dyDescent="0.2">
      <c r="F81" s="168" t="s">
        <v>51</v>
      </c>
      <c r="G81" s="169"/>
      <c r="H81" s="168" t="s">
        <v>52</v>
      </c>
      <c r="I81" s="169"/>
      <c r="J81" s="168" t="s">
        <v>28</v>
      </c>
      <c r="K81" s="169"/>
      <c r="L81" s="168" t="s">
        <v>20</v>
      </c>
      <c r="M81" s="169"/>
      <c r="N81" s="168" t="s">
        <v>56</v>
      </c>
      <c r="O81" s="169"/>
      <c r="P81" s="168" t="s">
        <v>46</v>
      </c>
      <c r="Q81" s="169"/>
      <c r="R81" s="168" t="s">
        <v>40</v>
      </c>
      <c r="S81" s="169"/>
      <c r="T81" s="168" t="s">
        <v>26</v>
      </c>
      <c r="U81" s="169"/>
    </row>
    <row r="82" spans="6:21" ht="17" thickBot="1" x14ac:dyDescent="0.25">
      <c r="F82" s="170"/>
      <c r="G82" s="171"/>
      <c r="H82" s="170"/>
      <c r="I82" s="171"/>
      <c r="J82" s="170"/>
      <c r="K82" s="171"/>
      <c r="L82" s="170"/>
      <c r="M82" s="171"/>
      <c r="N82" s="170"/>
      <c r="O82" s="171"/>
      <c r="P82" s="170"/>
      <c r="Q82" s="171"/>
      <c r="R82" s="170"/>
      <c r="S82" s="171"/>
      <c r="T82" s="170"/>
      <c r="U82" s="171"/>
    </row>
    <row r="83" spans="6:21" ht="16" customHeight="1" x14ac:dyDescent="0.2">
      <c r="F83" s="46">
        <f ca="1">'Raw Data'!CT505</f>
        <v>1663.048</v>
      </c>
      <c r="G83" s="47"/>
      <c r="H83" s="46">
        <f ca="1">'Raw Data'!CV505</f>
        <v>1001.268</v>
      </c>
      <c r="I83" s="47"/>
      <c r="J83" s="46">
        <f ca="1">'Raw Data'!CW505</f>
        <v>1434.6679999999999</v>
      </c>
      <c r="K83" s="47"/>
      <c r="L83" s="46">
        <f ca="1">'Raw Data'!CX505</f>
        <v>1059.296</v>
      </c>
      <c r="M83" s="47"/>
      <c r="N83" s="46">
        <f ca="1">'Raw Data'!CY505</f>
        <v>1691.018</v>
      </c>
      <c r="O83" s="47"/>
      <c r="P83" s="46">
        <f ca="1">'Raw Data'!CZ505</f>
        <v>1194.8699999999999</v>
      </c>
      <c r="Q83" s="47"/>
      <c r="R83" s="46">
        <f ca="1">'Raw Data'!DA505</f>
        <v>1724.0940000000001</v>
      </c>
      <c r="S83" s="47"/>
      <c r="T83" s="46">
        <f ca="1">'Raw Data'!DB505</f>
        <v>1388.6220000000001</v>
      </c>
      <c r="U83" s="47"/>
    </row>
    <row r="84" spans="6:21" ht="16" customHeight="1" x14ac:dyDescent="0.2">
      <c r="F84" s="101"/>
      <c r="G84" s="102"/>
      <c r="H84" s="101"/>
      <c r="I84" s="102"/>
      <c r="J84" s="101"/>
      <c r="K84" s="102"/>
      <c r="L84" s="101"/>
      <c r="M84" s="102"/>
      <c r="N84" s="101"/>
      <c r="O84" s="102"/>
      <c r="P84" s="101"/>
      <c r="Q84" s="102"/>
      <c r="R84" s="101"/>
      <c r="S84" s="102"/>
      <c r="T84" s="101"/>
      <c r="U84" s="102"/>
    </row>
    <row r="85" spans="6:21" ht="17" customHeight="1" thickBot="1" x14ac:dyDescent="0.25">
      <c r="F85" s="48"/>
      <c r="G85" s="49"/>
      <c r="H85" s="48"/>
      <c r="I85" s="49"/>
      <c r="J85" s="48"/>
      <c r="K85" s="49"/>
      <c r="L85" s="48"/>
      <c r="M85" s="49"/>
      <c r="N85" s="48"/>
      <c r="O85" s="49"/>
      <c r="P85" s="48"/>
      <c r="Q85" s="49"/>
      <c r="R85" s="48"/>
      <c r="S85" s="49"/>
      <c r="T85" s="48"/>
      <c r="U85" s="49"/>
    </row>
  </sheetData>
  <mergeCells count="152">
    <mergeCell ref="J49:K51"/>
    <mergeCell ref="D54:E57"/>
    <mergeCell ref="G54:H57"/>
    <mergeCell ref="J54:K57"/>
    <mergeCell ref="D44:K48"/>
    <mergeCell ref="D49:E51"/>
    <mergeCell ref="G49:H51"/>
    <mergeCell ref="T83:U85"/>
    <mergeCell ref="P81:Q82"/>
    <mergeCell ref="R81:S82"/>
    <mergeCell ref="T81:U82"/>
    <mergeCell ref="F83:G85"/>
    <mergeCell ref="H83:I85"/>
    <mergeCell ref="J83:K85"/>
    <mergeCell ref="L83:M85"/>
    <mergeCell ref="N83:O85"/>
    <mergeCell ref="P83:Q85"/>
    <mergeCell ref="R83:S85"/>
    <mergeCell ref="N78:O80"/>
    <mergeCell ref="P78:Q80"/>
    <mergeCell ref="R78:S80"/>
    <mergeCell ref="T78:U80"/>
    <mergeCell ref="V78:W80"/>
    <mergeCell ref="F81:G82"/>
    <mergeCell ref="H81:I82"/>
    <mergeCell ref="J81:K82"/>
    <mergeCell ref="L81:M82"/>
    <mergeCell ref="N81:O82"/>
    <mergeCell ref="N76:O77"/>
    <mergeCell ref="P76:Q77"/>
    <mergeCell ref="R76:S77"/>
    <mergeCell ref="T76:U77"/>
    <mergeCell ref="V76:W77"/>
    <mergeCell ref="D78:E80"/>
    <mergeCell ref="F78:G80"/>
    <mergeCell ref="H78:I80"/>
    <mergeCell ref="J78:K80"/>
    <mergeCell ref="L78:M80"/>
    <mergeCell ref="N73:O75"/>
    <mergeCell ref="P73:Q75"/>
    <mergeCell ref="R73:S75"/>
    <mergeCell ref="T73:U75"/>
    <mergeCell ref="V73:W75"/>
    <mergeCell ref="D76:E77"/>
    <mergeCell ref="F76:G77"/>
    <mergeCell ref="H76:I77"/>
    <mergeCell ref="J76:K77"/>
    <mergeCell ref="L76:M77"/>
    <mergeCell ref="N71:O72"/>
    <mergeCell ref="P71:Q72"/>
    <mergeCell ref="R71:S72"/>
    <mergeCell ref="T71:U72"/>
    <mergeCell ref="V71:W72"/>
    <mergeCell ref="D73:E75"/>
    <mergeCell ref="F73:G75"/>
    <mergeCell ref="H73:I75"/>
    <mergeCell ref="J73:K75"/>
    <mergeCell ref="L73:M75"/>
    <mergeCell ref="N68:O70"/>
    <mergeCell ref="P68:Q70"/>
    <mergeCell ref="R68:S70"/>
    <mergeCell ref="T68:U70"/>
    <mergeCell ref="V68:W70"/>
    <mergeCell ref="D71:E72"/>
    <mergeCell ref="F71:G72"/>
    <mergeCell ref="H71:I72"/>
    <mergeCell ref="J71:K72"/>
    <mergeCell ref="L71:M72"/>
    <mergeCell ref="N66:O67"/>
    <mergeCell ref="P66:Q67"/>
    <mergeCell ref="R66:S67"/>
    <mergeCell ref="T66:U67"/>
    <mergeCell ref="V66:W67"/>
    <mergeCell ref="D68:E70"/>
    <mergeCell ref="F68:G70"/>
    <mergeCell ref="H68:I70"/>
    <mergeCell ref="J68:K70"/>
    <mergeCell ref="L68:M70"/>
    <mergeCell ref="D66:E67"/>
    <mergeCell ref="F66:G67"/>
    <mergeCell ref="H66:I67"/>
    <mergeCell ref="J66:K67"/>
    <mergeCell ref="L66:M67"/>
    <mergeCell ref="P63:Q65"/>
    <mergeCell ref="R63:S65"/>
    <mergeCell ref="T63:U65"/>
    <mergeCell ref="V63:W65"/>
    <mergeCell ref="R61:S62"/>
    <mergeCell ref="T61:U62"/>
    <mergeCell ref="V61:W62"/>
    <mergeCell ref="D63:E65"/>
    <mergeCell ref="F63:G65"/>
    <mergeCell ref="H63:I65"/>
    <mergeCell ref="J63:K65"/>
    <mergeCell ref="L63:M65"/>
    <mergeCell ref="N63:O65"/>
    <mergeCell ref="F61:G62"/>
    <mergeCell ref="H61:I62"/>
    <mergeCell ref="L61:M62"/>
    <mergeCell ref="J61:K62"/>
    <mergeCell ref="N61:O62"/>
    <mergeCell ref="P61:Q62"/>
    <mergeCell ref="D34:G43"/>
    <mergeCell ref="D59:W60"/>
    <mergeCell ref="D61:E62"/>
    <mergeCell ref="H39:K40"/>
    <mergeCell ref="H41:K43"/>
    <mergeCell ref="P37:Q38"/>
    <mergeCell ref="R37:S38"/>
    <mergeCell ref="T37:U38"/>
    <mergeCell ref="V37:W38"/>
    <mergeCell ref="L36:M36"/>
    <mergeCell ref="N36:O36"/>
    <mergeCell ref="P36:Q36"/>
    <mergeCell ref="R36:S36"/>
    <mergeCell ref="T36:U36"/>
    <mergeCell ref="V36:W36"/>
    <mergeCell ref="L37:M38"/>
    <mergeCell ref="N37:O38"/>
    <mergeCell ref="H29:K30"/>
    <mergeCell ref="H31:K33"/>
    <mergeCell ref="D14:G33"/>
    <mergeCell ref="H34:K35"/>
    <mergeCell ref="H36:K38"/>
    <mergeCell ref="L34:W35"/>
    <mergeCell ref="H16:K18"/>
    <mergeCell ref="H19:K20"/>
    <mergeCell ref="H21:K23"/>
    <mergeCell ref="H24:K25"/>
    <mergeCell ref="H26:K28"/>
    <mergeCell ref="N12:O13"/>
    <mergeCell ref="P12:Q13"/>
    <mergeCell ref="R12:S13"/>
    <mergeCell ref="T12:U13"/>
    <mergeCell ref="V12:W13"/>
    <mergeCell ref="H14:K15"/>
    <mergeCell ref="H9:K10"/>
    <mergeCell ref="H11:K13"/>
    <mergeCell ref="L9:W10"/>
    <mergeCell ref="L11:M11"/>
    <mergeCell ref="N11:O11"/>
    <mergeCell ref="P11:Q11"/>
    <mergeCell ref="D6:W8"/>
    <mergeCell ref="D9:G10"/>
    <mergeCell ref="D11:E11"/>
    <mergeCell ref="F11:G11"/>
    <mergeCell ref="D12:E13"/>
    <mergeCell ref="F12:G13"/>
    <mergeCell ref="R11:S11"/>
    <mergeCell ref="T11:U11"/>
    <mergeCell ref="V11:W11"/>
    <mergeCell ref="L12:M13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2025-12-11T10:34:38Z</dcterms:created>
  <dcterms:modified xsi:type="dcterms:W3CDTF">2025-12-26T18:14:21Z</dcterms:modified>
</cp:coreProperties>
</file>